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Skills - Hire A" sheetId="3" state="visible" r:id="rId3"/>
    <sheet xmlns:r="http://schemas.openxmlformats.org/officeDocument/2006/relationships" name="Skills - Hire B" sheetId="4" state="visible" r:id="rId4"/>
    <sheet xmlns:r="http://schemas.openxmlformats.org/officeDocument/2006/relationships" name="Knowledge - Hire A" sheetId="5" state="visible" r:id="rId5"/>
    <sheet xmlns:r="http://schemas.openxmlformats.org/officeDocument/2006/relationships" name="Knowledge - Hire B" sheetId="6" state="visible" r:id="rId6"/>
    <sheet xmlns:r="http://schemas.openxmlformats.org/officeDocument/2006/relationships" name="Tool Inventory" sheetId="7" state="visible" r:id="rId7"/>
    <sheet xmlns:r="http://schemas.openxmlformats.org/officeDocument/2006/relationships" name="Glossary" sheetId="8" state="visible" r:id="rId8"/>
  </sheets>
  <definedNames>
    <definedName name="ProgramStart">'Start Here'!$B$4</definedName>
    <definedName name="_xlnm._FilterDatabase" localSheetId="2" hidden="1">'Skills - Hire A'!$A$4:$M$79</definedName>
    <definedName name="_xlnm._FilterDatabase" localSheetId="3" hidden="1">'Skills - Hire B'!$A$4:$M$79</definedName>
    <definedName name="_xlnm._FilterDatabase" localSheetId="4" hidden="1">'Knowledge - Hire A'!$A$4:$O$143</definedName>
    <definedName name="_xlnm._FilterDatabase" localSheetId="5" hidden="1">'Knowledge - Hire B'!$A$4:$O$143</definedName>
    <definedName name="_xlnm._FilterDatabase" localSheetId="6" hidden="1">'Tool Inventory'!$A$4:$Q$19</definedName>
    <definedName name="_xlnm._FilterDatabase" localSheetId="7" hidden="1">'Glossary'!$A$4:$D$218</definedName>
  </definedNames>
  <calcPr calcId="124519" fullCalcOnLoad="1"/>
</workbook>
</file>

<file path=xl/styles.xml><?xml version="1.0" encoding="utf-8"?>
<styleSheet xmlns="http://schemas.openxmlformats.org/spreadsheetml/2006/main">
  <numFmts count="4">
    <numFmt numFmtId="164" formatCode="yyyy-mm-dd"/>
    <numFmt numFmtId="165" formatCode="ddd mmm d, yyyy"/>
    <numFmt numFmtId="166" formatCode="mmm d"/>
    <numFmt numFmtId="167" formatCode="0.0"/>
  </numFmts>
  <fonts count="6">
    <font>
      <name val="Calibri"/>
      <family val="2"/>
      <color theme="1"/>
      <sz val="11"/>
      <scheme val="minor"/>
    </font>
    <font>
      <name val="Calibri"/>
      <b val="1"/>
      <color rgb="001F3864"/>
      <sz val="16"/>
    </font>
    <font>
      <name val="Calibri"/>
      <i val="1"/>
      <color rgb="00595959"/>
    </font>
    <font>
      <name val="Calibri"/>
      <b val="1"/>
      <color rgb="001F3864"/>
      <sz val="12"/>
    </font>
    <font>
      <name val="Calibri"/>
      <b val="1"/>
      <color rgb="00FFFFFF"/>
    </font>
    <font>
      <name val="Calibri"/>
      <sz val="10"/>
    </font>
  </fonts>
  <fills count="4">
    <fill>
      <patternFill/>
    </fill>
    <fill>
      <patternFill patternType="gray125"/>
    </fill>
    <fill>
      <patternFill patternType="solid">
        <fgColor rgb="00FFF2CC"/>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165" fontId="0" fillId="2" borderId="0" pivotButton="0" quotePrefix="0" xfId="0"/>
    <xf numFmtId="165" fontId="0" fillId="0" borderId="0" pivotButton="0" quotePrefix="0" xfId="0"/>
    <xf numFmtId="0" fontId="3" fillId="0" borderId="0" pivotButton="0" quotePrefix="0" xfId="0"/>
    <xf numFmtId="0" fontId="0" fillId="0" borderId="0" applyAlignment="1" pivotButton="0" quotePrefix="0" xfId="0">
      <alignment horizontal="center"/>
    </xf>
    <xf numFmtId="0" fontId="0" fillId="0" borderId="0" applyAlignment="1" pivotButton="0" quotePrefix="0" xfId="0">
      <alignment vertical="top" wrapText="1"/>
    </xf>
    <xf numFmtId="0" fontId="4" fillId="3" borderId="1" pivotButton="0" quotePrefix="0" xfId="0"/>
    <xf numFmtId="0" fontId="0" fillId="0" borderId="1" pivotButton="0" quotePrefix="0" xfId="0"/>
    <xf numFmtId="9" fontId="0" fillId="0" borderId="1" pivotButton="0" quotePrefix="0" xfId="0"/>
    <xf numFmtId="167" fontId="0" fillId="0" borderId="1" pivotButton="0" quotePrefix="0" xfId="0"/>
    <xf numFmtId="0" fontId="4" fillId="3" borderId="1" applyAlignment="1" pivotButton="0" quotePrefix="0" xfId="0">
      <alignment vertical="center" wrapText="1"/>
    </xf>
    <xf numFmtId="0" fontId="5" fillId="0" borderId="1" applyAlignment="1" pivotButton="0" quotePrefix="0" xfId="0">
      <alignment vertical="top" wrapText="1"/>
    </xf>
    <xf numFmtId="0" fontId="5" fillId="2" borderId="1" applyAlignment="1" pivotButton="0" quotePrefix="0" xfId="0">
      <alignment vertical="top" wrapText="1"/>
    </xf>
    <xf numFmtId="166" fontId="5" fillId="0" borderId="1" applyAlignment="1" pivotButton="0" quotePrefix="0" xfId="0">
      <alignment vertical="top" wrapText="1"/>
    </xf>
    <xf numFmtId="166" fontId="5" fillId="2"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4" customWidth="1" min="1" max="1"/>
    <col width="110" customWidth="1" min="2" max="2"/>
  </cols>
  <sheetData>
    <row r="1">
      <c r="A1" s="1" t="inlineStr">
        <is>
          <t>BSA Onboarding Trackers</t>
        </is>
      </c>
    </row>
    <row r="2">
      <c r="A2" s="2" t="inlineStr">
        <is>
          <t>Skills, knowledge, tool inventory and glossary for Hire A (Research) and Hire B (Standard Cost)</t>
        </is>
      </c>
    </row>
    <row r="4">
      <c r="A4" t="inlineStr">
        <is>
          <t>Program start (Day 1)</t>
        </is>
      </c>
      <c r="B4" s="3" t="n">
        <v>46314</v>
      </c>
    </row>
    <row r="5">
      <c r="A5" t="inlineStr">
        <is>
          <t>Day 30 review</t>
        </is>
      </c>
      <c r="B5" s="4" t="n">
        <v>46344</v>
      </c>
    </row>
    <row r="6">
      <c r="A6" t="inlineStr">
        <is>
          <t>Day 60 review</t>
        </is>
      </c>
      <c r="B6" s="4" t="n">
        <v>46374</v>
      </c>
    </row>
    <row r="7">
      <c r="A7" t="inlineStr">
        <is>
          <t>Day 90 review</t>
        </is>
      </c>
      <c r="B7" s="4" t="n">
        <v>46402</v>
      </c>
    </row>
    <row r="9">
      <c r="A9" s="5" t="inlineStr">
        <is>
          <t>Proficiency scale</t>
        </is>
      </c>
    </row>
    <row r="10">
      <c r="A10" s="6" t="n">
        <v>0</v>
      </c>
      <c r="B10" t="inlineStr">
        <is>
          <t>Not yet exposed</t>
        </is>
      </c>
    </row>
    <row r="11">
      <c r="A11" s="6" t="n">
        <v>1</v>
      </c>
      <c r="B11" t="inlineStr">
        <is>
          <t>Aware: can explain the basics</t>
        </is>
      </c>
    </row>
    <row r="12">
      <c r="A12" s="6" t="n">
        <v>2</v>
      </c>
      <c r="B12" t="inlineStr">
        <is>
          <t>Guided: does it with help</t>
        </is>
      </c>
    </row>
    <row r="13">
      <c r="A13" s="6" t="n">
        <v>3</v>
      </c>
      <c r="B13" t="inlineStr">
        <is>
          <t>Independent: does it alone; work is reviewed</t>
        </is>
      </c>
    </row>
    <row r="14">
      <c r="A14" s="6" t="n">
        <v>4</v>
      </c>
      <c r="B14" t="inlineStr">
        <is>
          <t>Owns/teaches: runs it, improves it, can train others</t>
        </is>
      </c>
    </row>
    <row r="16">
      <c r="A16" s="5" t="inlineStr">
        <is>
          <t>How to use</t>
        </is>
      </c>
    </row>
    <row r="17" ht="30" customHeight="1">
      <c r="A17" t="inlineStr">
        <is>
          <t>•</t>
        </is>
      </c>
      <c r="B17" s="7" t="inlineStr">
        <is>
          <t>Yellow cells are inputs. Everything else is reference data or formulas.</t>
        </is>
      </c>
    </row>
    <row r="18" ht="30" customHeight="1">
      <c r="A18" t="inlineStr">
        <is>
          <t>•</t>
        </is>
      </c>
      <c r="B18" s="7" t="inlineStr">
        <is>
          <t>Skills tabs: the hire updates 'Current self-rating' every Friday. At each milestone review the trainer enters the agreed rating in 'Rating @Dxx'. Green = at or above target, amber = one below, red = two or more below.</t>
        </is>
      </c>
    </row>
    <row r="19" ht="30" customHeight="1">
      <c r="A19" t="inlineStr">
        <is>
          <t>•</t>
        </is>
      </c>
      <c r="B19" s="7" t="inlineStr">
        <is>
          <t>Knowledge tabs: the hire updates Status, Date covered and Confidence as topics are taught. A Status cell turns red when its target week has passed and the topic is not yet Covered.</t>
        </is>
      </c>
    </row>
    <row r="20" ht="30" customHeight="1">
      <c r="A20" t="inlineStr">
        <is>
          <t>•</t>
        </is>
      </c>
      <c r="B20" s="7" t="inlineStr">
        <is>
          <t>Tool Inventory: the hires fill this in during week 2 (split the tools between them). It becomes the team's first catalog of custom tools.</t>
        </is>
      </c>
    </row>
    <row r="21" ht="30" customHeight="1">
      <c r="A21" t="inlineStr">
        <is>
          <t>•</t>
        </is>
      </c>
      <c r="B21" s="7" t="inlineStr">
        <is>
          <t>Dashboard: rolls up % of skills at target per milestone. Review it in the weekly 1:1.</t>
        </is>
      </c>
    </row>
    <row r="22" ht="30" customHeight="1">
      <c r="A22" t="inlineStr">
        <is>
          <t>•</t>
        </is>
      </c>
      <c r="B22" s="7" t="inlineStr">
        <is>
          <t>Generic-only: replace [COMPANY: ...] placeholders on company systems, not in the source repo.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4" customWidth="1" min="6" max="6"/>
  </cols>
  <sheetData>
    <row r="1">
      <c r="A1" s="1" t="inlineStr">
        <is>
          <t>Dashboard</t>
        </is>
      </c>
    </row>
    <row r="2">
      <c r="A2" s="2" t="inlineStr">
        <is>
          <t>Formulas only. Ratings come from the Skills tabs; status from the Knowledge tabs.</t>
        </is>
      </c>
    </row>
    <row r="4">
      <c r="A4" s="5" t="inlineStr">
        <is>
          <t>Skills at or above target (skills with target &gt; 0)</t>
        </is>
      </c>
    </row>
    <row r="5">
      <c r="A5" s="8" t="inlineStr">
        <is>
          <t>Hire</t>
        </is>
      </c>
      <c r="B5" s="8" t="inlineStr">
        <is>
          <t>Milestone</t>
        </is>
      </c>
      <c r="C5" s="8" t="inlineStr">
        <is>
          <t>Skills with target</t>
        </is>
      </c>
      <c r="D5" s="8" t="inlineStr">
        <is>
          <t>Rated</t>
        </is>
      </c>
      <c r="E5" s="8" t="inlineStr">
        <is>
          <t>At target</t>
        </is>
      </c>
      <c r="F5" s="8" t="inlineStr">
        <is>
          <t>% at target</t>
        </is>
      </c>
    </row>
    <row r="6">
      <c r="A6" s="9" t="inlineStr">
        <is>
          <t>Hire A</t>
        </is>
      </c>
      <c r="B6" s="9" t="inlineStr">
        <is>
          <t>Day 30</t>
        </is>
      </c>
      <c r="C6" s="9">
        <f>COUNTIF('Skills - Hire A'!$F$5:$F$79,"&gt;0")</f>
        <v/>
      </c>
      <c r="D6" s="9">
        <f>COUNT('Skills - Hire A'!$G$5:$G$79)</f>
        <v/>
      </c>
      <c r="E6" s="9">
        <f>SUMPRODUCT(('Skills - Hire A'!$G$5:$G$79&lt;&gt;"")*('Skills - Hire A'!$F$5:$F$79&gt;0)*('Skills - Hire A'!$G$5:$G$79&gt;='Skills - Hire A'!$F$5:$F$79))</f>
        <v/>
      </c>
      <c r="F6" s="10">
        <f>IF(D6=0,"",E6/C6)</f>
        <v/>
      </c>
    </row>
    <row r="7">
      <c r="A7" s="9" t="inlineStr">
        <is>
          <t>Hire A</t>
        </is>
      </c>
      <c r="B7" s="9" t="inlineStr">
        <is>
          <t>Day 60</t>
        </is>
      </c>
      <c r="C7" s="9">
        <f>COUNTIF('Skills - Hire A'!$H$5:$H$79,"&gt;0")</f>
        <v/>
      </c>
      <c r="D7" s="9">
        <f>COUNT('Skills - Hire A'!$I$5:$I$79)</f>
        <v/>
      </c>
      <c r="E7" s="9">
        <f>SUMPRODUCT(('Skills - Hire A'!$I$5:$I$79&lt;&gt;"")*('Skills - Hire A'!$H$5:$H$79&gt;0)*('Skills - Hire A'!$I$5:$I$79&gt;='Skills - Hire A'!$H$5:$H$79))</f>
        <v/>
      </c>
      <c r="F7" s="10">
        <f>IF(D7=0,"",E7/C7)</f>
        <v/>
      </c>
    </row>
    <row r="8">
      <c r="A8" s="9" t="inlineStr">
        <is>
          <t>Hire A</t>
        </is>
      </c>
      <c r="B8" s="9" t="inlineStr">
        <is>
          <t>Day 90</t>
        </is>
      </c>
      <c r="C8" s="9">
        <f>COUNTIF('Skills - Hire A'!$J$5:$J$79,"&gt;0")</f>
        <v/>
      </c>
      <c r="D8" s="9">
        <f>COUNT('Skills - Hire A'!$K$5:$K$79)</f>
        <v/>
      </c>
      <c r="E8" s="9">
        <f>SUMPRODUCT(('Skills - Hire A'!$K$5:$K$79&lt;&gt;"")*('Skills - Hire A'!$J$5:$J$79&gt;0)*('Skills - Hire A'!$K$5:$K$79&gt;='Skills - Hire A'!$J$5:$J$79))</f>
        <v/>
      </c>
      <c r="F8" s="10">
        <f>IF(D8=0,"",E8/C8)</f>
        <v/>
      </c>
    </row>
    <row r="9">
      <c r="A9" s="9" t="inlineStr">
        <is>
          <t>Hire B</t>
        </is>
      </c>
      <c r="B9" s="9" t="inlineStr">
        <is>
          <t>Day 30</t>
        </is>
      </c>
      <c r="C9" s="9">
        <f>COUNTIF('Skills - Hire B'!$F$5:$F$79,"&gt;0")</f>
        <v/>
      </c>
      <c r="D9" s="9">
        <f>COUNT('Skills - Hire B'!$G$5:$G$79)</f>
        <v/>
      </c>
      <c r="E9" s="9">
        <f>SUMPRODUCT(('Skills - Hire B'!$G$5:$G$79&lt;&gt;"")*('Skills - Hire B'!$F$5:$F$79&gt;0)*('Skills - Hire B'!$G$5:$G$79&gt;='Skills - Hire B'!$F$5:$F$79))</f>
        <v/>
      </c>
      <c r="F9" s="10">
        <f>IF(D9=0,"",E9/C9)</f>
        <v/>
      </c>
    </row>
    <row r="10">
      <c r="A10" s="9" t="inlineStr">
        <is>
          <t>Hire B</t>
        </is>
      </c>
      <c r="B10" s="9" t="inlineStr">
        <is>
          <t>Day 60</t>
        </is>
      </c>
      <c r="C10" s="9">
        <f>COUNTIF('Skills - Hire B'!$H$5:$H$79,"&gt;0")</f>
        <v/>
      </c>
      <c r="D10" s="9">
        <f>COUNT('Skills - Hire B'!$I$5:$I$79)</f>
        <v/>
      </c>
      <c r="E10" s="9">
        <f>SUMPRODUCT(('Skills - Hire B'!$I$5:$I$79&lt;&gt;"")*('Skills - Hire B'!$H$5:$H$79&gt;0)*('Skills - Hire B'!$I$5:$I$79&gt;='Skills - Hire B'!$H$5:$H$79))</f>
        <v/>
      </c>
      <c r="F10" s="10">
        <f>IF(D10=0,"",E10/C10)</f>
        <v/>
      </c>
    </row>
    <row r="11">
      <c r="A11" s="9" t="inlineStr">
        <is>
          <t>Hire B</t>
        </is>
      </c>
      <c r="B11" s="9" t="inlineStr">
        <is>
          <t>Day 90</t>
        </is>
      </c>
      <c r="C11" s="9">
        <f>COUNTIF('Skills - Hire B'!$J$5:$J$79,"&gt;0")</f>
        <v/>
      </c>
      <c r="D11" s="9">
        <f>COUNT('Skills - Hire B'!$K$5:$K$79)</f>
        <v/>
      </c>
      <c r="E11" s="9">
        <f>SUMPRODUCT(('Skills - Hire B'!$K$5:$K$79&lt;&gt;"")*('Skills - Hire B'!$J$5:$J$79&gt;0)*('Skills - Hire B'!$K$5:$K$79&gt;='Skills - Hire B'!$J$5:$J$79))</f>
        <v/>
      </c>
      <c r="F11" s="10">
        <f>IF(D11=0,"",E11/C11)</f>
        <v/>
      </c>
    </row>
    <row r="13">
      <c r="A13" s="5" t="inlineStr">
        <is>
          <t>Average current self-rating vs Day 90 target, by module</t>
        </is>
      </c>
    </row>
    <row r="14">
      <c r="A14" s="8" t="inlineStr">
        <is>
          <t>Module</t>
        </is>
      </c>
      <c r="B14" s="8" t="inlineStr">
        <is>
          <t>Hire A self-rating</t>
        </is>
      </c>
      <c r="C14" s="8" t="inlineStr">
        <is>
          <t>Hire A D90 target</t>
        </is>
      </c>
      <c r="D14" s="8" t="inlineStr">
        <is>
          <t>Hire B self-rating</t>
        </is>
      </c>
      <c r="E14" s="8" t="inlineStr">
        <is>
          <t>Hire B D90 target</t>
        </is>
      </c>
    </row>
    <row r="15">
      <c r="A15" s="9" t="inlineStr">
        <is>
          <t>M0</t>
        </is>
      </c>
      <c r="B15" s="11">
        <f>IFERROR(AVERAGEIFS('Skills - Hire A'!$L$5:$L$79,'Skills - Hire A'!$B$5:$B$79,A15),"")</f>
        <v/>
      </c>
      <c r="C15" s="11">
        <f>IFERROR(AVERAGEIFS('Skills - Hire A'!$J$5:$J$79,'Skills - Hire A'!$B$5:$B$79,A15),"")</f>
        <v/>
      </c>
      <c r="D15" s="11">
        <f>IFERROR(AVERAGEIFS('Skills - Hire B'!$L$5:$L$79,'Skills - Hire B'!$B$5:$B$79,A15),"")</f>
        <v/>
      </c>
      <c r="E15" s="11">
        <f>IFERROR(AVERAGEIFS('Skills - Hire B'!$J$5:$J$79,'Skills - Hire B'!$B$5:$B$79,A15),"")</f>
        <v/>
      </c>
    </row>
    <row r="16">
      <c r="A16" s="9" t="inlineStr">
        <is>
          <t>M1</t>
        </is>
      </c>
      <c r="B16" s="11">
        <f>IFERROR(AVERAGEIFS('Skills - Hire A'!$L$5:$L$79,'Skills - Hire A'!$B$5:$B$79,A16),"")</f>
        <v/>
      </c>
      <c r="C16" s="11">
        <f>IFERROR(AVERAGEIFS('Skills - Hire A'!$J$5:$J$79,'Skills - Hire A'!$B$5:$B$79,A16),"")</f>
        <v/>
      </c>
      <c r="D16" s="11">
        <f>IFERROR(AVERAGEIFS('Skills - Hire B'!$L$5:$L$79,'Skills - Hire B'!$B$5:$B$79,A16),"")</f>
        <v/>
      </c>
      <c r="E16" s="11">
        <f>IFERROR(AVERAGEIFS('Skills - Hire B'!$J$5:$J$79,'Skills - Hire B'!$B$5:$B$79,A16),"")</f>
        <v/>
      </c>
    </row>
    <row r="17">
      <c r="A17" s="9" t="inlineStr">
        <is>
          <t>M2</t>
        </is>
      </c>
      <c r="B17" s="11">
        <f>IFERROR(AVERAGEIFS('Skills - Hire A'!$L$5:$L$79,'Skills - Hire A'!$B$5:$B$79,A17),"")</f>
        <v/>
      </c>
      <c r="C17" s="11">
        <f>IFERROR(AVERAGEIFS('Skills - Hire A'!$J$5:$J$79,'Skills - Hire A'!$B$5:$B$79,A17),"")</f>
        <v/>
      </c>
      <c r="D17" s="11">
        <f>IFERROR(AVERAGEIFS('Skills - Hire B'!$L$5:$L$79,'Skills - Hire B'!$B$5:$B$79,A17),"")</f>
        <v/>
      </c>
      <c r="E17" s="11">
        <f>IFERROR(AVERAGEIFS('Skills - Hire B'!$J$5:$J$79,'Skills - Hire B'!$B$5:$B$79,A17),"")</f>
        <v/>
      </c>
    </row>
    <row r="18">
      <c r="A18" s="9" t="inlineStr">
        <is>
          <t>M3</t>
        </is>
      </c>
      <c r="B18" s="11">
        <f>IFERROR(AVERAGEIFS('Skills - Hire A'!$L$5:$L$79,'Skills - Hire A'!$B$5:$B$79,A18),"")</f>
        <v/>
      </c>
      <c r="C18" s="11">
        <f>IFERROR(AVERAGEIFS('Skills - Hire A'!$J$5:$J$79,'Skills - Hire A'!$B$5:$B$79,A18),"")</f>
        <v/>
      </c>
      <c r="D18" s="11">
        <f>IFERROR(AVERAGEIFS('Skills - Hire B'!$L$5:$L$79,'Skills - Hire B'!$B$5:$B$79,A18),"")</f>
        <v/>
      </c>
      <c r="E18" s="11">
        <f>IFERROR(AVERAGEIFS('Skills - Hire B'!$J$5:$J$79,'Skills - Hire B'!$B$5:$B$79,A18),"")</f>
        <v/>
      </c>
    </row>
    <row r="19">
      <c r="A19" s="9" t="inlineStr">
        <is>
          <t>M4</t>
        </is>
      </c>
      <c r="B19" s="11">
        <f>IFERROR(AVERAGEIFS('Skills - Hire A'!$L$5:$L$79,'Skills - Hire A'!$B$5:$B$79,A19),"")</f>
        <v/>
      </c>
      <c r="C19" s="11">
        <f>IFERROR(AVERAGEIFS('Skills - Hire A'!$J$5:$J$79,'Skills - Hire A'!$B$5:$B$79,A19),"")</f>
        <v/>
      </c>
      <c r="D19" s="11">
        <f>IFERROR(AVERAGEIFS('Skills - Hire B'!$L$5:$L$79,'Skills - Hire B'!$B$5:$B$79,A19),"")</f>
        <v/>
      </c>
      <c r="E19" s="11">
        <f>IFERROR(AVERAGEIFS('Skills - Hire B'!$J$5:$J$79,'Skills - Hire B'!$B$5:$B$79,A19),"")</f>
        <v/>
      </c>
    </row>
    <row r="20">
      <c r="A20" s="9" t="inlineStr">
        <is>
          <t>M5R</t>
        </is>
      </c>
      <c r="B20" s="11">
        <f>IFERROR(AVERAGEIFS('Skills - Hire A'!$L$5:$L$79,'Skills - Hire A'!$B$5:$B$79,A20),"")</f>
        <v/>
      </c>
      <c r="C20" s="11">
        <f>IFERROR(AVERAGEIFS('Skills - Hire A'!$J$5:$J$79,'Skills - Hire A'!$B$5:$B$79,A20),"")</f>
        <v/>
      </c>
      <c r="D20" s="11">
        <f>IFERROR(AVERAGEIFS('Skills - Hire B'!$L$5:$L$79,'Skills - Hire B'!$B$5:$B$79,A20),"")</f>
        <v/>
      </c>
      <c r="E20" s="11">
        <f>IFERROR(AVERAGEIFS('Skills - Hire B'!$J$5:$J$79,'Skills - Hire B'!$B$5:$B$79,A20),"")</f>
        <v/>
      </c>
    </row>
    <row r="21">
      <c r="A21" s="9" t="inlineStr">
        <is>
          <t>M5C</t>
        </is>
      </c>
      <c r="B21" s="11">
        <f>IFERROR(AVERAGEIFS('Skills - Hire A'!$L$5:$L$79,'Skills - Hire A'!$B$5:$B$79,A21),"")</f>
        <v/>
      </c>
      <c r="C21" s="11">
        <f>IFERROR(AVERAGEIFS('Skills - Hire A'!$J$5:$J$79,'Skills - Hire A'!$B$5:$B$79,A21),"")</f>
        <v/>
      </c>
      <c r="D21" s="11">
        <f>IFERROR(AVERAGEIFS('Skills - Hire B'!$L$5:$L$79,'Skills - Hire B'!$B$5:$B$79,A21),"")</f>
        <v/>
      </c>
      <c r="E21" s="11">
        <f>IFERROR(AVERAGEIFS('Skills - Hire B'!$J$5:$J$79,'Skills - Hire B'!$B$5:$B$79,A21),"")</f>
        <v/>
      </c>
    </row>
    <row r="22">
      <c r="A22" s="9" t="inlineStr">
        <is>
          <t>M6</t>
        </is>
      </c>
      <c r="B22" s="11">
        <f>IFERROR(AVERAGEIFS('Skills - Hire A'!$L$5:$L$79,'Skills - Hire A'!$B$5:$B$79,A22),"")</f>
        <v/>
      </c>
      <c r="C22" s="11">
        <f>IFERROR(AVERAGEIFS('Skills - Hire A'!$J$5:$J$79,'Skills - Hire A'!$B$5:$B$79,A22),"")</f>
        <v/>
      </c>
      <c r="D22" s="11">
        <f>IFERROR(AVERAGEIFS('Skills - Hire B'!$L$5:$L$79,'Skills - Hire B'!$B$5:$B$79,A22),"")</f>
        <v/>
      </c>
      <c r="E22" s="11">
        <f>IFERROR(AVERAGEIFS('Skills - Hire B'!$J$5:$J$79,'Skills - Hire B'!$B$5:$B$79,A22),"")</f>
        <v/>
      </c>
    </row>
    <row r="23">
      <c r="A23" s="9" t="inlineStr">
        <is>
          <t>M7</t>
        </is>
      </c>
      <c r="B23" s="11">
        <f>IFERROR(AVERAGEIFS('Skills - Hire A'!$L$5:$L$79,'Skills - Hire A'!$B$5:$B$79,A23),"")</f>
        <v/>
      </c>
      <c r="C23" s="11">
        <f>IFERROR(AVERAGEIFS('Skills - Hire A'!$J$5:$J$79,'Skills - Hire A'!$B$5:$B$79,A23),"")</f>
        <v/>
      </c>
      <c r="D23" s="11">
        <f>IFERROR(AVERAGEIFS('Skills - Hire B'!$L$5:$L$79,'Skills - Hire B'!$B$5:$B$79,A23),"")</f>
        <v/>
      </c>
      <c r="E23" s="11">
        <f>IFERROR(AVERAGEIFS('Skills - Hire B'!$J$5:$J$79,'Skills - Hire B'!$B$5:$B$79,A23),"")</f>
        <v/>
      </c>
    </row>
    <row r="24">
      <c r="A24" s="9" t="inlineStr">
        <is>
          <t>M8</t>
        </is>
      </c>
      <c r="B24" s="11">
        <f>IFERROR(AVERAGEIFS('Skills - Hire A'!$L$5:$L$79,'Skills - Hire A'!$B$5:$B$79,A24),"")</f>
        <v/>
      </c>
      <c r="C24" s="11">
        <f>IFERROR(AVERAGEIFS('Skills - Hire A'!$J$5:$J$79,'Skills - Hire A'!$B$5:$B$79,A24),"")</f>
        <v/>
      </c>
      <c r="D24" s="11">
        <f>IFERROR(AVERAGEIFS('Skills - Hire B'!$L$5:$L$79,'Skills - Hire B'!$B$5:$B$79,A24),"")</f>
        <v/>
      </c>
      <c r="E24" s="11">
        <f>IFERROR(AVERAGEIFS('Skills - Hire B'!$J$5:$J$79,'Skills - Hire B'!$B$5:$B$79,A24),"")</f>
        <v/>
      </c>
    </row>
    <row r="25">
      <c r="A25" s="9" t="inlineStr">
        <is>
          <t>M9</t>
        </is>
      </c>
      <c r="B25" s="11">
        <f>IFERROR(AVERAGEIFS('Skills - Hire A'!$L$5:$L$79,'Skills - Hire A'!$B$5:$B$79,A25),"")</f>
        <v/>
      </c>
      <c r="C25" s="11">
        <f>IFERROR(AVERAGEIFS('Skills - Hire A'!$J$5:$J$79,'Skills - Hire A'!$B$5:$B$79,A25),"")</f>
        <v/>
      </c>
      <c r="D25" s="11">
        <f>IFERROR(AVERAGEIFS('Skills - Hire B'!$L$5:$L$79,'Skills - Hire B'!$B$5:$B$79,A25),"")</f>
        <v/>
      </c>
      <c r="E25" s="11">
        <f>IFERROR(AVERAGEIFS('Skills - Hire B'!$J$5:$J$79,'Skills - Hire B'!$B$5:$B$79,A25),"")</f>
        <v/>
      </c>
    </row>
    <row r="26">
      <c r="A26" s="9" t="inlineStr">
        <is>
          <t>M10</t>
        </is>
      </c>
      <c r="B26" s="11">
        <f>IFERROR(AVERAGEIFS('Skills - Hire A'!$L$5:$L$79,'Skills - Hire A'!$B$5:$B$79,A26),"")</f>
        <v/>
      </c>
      <c r="C26" s="11">
        <f>IFERROR(AVERAGEIFS('Skills - Hire A'!$J$5:$J$79,'Skills - Hire A'!$B$5:$B$79,A26),"")</f>
        <v/>
      </c>
      <c r="D26" s="11">
        <f>IFERROR(AVERAGEIFS('Skills - Hire B'!$L$5:$L$79,'Skills - Hire B'!$B$5:$B$79,A26),"")</f>
        <v/>
      </c>
      <c r="E26" s="11">
        <f>IFERROR(AVERAGEIFS('Skills - Hire B'!$J$5:$J$79,'Skills - Hire B'!$B$5:$B$79,A26),"")</f>
        <v/>
      </c>
    </row>
    <row r="27">
      <c r="A27" s="9" t="inlineStr">
        <is>
          <t>M11</t>
        </is>
      </c>
      <c r="B27" s="11">
        <f>IFERROR(AVERAGEIFS('Skills - Hire A'!$L$5:$L$79,'Skills - Hire A'!$B$5:$B$79,A27),"")</f>
        <v/>
      </c>
      <c r="C27" s="11">
        <f>IFERROR(AVERAGEIFS('Skills - Hire A'!$J$5:$J$79,'Skills - Hire A'!$B$5:$B$79,A27),"")</f>
        <v/>
      </c>
      <c r="D27" s="11">
        <f>IFERROR(AVERAGEIFS('Skills - Hire B'!$L$5:$L$79,'Skills - Hire B'!$B$5:$B$79,A27),"")</f>
        <v/>
      </c>
      <c r="E27" s="11">
        <f>IFERROR(AVERAGEIFS('Skills - Hire B'!$J$5:$J$79,'Skills - Hire B'!$B$5:$B$79,A27),"")</f>
        <v/>
      </c>
    </row>
    <row r="28">
      <c r="A28" s="9" t="inlineStr">
        <is>
          <t>M12</t>
        </is>
      </c>
      <c r="B28" s="11">
        <f>IFERROR(AVERAGEIFS('Skills - Hire A'!$L$5:$L$79,'Skills - Hire A'!$B$5:$B$79,A28),"")</f>
        <v/>
      </c>
      <c r="C28" s="11">
        <f>IFERROR(AVERAGEIFS('Skills - Hire A'!$J$5:$J$79,'Skills - Hire A'!$B$5:$B$79,A28),"")</f>
        <v/>
      </c>
      <c r="D28" s="11">
        <f>IFERROR(AVERAGEIFS('Skills - Hire B'!$L$5:$L$79,'Skills - Hire B'!$B$5:$B$79,A28),"")</f>
        <v/>
      </c>
      <c r="E28" s="11">
        <f>IFERROR(AVERAGEIFS('Skills - Hire B'!$J$5:$J$79,'Skills - Hire B'!$B$5:$B$79,A28),"")</f>
        <v/>
      </c>
    </row>
    <row r="29">
      <c r="A29" s="9" t="inlineStr">
        <is>
          <t>M13</t>
        </is>
      </c>
      <c r="B29" s="11">
        <f>IFERROR(AVERAGEIFS('Skills - Hire A'!$L$5:$L$79,'Skills - Hire A'!$B$5:$B$79,A29),"")</f>
        <v/>
      </c>
      <c r="C29" s="11">
        <f>IFERROR(AVERAGEIFS('Skills - Hire A'!$J$5:$J$79,'Skills - Hire A'!$B$5:$B$79,A29),"")</f>
        <v/>
      </c>
      <c r="D29" s="11">
        <f>IFERROR(AVERAGEIFS('Skills - Hire B'!$L$5:$L$79,'Skills - Hire B'!$B$5:$B$79,A29),"")</f>
        <v/>
      </c>
      <c r="E29" s="11">
        <f>IFERROR(AVERAGEIFS('Skills - Hire B'!$J$5:$J$79,'Skills - Hire B'!$B$5:$B$79,A29),"")</f>
        <v/>
      </c>
    </row>
    <row r="31">
      <c r="A31" s="5" t="inlineStr">
        <is>
          <t>Knowledge topics by status</t>
        </is>
      </c>
    </row>
    <row r="32">
      <c r="A32" s="8" t="inlineStr">
        <is>
          <t>Hire</t>
        </is>
      </c>
      <c r="B32" s="8" t="inlineStr">
        <is>
          <t>Not started</t>
        </is>
      </c>
      <c r="C32" s="8" t="inlineStr">
        <is>
          <t>In progress</t>
        </is>
      </c>
      <c r="D32" s="8" t="inlineStr">
        <is>
          <t>Covered</t>
        </is>
      </c>
      <c r="E32" s="8" t="inlineStr">
        <is>
          <t>Teach-back done</t>
        </is>
      </c>
      <c r="F32" s="8" t="inlineStr">
        <is>
          <t>Overdue</t>
        </is>
      </c>
    </row>
    <row r="33">
      <c r="A33" s="9" t="inlineStr">
        <is>
          <t>Hire A</t>
        </is>
      </c>
      <c r="B33" s="9">
        <f>COUNTIF('Knowledge - Hire A'!$J$5:$J$143,"Not started")</f>
        <v/>
      </c>
      <c r="C33" s="9">
        <f>COUNTIF('Knowledge - Hire A'!$J$5:$J$143,"In progress")</f>
        <v/>
      </c>
      <c r="D33" s="9">
        <f>COUNTIF('Knowledge - Hire A'!$J$5:$J$143,"Covered")</f>
        <v/>
      </c>
      <c r="E33" s="9">
        <f>COUNTIF('Knowledge - Hire A'!$J$5:$J$143,"Teach-back done")</f>
        <v/>
      </c>
      <c r="F33" s="9">
        <f>SUMPRODUCT((TODAY()&gt;'Knowledge - Hire A'!$I$5:$I$143+4)*('Knowledge - Hire A'!$J$5:$J$143&lt;&gt;"Covered")*('Knowledge - Hire A'!$J$5:$J$143&lt;&gt;"Teach-back done"))</f>
        <v/>
      </c>
    </row>
    <row r="34">
      <c r="A34" s="9" t="inlineStr">
        <is>
          <t>Hire B</t>
        </is>
      </c>
      <c r="B34" s="9">
        <f>COUNTIF('Knowledge - Hire B'!$J$5:$J$143,"Not started")</f>
        <v/>
      </c>
      <c r="C34" s="9">
        <f>COUNTIF('Knowledge - Hire B'!$J$5:$J$143,"In progress")</f>
        <v/>
      </c>
      <c r="D34" s="9">
        <f>COUNTIF('Knowledge - Hire B'!$J$5:$J$143,"Covered")</f>
        <v/>
      </c>
      <c r="E34" s="9">
        <f>COUNTIF('Knowledge - Hire B'!$J$5:$J$143,"Teach-back done")</f>
        <v/>
      </c>
      <c r="F34" s="9">
        <f>SUMPRODUCT((TODAY()&gt;'Knowledge - Hire B'!$I$5:$I$143+4)*('Knowledge - Hire B'!$J$5:$J$143&lt;&gt;"Covered")*('Knowledge - Hire B'!$J$5:$J$143&lt;&gt;"Teach-back done"))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9"/>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18" customWidth="1" min="3" max="3"/>
    <col width="34" customWidth="1" min="4" max="4"/>
    <col width="46" customWidth="1" min="5" max="5"/>
    <col width="8" customWidth="1" min="6" max="6"/>
    <col width="9" customWidth="1" min="7" max="7"/>
    <col width="8" customWidth="1" min="8" max="8"/>
    <col width="9" customWidth="1" min="9" max="9"/>
    <col width="8" customWidth="1" min="10" max="10"/>
    <col width="9" customWidth="1" min="11" max="11"/>
    <col width="10" customWidth="1" min="12" max="12"/>
    <col width="36" customWidth="1" min="13" max="13"/>
  </cols>
  <sheetData>
    <row r="1">
      <c r="A1" s="1" t="inlineStr">
        <is>
          <t>Skills tracker: Hire A (Research track)</t>
        </is>
      </c>
    </row>
    <row r="2">
      <c r="A2" s="2" t="inlineStr">
        <is>
          <t>Scale 0-4 (see Start Here). Targets come from the 30/60/90 plan.</t>
        </is>
      </c>
    </row>
    <row r="4">
      <c r="A4" s="12" t="inlineStr">
        <is>
          <t>Skill ID</t>
        </is>
      </c>
      <c r="B4" s="12" t="inlineStr">
        <is>
          <t>Module</t>
        </is>
      </c>
      <c r="C4" s="12" t="inlineStr">
        <is>
          <t>Category</t>
        </is>
      </c>
      <c r="D4" s="12" t="inlineStr">
        <is>
          <t>Skill</t>
        </is>
      </c>
      <c r="E4" s="12" t="inlineStr">
        <is>
          <t>What good looks like (level 3)</t>
        </is>
      </c>
      <c r="F4" s="12" t="inlineStr">
        <is>
          <t>Target D30</t>
        </is>
      </c>
      <c r="G4" s="12" t="inlineStr">
        <is>
          <t>Rating @D30</t>
        </is>
      </c>
      <c r="H4" s="12" t="inlineStr">
        <is>
          <t>Target D60</t>
        </is>
      </c>
      <c r="I4" s="12" t="inlineStr">
        <is>
          <t>Rating @D60</t>
        </is>
      </c>
      <c r="J4" s="12" t="inlineStr">
        <is>
          <t>Target D90</t>
        </is>
      </c>
      <c r="K4" s="12" t="inlineStr">
        <is>
          <t>Rating @D90</t>
        </is>
      </c>
      <c r="L4" s="12" t="inlineStr">
        <is>
          <t>Current self-rating</t>
        </is>
      </c>
      <c r="M4" s="12" t="inlineStr">
        <is>
          <t>Evidence / notes</t>
        </is>
      </c>
    </row>
    <row r="5">
      <c r="A5" s="13" t="inlineStr">
        <is>
          <t>S-M0-01</t>
        </is>
      </c>
      <c r="B5" s="13" t="inlineStr">
        <is>
          <t>M0</t>
        </is>
      </c>
      <c r="C5" s="13" t="inlineStr">
        <is>
          <t>Professional</t>
        </is>
      </c>
      <c r="D5" s="13" t="inlineStr">
        <is>
          <t>Plan and protect the 40-hour week</t>
        </is>
      </c>
      <c r="E5" s="13" t="inlineStr">
        <is>
          <t>Each Friday drafts next week's plan (three outcomes, fixed commitments, booked reviews, 15% unplanned), agrees the top 3 in the 1:1, confirms it at the Monday confirm, blocks self-study, Anki and documentation time as in docs/05-time-management.md, and flags a slip to the Manager at the midpoint check, not at the deadline.</t>
        </is>
      </c>
      <c r="F5" s="13" t="n">
        <v>2</v>
      </c>
      <c r="G5" s="14" t="n"/>
      <c r="H5" s="13" t="n">
        <v>3</v>
      </c>
      <c r="I5" s="14" t="n"/>
      <c r="J5" s="13" t="n">
        <v>3</v>
      </c>
      <c r="K5" s="14" t="n"/>
      <c r="L5" s="14" t="n"/>
      <c r="M5" s="14" t="n"/>
    </row>
    <row r="6">
      <c r="A6" s="13" t="inlineStr">
        <is>
          <t>S-M0-02</t>
        </is>
      </c>
      <c r="B6" s="13" t="inlineStr">
        <is>
          <t>M0</t>
        </is>
      </c>
      <c r="C6" s="13" t="inlineStr">
        <is>
          <t>Professional</t>
        </is>
      </c>
      <c r="D6" s="13" t="inlineStr">
        <is>
          <t>Ask good questions</t>
        </is>
      </c>
      <c r="E6" s="13" t="inlineStr">
        <is>
          <t>Searches the primers, glossary and OneNote for 15 minutes first, logs each question with context, what was checked and a proposed answer, and turns reusable answers into a card, glossary entry or SOP line within 2 working days.</t>
        </is>
      </c>
      <c r="F6" s="13" t="n">
        <v>2</v>
      </c>
      <c r="G6" s="14" t="n"/>
      <c r="H6" s="13" t="n">
        <v>3</v>
      </c>
      <c r="I6" s="14" t="n"/>
      <c r="J6" s="13" t="n">
        <v>3</v>
      </c>
      <c r="K6" s="14" t="n"/>
      <c r="L6" s="14" t="n"/>
      <c r="M6" s="14" t="n"/>
    </row>
    <row r="7">
      <c r="A7" s="13" t="inlineStr">
        <is>
          <t>S-M0-03</t>
        </is>
      </c>
      <c r="B7" s="13" t="inlineStr">
        <is>
          <t>M0</t>
        </is>
      </c>
      <c r="C7" s="13" t="inlineStr">
        <is>
          <t>Work tracking</t>
        </is>
      </c>
      <c r="D7" s="13" t="inlineStr">
        <is>
          <t>Keep own work visible in Jira</t>
        </is>
      </c>
      <c r="E7" s="13" t="inlineStr">
        <is>
          <t>Every piece of own work has a Jira item with a clear title, acceptance criteria and a status updated at least twice a week, and active work stays within the agreed work-in-progress limit.</t>
        </is>
      </c>
      <c r="F7" s="13" t="n">
        <v>3</v>
      </c>
      <c r="G7" s="14" t="n"/>
      <c r="H7" s="13" t="n">
        <v>3</v>
      </c>
      <c r="I7" s="14" t="n"/>
      <c r="J7" s="13" t="n">
        <v>3</v>
      </c>
      <c r="K7" s="14" t="n"/>
      <c r="L7" s="14" t="n"/>
      <c r="M7" s="14" t="n"/>
    </row>
    <row r="8">
      <c r="A8" s="13" t="inlineStr">
        <is>
          <t>S-M0-04</t>
        </is>
      </c>
      <c r="B8" s="13" t="inlineStr">
        <is>
          <t>M0</t>
        </is>
      </c>
      <c r="C8" s="13" t="inlineStr">
        <is>
          <t>Communication</t>
        </is>
      </c>
      <c r="D8" s="13" t="inlineStr">
        <is>
          <t>Write clear status updates for stakeholders</t>
        </is>
      </c>
      <c r="E8" s="13" t="inlineStr">
        <is>
          <t>Writes Friday self-reports and stakeholder updates that lead with the answer and state impact, dates, risks and asks, and they go out without the Manager rewriting them.</t>
        </is>
      </c>
      <c r="F8" s="13" t="n">
        <v>2</v>
      </c>
      <c r="G8" s="14" t="n"/>
      <c r="H8" s="13" t="n">
        <v>2</v>
      </c>
      <c r="I8" s="14" t="n"/>
      <c r="J8" s="13" t="n">
        <v>3</v>
      </c>
      <c r="K8" s="14" t="n"/>
      <c r="L8" s="14" t="n"/>
      <c r="M8" s="14" t="n"/>
    </row>
    <row r="9">
      <c r="A9" s="13" t="inlineStr">
        <is>
          <t>S-M0-05</t>
        </is>
      </c>
      <c r="B9" s="13" t="inlineStr">
        <is>
          <t>M0</t>
        </is>
      </c>
      <c r="C9" s="13" t="inlineStr">
        <is>
          <t>Documentation</t>
        </is>
      </c>
      <c r="D9" s="13" t="inlineStr">
        <is>
          <t>Capture knowledge as reviewed docs and Anki cards</t>
        </is>
      </c>
      <c r="E9" s="13" t="inlineStr">
        <is>
          <t>Turns sessions, shadowing and answered questions into OneNote pages, SOP lines and company-specific Anki cards with a Draft, Reviewed or Published status, and the cards pass the milestone spot check with zero factual errors.</t>
        </is>
      </c>
      <c r="F9" s="13" t="n">
        <v>2</v>
      </c>
      <c r="G9" s="14" t="n"/>
      <c r="H9" s="13" t="n">
        <v>3</v>
      </c>
      <c r="I9" s="14" t="n"/>
      <c r="J9" s="13" t="n">
        <v>3</v>
      </c>
      <c r="K9" s="14" t="n"/>
      <c r="L9" s="14" t="n"/>
      <c r="M9" s="14" t="n"/>
    </row>
    <row r="10">
      <c r="A10" s="13" t="inlineStr">
        <is>
          <t>S-M0-06</t>
        </is>
      </c>
      <c r="B10" s="13" t="inlineStr">
        <is>
          <t>M0</t>
        </is>
      </c>
      <c r="C10" s="13" t="inlineStr">
        <is>
          <t>Communication</t>
        </is>
      </c>
      <c r="D10" s="13" t="inlineStr">
        <is>
          <t>Deliver a teach-back</t>
        </is>
      </c>
      <c r="E10" s="13" t="inlineStr">
        <is>
          <t>Explains a topic in 15 minutes using docs/templates/knowledge/teach-back.md, answers follow-up questions without notes, and says what they do not know instead of guessing.</t>
        </is>
      </c>
      <c r="F10" s="13" t="n">
        <v>2</v>
      </c>
      <c r="G10" s="14" t="n"/>
      <c r="H10" s="13" t="n">
        <v>3</v>
      </c>
      <c r="I10" s="14" t="n"/>
      <c r="J10" s="13" t="n">
        <v>3</v>
      </c>
      <c r="K10" s="14" t="n"/>
      <c r="L10" s="14" t="n"/>
      <c r="M10" s="14" t="n"/>
    </row>
    <row r="11">
      <c r="A11" s="13" t="inlineStr">
        <is>
          <t>S-M0-07</t>
        </is>
      </c>
      <c r="B11" s="13" t="inlineStr">
        <is>
          <t>M0</t>
        </is>
      </c>
      <c r="C11" s="13" t="inlineStr">
        <is>
          <t>Business orientation</t>
        </is>
      </c>
      <c r="D11" s="13" t="inlineStr">
        <is>
          <t>Explain the business and its stakeholders</t>
        </is>
      </c>
      <c r="E11" s="13" t="inlineStr">
        <is>
          <t>Without notes, explains what we import, from where and into which countries, and keeps a 1-page stakeholder map showing what each group needs from the team and how tariff and cost news reaches them.</t>
        </is>
      </c>
      <c r="F11" s="13" t="n">
        <v>2</v>
      </c>
      <c r="G11" s="14" t="n"/>
      <c r="H11" s="13" t="n">
        <v>3</v>
      </c>
      <c r="I11" s="14" t="n"/>
      <c r="J11" s="13" t="n">
        <v>3</v>
      </c>
      <c r="K11" s="14" t="n"/>
      <c r="L11" s="14" t="n"/>
      <c r="M11" s="14" t="n"/>
    </row>
    <row r="12">
      <c r="A12" s="13" t="inlineStr">
        <is>
          <t>S-M1-01</t>
        </is>
      </c>
      <c r="B12" s="13" t="inlineStr">
        <is>
          <t>M1</t>
        </is>
      </c>
      <c r="C12" s="13" t="inlineStr">
        <is>
          <t>Customs fundamentals</t>
        </is>
      </c>
      <c r="D12" s="13" t="inlineStr">
        <is>
          <t>Explain the life of a US import entry and who does what</t>
        </is>
      </c>
      <c r="E12" s="13" t="inlineStr">
        <is>
          <t>Without notes, walks through release, entry summary (CBP Form 7501), duty payment, liquidation and the protest window, and states what the importer of record, the licensed broker and CBP each own.</t>
        </is>
      </c>
      <c r="F12" s="13" t="n">
        <v>2</v>
      </c>
      <c r="G12" s="14" t="n"/>
      <c r="H12" s="13" t="n">
        <v>3</v>
      </c>
      <c r="I12" s="14" t="n"/>
      <c r="J12" s="13" t="n">
        <v>3</v>
      </c>
      <c r="K12" s="14" t="n"/>
      <c r="L12" s="14" t="n"/>
      <c r="M12" s="14" t="n"/>
    </row>
    <row r="13">
      <c r="A13" s="13" t="inlineStr">
        <is>
          <t>S-M1-02</t>
        </is>
      </c>
      <c r="B13" s="13" t="inlineStr">
        <is>
          <t>M1</t>
        </is>
      </c>
      <c r="C13" s="13" t="inlineStr">
        <is>
          <t>Customs fundamentals</t>
        </is>
      </c>
      <c r="D13" s="13" t="inlineStr">
        <is>
          <t>Explain the Canada and Mexico import processes</t>
        </is>
      </c>
      <c r="E13" s="13" t="inlineStr">
        <is>
          <t>Explains the CBSA flow (release, CARM, Commercial Accounting Declaration, BN/RM account) and the Mexico flow (agente aduanal, pedimento, padrón de importadores, IVA), and names the data our team provides to each broker.</t>
        </is>
      </c>
      <c r="F13" s="13" t="n">
        <v>2</v>
      </c>
      <c r="G13" s="14" t="n"/>
      <c r="H13" s="13" t="n">
        <v>2</v>
      </c>
      <c r="I13" s="14" t="n"/>
      <c r="J13" s="13" t="n">
        <v>3</v>
      </c>
      <c r="K13" s="14" t="n"/>
      <c r="L13" s="14" t="n"/>
      <c r="M13" s="14" t="n"/>
    </row>
    <row r="14">
      <c r="A14" s="13" t="inlineStr">
        <is>
          <t>S-M1-03</t>
        </is>
      </c>
      <c r="B14" s="13" t="inlineStr">
        <is>
          <t>M1</t>
        </is>
      </c>
      <c r="C14" s="13" t="inlineStr">
        <is>
          <t>Classification</t>
        </is>
      </c>
      <c r="D14" s="13" t="inlineStr">
        <is>
          <t>Classify an item using the GRIs</t>
        </is>
      </c>
      <c r="E14" s="13" t="inlineStr">
        <is>
          <t>Classifies a new item to 6-digit HS with written GRI reasoning backed by section and chapter notes, Explanatory Notes and CROSS rulings, finds the national line in the HTSUS, the Canada Customs Tariff and TIGIE, and flags doubtful cases for review.</t>
        </is>
      </c>
      <c r="F14" s="13" t="n">
        <v>2</v>
      </c>
      <c r="G14" s="14" t="n"/>
      <c r="H14" s="13" t="n">
        <v>3</v>
      </c>
      <c r="I14" s="14" t="n"/>
      <c r="J14" s="13" t="n">
        <v>3</v>
      </c>
      <c r="K14" s="14" t="n"/>
      <c r="L14" s="14" t="n"/>
      <c r="M14" s="14" t="n"/>
    </row>
    <row r="15">
      <c r="A15" s="13" t="inlineStr">
        <is>
          <t>S-M1-04</t>
        </is>
      </c>
      <c r="B15" s="13" t="inlineStr">
        <is>
          <t>M1</t>
        </is>
      </c>
      <c r="C15" s="13" t="inlineStr">
        <is>
          <t>Customs fundamentals</t>
        </is>
      </c>
      <c r="D15" s="13" t="inlineStr">
        <is>
          <t>Calculate duties and fees for an entry line</t>
        </is>
      </c>
      <c r="E15" s="13" t="inlineStr">
        <is>
          <t>For an entry line, identifies the value basis, the rate column (general, USMCA or other preference, Chapter 99 additional duties) and fees such as MPF and HMF, and recomputes the duty to the cent or explains the difference.</t>
        </is>
      </c>
      <c r="F15" s="13" t="n">
        <v>2</v>
      </c>
      <c r="G15" s="14" t="n"/>
      <c r="H15" s="13" t="n">
        <v>3</v>
      </c>
      <c r="I15" s="14" t="n"/>
      <c r="J15" s="13" t="n">
        <v>3</v>
      </c>
      <c r="K15" s="14" t="n"/>
      <c r="L15" s="14" t="n"/>
      <c r="M15" s="14" t="n"/>
    </row>
    <row r="16">
      <c r="A16" s="13" t="inlineStr">
        <is>
          <t>S-M1-05</t>
        </is>
      </c>
      <c r="B16" s="13" t="inlineStr">
        <is>
          <t>M1</t>
        </is>
      </c>
      <c r="C16" s="13" t="inlineStr">
        <is>
          <t>Origin &amp; programs</t>
        </is>
      </c>
      <c r="D16" s="13" t="inlineStr">
        <is>
          <t>Apply USMCA rules of origin and certification</t>
        </is>
      </c>
      <c r="E16" s="13" t="inlineStr">
        <is>
          <t>Tests an item against its product-specific rule (tariff shift, RVC, de minimis) using its bill of materials, checks a certification for the nine minimum data elements, and states the importer's obligations if the claim fails.</t>
        </is>
      </c>
      <c r="F16" s="13" t="n">
        <v>2</v>
      </c>
      <c r="G16" s="14" t="n"/>
      <c r="H16" s="13" t="n">
        <v>3</v>
      </c>
      <c r="I16" s="14" t="n"/>
      <c r="J16" s="13" t="n">
        <v>3</v>
      </c>
      <c r="K16" s="14" t="n"/>
      <c r="L16" s="14" t="n"/>
      <c r="M16" s="14" t="n"/>
    </row>
    <row r="17">
      <c r="A17" s="13" t="inlineStr">
        <is>
          <t>S-M1-06</t>
        </is>
      </c>
      <c r="B17" s="13" t="inlineStr">
        <is>
          <t>M1</t>
        </is>
      </c>
      <c r="C17" s="13" t="inlineStr">
        <is>
          <t>Origin &amp; programs</t>
        </is>
      </c>
      <c r="D17" s="13" t="inlineStr">
        <is>
          <t>Explain Mexico IMMEX, Anexo 24 and Anexo 30 (formerly Anexo 31)</t>
        </is>
      </c>
      <c r="E17" s="13" t="inlineStr">
        <is>
          <t>Explains what an IMMEX temporary import defers, what Anexo 24 inventory control and Anexo 30 (formerly Anexo 31, the SCCCyG) credit tracking require, and which of our trade data feeds them [COMPANY: confirm IMMEX scope].</t>
        </is>
      </c>
      <c r="F17" s="13" t="n">
        <v>1</v>
      </c>
      <c r="G17" s="14" t="n"/>
      <c r="H17" s="13" t="n">
        <v>2</v>
      </c>
      <c r="I17" s="14" t="n"/>
      <c r="J17" s="13" t="n">
        <v>2</v>
      </c>
      <c r="K17" s="14" t="n"/>
      <c r="L17" s="14" t="n"/>
      <c r="M17" s="14" t="n"/>
    </row>
    <row r="18">
      <c r="A18" s="13" t="inlineStr">
        <is>
          <t>S-M1-07</t>
        </is>
      </c>
      <c r="B18" s="13" t="inlineStr">
        <is>
          <t>M1</t>
        </is>
      </c>
      <c r="C18" s="13" t="inlineStr">
        <is>
          <t>Customs fundamentals</t>
        </is>
      </c>
      <c r="D18" s="13" t="inlineStr">
        <is>
          <t>Audit a broker filing against our data</t>
        </is>
      </c>
      <c r="E18" s="13" t="inlineStr">
        <is>
          <t>Compares a filed entry line (HTS, value, origin, preference claim, duty) with our item master and PO or invoice data, logs each discrepancy with evidence, and routes it to the right owner.</t>
        </is>
      </c>
      <c r="F18" s="13" t="n">
        <v>2</v>
      </c>
      <c r="G18" s="14" t="n"/>
      <c r="H18" s="13" t="n">
        <v>3</v>
      </c>
      <c r="I18" s="14" t="n"/>
      <c r="J18" s="13" t="n">
        <v>3</v>
      </c>
      <c r="K18" s="14" t="n"/>
      <c r="L18" s="14" t="n"/>
      <c r="M18" s="14" t="n"/>
    </row>
    <row r="19">
      <c r="A19" s="13" t="inlineStr">
        <is>
          <t>S-M1-08</t>
        </is>
      </c>
      <c r="B19" s="13" t="inlineStr">
        <is>
          <t>M1</t>
        </is>
      </c>
      <c r="C19" s="13" t="inlineStr">
        <is>
          <t>Compliance</t>
        </is>
      </c>
      <c r="D19" s="13" t="inlineStr">
        <is>
          <t>Recognize and escalate a compliance issue</t>
        </is>
      </c>
      <c r="E19" s="13" t="inlineStr">
        <is>
          <t>Spots a potential error in classification, value or origin, documents the facts, and escalates to the Senior or Manager the same day without contacting the broker or a government agency about corrections on their own.</t>
        </is>
      </c>
      <c r="F19" s="13" t="n">
        <v>2</v>
      </c>
      <c r="G19" s="14" t="n"/>
      <c r="H19" s="13" t="n">
        <v>3</v>
      </c>
      <c r="I19" s="14" t="n"/>
      <c r="J19" s="13" t="n">
        <v>3</v>
      </c>
      <c r="K19" s="14" t="n"/>
      <c r="L19" s="14" t="n"/>
      <c r="M19" s="14" t="n"/>
    </row>
    <row r="20">
      <c r="A20" s="13" t="inlineStr">
        <is>
          <t>S-M2-01</t>
        </is>
      </c>
      <c r="B20" s="13" t="inlineStr">
        <is>
          <t>M2</t>
        </is>
      </c>
      <c r="C20" s="13" t="inlineStr">
        <is>
          <t>Trade systems</t>
        </is>
      </c>
      <c r="D20" s="13" t="inlineStr">
        <is>
          <t>Explain GTM concepts and map AS400 functions to e2open</t>
        </is>
      </c>
      <c r="E20" s="13" t="inlineStr">
        <is>
          <t>Explains the core GTM functions (product classification, origin and trade agreements, screening, landed cost, customs filing data) and maps each AS400 trade function we use to the e2open concept that will replace it.</t>
        </is>
      </c>
      <c r="F20" s="13" t="n">
        <v>2</v>
      </c>
      <c r="G20" s="14" t="n"/>
      <c r="H20" s="13" t="n">
        <v>2</v>
      </c>
      <c r="I20" s="14" t="n"/>
      <c r="J20" s="13" t="n">
        <v>3</v>
      </c>
      <c r="K20" s="14" t="n"/>
      <c r="L20" s="14" t="n"/>
      <c r="M20" s="14" t="n"/>
    </row>
    <row r="21">
      <c r="A21" s="13" t="inlineStr">
        <is>
          <t>S-M2-02</t>
        </is>
      </c>
      <c r="B21" s="13" t="inlineStr">
        <is>
          <t>M2</t>
        </is>
      </c>
      <c r="C21" s="13" t="inlineStr">
        <is>
          <t>Trade systems</t>
        </is>
      </c>
      <c r="D21" s="13" t="inlineStr">
        <is>
          <t>Trace trade data end to end</t>
        </is>
      </c>
      <c r="E21" s="13" t="inlineStr">
        <is>
          <t>Draws from memory how trade data flows from the AS400 item and classification master through Oracle, broker exchange, SQL Server and the data warehouse to reports, and names at least 3 points where data quality breaks.</t>
        </is>
      </c>
      <c r="F21" s="13" t="n">
        <v>2</v>
      </c>
      <c r="G21" s="14" t="n"/>
      <c r="H21" s="13" t="n">
        <v>3</v>
      </c>
      <c r="I21" s="14" t="n"/>
      <c r="J21" s="13" t="n">
        <v>3</v>
      </c>
      <c r="K21" s="14" t="n"/>
      <c r="L21" s="14" t="n"/>
      <c r="M21" s="14" t="n"/>
    </row>
    <row r="22">
      <c r="A22" s="13" t="inlineStr">
        <is>
          <t>S-M2-03</t>
        </is>
      </c>
      <c r="B22" s="13" t="inlineStr">
        <is>
          <t>M2</t>
        </is>
      </c>
      <c r="C22" s="13" t="inlineStr">
        <is>
          <t>Trade systems</t>
        </is>
      </c>
      <c r="D22" s="13" t="inlineStr">
        <is>
          <t>Look up an item's trade data in AS400</t>
        </is>
      </c>
      <c r="E22" s="13" t="inlineStr">
        <is>
          <t>Finds an item's classification, origin, program flags and rates in the AS400 trade system (inquiry only) or its warehouse copy, and explains any mismatch between the two.</t>
        </is>
      </c>
      <c r="F22" s="13" t="n">
        <v>2</v>
      </c>
      <c r="G22" s="14" t="n"/>
      <c r="H22" s="13" t="n">
        <v>3</v>
      </c>
      <c r="I22" s="14" t="n"/>
      <c r="J22" s="13" t="n">
        <v>3</v>
      </c>
      <c r="K22" s="14" t="n"/>
      <c r="L22" s="14" t="n"/>
      <c r="M22" s="14" t="n"/>
    </row>
    <row r="23">
      <c r="A23" s="13" t="inlineStr">
        <is>
          <t>S-M2-04</t>
        </is>
      </c>
      <c r="B23" s="13" t="inlineStr">
        <is>
          <t>M2</t>
        </is>
      </c>
      <c r="C23" s="13" t="inlineStr">
        <is>
          <t>Trade systems</t>
        </is>
      </c>
      <c r="D23" s="13" t="inlineStr">
        <is>
          <t>Explain Oracle touchpoints for trade data</t>
        </is>
      </c>
      <c r="E23" s="13" t="inlineStr">
        <is>
          <t>Explains which trade data Oracle receives or sends for items, purchase orders, receipts and cost, and shows where duty, freight and fees enter Oracle EBS cost data.</t>
        </is>
      </c>
      <c r="F23" s="13" t="n">
        <v>2</v>
      </c>
      <c r="G23" s="14" t="n"/>
      <c r="H23" s="13" t="n">
        <v>2</v>
      </c>
      <c r="I23" s="14" t="n"/>
      <c r="J23" s="13" t="n">
        <v>3</v>
      </c>
      <c r="K23" s="14" t="n"/>
      <c r="L23" s="14" t="n"/>
      <c r="M23" s="14" t="n"/>
    </row>
    <row r="24">
      <c r="A24" s="13" t="inlineStr">
        <is>
          <t>S-M2-05</t>
        </is>
      </c>
      <c r="B24" s="13" t="inlineStr">
        <is>
          <t>M2</t>
        </is>
      </c>
      <c r="C24" s="13" t="inlineStr">
        <is>
          <t>Trade systems</t>
        </is>
      </c>
      <c r="D24" s="13" t="inlineStr">
        <is>
          <t>Explain and check broker data exchange</t>
        </is>
      </c>
      <c r="E24" s="13" t="inlineStr">
        <is>
          <t>Explains what data goes to each country's broker and what entry data comes back, by which method and how often [COMPANY: broker interfaces], and reconciles a returned file against our master data.</t>
        </is>
      </c>
      <c r="F24" s="13" t="n">
        <v>2</v>
      </c>
      <c r="G24" s="14" t="n"/>
      <c r="H24" s="13" t="n">
        <v>2</v>
      </c>
      <c r="I24" s="14" t="n"/>
      <c r="J24" s="13" t="n">
        <v>3</v>
      </c>
      <c r="K24" s="14" t="n"/>
      <c r="L24" s="14" t="n"/>
      <c r="M24" s="14" t="n"/>
    </row>
    <row r="25">
      <c r="A25" s="13" t="inlineStr">
        <is>
          <t>S-M3-01</t>
        </is>
      </c>
      <c r="B25" s="13" t="inlineStr">
        <is>
          <t>M3</t>
        </is>
      </c>
      <c r="C25" s="13" t="inlineStr">
        <is>
          <t>Data</t>
        </is>
      </c>
      <c r="D25" s="13" t="inlineStr">
        <is>
          <t>Query SQL Server and the warehouse with SQL</t>
        </is>
      </c>
      <c r="E25" s="13" t="inlineStr">
        <is>
          <t>Writes readable T-SQL with joins, filters, aggregation, CTEs and window functions, checks row counts after every join, and saves each query with a header comment stating purpose, source and author.</t>
        </is>
      </c>
      <c r="F25" s="13" t="n">
        <v>2</v>
      </c>
      <c r="G25" s="14" t="n"/>
      <c r="H25" s="13" t="n">
        <v>3</v>
      </c>
      <c r="I25" s="14" t="n"/>
      <c r="J25" s="13" t="n">
        <v>3</v>
      </c>
      <c r="K25" s="14" t="n"/>
      <c r="L25" s="14" t="n"/>
      <c r="M25" s="14" t="n"/>
    </row>
    <row r="26">
      <c r="A26" s="13" t="inlineStr">
        <is>
          <t>S-M3-02</t>
        </is>
      </c>
      <c r="B26" s="13" t="inlineStr">
        <is>
          <t>M3</t>
        </is>
      </c>
      <c r="C26" s="13" t="inlineStr">
        <is>
          <t>Data</t>
        </is>
      </c>
      <c r="D26" s="13" t="inlineStr">
        <is>
          <t>Navigate the data warehouse</t>
        </is>
      </c>
      <c r="E26" s="13" t="inlineStr">
        <is>
          <t>Finds the right table or view for a question, states its grain, keys and refresh timing, and knows which fields come from AS400, Oracle or broker files.</t>
        </is>
      </c>
      <c r="F26" s="13" t="n">
        <v>2</v>
      </c>
      <c r="G26" s="14" t="n"/>
      <c r="H26" s="13" t="n">
        <v>2</v>
      </c>
      <c r="I26" s="14" t="n"/>
      <c r="J26" s="13" t="n">
        <v>3</v>
      </c>
      <c r="K26" s="14" t="n"/>
      <c r="L26" s="14" t="n"/>
      <c r="M26" s="14" t="n"/>
    </row>
    <row r="27">
      <c r="A27" s="13" t="inlineStr">
        <is>
          <t>S-M3-03</t>
        </is>
      </c>
      <c r="B27" s="13" t="inlineStr">
        <is>
          <t>M3</t>
        </is>
      </c>
      <c r="C27" s="13" t="inlineStr">
        <is>
          <t>Data</t>
        </is>
      </c>
      <c r="D27" s="13" t="inlineStr">
        <is>
          <t>Shape data in Excel and Power Query</t>
        </is>
      </c>
      <c r="E27" s="13" t="inlineStr">
        <is>
          <t>Builds a refreshable Power Query that imports, cleans, merges and pivots an extract, with named steps a reviewer can follow and no manual edits after refresh.</t>
        </is>
      </c>
      <c r="F27" s="13" t="n">
        <v>2</v>
      </c>
      <c r="G27" s="14" t="n"/>
      <c r="H27" s="13" t="n">
        <v>3</v>
      </c>
      <c r="I27" s="14" t="n"/>
      <c r="J27" s="13" t="n">
        <v>3</v>
      </c>
      <c r="K27" s="14" t="n"/>
      <c r="L27" s="14" t="n"/>
      <c r="M27" s="14" t="n"/>
    </row>
    <row r="28">
      <c r="A28" s="13" t="inlineStr">
        <is>
          <t>S-M3-04</t>
        </is>
      </c>
      <c r="B28" s="13" t="inlineStr">
        <is>
          <t>M3</t>
        </is>
      </c>
      <c r="C28" s="13" t="inlineStr">
        <is>
          <t>Data</t>
        </is>
      </c>
      <c r="D28" s="13" t="inlineStr">
        <is>
          <t>Use and build Power BI reports</t>
        </is>
      </c>
      <c r="E28" s="13" t="inlineStr">
        <is>
          <t>Traces a report visual to its semantic model and measure, builds a simple page with DAX measures, and explains why a Power BI number differs from an Excel extract.</t>
        </is>
      </c>
      <c r="F28" s="13" t="n">
        <v>2</v>
      </c>
      <c r="G28" s="14" t="n"/>
      <c r="H28" s="13" t="n">
        <v>2</v>
      </c>
      <c r="I28" s="14" t="n"/>
      <c r="J28" s="13" t="n">
        <v>3</v>
      </c>
      <c r="K28" s="14" t="n"/>
      <c r="L28" s="14" t="n"/>
      <c r="M28" s="14" t="n"/>
    </row>
    <row r="29">
      <c r="A29" s="13" t="inlineStr">
        <is>
          <t>S-M3-05</t>
        </is>
      </c>
      <c r="B29" s="13" t="inlineStr">
        <is>
          <t>M3</t>
        </is>
      </c>
      <c r="C29" s="13" t="inlineStr">
        <is>
          <t>Data</t>
        </is>
      </c>
      <c r="D29" s="13" t="inlineStr">
        <is>
          <t>Validate and present an analysis</t>
        </is>
      </c>
      <c r="E29" s="13" t="inlineStr">
        <is>
          <t>Reconciles results to a control total, lists assumptions and caveats, and writes a 1-page findings memo that the reviewer signs off with no material errors.</t>
        </is>
      </c>
      <c r="F29" s="13" t="n">
        <v>2</v>
      </c>
      <c r="G29" s="14" t="n"/>
      <c r="H29" s="13" t="n">
        <v>3</v>
      </c>
      <c r="I29" s="14" t="n"/>
      <c r="J29" s="13" t="n">
        <v>3</v>
      </c>
      <c r="K29" s="14" t="n"/>
      <c r="L29" s="14" t="n"/>
      <c r="M29" s="14" t="n"/>
    </row>
    <row r="30">
      <c r="A30" s="13" t="inlineStr">
        <is>
          <t>S-M3-06</t>
        </is>
      </c>
      <c r="B30" s="13" t="inlineStr">
        <is>
          <t>M3</t>
        </is>
      </c>
      <c r="C30" s="13" t="inlineStr">
        <is>
          <t>Data</t>
        </is>
      </c>
      <c r="D30" s="13" t="inlineStr">
        <is>
          <t>Design KPIs for own process</t>
        </is>
      </c>
      <c r="E30" s="13" t="inlineStr">
        <is>
          <t>Writes each KPI with the full definition checklist (decision it supports, formula as a ratio of sums, grain and filters, source and refresh, owner, target and thresholds, frequency, leading or lagging), computes it on real or practice data, and puts it in Section 10 of the process SOP so the process owner can act on it.</t>
        </is>
      </c>
      <c r="F30" s="13" t="n">
        <v>0</v>
      </c>
      <c r="G30" s="14" t="n"/>
      <c r="H30" s="13" t="n">
        <v>2</v>
      </c>
      <c r="I30" s="14" t="n"/>
      <c r="J30" s="13" t="n">
        <v>3</v>
      </c>
      <c r="K30" s="14" t="n"/>
      <c r="L30" s="14" t="n"/>
      <c r="M30" s="14" t="n"/>
    </row>
    <row r="31">
      <c r="A31" s="13" t="inlineStr">
        <is>
          <t>S-M3-07</t>
        </is>
      </c>
      <c r="B31" s="13" t="inlineStr">
        <is>
          <t>M3</t>
        </is>
      </c>
      <c r="C31" s="13" t="inlineStr">
        <is>
          <t>Data</t>
        </is>
      </c>
      <c r="D31" s="13" t="inlineStr">
        <is>
          <t>Build a star-schema model with DAX measures</t>
        </is>
      </c>
      <c r="E31" s="13" t="inlineStr">
        <is>
          <t>Declares the grain before building, models one fact table with its dimension tables and a marked date table using one-to-many, single-direction relationships, writes measures rather than calculated columns for totals, ratios and prior-period comparisons, and ties every visual total to a SQL control total.</t>
        </is>
      </c>
      <c r="F31" s="13" t="n">
        <v>1</v>
      </c>
      <c r="G31" s="14" t="n"/>
      <c r="H31" s="13" t="n">
        <v>2</v>
      </c>
      <c r="I31" s="14" t="n"/>
      <c r="J31" s="13" t="n">
        <v>2</v>
      </c>
      <c r="K31" s="14" t="n"/>
      <c r="L31" s="14" t="n"/>
      <c r="M31" s="14" t="n"/>
    </row>
    <row r="32">
      <c r="A32" s="13" t="inlineStr">
        <is>
          <t>S-M3-08</t>
        </is>
      </c>
      <c r="B32" s="13" t="inlineStr">
        <is>
          <t>M3</t>
        </is>
      </c>
      <c r="C32" s="13" t="inlineStr">
        <is>
          <t>Data</t>
        </is>
      </c>
      <c r="D32" s="13" t="inlineStr">
        <is>
          <t>Explain a variance with basic statistics</t>
        </is>
      </c>
      <c r="E32" s="13" t="inlineStr">
        <is>
          <t>Splits a change in duty or cost into rate, mix and volume effects with a named convention and grouping that tie to the total, flags unusual lines with the 1.5 x IQR rule and a z-score (or a robust measure when the data is skewed), and investigates and reports flagged lines instead of deleting them.</t>
        </is>
      </c>
      <c r="F32" s="13" t="n">
        <v>0</v>
      </c>
      <c r="G32" s="14" t="n"/>
      <c r="H32" s="13" t="n">
        <v>2</v>
      </c>
      <c r="I32" s="14" t="n"/>
      <c r="J32" s="13" t="n">
        <v>2</v>
      </c>
      <c r="K32" s="14" t="n"/>
      <c r="L32" s="14" t="n"/>
      <c r="M32" s="14" t="n"/>
    </row>
    <row r="33">
      <c r="A33" s="13" t="inlineStr">
        <is>
          <t>S-M4-01</t>
        </is>
      </c>
      <c r="B33" s="13" t="inlineStr">
        <is>
          <t>M4</t>
        </is>
      </c>
      <c r="C33" s="13" t="inlineStr">
        <is>
          <t>BSA craft</t>
        </is>
      </c>
      <c r="D33" s="13" t="inlineStr">
        <is>
          <t>Run intake and scope a request</t>
        </is>
      </c>
      <c r="E33" s="13" t="inlineStr">
        <is>
          <t>Runs an intake conversation, completes docs/templates/bsa/01-intake-request.md, and creates a Jira item with problem, impact, scope and acceptance criteria that the requester confirms.</t>
        </is>
      </c>
      <c r="F33" s="13" t="n">
        <v>2</v>
      </c>
      <c r="G33" s="14" t="n"/>
      <c r="H33" s="13" t="n">
        <v>3</v>
      </c>
      <c r="I33" s="14" t="n"/>
      <c r="J33" s="13" t="n">
        <v>3</v>
      </c>
      <c r="K33" s="14" t="n"/>
      <c r="L33" s="14" t="n"/>
      <c r="M33" s="14" t="n"/>
    </row>
    <row r="34">
      <c r="A34" s="13" t="inlineStr">
        <is>
          <t>S-M4-02</t>
        </is>
      </c>
      <c r="B34" s="13" t="inlineStr">
        <is>
          <t>M4</t>
        </is>
      </c>
      <c r="C34" s="13" t="inlineStr">
        <is>
          <t>BSA craft</t>
        </is>
      </c>
      <c r="D34" s="13" t="inlineStr">
        <is>
          <t>Write testable requirements and user stories</t>
        </is>
      </c>
      <c r="E34" s="13" t="inlineStr">
        <is>
          <t>Writes requirements and user stories with acceptance criteria and MoSCoW priority (docs/templates/bsa/02-requirements.md and 07-jira-epic-story.md) that a tester could test without asking questions.</t>
        </is>
      </c>
      <c r="F34" s="13" t="n">
        <v>1</v>
      </c>
      <c r="G34" s="14" t="n"/>
      <c r="H34" s="13" t="n">
        <v>2</v>
      </c>
      <c r="I34" s="14" t="n"/>
      <c r="J34" s="13" t="n">
        <v>3</v>
      </c>
      <c r="K34" s="14" t="n"/>
      <c r="L34" s="14" t="n"/>
      <c r="M34" s="14" t="n"/>
    </row>
    <row r="35">
      <c r="A35" s="13" t="inlineStr">
        <is>
          <t>S-M4-03</t>
        </is>
      </c>
      <c r="B35" s="13" t="inlineStr">
        <is>
          <t>M4</t>
        </is>
      </c>
      <c r="C35" s="13" t="inlineStr">
        <is>
          <t>BSA craft</t>
        </is>
      </c>
      <c r="D35" s="13" t="inlineStr">
        <is>
          <t>Document an as-is process</t>
        </is>
      </c>
      <c r="E35" s="13" t="inlineStr">
        <is>
          <t>Documents an as-is process with steps, roles, systems, inputs, outputs, controls and pain points in docs/templates/bsa/03-process-map-as-is-to-be.md, and the process owner confirms it is accurate.</t>
        </is>
      </c>
      <c r="F35" s="13" t="n">
        <v>1</v>
      </c>
      <c r="G35" s="14" t="n"/>
      <c r="H35" s="13" t="n">
        <v>2</v>
      </c>
      <c r="I35" s="14" t="n"/>
      <c r="J35" s="13" t="n">
        <v>3</v>
      </c>
      <c r="K35" s="14" t="n"/>
      <c r="L35" s="14" t="n"/>
      <c r="M35" s="14" t="n"/>
    </row>
    <row r="36">
      <c r="A36" s="13" t="inlineStr">
        <is>
          <t>S-M4-04</t>
        </is>
      </c>
      <c r="B36" s="13" t="inlineStr">
        <is>
          <t>M4</t>
        </is>
      </c>
      <c r="C36" s="13" t="inlineStr">
        <is>
          <t>BSA craft</t>
        </is>
      </c>
      <c r="D36" s="13" t="inlineStr">
        <is>
          <t>Write a data mapping spec</t>
        </is>
      </c>
      <c r="E36" s="13" t="inlineStr">
        <is>
          <t>Maps each source field to its target with type, rules, transformations and data-quality notes in docs/templates/bsa/04-data-mapping-spec.md, and the reviewer finds no unmapped required field.</t>
        </is>
      </c>
      <c r="F36" s="13" t="n">
        <v>1</v>
      </c>
      <c r="G36" s="14" t="n"/>
      <c r="H36" s="13" t="n">
        <v>2</v>
      </c>
      <c r="I36" s="14" t="n"/>
      <c r="J36" s="13" t="n">
        <v>3</v>
      </c>
      <c r="K36" s="14" t="n"/>
      <c r="L36" s="14" t="n"/>
      <c r="M36" s="14" t="n"/>
    </row>
    <row r="37">
      <c r="A37" s="13" t="inlineStr">
        <is>
          <t>S-M4-05</t>
        </is>
      </c>
      <c r="B37" s="13" t="inlineStr">
        <is>
          <t>M4</t>
        </is>
      </c>
      <c r="C37" s="13" t="inlineStr">
        <is>
          <t>BSA craft</t>
        </is>
      </c>
      <c r="D37" s="13" t="inlineStr">
        <is>
          <t>Plan and run UAT</t>
        </is>
      </c>
      <c r="E37" s="13" t="inlineStr">
        <is>
          <t>Writes UAT cases with expected results traced to requirements (docs/templates/bsa/05-uat-test-plan.md), runs them, logs defects with reproduction steps, and records business sign-off.</t>
        </is>
      </c>
      <c r="F37" s="13" t="n">
        <v>0</v>
      </c>
      <c r="G37" s="14" t="n"/>
      <c r="H37" s="13" t="n">
        <v>1</v>
      </c>
      <c r="I37" s="14" t="n"/>
      <c r="J37" s="13" t="n">
        <v>2</v>
      </c>
      <c r="K37" s="14" t="n"/>
      <c r="L37" s="14" t="n"/>
      <c r="M37" s="14" t="n"/>
    </row>
    <row r="38">
      <c r="A38" s="13" t="inlineStr">
        <is>
          <t>S-M4-06</t>
        </is>
      </c>
      <c r="B38" s="13" t="inlineStr">
        <is>
          <t>M4</t>
        </is>
      </c>
      <c r="C38" s="13" t="inlineStr">
        <is>
          <t>BSA craft</t>
        </is>
      </c>
      <c r="D38" s="13" t="inlineStr">
        <is>
          <t>Take a change through change control</t>
        </is>
      </c>
      <c r="E38" s="13" t="inlineStr">
        <is>
          <t>Raises a change request with impact, test evidence, rollback plan and checker review (docs/templates/bsa/06-change-request.md) before anything moves to production.</t>
        </is>
      </c>
      <c r="F38" s="13" t="n">
        <v>0</v>
      </c>
      <c r="G38" s="14" t="n"/>
      <c r="H38" s="13" t="n">
        <v>2</v>
      </c>
      <c r="I38" s="14" t="n"/>
      <c r="J38" s="13" t="n">
        <v>3</v>
      </c>
      <c r="K38" s="14" t="n"/>
      <c r="L38" s="14" t="n"/>
      <c r="M38" s="14" t="n"/>
    </row>
    <row r="39">
      <c r="A39" s="13" t="inlineStr">
        <is>
          <t>S-M4-07</t>
        </is>
      </c>
      <c r="B39" s="13" t="inlineStr">
        <is>
          <t>M4</t>
        </is>
      </c>
      <c r="C39" s="13" t="inlineStr">
        <is>
          <t>BSA fundamentals</t>
        </is>
      </c>
      <c r="D39" s="13" t="inlineStr">
        <is>
          <t>Analyse stakeholders for a work item</t>
        </is>
      </c>
      <c r="E39" s="13" t="inlineStr">
        <is>
          <t>Lists the stakeholders of a work item with their interest, influence and RACI role, decides who needs close engagement and how each one is kept informed, and records the list on the item's Jira issue (docs/primers/business-systems-analysis-primer.md Part 3).</t>
        </is>
      </c>
      <c r="F39" s="13" t="n">
        <v>2</v>
      </c>
      <c r="G39" s="14" t="n"/>
      <c r="H39" s="13" t="n">
        <v>3</v>
      </c>
      <c r="I39" s="14" t="n"/>
      <c r="J39" s="13" t="n">
        <v>3</v>
      </c>
      <c r="K39" s="14" t="n"/>
      <c r="L39" s="14" t="n"/>
      <c r="M39" s="14" t="n"/>
    </row>
    <row r="40">
      <c r="A40" s="13" t="inlineStr">
        <is>
          <t>S-M4-08</t>
        </is>
      </c>
      <c r="B40" s="13" t="inlineStr">
        <is>
          <t>M4</t>
        </is>
      </c>
      <c r="C40" s="13" t="inlineStr">
        <is>
          <t>BSA fundamentals</t>
        </is>
      </c>
      <c r="D40" s="13" t="inlineStr">
        <is>
          <t>Plan and run elicitation</t>
        </is>
      </c>
      <c r="E40" s="13" t="inlineStr">
        <is>
          <t>Writes an elicitation plan that picks a technique for each open question (interview, observation, document analysis or workshop), asks neutral questions, confirms what was heard in writing, and routes broker and counsel questions through the Senior before the day-60 review.</t>
        </is>
      </c>
      <c r="F40" s="13" t="n">
        <v>2</v>
      </c>
      <c r="G40" s="14" t="n"/>
      <c r="H40" s="13" t="n">
        <v>2</v>
      </c>
      <c r="I40" s="14" t="n"/>
      <c r="J40" s="13" t="n">
        <v>3</v>
      </c>
      <c r="K40" s="14" t="n"/>
      <c r="L40" s="14" t="n"/>
      <c r="M40" s="14" t="n"/>
    </row>
    <row r="41">
      <c r="A41" s="13" t="inlineStr">
        <is>
          <t>S-M4-09</t>
        </is>
      </c>
      <c r="B41" s="13" t="inlineStr">
        <is>
          <t>M4</t>
        </is>
      </c>
      <c r="C41" s="13" t="inlineStr">
        <is>
          <t>BSA fundamentals</t>
        </is>
      </c>
      <c r="D41" s="13" t="inlineStr">
        <is>
          <t>Check requirement quality and write acceptance criteria</t>
        </is>
      </c>
      <c r="E41" s="13" t="inlineStr">
        <is>
          <t>Classifies each requirement as business, stakeholder, solution (functional or non-functional) or transition, rewrites vague wording as testable statements, checks user stories against INVEST, and writes Given/When/Then acceptance criteria that cover edge cases such as effective dates.</t>
        </is>
      </c>
      <c r="F41" s="13" t="n">
        <v>1</v>
      </c>
      <c r="G41" s="14" t="n"/>
      <c r="H41" s="13" t="n">
        <v>2</v>
      </c>
      <c r="I41" s="14" t="n"/>
      <c r="J41" s="13" t="n">
        <v>3</v>
      </c>
      <c r="K41" s="14" t="n"/>
      <c r="L41" s="14" t="n"/>
      <c r="M41" s="14" t="n"/>
    </row>
    <row r="42">
      <c r="A42" s="13" t="inlineStr">
        <is>
          <t>S-M4-10</t>
        </is>
      </c>
      <c r="B42" s="13" t="inlineStr">
        <is>
          <t>M4</t>
        </is>
      </c>
      <c r="C42" s="13" t="inlineStr">
        <is>
          <t>BSA fundamentals</t>
        </is>
      </c>
      <c r="D42" s="13" t="inlineStr">
        <is>
          <t>Prioritize and trace requirements</t>
        </is>
      </c>
      <c r="E42" s="13" t="inlineStr">
        <is>
          <t>Prioritizes requirements with MoSCoW, keeps a traceability matrix from business need to requirement, test case and release, and updates it and tells the affected stakeholders when a requirement changes.</t>
        </is>
      </c>
      <c r="F42" s="13" t="n">
        <v>1</v>
      </c>
      <c r="G42" s="14" t="n"/>
      <c r="H42" s="13" t="n">
        <v>2</v>
      </c>
      <c r="I42" s="14" t="n"/>
      <c r="J42" s="13" t="n">
        <v>2</v>
      </c>
      <c r="K42" s="14" t="n"/>
      <c r="L42" s="14" t="n"/>
      <c r="M42" s="14" t="n"/>
    </row>
    <row r="43">
      <c r="A43" s="13" t="inlineStr">
        <is>
          <t>S-M5R-01</t>
        </is>
      </c>
      <c r="B43" s="13" t="inlineStr">
        <is>
          <t>M5R</t>
        </is>
      </c>
      <c r="C43" s="13" t="inlineStr">
        <is>
          <t>Research</t>
        </is>
      </c>
      <c r="D43" s="13" t="inlineStr">
        <is>
          <t>Find and read primary sources</t>
        </is>
      </c>
      <c r="E43" s="13" t="inlineStr">
        <is>
          <t>Within 60 minutes finds and reads the controlling sources for a new action (Federal Register notice and annexes, proclamation or executive order, CBP CSMS, HTSUS Chapter 99, CBSA customs notices, DOF) and monitors them for changes.</t>
        </is>
      </c>
      <c r="F43" s="13" t="n">
        <v>2</v>
      </c>
      <c r="G43" s="14" t="n"/>
      <c r="H43" s="13" t="n">
        <v>3</v>
      </c>
      <c r="I43" s="14" t="n"/>
      <c r="J43" s="13" t="n">
        <v>3</v>
      </c>
      <c r="K43" s="14" t="n"/>
      <c r="L43" s="14" t="n"/>
      <c r="M43" s="14" t="n"/>
    </row>
    <row r="44">
      <c r="A44" s="13" t="inlineStr">
        <is>
          <t>S-M5R-02</t>
        </is>
      </c>
      <c r="B44" s="13" t="inlineStr">
        <is>
          <t>M5R</t>
        </is>
      </c>
      <c r="C44" s="13" t="inlineStr">
        <is>
          <t>Research</t>
        </is>
      </c>
      <c r="D44" s="13" t="inlineStr">
        <is>
          <t>Determine the legal scope of a tariff action</t>
        </is>
      </c>
      <c r="E44" s="13" t="inlineStr">
        <is>
          <t>States affected HTS codes, countries of origin, rates, effective and end dates, exclusions and in-transit rules with a citation for each, and matches the HTS list to our item master.</t>
        </is>
      </c>
      <c r="F44" s="13" t="n">
        <v>2</v>
      </c>
      <c r="G44" s="14" t="n"/>
      <c r="H44" s="13" t="n">
        <v>3</v>
      </c>
      <c r="I44" s="14" t="n"/>
      <c r="J44" s="13" t="n">
        <v>3</v>
      </c>
      <c r="K44" s="14" t="n"/>
      <c r="L44" s="14" t="n"/>
      <c r="M44" s="14" t="n"/>
    </row>
    <row r="45">
      <c r="A45" s="13" t="inlineStr">
        <is>
          <t>S-M5R-03</t>
        </is>
      </c>
      <c r="B45" s="13" t="inlineStr">
        <is>
          <t>M5R</t>
        </is>
      </c>
      <c r="C45" s="13" t="inlineStr">
        <is>
          <t>Research</t>
        </is>
      </c>
      <c r="D45" s="13" t="inlineStr">
        <is>
          <t>Interpret stacking and exclusions</t>
        </is>
      </c>
      <c r="E45" s="13" t="inlineStr">
        <is>
          <t>Works out which Chapter 99 provisions and other measures apply together to an item and how they interact with USMCA claims, and writes the interpretation with sources for checker review.</t>
        </is>
      </c>
      <c r="F45" s="13" t="n">
        <v>1</v>
      </c>
      <c r="G45" s="14" t="n"/>
      <c r="H45" s="13" t="n">
        <v>2</v>
      </c>
      <c r="I45" s="14" t="n"/>
      <c r="J45" s="13" t="n">
        <v>3</v>
      </c>
      <c r="K45" s="14" t="n"/>
      <c r="L45" s="14" t="n"/>
      <c r="M45" s="14" t="n"/>
    </row>
    <row r="46">
      <c r="A46" s="13" t="inlineStr">
        <is>
          <t>S-M5R-04</t>
        </is>
      </c>
      <c r="B46" s="13" t="inlineStr">
        <is>
          <t>M5R</t>
        </is>
      </c>
      <c r="C46" s="13" t="inlineStr">
        <is>
          <t>Research</t>
        </is>
      </c>
      <c r="D46" s="13" t="inlineStr">
        <is>
          <t>Write a Tariff-Impact Brief</t>
        </is>
      </c>
      <c r="E46" s="13" t="inlineStr">
        <is>
          <t>Completes docs/templates/domain/tariff-impact-brief.md with a primary source for every claim, open questions flagged and no dollar conclusions, and the checker finds no material errors.</t>
        </is>
      </c>
      <c r="F46" s="13" t="n">
        <v>2</v>
      </c>
      <c r="G46" s="14" t="n"/>
      <c r="H46" s="13" t="n">
        <v>3</v>
      </c>
      <c r="I46" s="14" t="n"/>
      <c r="J46" s="13" t="n">
        <v>3</v>
      </c>
      <c r="K46" s="14" t="n"/>
      <c r="L46" s="14" t="n"/>
      <c r="M46" s="14" t="n"/>
    </row>
    <row r="47">
      <c r="A47" s="13" t="inlineStr">
        <is>
          <t>S-M5R-05</t>
        </is>
      </c>
      <c r="B47" s="13" t="inlineStr">
        <is>
          <t>M5R</t>
        </is>
      </c>
      <c r="C47" s="13" t="inlineStr">
        <is>
          <t>Research</t>
        </is>
      </c>
      <c r="D47" s="13" t="inlineStr">
        <is>
          <t>Enter the Research inputs in the Tariff-Impact Model</t>
        </is>
      </c>
      <c r="E47" s="13" t="inlineStr">
        <is>
          <t>Enters the WHAT inputs (HTS, countries, rates, dates, stacking rules, sources) in the shared Tariff-Impact Model and hands off to Standard Cost with no more than one clarification round.</t>
        </is>
      </c>
      <c r="F47" s="13" t="n">
        <v>1</v>
      </c>
      <c r="G47" s="14" t="n"/>
      <c r="H47" s="13" t="n">
        <v>3</v>
      </c>
      <c r="I47" s="14" t="n"/>
      <c r="J47" s="13" t="n">
        <v>3</v>
      </c>
      <c r="K47" s="14" t="n"/>
      <c r="L47" s="14" t="n"/>
      <c r="M47" s="14" t="n"/>
    </row>
    <row r="48">
      <c r="A48" s="13" t="inlineStr">
        <is>
          <t>S-M5R-06</t>
        </is>
      </c>
      <c r="B48" s="13" t="inlineStr">
        <is>
          <t>M5R</t>
        </is>
      </c>
      <c r="C48" s="13" t="inlineStr">
        <is>
          <t>Research</t>
        </is>
      </c>
      <c r="D48" s="13" t="inlineStr">
        <is>
          <t>Run an ad-hoc investigation</t>
        </is>
      </c>
      <c r="E48" s="13" t="inlineStr">
        <is>
          <t>Frames the question, gathers sources and data, states the finding and a recommendation in a short write-up, and closes the Jira item after review with no material errors.</t>
        </is>
      </c>
      <c r="F48" s="13" t="n">
        <v>1</v>
      </c>
      <c r="G48" s="14" t="n"/>
      <c r="H48" s="13" t="n">
        <v>2</v>
      </c>
      <c r="I48" s="14" t="n"/>
      <c r="J48" s="13" t="n">
        <v>3</v>
      </c>
      <c r="K48" s="14" t="n"/>
      <c r="L48" s="14" t="n"/>
      <c r="M48" s="14" t="n"/>
    </row>
    <row r="49">
      <c r="A49" s="13" t="inlineStr">
        <is>
          <t>S-M5R-07</t>
        </is>
      </c>
      <c r="B49" s="13" t="inlineStr">
        <is>
          <t>M5R</t>
        </is>
      </c>
      <c r="C49" s="13" t="inlineStr">
        <is>
          <t>Research</t>
        </is>
      </c>
      <c r="D49" s="13" t="inlineStr">
        <is>
          <t>Run the Research cycle end to end under maker-checker</t>
        </is>
      </c>
      <c r="E49" s="13" t="inlineStr">
        <is>
          <t>Takes a live tariff action from Jira intake through brief, model inputs, handoff to Standard Cost and business communication as maker, with a documented checker sign-off before release.</t>
        </is>
      </c>
      <c r="F49" s="13" t="n">
        <v>1</v>
      </c>
      <c r="G49" s="14" t="n"/>
      <c r="H49" s="13" t="n">
        <v>2</v>
      </c>
      <c r="I49" s="14" t="n"/>
      <c r="J49" s="13" t="n">
        <v>3</v>
      </c>
      <c r="K49" s="14" t="n"/>
      <c r="L49" s="14" t="n"/>
      <c r="M49" s="14" t="n"/>
    </row>
    <row r="50">
      <c r="A50" s="13" t="inlineStr">
        <is>
          <t>S-M5C-01</t>
        </is>
      </c>
      <c r="B50" s="13" t="inlineStr">
        <is>
          <t>M5C</t>
        </is>
      </c>
      <c r="C50" s="13" t="inlineStr">
        <is>
          <t>Standard cost</t>
        </is>
      </c>
      <c r="D50" s="13" t="inlineStr">
        <is>
          <t>Explain standard costing and Oracle cost elements</t>
        </is>
      </c>
      <c r="E50" s="13" t="inlineStr">
        <is>
          <t>Explains how standard cost values inventory and drives PPV and margin, which cost elements hold price, freight, duty and fees in Oracle EBS, and when standards are changed.</t>
        </is>
      </c>
      <c r="F50" s="13" t="n">
        <v>0</v>
      </c>
      <c r="G50" s="14" t="n"/>
      <c r="H50" s="13" t="n">
        <v>1</v>
      </c>
      <c r="I50" s="14" t="n"/>
      <c r="J50" s="13" t="n">
        <v>1</v>
      </c>
      <c r="K50" s="14" t="n"/>
      <c r="L50" s="14" t="n"/>
      <c r="M50" s="14" t="n"/>
    </row>
    <row r="51">
      <c r="A51" s="13" t="inlineStr">
        <is>
          <t>S-M5C-02</t>
        </is>
      </c>
      <c r="B51" s="13" t="inlineStr">
        <is>
          <t>M5C</t>
        </is>
      </c>
      <c r="C51" s="13" t="inlineStr">
        <is>
          <t>Standard cost</t>
        </is>
      </c>
      <c r="D51" s="13" t="inlineStr">
        <is>
          <t>Build item landed cost</t>
        </is>
      </c>
      <c r="E51" s="13" t="inlineStr">
        <is>
          <t>Rebuilds an item's landed cost from source data (price, freight, insurance, duty, MPF and HMF, brokerage, inland freight, [COMPANY: other components]) and matches the current standard within [COMPANY: tolerance] or explains each difference.</t>
        </is>
      </c>
      <c r="F51" s="13" t="n">
        <v>0</v>
      </c>
      <c r="G51" s="14" t="n"/>
      <c r="H51" s="13" t="n">
        <v>1</v>
      </c>
      <c r="I51" s="14" t="n"/>
      <c r="J51" s="13" t="n">
        <v>1</v>
      </c>
      <c r="K51" s="14" t="n"/>
      <c r="L51" s="14" t="n"/>
      <c r="M51" s="14" t="n"/>
    </row>
    <row r="52">
      <c r="A52" s="13" t="inlineStr">
        <is>
          <t>S-M5C-03</t>
        </is>
      </c>
      <c r="B52" s="13" t="inlineStr">
        <is>
          <t>M5C</t>
        </is>
      </c>
      <c r="C52" s="13" t="inlineStr">
        <is>
          <t>Standard cost</t>
        </is>
      </c>
      <c r="D52" s="13" t="inlineStr">
        <is>
          <t>Query item cost and cost-element data</t>
        </is>
      </c>
      <c r="E52" s="13" t="inlineStr">
        <is>
          <t>Without help, pulls item standard cost and cost-element history from [COMPANY: warehouse cost tables or Oracle extract] and reconciles a sample item's total to Oracle.</t>
        </is>
      </c>
      <c r="F52" s="13" t="n">
        <v>0</v>
      </c>
      <c r="G52" s="14" t="n"/>
      <c r="H52" s="13" t="n">
        <v>1</v>
      </c>
      <c r="I52" s="14" t="n"/>
      <c r="J52" s="13" t="n">
        <v>1</v>
      </c>
      <c r="K52" s="14" t="n"/>
      <c r="L52" s="14" t="n"/>
      <c r="M52" s="14" t="n"/>
    </row>
    <row r="53">
      <c r="A53" s="13" t="inlineStr">
        <is>
          <t>S-M5C-04</t>
        </is>
      </c>
      <c r="B53" s="13" t="inlineStr">
        <is>
          <t>M5C</t>
        </is>
      </c>
      <c r="C53" s="13" t="inlineStr">
        <is>
          <t>Standard cost</t>
        </is>
      </c>
      <c r="D53" s="13" t="inlineStr">
        <is>
          <t>Model tariff impact on landed cost and margin</t>
        </is>
      </c>
      <c r="E53" s="13" t="inlineStr">
        <is>
          <t>Using a Tariff-Impact Brief, applies its rates and stacking to the in-scope items' duty base in the shared model, calculates landed-cost and margin impact on a stated volume basis, and passes checker review.</t>
        </is>
      </c>
      <c r="F53" s="13" t="n">
        <v>0</v>
      </c>
      <c r="G53" s="14" t="n"/>
      <c r="H53" s="13" t="n">
        <v>1</v>
      </c>
      <c r="I53" s="14" t="n"/>
      <c r="J53" s="13" t="n">
        <v>1</v>
      </c>
      <c r="K53" s="14" t="n"/>
      <c r="L53" s="14" t="n"/>
      <c r="M53" s="14" t="n"/>
    </row>
    <row r="54">
      <c r="A54" s="13" t="inlineStr">
        <is>
          <t>S-M5C-05</t>
        </is>
      </c>
      <c r="B54" s="13" t="inlineStr">
        <is>
          <t>M5C</t>
        </is>
      </c>
      <c r="C54" s="13" t="inlineStr">
        <is>
          <t>Standard cost</t>
        </is>
      </c>
      <c r="D54" s="13" t="inlineStr">
        <is>
          <t>Run the standard cost update cycle with Finance</t>
        </is>
      </c>
      <c r="E54" s="13" t="inlineStr">
        <is>
          <t>Follows docs/templates/domain/standard-cost-update-checklist.md to prepare and tie out the duty and landed-cost input file, gets Finance and checker sign-off before any Oracle load, and reconciles after the update.</t>
        </is>
      </c>
      <c r="F54" s="13" t="n">
        <v>0</v>
      </c>
      <c r="G54" s="14" t="n"/>
      <c r="H54" s="13" t="n">
        <v>0</v>
      </c>
      <c r="I54" s="14" t="n"/>
      <c r="J54" s="13" t="n">
        <v>1</v>
      </c>
      <c r="K54" s="14" t="n"/>
      <c r="L54" s="14" t="n"/>
      <c r="M54" s="14" t="n"/>
    </row>
    <row r="55">
      <c r="A55" s="13" t="inlineStr">
        <is>
          <t>S-M5C-06</t>
        </is>
      </c>
      <c r="B55" s="13" t="inlineStr">
        <is>
          <t>M5C</t>
        </is>
      </c>
      <c r="C55" s="13" t="inlineStr">
        <is>
          <t>Standard cost</t>
        </is>
      </c>
      <c r="D55" s="13" t="inlineStr">
        <is>
          <t>Analyze purchase price variance (PPV)</t>
        </is>
      </c>
      <c r="E55" s="13" t="inlineStr">
        <is>
          <t>For a closed period, explains the top 10 PPV items by driver (vendor price, duty or tariff, freight, FX, other) and ties total PPV to [COMPANY: Finance PPV report or GL account] within [COMPANY: tolerance].</t>
        </is>
      </c>
      <c r="F55" s="13" t="n">
        <v>0</v>
      </c>
      <c r="G55" s="14" t="n"/>
      <c r="H55" s="13" t="n">
        <v>0</v>
      </c>
      <c r="I55" s="14" t="n"/>
      <c r="J55" s="13" t="n">
        <v>1</v>
      </c>
      <c r="K55" s="14" t="n"/>
      <c r="L55" s="14" t="n"/>
      <c r="M55" s="14" t="n"/>
    </row>
    <row r="56">
      <c r="A56" s="13" t="inlineStr">
        <is>
          <t>S-M5C-07</t>
        </is>
      </c>
      <c r="B56" s="13" t="inlineStr">
        <is>
          <t>M5C</t>
        </is>
      </c>
      <c r="C56" s="13" t="inlineStr">
        <is>
          <t>Standard cost</t>
        </is>
      </c>
      <c r="D56" s="13" t="inlineStr">
        <is>
          <t>Explain how trade outcomes change item cost</t>
        </is>
      </c>
      <c r="E56" s="13" t="inlineStr">
        <is>
          <t>Explains how a USMCA claim, a classification or valuation change, or a new tariff flows into duty, landed cost and margin, including the cost effect of a denied USMCA claim.</t>
        </is>
      </c>
      <c r="F56" s="13" t="n">
        <v>1</v>
      </c>
      <c r="G56" s="14" t="n"/>
      <c r="H56" s="13" t="n">
        <v>1</v>
      </c>
      <c r="I56" s="14" t="n"/>
      <c r="J56" s="13" t="n">
        <v>1</v>
      </c>
      <c r="K56" s="14" t="n"/>
      <c r="L56" s="14" t="n"/>
      <c r="M56" s="14" t="n"/>
    </row>
    <row r="57">
      <c r="A57" s="13" t="inlineStr">
        <is>
          <t>S-M6-01</t>
        </is>
      </c>
      <c r="B57" s="13" t="inlineStr">
        <is>
          <t>M6</t>
        </is>
      </c>
      <c r="C57" s="13" t="inlineStr">
        <is>
          <t>Tools</t>
        </is>
      </c>
      <c r="D57" s="13" t="inlineStr">
        <is>
          <t>Inventory a custom tool</t>
        </is>
      </c>
      <c r="E57" s="13" t="inlineStr">
        <is>
          <t>Completes a Tool Inventory row (purpose, users, stack, location, data sources, run frequency, knowledge holder, risk, e2open impact) from a walkthrough or the tool itself, and the Manager confirms it is accurate.</t>
        </is>
      </c>
      <c r="F57" s="13" t="n">
        <v>2</v>
      </c>
      <c r="G57" s="14" t="n"/>
      <c r="H57" s="13" t="n">
        <v>3</v>
      </c>
      <c r="I57" s="14" t="n"/>
      <c r="J57" s="13" t="n">
        <v>3</v>
      </c>
      <c r="K57" s="14" t="n"/>
      <c r="L57" s="14" t="n"/>
      <c r="M57" s="14" t="n"/>
    </row>
    <row r="58">
      <c r="A58" s="13" t="inlineStr">
        <is>
          <t>S-M6-02</t>
        </is>
      </c>
      <c r="B58" s="13" t="inlineStr">
        <is>
          <t>M6</t>
        </is>
      </c>
      <c r="C58" s="13" t="inlineStr">
        <is>
          <t>Tools</t>
        </is>
      </c>
      <c r="D58" s="13" t="inlineStr">
        <is>
          <t>Run and support the owned tool</t>
        </is>
      </c>
      <c r="E58" s="13" t="inlineStr">
        <is>
          <t>Runs the owned tool end to end (before day 60: once, either supervised in production with the knowledge holder or alone on a test copy; after the day-60 review: on schedule without help), recovers from its known failure modes, is recorded as Knowledge holder today in the Tool Inventory, and is the owner and first point of contact in its tool doc in OneNote.</t>
        </is>
      </c>
      <c r="F58" s="13" t="n">
        <v>1</v>
      </c>
      <c r="G58" s="14" t="n"/>
      <c r="H58" s="13" t="n">
        <v>3</v>
      </c>
      <c r="I58" s="14" t="n"/>
      <c r="J58" s="13" t="n">
        <v>3</v>
      </c>
      <c r="K58" s="14" t="n"/>
      <c r="L58" s="14" t="n"/>
      <c r="M58" s="14" t="n"/>
    </row>
    <row r="59">
      <c r="A59" s="13" t="inlineStr">
        <is>
          <t>S-M6-03</t>
        </is>
      </c>
      <c r="B59" s="13" t="inlineStr">
        <is>
          <t>M6</t>
        </is>
      </c>
      <c r="C59" s="13" t="inlineStr">
        <is>
          <t>Tools</t>
        </is>
      </c>
      <c r="D59" s="13" t="inlineStr">
        <is>
          <t>Document the owned tool</t>
        </is>
      </c>
      <c r="E59" s="13" t="inlineStr">
        <is>
          <t>Publishes a tool doc (docs/templates/knowledge/tool-doc.md) covering purpose, inputs, outputs, logic, dependencies, hard-coded values, backup location, the tool's platform path (database objects, connections, the account it runs as, schedule, server location) and a proposed e2open disposition that the Manager could follow alone.</t>
        </is>
      </c>
      <c r="F59" s="13" t="n">
        <v>1</v>
      </c>
      <c r="G59" s="14" t="n"/>
      <c r="H59" s="13" t="n">
        <v>3</v>
      </c>
      <c r="I59" s="14" t="n"/>
      <c r="J59" s="13" t="n">
        <v>3</v>
      </c>
      <c r="K59" s="14" t="n"/>
      <c r="L59" s="14" t="n"/>
      <c r="M59" s="14" t="n"/>
    </row>
    <row r="60">
      <c r="A60" s="13" t="inlineStr">
        <is>
          <t>S-M6-04</t>
        </is>
      </c>
      <c r="B60" s="13" t="inlineStr">
        <is>
          <t>M6</t>
        </is>
      </c>
      <c r="C60" s="13" t="inlineStr">
        <is>
          <t>Tools</t>
        </is>
      </c>
      <c r="D60" s="13" t="inlineStr">
        <is>
          <t>Troubleshoot and change the owned tool</t>
        </is>
      </c>
      <c r="E60" s="13" t="inlineStr">
        <is>
          <t>Reads the tool's Python, VBA, Access or Power Automate logic to find the cause of an issue, and drafts and tests a fix in a test copy through a change request that names the environments, the test evidence and the rollback, with the Manager as checker; production changes only after the day-60 review.</t>
        </is>
      </c>
      <c r="F60" s="13" t="n">
        <v>0</v>
      </c>
      <c r="G60" s="14" t="n"/>
      <c r="H60" s="13" t="n">
        <v>2</v>
      </c>
      <c r="I60" s="14" t="n"/>
      <c r="J60" s="13" t="n">
        <v>3</v>
      </c>
      <c r="K60" s="14" t="n"/>
      <c r="L60" s="14" t="n"/>
      <c r="M60" s="14" t="n"/>
    </row>
    <row r="61">
      <c r="A61" s="13" t="inlineStr">
        <is>
          <t>S-M6-05</t>
        </is>
      </c>
      <c r="B61" s="13" t="inlineStr">
        <is>
          <t>M6</t>
        </is>
      </c>
      <c r="C61" s="13" t="inlineStr">
        <is>
          <t>Tools</t>
        </is>
      </c>
      <c r="D61" s="13" t="inlineStr">
        <is>
          <t>Learn a second custom tool</t>
        </is>
      </c>
      <c r="E61" s="13" t="inlineStr">
        <is>
          <t>Runs a second tool from its tool doc, corrects gaps in that doc, and can stand in as backup for the other hire's owned tool.</t>
        </is>
      </c>
      <c r="F61" s="13" t="n">
        <v>0</v>
      </c>
      <c r="G61" s="14" t="n"/>
      <c r="H61" s="13" t="n">
        <v>1</v>
      </c>
      <c r="I61" s="14" t="n"/>
      <c r="J61" s="13" t="n">
        <v>2</v>
      </c>
      <c r="K61" s="14" t="n"/>
      <c r="L61" s="14" t="n"/>
      <c r="M61" s="14" t="n"/>
    </row>
    <row r="62">
      <c r="A62" s="13" t="inlineStr">
        <is>
          <t>S-M7-01</t>
        </is>
      </c>
      <c r="B62" s="13" t="inlineStr">
        <is>
          <t>M7</t>
        </is>
      </c>
      <c r="C62" s="13" t="inlineStr">
        <is>
          <t>Exports</t>
        </is>
      </c>
      <c r="D62" s="13" t="inlineStr">
        <is>
          <t>Explain the US export compliance framework</t>
        </is>
      </c>
      <c r="E62" s="13" t="inlineStr">
        <is>
          <t>Explains EAR jurisdiction and classification (ECCN or EAR99), why license determinations stay with the Senior, EEI filing in AES under the FTR, Schedule B and the USPPI role, and restricted party screening at awareness level.</t>
        </is>
      </c>
      <c r="F62" s="13" t="n">
        <v>0</v>
      </c>
      <c r="G62" s="14" t="n"/>
      <c r="H62" s="13" t="n">
        <v>1</v>
      </c>
      <c r="I62" s="14" t="n"/>
      <c r="J62" s="13" t="n">
        <v>2</v>
      </c>
      <c r="K62" s="14" t="n"/>
      <c r="L62" s="14" t="n"/>
      <c r="M62" s="14" t="n"/>
    </row>
    <row r="63">
      <c r="A63" s="13" t="inlineStr">
        <is>
          <t>S-M7-02</t>
        </is>
      </c>
      <c r="B63" s="13" t="inlineStr">
        <is>
          <t>M7</t>
        </is>
      </c>
      <c r="C63" s="13" t="inlineStr">
        <is>
          <t>Exports</t>
        </is>
      </c>
      <c r="D63" s="13" t="inlineStr">
        <is>
          <t>Complete an exports backlog item</t>
        </is>
      </c>
      <c r="E63" s="13" t="inlineStr">
        <is>
          <t>Completes a low-risk exports item (data correction, master-data update, reconciliation or documentation) as maker with the Senior as checker, and adds the steps to the exports SOP draft.</t>
        </is>
      </c>
      <c r="F63" s="13" t="n">
        <v>0</v>
      </c>
      <c r="G63" s="14" t="n"/>
      <c r="H63" s="13" t="n">
        <v>2</v>
      </c>
      <c r="I63" s="14" t="n"/>
      <c r="J63" s="13" t="n">
        <v>2</v>
      </c>
      <c r="K63" s="14" t="n"/>
      <c r="L63" s="14" t="n"/>
      <c r="M63" s="14" t="n"/>
    </row>
    <row r="64">
      <c r="A64" s="13" t="inlineStr">
        <is>
          <t>S-M7-03</t>
        </is>
      </c>
      <c r="B64" s="13" t="inlineStr">
        <is>
          <t>M7</t>
        </is>
      </c>
      <c r="C64" s="13" t="inlineStr">
        <is>
          <t>Exports</t>
        </is>
      </c>
      <c r="D64" s="13" t="inlineStr">
        <is>
          <t>Check export data quality</t>
        </is>
      </c>
      <c r="E64" s="13" t="inlineStr">
        <is>
          <t>Profiles export records for missing or invalid Schedule B, ECCN or EAR99, country, value or USPPI data, and logs each issue with evidence and a proposed fix.</t>
        </is>
      </c>
      <c r="F64" s="13" t="n">
        <v>0</v>
      </c>
      <c r="G64" s="14" t="n"/>
      <c r="H64" s="13" t="n">
        <v>1</v>
      </c>
      <c r="I64" s="14" t="n"/>
      <c r="J64" s="13" t="n">
        <v>2</v>
      </c>
      <c r="K64" s="14" t="n"/>
      <c r="L64" s="14" t="n"/>
      <c r="M64" s="14" t="n"/>
    </row>
    <row r="65">
      <c r="A65" s="13" t="inlineStr">
        <is>
          <t>S-M8-01</t>
        </is>
      </c>
      <c r="B65" s="13" t="inlineStr">
        <is>
          <t>M8</t>
        </is>
      </c>
      <c r="C65" s="13" t="inlineStr">
        <is>
          <t>Reporting</t>
        </is>
      </c>
      <c r="D65" s="13" t="inlineStr">
        <is>
          <t>Explain the report inventory</t>
        </is>
      </c>
      <c r="E65" s="13" t="inlineStr">
        <is>
          <t>For each report in the Senior's inventory, states its source, refresh schedule, consumers and known issues, and who to tell when it breaks.</t>
        </is>
      </c>
      <c r="F65" s="13" t="n">
        <v>0</v>
      </c>
      <c r="G65" s="14" t="n"/>
      <c r="H65" s="13" t="n">
        <v>0</v>
      </c>
      <c r="I65" s="14" t="n"/>
      <c r="J65" s="13" t="n">
        <v>1</v>
      </c>
      <c r="K65" s="14" t="n"/>
      <c r="L65" s="14" t="n"/>
      <c r="M65" s="14" t="n"/>
    </row>
    <row r="66">
      <c r="A66" s="13" t="inlineStr">
        <is>
          <t>S-M8-02</t>
        </is>
      </c>
      <c r="B66" s="13" t="inlineStr">
        <is>
          <t>M8</t>
        </is>
      </c>
      <c r="C66" s="13" t="inlineStr">
        <is>
          <t>Reporting</t>
        </is>
      </c>
      <c r="D66" s="13" t="inlineStr">
        <is>
          <t>Complete a reporting backlog item</t>
        </is>
      </c>
      <c r="E66" s="13" t="inlineStr">
        <is>
          <t>Delivers a Power BI fix, new measure or warehouse view change as maker, compares before-and-after totals, and demos it to the Senior for checker sign-off.</t>
        </is>
      </c>
      <c r="F66" s="13" t="n">
        <v>0</v>
      </c>
      <c r="G66" s="14" t="n"/>
      <c r="H66" s="13" t="n">
        <v>0</v>
      </c>
      <c r="I66" s="14" t="n"/>
      <c r="J66" s="13" t="n">
        <v>1</v>
      </c>
      <c r="K66" s="14" t="n"/>
      <c r="L66" s="14" t="n"/>
      <c r="M66" s="14" t="n"/>
    </row>
    <row r="67">
      <c r="A67" s="13" t="inlineStr">
        <is>
          <t>S-M9-01</t>
        </is>
      </c>
      <c r="B67" s="13" t="inlineStr">
        <is>
          <t>M9</t>
        </is>
      </c>
      <c r="C67" s="13" t="inlineStr">
        <is>
          <t>Drawback</t>
        </is>
      </c>
      <c r="D67" s="13" t="inlineStr">
        <is>
          <t>Explain US duty drawback</t>
        </is>
      </c>
      <c r="E67" s="13" t="inlineStr">
        <is>
          <t>Explains the main drawback types under 19 CFR Part 190 (manufacturing, unused merchandise, rejected merchandise) and which import, export and inventory records a claim relies on.</t>
        </is>
      </c>
      <c r="F67" s="13" t="n">
        <v>0</v>
      </c>
      <c r="G67" s="14" t="n"/>
      <c r="H67" s="13" t="n">
        <v>0</v>
      </c>
      <c r="I67" s="14" t="n"/>
      <c r="J67" s="13" t="n">
        <v>1</v>
      </c>
      <c r="K67" s="14" t="n"/>
      <c r="L67" s="14" t="n"/>
      <c r="M67" s="14" t="n"/>
    </row>
    <row r="68">
      <c r="A68" s="13" t="inlineStr">
        <is>
          <t>S-M9-02</t>
        </is>
      </c>
      <c r="B68" s="13" t="inlineStr">
        <is>
          <t>M9</t>
        </is>
      </c>
      <c r="C68" s="13" t="inlineStr">
        <is>
          <t>Drawback</t>
        </is>
      </c>
      <c r="D68" s="13" t="inlineStr">
        <is>
          <t>Protect drawback data in our processes</t>
        </is>
      </c>
      <c r="E68" s="13" t="inlineStr">
        <is>
          <t>Names the import and export data fields drawback depends on, explains why USMCA limits drawback on goods exported to Canada or Mexico, and flags process or system changes that could break a claim.</t>
        </is>
      </c>
      <c r="F68" s="13" t="n">
        <v>0</v>
      </c>
      <c r="G68" s="14" t="n"/>
      <c r="H68" s="13" t="n">
        <v>0</v>
      </c>
      <c r="I68" s="14" t="n"/>
      <c r="J68" s="13" t="n">
        <v>1</v>
      </c>
      <c r="K68" s="14" t="n"/>
      <c r="L68" s="14" t="n"/>
      <c r="M68" s="14" t="n"/>
    </row>
    <row r="69">
      <c r="A69" s="13" t="inlineStr">
        <is>
          <t>S-M10-01</t>
        </is>
      </c>
      <c r="B69" s="13" t="inlineStr">
        <is>
          <t>M10</t>
        </is>
      </c>
      <c r="C69" s="13" t="inlineStr">
        <is>
          <t>e2open</t>
        </is>
      </c>
      <c r="D69" s="13" t="inlineStr">
        <is>
          <t>Work as a core BSA on the e2open project</t>
        </is>
      </c>
      <c r="E69" s="13" t="inlineStr">
        <is>
          <t>Explains the project's scope, timeline and BSA deliverables, attends sessions with prepared drafts and questions, and keeps own project items current in Jira.</t>
        </is>
      </c>
      <c r="F69" s="13" t="n">
        <v>0</v>
      </c>
      <c r="G69" s="14" t="n"/>
      <c r="H69" s="13" t="n">
        <v>1</v>
      </c>
      <c r="I69" s="14" t="n"/>
      <c r="J69" s="13" t="n">
        <v>2</v>
      </c>
      <c r="K69" s="14" t="n"/>
      <c r="L69" s="14" t="n"/>
      <c r="M69" s="14" t="n"/>
    </row>
    <row r="70">
      <c r="A70" s="13" t="inlineStr">
        <is>
          <t>S-M10-02</t>
        </is>
      </c>
      <c r="B70" s="13" t="inlineStr">
        <is>
          <t>M10</t>
        </is>
      </c>
      <c r="C70" s="13" t="inlineStr">
        <is>
          <t>e2open</t>
        </is>
      </c>
      <c r="D70" s="13" t="inlineStr">
        <is>
          <t>Map own process data to e2open</t>
        </is>
      </c>
      <c r="E70" s="13" t="inlineStr">
        <is>
          <t>Maps each source field for own process (AS400, Excel, Oracle, external) to its e2open concept, logs data-quality issues, and lists cleansing candidates for Manager and Senior review.</t>
        </is>
      </c>
      <c r="F70" s="13" t="n">
        <v>0</v>
      </c>
      <c r="G70" s="14" t="n"/>
      <c r="H70" s="13" t="n">
        <v>1</v>
      </c>
      <c r="I70" s="14" t="n"/>
      <c r="J70" s="13" t="n">
        <v>3</v>
      </c>
      <c r="K70" s="14" t="n"/>
      <c r="L70" s="14" t="n"/>
      <c r="M70" s="14" t="n"/>
    </row>
    <row r="71">
      <c r="A71" s="13" t="inlineStr">
        <is>
          <t>S-M11-01</t>
        </is>
      </c>
      <c r="B71" s="13" t="inlineStr">
        <is>
          <t>M11</t>
        </is>
      </c>
      <c r="C71" s="13" t="inlineStr">
        <is>
          <t>Copilot</t>
        </is>
      </c>
      <c r="D71" s="13" t="inlineStr">
        <is>
          <t>Prompt Copilot Chat with context</t>
        </is>
      </c>
      <c r="E71" s="13" t="inlineStr">
        <is>
          <t>Writes prompts that state the goal, context, source and expected output, asks for assumptions and a check list, iterates on the answer, and turns prompts that worked into team prompt library entries with a Verify step.</t>
        </is>
      </c>
      <c r="F71" s="13" t="n">
        <v>2</v>
      </c>
      <c r="G71" s="14" t="n"/>
      <c r="H71" s="13" t="n">
        <v>2</v>
      </c>
      <c r="I71" s="14" t="n"/>
      <c r="J71" s="13" t="n">
        <v>3</v>
      </c>
      <c r="K71" s="14" t="n"/>
      <c r="L71" s="14" t="n"/>
      <c r="M71" s="14" t="n"/>
    </row>
    <row r="72">
      <c r="A72" s="13" t="inlineStr">
        <is>
          <t>S-M11-02</t>
        </is>
      </c>
      <c r="B72" s="13" t="inlineStr">
        <is>
          <t>M11</t>
        </is>
      </c>
      <c r="C72" s="13" t="inlineStr">
        <is>
          <t>Copilot</t>
        </is>
      </c>
      <c r="D72" s="13" t="inlineStr">
        <is>
          <t>Verify Copilot output and follow the data rules</t>
        </is>
      </c>
      <c r="E72" s="13" t="inlineStr">
        <is>
          <t>Pastes only what the paste rules allow, treats every output as a draft, checks each fact, code, date and number against a primary source or a control total before use, runs Copilot-written code only under the sandbox rule, never cites Copilot as a source, and logs each use with what was verified.</t>
        </is>
      </c>
      <c r="F72" s="13" t="n">
        <v>2</v>
      </c>
      <c r="G72" s="14" t="n"/>
      <c r="H72" s="13" t="n">
        <v>3</v>
      </c>
      <c r="I72" s="14" t="n"/>
      <c r="J72" s="13" t="n">
        <v>3</v>
      </c>
      <c r="K72" s="14" t="n"/>
      <c r="L72" s="14" t="n"/>
      <c r="M72" s="14" t="n"/>
    </row>
    <row r="73">
      <c r="A73" s="13" t="inlineStr">
        <is>
          <t>S-M12-01</t>
        </is>
      </c>
      <c r="B73" s="13" t="inlineStr">
        <is>
          <t>M12</t>
        </is>
      </c>
      <c r="C73" s="13" t="inlineStr">
        <is>
          <t>Data platform</t>
        </is>
      </c>
      <c r="D73" s="13" t="inlineStr">
        <is>
          <t>Use the team database in SSMS, including sandbox loads</t>
        </is>
      </c>
      <c r="E73" s="13" t="inlineStr">
        <is>
          <t>Connects with the personal login, finds the right view through the schemas and INFORMATION_SCHEMA, writes read queries with explicit columns, filters and TOP with ORDER BY, loads files only into [COMPANY: sandbox or staging schema in the team database] under the naming convention with row-count and data-type checks, and drops own sandbox tables when done.</t>
        </is>
      </c>
      <c r="F73" s="13" t="n">
        <v>2</v>
      </c>
      <c r="G73" s="14" t="n"/>
      <c r="H73" s="13" t="n">
        <v>3</v>
      </c>
      <c r="I73" s="14" t="n"/>
      <c r="J73" s="13" t="n">
        <v>3</v>
      </c>
      <c r="K73" s="14" t="n"/>
      <c r="L73" s="14" t="n"/>
      <c r="M73" s="14" t="n"/>
    </row>
    <row r="74">
      <c r="A74" s="13" t="inlineStr">
        <is>
          <t>S-M12-02</t>
        </is>
      </c>
      <c r="B74" s="13" t="inlineStr">
        <is>
          <t>M12</t>
        </is>
      </c>
      <c r="C74" s="13" t="inlineStr">
        <is>
          <t>Data platform</t>
        </is>
      </c>
      <c r="D74" s="13" t="inlineStr">
        <is>
          <t>Query Oracle EBS read-only in DBeaver</t>
        </is>
      </c>
      <c r="E74" s="13" t="inlineStr">
        <is>
          <t>Uses the read-only EBS connection only for short, filtered, row-limited SELECT queries, checks the team database copy of the data first, answers No to any DBeaver confirmation prompt, and exports only the rows and columns the task needs to [COMPANY: approved location for data extracts].</t>
        </is>
      </c>
      <c r="F74" s="13" t="n">
        <v>1</v>
      </c>
      <c r="G74" s="14" t="n"/>
      <c r="H74" s="13" t="n">
        <v>1</v>
      </c>
      <c r="I74" s="14" t="n"/>
      <c r="J74" s="13" t="n">
        <v>2</v>
      </c>
      <c r="K74" s="14" t="n"/>
      <c r="L74" s="14" t="n"/>
      <c r="M74" s="14" t="n"/>
    </row>
    <row r="75">
      <c r="A75" s="13" t="inlineStr">
        <is>
          <t>S-M12-03</t>
        </is>
      </c>
      <c r="B75" s="13" t="inlineStr">
        <is>
          <t>M12</t>
        </is>
      </c>
      <c r="C75" s="13" t="inlineStr">
        <is>
          <t>Data platform</t>
        </is>
      </c>
      <c r="D75" s="13" t="inlineStr">
        <is>
          <t>Troubleshoot refreshes and flow runs read-only</t>
        </is>
      </c>
      <c r="E75" s="13" t="inlineStr">
        <is>
          <t>Traces a Power BI semantic model refresh and a Power Automate or Power Apps run through refresh history, run history, the gateway and connections, names the failing step, the account type involved and who fixes it, and changes nothing outside own access.</t>
        </is>
      </c>
      <c r="F75" s="13" t="n">
        <v>1</v>
      </c>
      <c r="G75" s="14" t="n"/>
      <c r="H75" s="13" t="n">
        <v>2</v>
      </c>
      <c r="I75" s="14" t="n"/>
      <c r="J75" s="13" t="n">
        <v>2</v>
      </c>
      <c r="K75" s="14" t="n"/>
      <c r="L75" s="14" t="n"/>
      <c r="M75" s="14" t="n"/>
    </row>
    <row r="76">
      <c r="A76" s="13" t="inlineStr">
        <is>
          <t>S-M12-04</t>
        </is>
      </c>
      <c r="B76" s="13" t="inlineStr">
        <is>
          <t>M12</t>
        </is>
      </c>
      <c r="C76" s="13" t="inlineStr">
        <is>
          <t>Data platform</t>
        </is>
      </c>
      <c r="D76" s="13" t="inlineStr">
        <is>
          <t>Follow server etiquette and account rules</t>
        </is>
      </c>
      <c r="E76" s="13" t="inlineStr">
        <is>
          <t>Uses only the personal login for interactive work and never the service account or a shared login, signs out of Remote Desktop when done, never restarts the server or changes its software or scheduled tasks, keeps credentials out of scripts, files and prompts, and reports any password found the same day.</t>
        </is>
      </c>
      <c r="F76" s="13" t="n">
        <v>2</v>
      </c>
      <c r="G76" s="14" t="n"/>
      <c r="H76" s="13" t="n">
        <v>3</v>
      </c>
      <c r="I76" s="14" t="n"/>
      <c r="J76" s="13" t="n">
        <v>3</v>
      </c>
      <c r="K76" s="14" t="n"/>
      <c r="L76" s="14" t="n"/>
      <c r="M76" s="14" t="n"/>
    </row>
    <row r="77">
      <c r="A77" s="13" t="inlineStr">
        <is>
          <t>S-M13-01</t>
        </is>
      </c>
      <c r="B77" s="13" t="inlineStr">
        <is>
          <t>M13</t>
        </is>
      </c>
      <c r="C77" s="13" t="inlineStr">
        <is>
          <t>SDLC</t>
        </is>
      </c>
      <c r="D77" s="13" t="inlineStr">
        <is>
          <t>Map the owned tool's environments and release path</t>
        </is>
      </c>
      <c r="E77" s="13" t="inlineStr">
        <is>
          <t>Names where the owned tool's production and test copies live, which accounts and connections each one uses, and how a tested version is released, by whom and with which checks, and records this in the tool's SDLC profile and tool doc.</t>
        </is>
      </c>
      <c r="F77" s="13" t="n">
        <v>0</v>
      </c>
      <c r="G77" s="14" t="n"/>
      <c r="H77" s="13" t="n">
        <v>2</v>
      </c>
      <c r="I77" s="14" t="n"/>
      <c r="J77" s="13" t="n">
        <v>3</v>
      </c>
      <c r="K77" s="14" t="n"/>
      <c r="L77" s="14" t="n"/>
      <c r="M77" s="14" t="n"/>
    </row>
    <row r="78">
      <c r="A78" s="13" t="inlineStr">
        <is>
          <t>S-M13-02</t>
        </is>
      </c>
      <c r="B78" s="13" t="inlineStr">
        <is>
          <t>M13</t>
        </is>
      </c>
      <c r="C78" s="13" t="inlineStr">
        <is>
          <t>SDLC</t>
        </is>
      </c>
      <c r="D78" s="13" t="inlineStr">
        <is>
          <t>Plan test levels and keep test evidence</t>
        </is>
      </c>
      <c r="E78" s="13" t="inlineStr">
        <is>
          <t>Chooses the test levels a change needs (unit, integration, system, acceptance), runs confirmation and regression tests from written test cases with exact expected results, and keeps the evidence (inputs, outputs, row counts, screenshots) with the change request.</t>
        </is>
      </c>
      <c r="F78" s="13" t="n">
        <v>0</v>
      </c>
      <c r="G78" s="14" t="n"/>
      <c r="H78" s="13" t="n">
        <v>2</v>
      </c>
      <c r="I78" s="14" t="n"/>
      <c r="J78" s="13" t="n">
        <v>3</v>
      </c>
      <c r="K78" s="14" t="n"/>
      <c r="L78" s="14" t="n"/>
      <c r="M78" s="14" t="n"/>
    </row>
    <row r="79">
      <c r="A79" s="13" t="inlineStr">
        <is>
          <t>S-M13-03</t>
        </is>
      </c>
      <c r="B79" s="13" t="inlineStr">
        <is>
          <t>M13</t>
        </is>
      </c>
      <c r="C79" s="13" t="inlineStr">
        <is>
          <t>SDLC</t>
        </is>
      </c>
      <c r="D79" s="13" t="inlineStr">
        <is>
          <t>Classify a change and plan its rollback</t>
        </is>
      </c>
      <c r="E79" s="13" t="inlineStr">
        <is>
          <t>Classifies each change as standard, normal or emergency, tells incidents, problems and changes apart, and writes a rollback plan with a verified backup, data clean-up steps and who is told, before any release.</t>
        </is>
      </c>
      <c r="F79" s="13" t="n">
        <v>0</v>
      </c>
      <c r="G79" s="14" t="n"/>
      <c r="H79" s="13" t="n">
        <v>2</v>
      </c>
      <c r="I79" s="14" t="n"/>
      <c r="J79" s="13" t="n">
        <v>3</v>
      </c>
      <c r="K79" s="14" t="n"/>
      <c r="L79" s="14" t="n"/>
      <c r="M79" s="14" t="n"/>
    </row>
  </sheetData>
  <autoFilter ref="A4:M79"/>
  <conditionalFormatting sqref="G5:G79">
    <cfRule type="expression" priority="1" dxfId="0">
      <formula>AND($G5&lt;&gt;"",$G5&gt;=$F5)</formula>
    </cfRule>
    <cfRule type="expression" priority="2" dxfId="1">
      <formula>AND($G5&lt;&gt;"",$G5=$F5-1)</formula>
    </cfRule>
    <cfRule type="expression" priority="3" dxfId="2">
      <formula>AND($G5&lt;&gt;"",$G5&lt;$F5-1)</formula>
    </cfRule>
  </conditionalFormatting>
  <conditionalFormatting sqref="I5:I79">
    <cfRule type="expression" priority="4" dxfId="0">
      <formula>AND($I5&lt;&gt;"",$I5&gt;=$H5)</formula>
    </cfRule>
    <cfRule type="expression" priority="5" dxfId="1">
      <formula>AND($I5&lt;&gt;"",$I5=$H5-1)</formula>
    </cfRule>
    <cfRule type="expression" priority="6" dxfId="2">
      <formula>AND($I5&lt;&gt;"",$I5&lt;$H5-1)</formula>
    </cfRule>
  </conditionalFormatting>
  <conditionalFormatting sqref="K5:K79">
    <cfRule type="expression" priority="7" dxfId="0">
      <formula>AND($K5&lt;&gt;"",$K5&gt;=$J5)</formula>
    </cfRule>
    <cfRule type="expression" priority="8" dxfId="1">
      <formula>AND($K5&lt;&gt;"",$K5=$J5-1)</formula>
    </cfRule>
    <cfRule type="expression" priority="9" dxfId="2">
      <formula>AND($K5&lt;&gt;"",$K5&lt;$J5-1)</formula>
    </cfRule>
  </conditionalFormatting>
  <conditionalFormatting sqref="L5:L79">
    <cfRule type="expression" priority="10" dxfId="0">
      <formula>AND($L5&lt;&gt;"",$L5&gt;=$J5)</formula>
    </cfRule>
    <cfRule type="expression" priority="11" dxfId="1">
      <formula>AND($L5&lt;&gt;"",$L5=$J5-1)</formula>
    </cfRule>
    <cfRule type="expression" priority="12" dxfId="2">
      <formula>AND($L5&lt;&gt;"",$L5&lt;$J5-1)</formula>
    </cfRule>
  </conditionalFormatting>
  <dataValidations count="4">
    <dataValidation sqref="G5:G79" showDropDown="0" showInputMessage="1" showErrorMessage="0" allowBlank="1" prompt="Enter 0-4" type="list">
      <formula1>"0,1,2,3,4"</formula1>
    </dataValidation>
    <dataValidation sqref="I5:I79" showDropDown="0" showInputMessage="1" showErrorMessage="0" allowBlank="1" prompt="Enter 0-4" type="list">
      <formula1>"0,1,2,3,4"</formula1>
    </dataValidation>
    <dataValidation sqref="K5:K79" showDropDown="0" showInputMessage="1" showErrorMessage="0" allowBlank="1" prompt="Enter 0-4" type="list">
      <formula1>"0,1,2,3,4"</formula1>
    </dataValidation>
    <dataValidation sqref="L5:L79" showDropDown="0" showInputMessage="1" showErrorMessage="0" allowBlank="1" prompt="Enter 0-4" type="list">
      <formula1>"0,1,2,3,4"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9"/>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18" customWidth="1" min="3" max="3"/>
    <col width="34" customWidth="1" min="4" max="4"/>
    <col width="46" customWidth="1" min="5" max="5"/>
    <col width="8" customWidth="1" min="6" max="6"/>
    <col width="9" customWidth="1" min="7" max="7"/>
    <col width="8" customWidth="1" min="8" max="8"/>
    <col width="9" customWidth="1" min="9" max="9"/>
    <col width="8" customWidth="1" min="10" max="10"/>
    <col width="9" customWidth="1" min="11" max="11"/>
    <col width="10" customWidth="1" min="12" max="12"/>
    <col width="36" customWidth="1" min="13" max="13"/>
  </cols>
  <sheetData>
    <row r="1">
      <c r="A1" s="1" t="inlineStr">
        <is>
          <t>Skills tracker: Hire B (Standard Cost track)</t>
        </is>
      </c>
    </row>
    <row r="2">
      <c r="A2" s="2" t="inlineStr">
        <is>
          <t>Scale 0-4 (see Start Here). Targets come from the 30/60/90 plan.</t>
        </is>
      </c>
    </row>
    <row r="4">
      <c r="A4" s="12" t="inlineStr">
        <is>
          <t>Skill ID</t>
        </is>
      </c>
      <c r="B4" s="12" t="inlineStr">
        <is>
          <t>Module</t>
        </is>
      </c>
      <c r="C4" s="12" t="inlineStr">
        <is>
          <t>Category</t>
        </is>
      </c>
      <c r="D4" s="12" t="inlineStr">
        <is>
          <t>Skill</t>
        </is>
      </c>
      <c r="E4" s="12" t="inlineStr">
        <is>
          <t>What good looks like (level 3)</t>
        </is>
      </c>
      <c r="F4" s="12" t="inlineStr">
        <is>
          <t>Target D30</t>
        </is>
      </c>
      <c r="G4" s="12" t="inlineStr">
        <is>
          <t>Rating @D30</t>
        </is>
      </c>
      <c r="H4" s="12" t="inlineStr">
        <is>
          <t>Target D60</t>
        </is>
      </c>
      <c r="I4" s="12" t="inlineStr">
        <is>
          <t>Rating @D60</t>
        </is>
      </c>
      <c r="J4" s="12" t="inlineStr">
        <is>
          <t>Target D90</t>
        </is>
      </c>
      <c r="K4" s="12" t="inlineStr">
        <is>
          <t>Rating @D90</t>
        </is>
      </c>
      <c r="L4" s="12" t="inlineStr">
        <is>
          <t>Current self-rating</t>
        </is>
      </c>
      <c r="M4" s="12" t="inlineStr">
        <is>
          <t>Evidence / notes</t>
        </is>
      </c>
    </row>
    <row r="5">
      <c r="A5" s="13" t="inlineStr">
        <is>
          <t>S-M0-01</t>
        </is>
      </c>
      <c r="B5" s="13" t="inlineStr">
        <is>
          <t>M0</t>
        </is>
      </c>
      <c r="C5" s="13" t="inlineStr">
        <is>
          <t>Professional</t>
        </is>
      </c>
      <c r="D5" s="13" t="inlineStr">
        <is>
          <t>Plan and protect the 40-hour week</t>
        </is>
      </c>
      <c r="E5" s="13" t="inlineStr">
        <is>
          <t>Each Friday drafts next week's plan (three outcomes, fixed commitments, booked reviews, 15% unplanned), agrees the top 3 in the 1:1, confirms it at the Monday confirm, blocks self-study, Anki and documentation time as in docs/05-time-management.md, and flags a slip to the Manager at the midpoint check, not at the deadline.</t>
        </is>
      </c>
      <c r="F5" s="13" t="n">
        <v>2</v>
      </c>
      <c r="G5" s="14" t="n"/>
      <c r="H5" s="13" t="n">
        <v>3</v>
      </c>
      <c r="I5" s="14" t="n"/>
      <c r="J5" s="13" t="n">
        <v>3</v>
      </c>
      <c r="K5" s="14" t="n"/>
      <c r="L5" s="14" t="n"/>
      <c r="M5" s="14" t="n"/>
    </row>
    <row r="6">
      <c r="A6" s="13" t="inlineStr">
        <is>
          <t>S-M0-02</t>
        </is>
      </c>
      <c r="B6" s="13" t="inlineStr">
        <is>
          <t>M0</t>
        </is>
      </c>
      <c r="C6" s="13" t="inlineStr">
        <is>
          <t>Professional</t>
        </is>
      </c>
      <c r="D6" s="13" t="inlineStr">
        <is>
          <t>Ask good questions</t>
        </is>
      </c>
      <c r="E6" s="13" t="inlineStr">
        <is>
          <t>Searches the primers, glossary and OneNote for 15 minutes first, logs each question with context, what was checked and a proposed answer, and turns reusable answers into a card, glossary entry or SOP line within 2 working days.</t>
        </is>
      </c>
      <c r="F6" s="13" t="n">
        <v>2</v>
      </c>
      <c r="G6" s="14" t="n"/>
      <c r="H6" s="13" t="n">
        <v>3</v>
      </c>
      <c r="I6" s="14" t="n"/>
      <c r="J6" s="13" t="n">
        <v>3</v>
      </c>
      <c r="K6" s="14" t="n"/>
      <c r="L6" s="14" t="n"/>
      <c r="M6" s="14" t="n"/>
    </row>
    <row r="7">
      <c r="A7" s="13" t="inlineStr">
        <is>
          <t>S-M0-03</t>
        </is>
      </c>
      <c r="B7" s="13" t="inlineStr">
        <is>
          <t>M0</t>
        </is>
      </c>
      <c r="C7" s="13" t="inlineStr">
        <is>
          <t>Work tracking</t>
        </is>
      </c>
      <c r="D7" s="13" t="inlineStr">
        <is>
          <t>Keep own work visible in Jira</t>
        </is>
      </c>
      <c r="E7" s="13" t="inlineStr">
        <is>
          <t>Every piece of own work has a Jira item with a clear title, acceptance criteria and a status updated at least twice a week, and active work stays within the agreed work-in-progress limit.</t>
        </is>
      </c>
      <c r="F7" s="13" t="n">
        <v>3</v>
      </c>
      <c r="G7" s="14" t="n"/>
      <c r="H7" s="13" t="n">
        <v>3</v>
      </c>
      <c r="I7" s="14" t="n"/>
      <c r="J7" s="13" t="n">
        <v>3</v>
      </c>
      <c r="K7" s="14" t="n"/>
      <c r="L7" s="14" t="n"/>
      <c r="M7" s="14" t="n"/>
    </row>
    <row r="8">
      <c r="A8" s="13" t="inlineStr">
        <is>
          <t>S-M0-04</t>
        </is>
      </c>
      <c r="B8" s="13" t="inlineStr">
        <is>
          <t>M0</t>
        </is>
      </c>
      <c r="C8" s="13" t="inlineStr">
        <is>
          <t>Communication</t>
        </is>
      </c>
      <c r="D8" s="13" t="inlineStr">
        <is>
          <t>Write clear status updates for stakeholders</t>
        </is>
      </c>
      <c r="E8" s="13" t="inlineStr">
        <is>
          <t>Writes Friday self-reports and stakeholder updates that lead with the answer and state impact, dates, risks and asks, and they go out without the Manager rewriting them.</t>
        </is>
      </c>
      <c r="F8" s="13" t="n">
        <v>2</v>
      </c>
      <c r="G8" s="14" t="n"/>
      <c r="H8" s="13" t="n">
        <v>2</v>
      </c>
      <c r="I8" s="14" t="n"/>
      <c r="J8" s="13" t="n">
        <v>3</v>
      </c>
      <c r="K8" s="14" t="n"/>
      <c r="L8" s="14" t="n"/>
      <c r="M8" s="14" t="n"/>
    </row>
    <row r="9">
      <c r="A9" s="13" t="inlineStr">
        <is>
          <t>S-M0-05</t>
        </is>
      </c>
      <c r="B9" s="13" t="inlineStr">
        <is>
          <t>M0</t>
        </is>
      </c>
      <c r="C9" s="13" t="inlineStr">
        <is>
          <t>Documentation</t>
        </is>
      </c>
      <c r="D9" s="13" t="inlineStr">
        <is>
          <t>Capture knowledge as reviewed docs and Anki cards</t>
        </is>
      </c>
      <c r="E9" s="13" t="inlineStr">
        <is>
          <t>Turns sessions, shadowing and answered questions into OneNote pages, SOP lines and company-specific Anki cards with a Draft, Reviewed or Published status, and the cards pass the milestone spot check with zero factual errors.</t>
        </is>
      </c>
      <c r="F9" s="13" t="n">
        <v>2</v>
      </c>
      <c r="G9" s="14" t="n"/>
      <c r="H9" s="13" t="n">
        <v>3</v>
      </c>
      <c r="I9" s="14" t="n"/>
      <c r="J9" s="13" t="n">
        <v>3</v>
      </c>
      <c r="K9" s="14" t="n"/>
      <c r="L9" s="14" t="n"/>
      <c r="M9" s="14" t="n"/>
    </row>
    <row r="10">
      <c r="A10" s="13" t="inlineStr">
        <is>
          <t>S-M0-06</t>
        </is>
      </c>
      <c r="B10" s="13" t="inlineStr">
        <is>
          <t>M0</t>
        </is>
      </c>
      <c r="C10" s="13" t="inlineStr">
        <is>
          <t>Communication</t>
        </is>
      </c>
      <c r="D10" s="13" t="inlineStr">
        <is>
          <t>Deliver a teach-back</t>
        </is>
      </c>
      <c r="E10" s="13" t="inlineStr">
        <is>
          <t>Explains a topic in 15 minutes using docs/templates/knowledge/teach-back.md, answers follow-up questions without notes, and says what they do not know instead of guessing.</t>
        </is>
      </c>
      <c r="F10" s="13" t="n">
        <v>2</v>
      </c>
      <c r="G10" s="14" t="n"/>
      <c r="H10" s="13" t="n">
        <v>3</v>
      </c>
      <c r="I10" s="14" t="n"/>
      <c r="J10" s="13" t="n">
        <v>3</v>
      </c>
      <c r="K10" s="14" t="n"/>
      <c r="L10" s="14" t="n"/>
      <c r="M10" s="14" t="n"/>
    </row>
    <row r="11">
      <c r="A11" s="13" t="inlineStr">
        <is>
          <t>S-M0-07</t>
        </is>
      </c>
      <c r="B11" s="13" t="inlineStr">
        <is>
          <t>M0</t>
        </is>
      </c>
      <c r="C11" s="13" t="inlineStr">
        <is>
          <t>Business orientation</t>
        </is>
      </c>
      <c r="D11" s="13" t="inlineStr">
        <is>
          <t>Explain the business and its stakeholders</t>
        </is>
      </c>
      <c r="E11" s="13" t="inlineStr">
        <is>
          <t>Without notes, explains what we import, from where and into which countries, and keeps a 1-page stakeholder map showing what each group needs from the team and how tariff and cost news reaches them.</t>
        </is>
      </c>
      <c r="F11" s="13" t="n">
        <v>3</v>
      </c>
      <c r="G11" s="14" t="n"/>
      <c r="H11" s="13" t="n">
        <v>3</v>
      </c>
      <c r="I11" s="14" t="n"/>
      <c r="J11" s="13" t="n">
        <v>3</v>
      </c>
      <c r="K11" s="14" t="n"/>
      <c r="L11" s="14" t="n"/>
      <c r="M11" s="14" t="n"/>
    </row>
    <row r="12">
      <c r="A12" s="13" t="inlineStr">
        <is>
          <t>S-M1-01</t>
        </is>
      </c>
      <c r="B12" s="13" t="inlineStr">
        <is>
          <t>M1</t>
        </is>
      </c>
      <c r="C12" s="13" t="inlineStr">
        <is>
          <t>Customs fundamentals</t>
        </is>
      </c>
      <c r="D12" s="13" t="inlineStr">
        <is>
          <t>Explain the life of a US import entry and who does what</t>
        </is>
      </c>
      <c r="E12" s="13" t="inlineStr">
        <is>
          <t>Without notes, walks through release, entry summary (CBP Form 7501), duty payment, liquidation and the protest window, and states what the importer of record, the licensed broker and CBP each own.</t>
        </is>
      </c>
      <c r="F12" s="13" t="n">
        <v>2</v>
      </c>
      <c r="G12" s="14" t="n"/>
      <c r="H12" s="13" t="n">
        <v>3</v>
      </c>
      <c r="I12" s="14" t="n"/>
      <c r="J12" s="13" t="n">
        <v>3</v>
      </c>
      <c r="K12" s="14" t="n"/>
      <c r="L12" s="14" t="n"/>
      <c r="M12" s="14" t="n"/>
    </row>
    <row r="13">
      <c r="A13" s="13" t="inlineStr">
        <is>
          <t>S-M1-02</t>
        </is>
      </c>
      <c r="B13" s="13" t="inlineStr">
        <is>
          <t>M1</t>
        </is>
      </c>
      <c r="C13" s="13" t="inlineStr">
        <is>
          <t>Customs fundamentals</t>
        </is>
      </c>
      <c r="D13" s="13" t="inlineStr">
        <is>
          <t>Explain the Canada and Mexico import processes</t>
        </is>
      </c>
      <c r="E13" s="13" t="inlineStr">
        <is>
          <t>Explains the CBSA flow (release, CARM, Commercial Accounting Declaration, BN/RM account) and the Mexico flow (agente aduanal, pedimento, padrón de importadores, IVA), and names the data our team provides to each broker.</t>
        </is>
      </c>
      <c r="F13" s="13" t="n">
        <v>2</v>
      </c>
      <c r="G13" s="14" t="n"/>
      <c r="H13" s="13" t="n">
        <v>2</v>
      </c>
      <c r="I13" s="14" t="n"/>
      <c r="J13" s="13" t="n">
        <v>2</v>
      </c>
      <c r="K13" s="14" t="n"/>
      <c r="L13" s="14" t="n"/>
      <c r="M13" s="14" t="n"/>
    </row>
    <row r="14">
      <c r="A14" s="13" t="inlineStr">
        <is>
          <t>S-M1-03</t>
        </is>
      </c>
      <c r="B14" s="13" t="inlineStr">
        <is>
          <t>M1</t>
        </is>
      </c>
      <c r="C14" s="13" t="inlineStr">
        <is>
          <t>Classification</t>
        </is>
      </c>
      <c r="D14" s="13" t="inlineStr">
        <is>
          <t>Classify an item using the GRIs</t>
        </is>
      </c>
      <c r="E14" s="13" t="inlineStr">
        <is>
          <t>Classifies a new item to 6-digit HS with written GRI reasoning backed by section and chapter notes, Explanatory Notes and CROSS rulings, finds the national line in the HTSUS, the Canada Customs Tariff and TIGIE, and flags doubtful cases for review.</t>
        </is>
      </c>
      <c r="F14" s="13" t="n">
        <v>2</v>
      </c>
      <c r="G14" s="14" t="n"/>
      <c r="H14" s="13" t="n">
        <v>2</v>
      </c>
      <c r="I14" s="14" t="n"/>
      <c r="J14" s="13" t="n">
        <v>2</v>
      </c>
      <c r="K14" s="14" t="n"/>
      <c r="L14" s="14" t="n"/>
      <c r="M14" s="14" t="n"/>
    </row>
    <row r="15">
      <c r="A15" s="13" t="inlineStr">
        <is>
          <t>S-M1-04</t>
        </is>
      </c>
      <c r="B15" s="13" t="inlineStr">
        <is>
          <t>M1</t>
        </is>
      </c>
      <c r="C15" s="13" t="inlineStr">
        <is>
          <t>Customs fundamentals</t>
        </is>
      </c>
      <c r="D15" s="13" t="inlineStr">
        <is>
          <t>Calculate duties and fees for an entry line</t>
        </is>
      </c>
      <c r="E15" s="13" t="inlineStr">
        <is>
          <t>For an entry line, identifies the value basis, the rate column (general, USMCA or other preference, Chapter 99 additional duties) and fees such as MPF and HMF, and recomputes the duty to the cent or explains the difference.</t>
        </is>
      </c>
      <c r="F15" s="13" t="n">
        <v>2</v>
      </c>
      <c r="G15" s="14" t="n"/>
      <c r="H15" s="13" t="n">
        <v>3</v>
      </c>
      <c r="I15" s="14" t="n"/>
      <c r="J15" s="13" t="n">
        <v>3</v>
      </c>
      <c r="K15" s="14" t="n"/>
      <c r="L15" s="14" t="n"/>
      <c r="M15" s="14" t="n"/>
    </row>
    <row r="16">
      <c r="A16" s="13" t="inlineStr">
        <is>
          <t>S-M1-05</t>
        </is>
      </c>
      <c r="B16" s="13" t="inlineStr">
        <is>
          <t>M1</t>
        </is>
      </c>
      <c r="C16" s="13" t="inlineStr">
        <is>
          <t>Origin &amp; programs</t>
        </is>
      </c>
      <c r="D16" s="13" t="inlineStr">
        <is>
          <t>Apply USMCA rules of origin and certification</t>
        </is>
      </c>
      <c r="E16" s="13" t="inlineStr">
        <is>
          <t>Tests an item against its product-specific rule (tariff shift, RVC, de minimis) using its bill of materials, checks a certification for the nine minimum data elements, and states the importer's obligations if the claim fails.</t>
        </is>
      </c>
      <c r="F16" s="13" t="n">
        <v>1</v>
      </c>
      <c r="G16" s="14" t="n"/>
      <c r="H16" s="13" t="n">
        <v>2</v>
      </c>
      <c r="I16" s="14" t="n"/>
      <c r="J16" s="13" t="n">
        <v>2</v>
      </c>
      <c r="K16" s="14" t="n"/>
      <c r="L16" s="14" t="n"/>
      <c r="M16" s="14" t="n"/>
    </row>
    <row r="17">
      <c r="A17" s="13" t="inlineStr">
        <is>
          <t>S-M1-06</t>
        </is>
      </c>
      <c r="B17" s="13" t="inlineStr">
        <is>
          <t>M1</t>
        </is>
      </c>
      <c r="C17" s="13" t="inlineStr">
        <is>
          <t>Origin &amp; programs</t>
        </is>
      </c>
      <c r="D17" s="13" t="inlineStr">
        <is>
          <t>Explain Mexico IMMEX, Anexo 24 and Anexo 30 (formerly Anexo 31)</t>
        </is>
      </c>
      <c r="E17" s="13" t="inlineStr">
        <is>
          <t>Explains what an IMMEX temporary import defers, what Anexo 24 inventory control and Anexo 30 (formerly Anexo 31, the SCCCyG) credit tracking require, and which of our trade data feeds them [COMPANY: confirm IMMEX scope].</t>
        </is>
      </c>
      <c r="F17" s="13" t="n">
        <v>1</v>
      </c>
      <c r="G17" s="14" t="n"/>
      <c r="H17" s="13" t="n">
        <v>2</v>
      </c>
      <c r="I17" s="14" t="n"/>
      <c r="J17" s="13" t="n">
        <v>2</v>
      </c>
      <c r="K17" s="14" t="n"/>
      <c r="L17" s="14" t="n"/>
      <c r="M17" s="14" t="n"/>
    </row>
    <row r="18">
      <c r="A18" s="13" t="inlineStr">
        <is>
          <t>S-M1-07</t>
        </is>
      </c>
      <c r="B18" s="13" t="inlineStr">
        <is>
          <t>M1</t>
        </is>
      </c>
      <c r="C18" s="13" t="inlineStr">
        <is>
          <t>Customs fundamentals</t>
        </is>
      </c>
      <c r="D18" s="13" t="inlineStr">
        <is>
          <t>Audit a broker filing against our data</t>
        </is>
      </c>
      <c r="E18" s="13" t="inlineStr">
        <is>
          <t>Compares a filed entry line (HTS, value, origin, preference claim, duty) with our item master and PO or invoice data, logs each discrepancy with evidence, and routes it to the right owner.</t>
        </is>
      </c>
      <c r="F18" s="13" t="n">
        <v>2</v>
      </c>
      <c r="G18" s="14" t="n"/>
      <c r="H18" s="13" t="n">
        <v>3</v>
      </c>
      <c r="I18" s="14" t="n"/>
      <c r="J18" s="13" t="n">
        <v>3</v>
      </c>
      <c r="K18" s="14" t="n"/>
      <c r="L18" s="14" t="n"/>
      <c r="M18" s="14" t="n"/>
    </row>
    <row r="19">
      <c r="A19" s="13" t="inlineStr">
        <is>
          <t>S-M1-08</t>
        </is>
      </c>
      <c r="B19" s="13" t="inlineStr">
        <is>
          <t>M1</t>
        </is>
      </c>
      <c r="C19" s="13" t="inlineStr">
        <is>
          <t>Compliance</t>
        </is>
      </c>
      <c r="D19" s="13" t="inlineStr">
        <is>
          <t>Recognize and escalate a compliance issue</t>
        </is>
      </c>
      <c r="E19" s="13" t="inlineStr">
        <is>
          <t>Spots a potential error in classification, value or origin, documents the facts, and escalates to the Senior or Manager the same day without contacting the broker or a government agency about corrections on their own.</t>
        </is>
      </c>
      <c r="F19" s="13" t="n">
        <v>2</v>
      </c>
      <c r="G19" s="14" t="n"/>
      <c r="H19" s="13" t="n">
        <v>3</v>
      </c>
      <c r="I19" s="14" t="n"/>
      <c r="J19" s="13" t="n">
        <v>3</v>
      </c>
      <c r="K19" s="14" t="n"/>
      <c r="L19" s="14" t="n"/>
      <c r="M19" s="14" t="n"/>
    </row>
    <row r="20">
      <c r="A20" s="13" t="inlineStr">
        <is>
          <t>S-M2-01</t>
        </is>
      </c>
      <c r="B20" s="13" t="inlineStr">
        <is>
          <t>M2</t>
        </is>
      </c>
      <c r="C20" s="13" t="inlineStr">
        <is>
          <t>Trade systems</t>
        </is>
      </c>
      <c r="D20" s="13" t="inlineStr">
        <is>
          <t>Explain GTM concepts and map AS400 functions to e2open</t>
        </is>
      </c>
      <c r="E20" s="13" t="inlineStr">
        <is>
          <t>Explains the core GTM functions (product classification, origin and trade agreements, screening, landed cost, customs filing data) and maps each AS400 trade function we use to the e2open concept that will replace it.</t>
        </is>
      </c>
      <c r="F20" s="13" t="n">
        <v>2</v>
      </c>
      <c r="G20" s="14" t="n"/>
      <c r="H20" s="13" t="n">
        <v>2</v>
      </c>
      <c r="I20" s="14" t="n"/>
      <c r="J20" s="13" t="n">
        <v>3</v>
      </c>
      <c r="K20" s="14" t="n"/>
      <c r="L20" s="14" t="n"/>
      <c r="M20" s="14" t="n"/>
    </row>
    <row r="21">
      <c r="A21" s="13" t="inlineStr">
        <is>
          <t>S-M2-02</t>
        </is>
      </c>
      <c r="B21" s="13" t="inlineStr">
        <is>
          <t>M2</t>
        </is>
      </c>
      <c r="C21" s="13" t="inlineStr">
        <is>
          <t>Trade systems</t>
        </is>
      </c>
      <c r="D21" s="13" t="inlineStr">
        <is>
          <t>Trace trade data end to end</t>
        </is>
      </c>
      <c r="E21" s="13" t="inlineStr">
        <is>
          <t>Draws from memory how trade data flows from the AS400 item and classification master through Oracle, broker exchange, SQL Server and the data warehouse to reports, and names at least 3 points where data quality breaks.</t>
        </is>
      </c>
      <c r="F21" s="13" t="n">
        <v>2</v>
      </c>
      <c r="G21" s="14" t="n"/>
      <c r="H21" s="13" t="n">
        <v>3</v>
      </c>
      <c r="I21" s="14" t="n"/>
      <c r="J21" s="13" t="n">
        <v>3</v>
      </c>
      <c r="K21" s="14" t="n"/>
      <c r="L21" s="14" t="n"/>
      <c r="M21" s="14" t="n"/>
    </row>
    <row r="22">
      <c r="A22" s="13" t="inlineStr">
        <is>
          <t>S-M2-03</t>
        </is>
      </c>
      <c r="B22" s="13" t="inlineStr">
        <is>
          <t>M2</t>
        </is>
      </c>
      <c r="C22" s="13" t="inlineStr">
        <is>
          <t>Trade systems</t>
        </is>
      </c>
      <c r="D22" s="13" t="inlineStr">
        <is>
          <t>Look up an item's trade data in AS400</t>
        </is>
      </c>
      <c r="E22" s="13" t="inlineStr">
        <is>
          <t>Finds an item's classification, origin, program flags and rates in the AS400 trade system (inquiry only) or its warehouse copy, and explains any mismatch between the two.</t>
        </is>
      </c>
      <c r="F22" s="13" t="n">
        <v>2</v>
      </c>
      <c r="G22" s="14" t="n"/>
      <c r="H22" s="13" t="n">
        <v>3</v>
      </c>
      <c r="I22" s="14" t="n"/>
      <c r="J22" s="13" t="n">
        <v>3</v>
      </c>
      <c r="K22" s="14" t="n"/>
      <c r="L22" s="14" t="n"/>
      <c r="M22" s="14" t="n"/>
    </row>
    <row r="23">
      <c r="A23" s="13" t="inlineStr">
        <is>
          <t>S-M2-04</t>
        </is>
      </c>
      <c r="B23" s="13" t="inlineStr">
        <is>
          <t>M2</t>
        </is>
      </c>
      <c r="C23" s="13" t="inlineStr">
        <is>
          <t>Trade systems</t>
        </is>
      </c>
      <c r="D23" s="13" t="inlineStr">
        <is>
          <t>Explain Oracle touchpoints for trade data</t>
        </is>
      </c>
      <c r="E23" s="13" t="inlineStr">
        <is>
          <t>Explains which trade data Oracle receives or sends for items, purchase orders, receipts and cost, and shows where duty, freight and fees enter Oracle EBS cost data.</t>
        </is>
      </c>
      <c r="F23" s="13" t="n">
        <v>2</v>
      </c>
      <c r="G23" s="14" t="n"/>
      <c r="H23" s="13" t="n">
        <v>3</v>
      </c>
      <c r="I23" s="14" t="n"/>
      <c r="J23" s="13" t="n">
        <v>3</v>
      </c>
      <c r="K23" s="14" t="n"/>
      <c r="L23" s="14" t="n"/>
      <c r="M23" s="14" t="n"/>
    </row>
    <row r="24">
      <c r="A24" s="13" t="inlineStr">
        <is>
          <t>S-M2-05</t>
        </is>
      </c>
      <c r="B24" s="13" t="inlineStr">
        <is>
          <t>M2</t>
        </is>
      </c>
      <c r="C24" s="13" t="inlineStr">
        <is>
          <t>Trade systems</t>
        </is>
      </c>
      <c r="D24" s="13" t="inlineStr">
        <is>
          <t>Explain and check broker data exchange</t>
        </is>
      </c>
      <c r="E24" s="13" t="inlineStr">
        <is>
          <t>Explains what data goes to each country's broker and what entry data comes back, by which method and how often [COMPANY: broker interfaces], and reconciles a returned file against our master data.</t>
        </is>
      </c>
      <c r="F24" s="13" t="n">
        <v>2</v>
      </c>
      <c r="G24" s="14" t="n"/>
      <c r="H24" s="13" t="n">
        <v>2</v>
      </c>
      <c r="I24" s="14" t="n"/>
      <c r="J24" s="13" t="n">
        <v>3</v>
      </c>
      <c r="K24" s="14" t="n"/>
      <c r="L24" s="14" t="n"/>
      <c r="M24" s="14" t="n"/>
    </row>
    <row r="25">
      <c r="A25" s="13" t="inlineStr">
        <is>
          <t>S-M3-01</t>
        </is>
      </c>
      <c r="B25" s="13" t="inlineStr">
        <is>
          <t>M3</t>
        </is>
      </c>
      <c r="C25" s="13" t="inlineStr">
        <is>
          <t>Data</t>
        </is>
      </c>
      <c r="D25" s="13" t="inlineStr">
        <is>
          <t>Query SQL Server and the warehouse with SQL</t>
        </is>
      </c>
      <c r="E25" s="13" t="inlineStr">
        <is>
          <t>Writes readable T-SQL with joins, filters, aggregation, CTEs and window functions, checks row counts after every join, and saves each query with a header comment stating purpose, source and author.</t>
        </is>
      </c>
      <c r="F25" s="13" t="n">
        <v>3</v>
      </c>
      <c r="G25" s="14" t="n"/>
      <c r="H25" s="13" t="n">
        <v>3</v>
      </c>
      <c r="I25" s="14" t="n"/>
      <c r="J25" s="13" t="n">
        <v>3</v>
      </c>
      <c r="K25" s="14" t="n"/>
      <c r="L25" s="14" t="n"/>
      <c r="M25" s="14" t="n"/>
    </row>
    <row r="26">
      <c r="A26" s="13" t="inlineStr">
        <is>
          <t>S-M3-02</t>
        </is>
      </c>
      <c r="B26" s="13" t="inlineStr">
        <is>
          <t>M3</t>
        </is>
      </c>
      <c r="C26" s="13" t="inlineStr">
        <is>
          <t>Data</t>
        </is>
      </c>
      <c r="D26" s="13" t="inlineStr">
        <is>
          <t>Navigate the data warehouse</t>
        </is>
      </c>
      <c r="E26" s="13" t="inlineStr">
        <is>
          <t>Finds the right table or view for a question, states its grain, keys and refresh timing, and knows which fields come from AS400, Oracle or broker files.</t>
        </is>
      </c>
      <c r="F26" s="13" t="n">
        <v>2</v>
      </c>
      <c r="G26" s="14" t="n"/>
      <c r="H26" s="13" t="n">
        <v>3</v>
      </c>
      <c r="I26" s="14" t="n"/>
      <c r="J26" s="13" t="n">
        <v>3</v>
      </c>
      <c r="K26" s="14" t="n"/>
      <c r="L26" s="14" t="n"/>
      <c r="M26" s="14" t="n"/>
    </row>
    <row r="27">
      <c r="A27" s="13" t="inlineStr">
        <is>
          <t>S-M3-03</t>
        </is>
      </c>
      <c r="B27" s="13" t="inlineStr">
        <is>
          <t>M3</t>
        </is>
      </c>
      <c r="C27" s="13" t="inlineStr">
        <is>
          <t>Data</t>
        </is>
      </c>
      <c r="D27" s="13" t="inlineStr">
        <is>
          <t>Shape data in Excel and Power Query</t>
        </is>
      </c>
      <c r="E27" s="13" t="inlineStr">
        <is>
          <t>Builds a refreshable Power Query that imports, cleans, merges and pivots an extract, with named steps a reviewer can follow and no manual edits after refresh.</t>
        </is>
      </c>
      <c r="F27" s="13" t="n">
        <v>2</v>
      </c>
      <c r="G27" s="14" t="n"/>
      <c r="H27" s="13" t="n">
        <v>3</v>
      </c>
      <c r="I27" s="14" t="n"/>
      <c r="J27" s="13" t="n">
        <v>3</v>
      </c>
      <c r="K27" s="14" t="n"/>
      <c r="L27" s="14" t="n"/>
      <c r="M27" s="14" t="n"/>
    </row>
    <row r="28">
      <c r="A28" s="13" t="inlineStr">
        <is>
          <t>S-M3-04</t>
        </is>
      </c>
      <c r="B28" s="13" t="inlineStr">
        <is>
          <t>M3</t>
        </is>
      </c>
      <c r="C28" s="13" t="inlineStr">
        <is>
          <t>Data</t>
        </is>
      </c>
      <c r="D28" s="13" t="inlineStr">
        <is>
          <t>Use and build Power BI reports</t>
        </is>
      </c>
      <c r="E28" s="13" t="inlineStr">
        <is>
          <t>Traces a report visual to its semantic model and measure, builds a simple page with DAX measures, and explains why a Power BI number differs from an Excel extract.</t>
        </is>
      </c>
      <c r="F28" s="13" t="n">
        <v>2</v>
      </c>
      <c r="G28" s="14" t="n"/>
      <c r="H28" s="13" t="n">
        <v>3</v>
      </c>
      <c r="I28" s="14" t="n"/>
      <c r="J28" s="13" t="n">
        <v>3</v>
      </c>
      <c r="K28" s="14" t="n"/>
      <c r="L28" s="14" t="n"/>
      <c r="M28" s="14" t="n"/>
    </row>
    <row r="29">
      <c r="A29" s="13" t="inlineStr">
        <is>
          <t>S-M3-05</t>
        </is>
      </c>
      <c r="B29" s="13" t="inlineStr">
        <is>
          <t>M3</t>
        </is>
      </c>
      <c r="C29" s="13" t="inlineStr">
        <is>
          <t>Data</t>
        </is>
      </c>
      <c r="D29" s="13" t="inlineStr">
        <is>
          <t>Validate and present an analysis</t>
        </is>
      </c>
      <c r="E29" s="13" t="inlineStr">
        <is>
          <t>Reconciles results to a control total, lists assumptions and caveats, and writes a 1-page findings memo that the reviewer signs off with no material errors.</t>
        </is>
      </c>
      <c r="F29" s="13" t="n">
        <v>2</v>
      </c>
      <c r="G29" s="14" t="n"/>
      <c r="H29" s="13" t="n">
        <v>3</v>
      </c>
      <c r="I29" s="14" t="n"/>
      <c r="J29" s="13" t="n">
        <v>3</v>
      </c>
      <c r="K29" s="14" t="n"/>
      <c r="L29" s="14" t="n"/>
      <c r="M29" s="14" t="n"/>
    </row>
    <row r="30">
      <c r="A30" s="13" t="inlineStr">
        <is>
          <t>S-M3-06</t>
        </is>
      </c>
      <c r="B30" s="13" t="inlineStr">
        <is>
          <t>M3</t>
        </is>
      </c>
      <c r="C30" s="13" t="inlineStr">
        <is>
          <t>Data</t>
        </is>
      </c>
      <c r="D30" s="13" t="inlineStr">
        <is>
          <t>Design KPIs for own process</t>
        </is>
      </c>
      <c r="E30" s="13" t="inlineStr">
        <is>
          <t>Writes each KPI with the full definition checklist (decision it supports, formula as a ratio of sums, grain and filters, source and refresh, owner, target and thresholds, frequency, leading or lagging), computes it on real or practice data, and puts it in Section 10 of the process SOP so the process owner can act on it.</t>
        </is>
      </c>
      <c r="F30" s="13" t="n">
        <v>0</v>
      </c>
      <c r="G30" s="14" t="n"/>
      <c r="H30" s="13" t="n">
        <v>2</v>
      </c>
      <c r="I30" s="14" t="n"/>
      <c r="J30" s="13" t="n">
        <v>3</v>
      </c>
      <c r="K30" s="14" t="n"/>
      <c r="L30" s="14" t="n"/>
      <c r="M30" s="14" t="n"/>
    </row>
    <row r="31">
      <c r="A31" s="13" t="inlineStr">
        <is>
          <t>S-M3-07</t>
        </is>
      </c>
      <c r="B31" s="13" t="inlineStr">
        <is>
          <t>M3</t>
        </is>
      </c>
      <c r="C31" s="13" t="inlineStr">
        <is>
          <t>Data</t>
        </is>
      </c>
      <c r="D31" s="13" t="inlineStr">
        <is>
          <t>Build a star-schema model with DAX measures</t>
        </is>
      </c>
      <c r="E31" s="13" t="inlineStr">
        <is>
          <t>Declares the grain before building, models one fact table with its dimension tables and a marked date table using one-to-many, single-direction relationships, writes measures rather than calculated columns for totals, ratios and prior-period comparisons, and ties every visual total to a SQL control total.</t>
        </is>
      </c>
      <c r="F31" s="13" t="n">
        <v>1</v>
      </c>
      <c r="G31" s="14" t="n"/>
      <c r="H31" s="13" t="n">
        <v>2</v>
      </c>
      <c r="I31" s="14" t="n"/>
      <c r="J31" s="13" t="n">
        <v>3</v>
      </c>
      <c r="K31" s="14" t="n"/>
      <c r="L31" s="14" t="n"/>
      <c r="M31" s="14" t="n"/>
    </row>
    <row r="32">
      <c r="A32" s="13" t="inlineStr">
        <is>
          <t>S-M3-08</t>
        </is>
      </c>
      <c r="B32" s="13" t="inlineStr">
        <is>
          <t>M3</t>
        </is>
      </c>
      <c r="C32" s="13" t="inlineStr">
        <is>
          <t>Data</t>
        </is>
      </c>
      <c r="D32" s="13" t="inlineStr">
        <is>
          <t>Explain a variance with basic statistics</t>
        </is>
      </c>
      <c r="E32" s="13" t="inlineStr">
        <is>
          <t>Splits a change in duty or cost into rate, mix and volume effects with a named convention and grouping that tie to the total, flags unusual lines with the 1.5 x IQR rule and a z-score (or a robust measure when the data is skewed), and investigates and reports flagged lines instead of deleting them.</t>
        </is>
      </c>
      <c r="F32" s="13" t="n">
        <v>0</v>
      </c>
      <c r="G32" s="14" t="n"/>
      <c r="H32" s="13" t="n">
        <v>2</v>
      </c>
      <c r="I32" s="14" t="n"/>
      <c r="J32" s="13" t="n">
        <v>2</v>
      </c>
      <c r="K32" s="14" t="n"/>
      <c r="L32" s="14" t="n"/>
      <c r="M32" s="14" t="n"/>
    </row>
    <row r="33">
      <c r="A33" s="13" t="inlineStr">
        <is>
          <t>S-M4-01</t>
        </is>
      </c>
      <c r="B33" s="13" t="inlineStr">
        <is>
          <t>M4</t>
        </is>
      </c>
      <c r="C33" s="13" t="inlineStr">
        <is>
          <t>BSA craft</t>
        </is>
      </c>
      <c r="D33" s="13" t="inlineStr">
        <is>
          <t>Run intake and scope a request</t>
        </is>
      </c>
      <c r="E33" s="13" t="inlineStr">
        <is>
          <t>Runs an intake conversation, completes docs/templates/bsa/01-intake-request.md, and creates a Jira item with problem, impact, scope and acceptance criteria that the requester confirms.</t>
        </is>
      </c>
      <c r="F33" s="13" t="n">
        <v>2</v>
      </c>
      <c r="G33" s="14" t="n"/>
      <c r="H33" s="13" t="n">
        <v>3</v>
      </c>
      <c r="I33" s="14" t="n"/>
      <c r="J33" s="13" t="n">
        <v>3</v>
      </c>
      <c r="K33" s="14" t="n"/>
      <c r="L33" s="14" t="n"/>
      <c r="M33" s="14" t="n"/>
    </row>
    <row r="34">
      <c r="A34" s="13" t="inlineStr">
        <is>
          <t>S-M4-02</t>
        </is>
      </c>
      <c r="B34" s="13" t="inlineStr">
        <is>
          <t>M4</t>
        </is>
      </c>
      <c r="C34" s="13" t="inlineStr">
        <is>
          <t>BSA craft</t>
        </is>
      </c>
      <c r="D34" s="13" t="inlineStr">
        <is>
          <t>Write testable requirements and user stories</t>
        </is>
      </c>
      <c r="E34" s="13" t="inlineStr">
        <is>
          <t>Writes requirements and user stories with acceptance criteria and MoSCoW priority (docs/templates/bsa/02-requirements.md and 07-jira-epic-story.md) that a tester could test without asking questions.</t>
        </is>
      </c>
      <c r="F34" s="13" t="n">
        <v>1</v>
      </c>
      <c r="G34" s="14" t="n"/>
      <c r="H34" s="13" t="n">
        <v>2</v>
      </c>
      <c r="I34" s="14" t="n"/>
      <c r="J34" s="13" t="n">
        <v>3</v>
      </c>
      <c r="K34" s="14" t="n"/>
      <c r="L34" s="14" t="n"/>
      <c r="M34" s="14" t="n"/>
    </row>
    <row r="35">
      <c r="A35" s="13" t="inlineStr">
        <is>
          <t>S-M4-03</t>
        </is>
      </c>
      <c r="B35" s="13" t="inlineStr">
        <is>
          <t>M4</t>
        </is>
      </c>
      <c r="C35" s="13" t="inlineStr">
        <is>
          <t>BSA craft</t>
        </is>
      </c>
      <c r="D35" s="13" t="inlineStr">
        <is>
          <t>Document an as-is process</t>
        </is>
      </c>
      <c r="E35" s="13" t="inlineStr">
        <is>
          <t>Documents an as-is process with steps, roles, systems, inputs, outputs, controls and pain points in docs/templates/bsa/03-process-map-as-is-to-be.md, and the process owner confirms it is accurate.</t>
        </is>
      </c>
      <c r="F35" s="13" t="n">
        <v>1</v>
      </c>
      <c r="G35" s="14" t="n"/>
      <c r="H35" s="13" t="n">
        <v>2</v>
      </c>
      <c r="I35" s="14" t="n"/>
      <c r="J35" s="13" t="n">
        <v>3</v>
      </c>
      <c r="K35" s="14" t="n"/>
      <c r="L35" s="14" t="n"/>
      <c r="M35" s="14" t="n"/>
    </row>
    <row r="36">
      <c r="A36" s="13" t="inlineStr">
        <is>
          <t>S-M4-04</t>
        </is>
      </c>
      <c r="B36" s="13" t="inlineStr">
        <is>
          <t>M4</t>
        </is>
      </c>
      <c r="C36" s="13" t="inlineStr">
        <is>
          <t>BSA craft</t>
        </is>
      </c>
      <c r="D36" s="13" t="inlineStr">
        <is>
          <t>Write a data mapping spec</t>
        </is>
      </c>
      <c r="E36" s="13" t="inlineStr">
        <is>
          <t>Maps each source field to its target with type, rules, transformations and data-quality notes in docs/templates/bsa/04-data-mapping-spec.md, and the reviewer finds no unmapped required field.</t>
        </is>
      </c>
      <c r="F36" s="13" t="n">
        <v>1</v>
      </c>
      <c r="G36" s="14" t="n"/>
      <c r="H36" s="13" t="n">
        <v>2</v>
      </c>
      <c r="I36" s="14" t="n"/>
      <c r="J36" s="13" t="n">
        <v>3</v>
      </c>
      <c r="K36" s="14" t="n"/>
      <c r="L36" s="14" t="n"/>
      <c r="M36" s="14" t="n"/>
    </row>
    <row r="37">
      <c r="A37" s="13" t="inlineStr">
        <is>
          <t>S-M4-05</t>
        </is>
      </c>
      <c r="B37" s="13" t="inlineStr">
        <is>
          <t>M4</t>
        </is>
      </c>
      <c r="C37" s="13" t="inlineStr">
        <is>
          <t>BSA craft</t>
        </is>
      </c>
      <c r="D37" s="13" t="inlineStr">
        <is>
          <t>Plan and run UAT</t>
        </is>
      </c>
      <c r="E37" s="13" t="inlineStr">
        <is>
          <t>Writes UAT cases with expected results traced to requirements (docs/templates/bsa/05-uat-test-plan.md), runs them, logs defects with reproduction steps, and records business sign-off.</t>
        </is>
      </c>
      <c r="F37" s="13" t="n">
        <v>0</v>
      </c>
      <c r="G37" s="14" t="n"/>
      <c r="H37" s="13" t="n">
        <v>1</v>
      </c>
      <c r="I37" s="14" t="n"/>
      <c r="J37" s="13" t="n">
        <v>2</v>
      </c>
      <c r="K37" s="14" t="n"/>
      <c r="L37" s="14" t="n"/>
      <c r="M37" s="14" t="n"/>
    </row>
    <row r="38">
      <c r="A38" s="13" t="inlineStr">
        <is>
          <t>S-M4-06</t>
        </is>
      </c>
      <c r="B38" s="13" t="inlineStr">
        <is>
          <t>M4</t>
        </is>
      </c>
      <c r="C38" s="13" t="inlineStr">
        <is>
          <t>BSA craft</t>
        </is>
      </c>
      <c r="D38" s="13" t="inlineStr">
        <is>
          <t>Take a change through change control</t>
        </is>
      </c>
      <c r="E38" s="13" t="inlineStr">
        <is>
          <t>Raises a change request with impact, test evidence, rollback plan and checker review (docs/templates/bsa/06-change-request.md) before anything moves to production.</t>
        </is>
      </c>
      <c r="F38" s="13" t="n">
        <v>0</v>
      </c>
      <c r="G38" s="14" t="n"/>
      <c r="H38" s="13" t="n">
        <v>2</v>
      </c>
      <c r="I38" s="14" t="n"/>
      <c r="J38" s="13" t="n">
        <v>3</v>
      </c>
      <c r="K38" s="14" t="n"/>
      <c r="L38" s="14" t="n"/>
      <c r="M38" s="14" t="n"/>
    </row>
    <row r="39">
      <c r="A39" s="13" t="inlineStr">
        <is>
          <t>S-M4-07</t>
        </is>
      </c>
      <c r="B39" s="13" t="inlineStr">
        <is>
          <t>M4</t>
        </is>
      </c>
      <c r="C39" s="13" t="inlineStr">
        <is>
          <t>BSA fundamentals</t>
        </is>
      </c>
      <c r="D39" s="13" t="inlineStr">
        <is>
          <t>Analyse stakeholders for a work item</t>
        </is>
      </c>
      <c r="E39" s="13" t="inlineStr">
        <is>
          <t>Lists the stakeholders of a work item with their interest, influence and RACI role, decides who needs close engagement and how each one is kept informed, and records the list on the item's Jira issue (docs/primers/business-systems-analysis-primer.md Part 3).</t>
        </is>
      </c>
      <c r="F39" s="13" t="n">
        <v>2</v>
      </c>
      <c r="G39" s="14" t="n"/>
      <c r="H39" s="13" t="n">
        <v>3</v>
      </c>
      <c r="I39" s="14" t="n"/>
      <c r="J39" s="13" t="n">
        <v>3</v>
      </c>
      <c r="K39" s="14" t="n"/>
      <c r="L39" s="14" t="n"/>
      <c r="M39" s="14" t="n"/>
    </row>
    <row r="40">
      <c r="A40" s="13" t="inlineStr">
        <is>
          <t>S-M4-08</t>
        </is>
      </c>
      <c r="B40" s="13" t="inlineStr">
        <is>
          <t>M4</t>
        </is>
      </c>
      <c r="C40" s="13" t="inlineStr">
        <is>
          <t>BSA fundamentals</t>
        </is>
      </c>
      <c r="D40" s="13" t="inlineStr">
        <is>
          <t>Plan and run elicitation</t>
        </is>
      </c>
      <c r="E40" s="13" t="inlineStr">
        <is>
          <t>Writes an elicitation plan that picks a technique for each open question (interview, observation, document analysis or workshop), asks neutral questions, confirms what was heard in writing, and routes broker and counsel questions through the Senior before the day-60 review.</t>
        </is>
      </c>
      <c r="F40" s="13" t="n">
        <v>2</v>
      </c>
      <c r="G40" s="14" t="n"/>
      <c r="H40" s="13" t="n">
        <v>2</v>
      </c>
      <c r="I40" s="14" t="n"/>
      <c r="J40" s="13" t="n">
        <v>3</v>
      </c>
      <c r="K40" s="14" t="n"/>
      <c r="L40" s="14" t="n"/>
      <c r="M40" s="14" t="n"/>
    </row>
    <row r="41">
      <c r="A41" s="13" t="inlineStr">
        <is>
          <t>S-M4-09</t>
        </is>
      </c>
      <c r="B41" s="13" t="inlineStr">
        <is>
          <t>M4</t>
        </is>
      </c>
      <c r="C41" s="13" t="inlineStr">
        <is>
          <t>BSA fundamentals</t>
        </is>
      </c>
      <c r="D41" s="13" t="inlineStr">
        <is>
          <t>Check requirement quality and write acceptance criteria</t>
        </is>
      </c>
      <c r="E41" s="13" t="inlineStr">
        <is>
          <t>Classifies each requirement as business, stakeholder, solution (functional or non-functional) or transition, rewrites vague wording as testable statements, checks user stories against INVEST, and writes Given/When/Then acceptance criteria that cover edge cases such as effective dates.</t>
        </is>
      </c>
      <c r="F41" s="13" t="n">
        <v>1</v>
      </c>
      <c r="G41" s="14" t="n"/>
      <c r="H41" s="13" t="n">
        <v>2</v>
      </c>
      <c r="I41" s="14" t="n"/>
      <c r="J41" s="13" t="n">
        <v>3</v>
      </c>
      <c r="K41" s="14" t="n"/>
      <c r="L41" s="14" t="n"/>
      <c r="M41" s="14" t="n"/>
    </row>
    <row r="42">
      <c r="A42" s="13" t="inlineStr">
        <is>
          <t>S-M4-10</t>
        </is>
      </c>
      <c r="B42" s="13" t="inlineStr">
        <is>
          <t>M4</t>
        </is>
      </c>
      <c r="C42" s="13" t="inlineStr">
        <is>
          <t>BSA fundamentals</t>
        </is>
      </c>
      <c r="D42" s="13" t="inlineStr">
        <is>
          <t>Prioritize and trace requirements</t>
        </is>
      </c>
      <c r="E42" s="13" t="inlineStr">
        <is>
          <t>Prioritizes requirements with MoSCoW, keeps a traceability matrix from business need to requirement, test case and release, and updates it and tells the affected stakeholders when a requirement changes.</t>
        </is>
      </c>
      <c r="F42" s="13" t="n">
        <v>1</v>
      </c>
      <c r="G42" s="14" t="n"/>
      <c r="H42" s="13" t="n">
        <v>2</v>
      </c>
      <c r="I42" s="14" t="n"/>
      <c r="J42" s="13" t="n">
        <v>3</v>
      </c>
      <c r="K42" s="14" t="n"/>
      <c r="L42" s="14" t="n"/>
      <c r="M42" s="14" t="n"/>
    </row>
    <row r="43">
      <c r="A43" s="13" t="inlineStr">
        <is>
          <t>S-M5R-01</t>
        </is>
      </c>
      <c r="B43" s="13" t="inlineStr">
        <is>
          <t>M5R</t>
        </is>
      </c>
      <c r="C43" s="13" t="inlineStr">
        <is>
          <t>Research</t>
        </is>
      </c>
      <c r="D43" s="13" t="inlineStr">
        <is>
          <t>Find and read primary sources</t>
        </is>
      </c>
      <c r="E43" s="13" t="inlineStr">
        <is>
          <t>Within 60 minutes finds and reads the controlling sources for a new action (Federal Register notice and annexes, proclamation or executive order, CBP CSMS, HTSUS Chapter 99, CBSA customs notices, DOF) and monitors them for changes.</t>
        </is>
      </c>
      <c r="F43" s="13" t="n">
        <v>1</v>
      </c>
      <c r="G43" s="14" t="n"/>
      <c r="H43" s="13" t="n">
        <v>1</v>
      </c>
      <c r="I43" s="14" t="n"/>
      <c r="J43" s="13" t="n">
        <v>1</v>
      </c>
      <c r="K43" s="14" t="n"/>
      <c r="L43" s="14" t="n"/>
      <c r="M43" s="14" t="n"/>
    </row>
    <row r="44">
      <c r="A44" s="13" t="inlineStr">
        <is>
          <t>S-M5R-02</t>
        </is>
      </c>
      <c r="B44" s="13" t="inlineStr">
        <is>
          <t>M5R</t>
        </is>
      </c>
      <c r="C44" s="13" t="inlineStr">
        <is>
          <t>Research</t>
        </is>
      </c>
      <c r="D44" s="13" t="inlineStr">
        <is>
          <t>Determine the legal scope of a tariff action</t>
        </is>
      </c>
      <c r="E44" s="13" t="inlineStr">
        <is>
          <t>States affected HTS codes, countries of origin, rates, effective and end dates, exclusions and in-transit rules with a citation for each, and matches the HTS list to our item master.</t>
        </is>
      </c>
      <c r="F44" s="13" t="n">
        <v>1</v>
      </c>
      <c r="G44" s="14" t="n"/>
      <c r="H44" s="13" t="n">
        <v>1</v>
      </c>
      <c r="I44" s="14" t="n"/>
      <c r="J44" s="13" t="n">
        <v>1</v>
      </c>
      <c r="K44" s="14" t="n"/>
      <c r="L44" s="14" t="n"/>
      <c r="M44" s="14" t="n"/>
    </row>
    <row r="45">
      <c r="A45" s="13" t="inlineStr">
        <is>
          <t>S-M5R-03</t>
        </is>
      </c>
      <c r="B45" s="13" t="inlineStr">
        <is>
          <t>M5R</t>
        </is>
      </c>
      <c r="C45" s="13" t="inlineStr">
        <is>
          <t>Research</t>
        </is>
      </c>
      <c r="D45" s="13" t="inlineStr">
        <is>
          <t>Interpret stacking and exclusions</t>
        </is>
      </c>
      <c r="E45" s="13" t="inlineStr">
        <is>
          <t>Works out which Chapter 99 provisions and other measures apply together to an item and how they interact with USMCA claims, and writes the interpretation with sources for checker review.</t>
        </is>
      </c>
      <c r="F45" s="13" t="n">
        <v>0</v>
      </c>
      <c r="G45" s="14" t="n"/>
      <c r="H45" s="13" t="n">
        <v>1</v>
      </c>
      <c r="I45" s="14" t="n"/>
      <c r="J45" s="13" t="n">
        <v>1</v>
      </c>
      <c r="K45" s="14" t="n"/>
      <c r="L45" s="14" t="n"/>
      <c r="M45" s="14" t="n"/>
    </row>
    <row r="46">
      <c r="A46" s="13" t="inlineStr">
        <is>
          <t>S-M5R-04</t>
        </is>
      </c>
      <c r="B46" s="13" t="inlineStr">
        <is>
          <t>M5R</t>
        </is>
      </c>
      <c r="C46" s="13" t="inlineStr">
        <is>
          <t>Research</t>
        </is>
      </c>
      <c r="D46" s="13" t="inlineStr">
        <is>
          <t>Write a Tariff-Impact Brief</t>
        </is>
      </c>
      <c r="E46" s="13" t="inlineStr">
        <is>
          <t>Completes docs/templates/domain/tariff-impact-brief.md with a primary source for every claim, open questions flagged and no dollar conclusions, and the checker finds no material errors.</t>
        </is>
      </c>
      <c r="F46" s="13" t="n">
        <v>0</v>
      </c>
      <c r="G46" s="14" t="n"/>
      <c r="H46" s="13" t="n">
        <v>1</v>
      </c>
      <c r="I46" s="14" t="n"/>
      <c r="J46" s="13" t="n">
        <v>1</v>
      </c>
      <c r="K46" s="14" t="n"/>
      <c r="L46" s="14" t="n"/>
      <c r="M46" s="14" t="n"/>
    </row>
    <row r="47">
      <c r="A47" s="13" t="inlineStr">
        <is>
          <t>S-M5R-05</t>
        </is>
      </c>
      <c r="B47" s="13" t="inlineStr">
        <is>
          <t>M5R</t>
        </is>
      </c>
      <c r="C47" s="13" t="inlineStr">
        <is>
          <t>Research</t>
        </is>
      </c>
      <c r="D47" s="13" t="inlineStr">
        <is>
          <t>Enter the Research inputs in the Tariff-Impact Model</t>
        </is>
      </c>
      <c r="E47" s="13" t="inlineStr">
        <is>
          <t>Enters the WHAT inputs (HTS, countries, rates, dates, stacking rules, sources) in the shared Tariff-Impact Model and hands off to Standard Cost with no more than one clarification round.</t>
        </is>
      </c>
      <c r="F47" s="13" t="n">
        <v>0</v>
      </c>
      <c r="G47" s="14" t="n"/>
      <c r="H47" s="13" t="n">
        <v>1</v>
      </c>
      <c r="I47" s="14" t="n"/>
      <c r="J47" s="13" t="n">
        <v>1</v>
      </c>
      <c r="K47" s="14" t="n"/>
      <c r="L47" s="14" t="n"/>
      <c r="M47" s="14" t="n"/>
    </row>
    <row r="48">
      <c r="A48" s="13" t="inlineStr">
        <is>
          <t>S-M5R-06</t>
        </is>
      </c>
      <c r="B48" s="13" t="inlineStr">
        <is>
          <t>M5R</t>
        </is>
      </c>
      <c r="C48" s="13" t="inlineStr">
        <is>
          <t>Research</t>
        </is>
      </c>
      <c r="D48" s="13" t="inlineStr">
        <is>
          <t>Run an ad-hoc investigation</t>
        </is>
      </c>
      <c r="E48" s="13" t="inlineStr">
        <is>
          <t>Frames the question, gathers sources and data, states the finding and a recommendation in a short write-up, and closes the Jira item after review with no material errors.</t>
        </is>
      </c>
      <c r="F48" s="13" t="n">
        <v>0</v>
      </c>
      <c r="G48" s="14" t="n"/>
      <c r="H48" s="13" t="n">
        <v>1</v>
      </c>
      <c r="I48" s="14" t="n"/>
      <c r="J48" s="13" t="n">
        <v>1</v>
      </c>
      <c r="K48" s="14" t="n"/>
      <c r="L48" s="14" t="n"/>
      <c r="M48" s="14" t="n"/>
    </row>
    <row r="49">
      <c r="A49" s="13" t="inlineStr">
        <is>
          <t>S-M5R-07</t>
        </is>
      </c>
      <c r="B49" s="13" t="inlineStr">
        <is>
          <t>M5R</t>
        </is>
      </c>
      <c r="C49" s="13" t="inlineStr">
        <is>
          <t>Research</t>
        </is>
      </c>
      <c r="D49" s="13" t="inlineStr">
        <is>
          <t>Run the Research cycle end to end under maker-checker</t>
        </is>
      </c>
      <c r="E49" s="13" t="inlineStr">
        <is>
          <t>Takes a live tariff action from Jira intake through brief, model inputs, handoff to Standard Cost and business communication as maker, with a documented checker sign-off before release.</t>
        </is>
      </c>
      <c r="F49" s="13" t="n">
        <v>0</v>
      </c>
      <c r="G49" s="14" t="n"/>
      <c r="H49" s="13" t="n">
        <v>1</v>
      </c>
      <c r="I49" s="14" t="n"/>
      <c r="J49" s="13" t="n">
        <v>1</v>
      </c>
      <c r="K49" s="14" t="n"/>
      <c r="L49" s="14" t="n"/>
      <c r="M49" s="14" t="n"/>
    </row>
    <row r="50">
      <c r="A50" s="13" t="inlineStr">
        <is>
          <t>S-M5C-01</t>
        </is>
      </c>
      <c r="B50" s="13" t="inlineStr">
        <is>
          <t>M5C</t>
        </is>
      </c>
      <c r="C50" s="13" t="inlineStr">
        <is>
          <t>Standard cost</t>
        </is>
      </c>
      <c r="D50" s="13" t="inlineStr">
        <is>
          <t>Explain standard costing and Oracle cost elements</t>
        </is>
      </c>
      <c r="E50" s="13" t="inlineStr">
        <is>
          <t>Explains how standard cost values inventory and drives PPV and margin, which cost elements hold price, freight, duty and fees in Oracle EBS, and when standards are changed.</t>
        </is>
      </c>
      <c r="F50" s="13" t="n">
        <v>2</v>
      </c>
      <c r="G50" s="14" t="n"/>
      <c r="H50" s="13" t="n">
        <v>3</v>
      </c>
      <c r="I50" s="14" t="n"/>
      <c r="J50" s="13" t="n">
        <v>3</v>
      </c>
      <c r="K50" s="14" t="n"/>
      <c r="L50" s="14" t="n"/>
      <c r="M50" s="14" t="n"/>
    </row>
    <row r="51">
      <c r="A51" s="13" t="inlineStr">
        <is>
          <t>S-M5C-02</t>
        </is>
      </c>
      <c r="B51" s="13" t="inlineStr">
        <is>
          <t>M5C</t>
        </is>
      </c>
      <c r="C51" s="13" t="inlineStr">
        <is>
          <t>Standard cost</t>
        </is>
      </c>
      <c r="D51" s="13" t="inlineStr">
        <is>
          <t>Build item landed cost</t>
        </is>
      </c>
      <c r="E51" s="13" t="inlineStr">
        <is>
          <t>Rebuilds an item's landed cost from source data (price, freight, insurance, duty, MPF and HMF, brokerage, inland freight, [COMPANY: other components]) and matches the current standard within [COMPANY: tolerance] or explains each difference.</t>
        </is>
      </c>
      <c r="F51" s="13" t="n">
        <v>2</v>
      </c>
      <c r="G51" s="14" t="n"/>
      <c r="H51" s="13" t="n">
        <v>3</v>
      </c>
      <c r="I51" s="14" t="n"/>
      <c r="J51" s="13" t="n">
        <v>3</v>
      </c>
      <c r="K51" s="14" t="n"/>
      <c r="L51" s="14" t="n"/>
      <c r="M51" s="14" t="n"/>
    </row>
    <row r="52">
      <c r="A52" s="13" t="inlineStr">
        <is>
          <t>S-M5C-03</t>
        </is>
      </c>
      <c r="B52" s="13" t="inlineStr">
        <is>
          <t>M5C</t>
        </is>
      </c>
      <c r="C52" s="13" t="inlineStr">
        <is>
          <t>Standard cost</t>
        </is>
      </c>
      <c r="D52" s="13" t="inlineStr">
        <is>
          <t>Query item cost and cost-element data</t>
        </is>
      </c>
      <c r="E52" s="13" t="inlineStr">
        <is>
          <t>Without help, pulls item standard cost and cost-element history from [COMPANY: warehouse cost tables or Oracle extract] and reconciles a sample item's total to Oracle.</t>
        </is>
      </c>
      <c r="F52" s="13" t="n">
        <v>3</v>
      </c>
      <c r="G52" s="14" t="n"/>
      <c r="H52" s="13" t="n">
        <v>3</v>
      </c>
      <c r="I52" s="14" t="n"/>
      <c r="J52" s="13" t="n">
        <v>3</v>
      </c>
      <c r="K52" s="14" t="n"/>
      <c r="L52" s="14" t="n"/>
      <c r="M52" s="14" t="n"/>
    </row>
    <row r="53">
      <c r="A53" s="13" t="inlineStr">
        <is>
          <t>S-M5C-04</t>
        </is>
      </c>
      <c r="B53" s="13" t="inlineStr">
        <is>
          <t>M5C</t>
        </is>
      </c>
      <c r="C53" s="13" t="inlineStr">
        <is>
          <t>Standard cost</t>
        </is>
      </c>
      <c r="D53" s="13" t="inlineStr">
        <is>
          <t>Model tariff impact on landed cost and margin</t>
        </is>
      </c>
      <c r="E53" s="13" t="inlineStr">
        <is>
          <t>Using a Tariff-Impact Brief, applies its rates and stacking to the in-scope items' duty base in the shared model, calculates landed-cost and margin impact on a stated volume basis, and passes checker review.</t>
        </is>
      </c>
      <c r="F53" s="13" t="n">
        <v>1</v>
      </c>
      <c r="G53" s="14" t="n"/>
      <c r="H53" s="13" t="n">
        <v>3</v>
      </c>
      <c r="I53" s="14" t="n"/>
      <c r="J53" s="13" t="n">
        <v>3</v>
      </c>
      <c r="K53" s="14" t="n"/>
      <c r="L53" s="14" t="n"/>
      <c r="M53" s="14" t="n"/>
    </row>
    <row r="54">
      <c r="A54" s="13" t="inlineStr">
        <is>
          <t>S-M5C-05</t>
        </is>
      </c>
      <c r="B54" s="13" t="inlineStr">
        <is>
          <t>M5C</t>
        </is>
      </c>
      <c r="C54" s="13" t="inlineStr">
        <is>
          <t>Standard cost</t>
        </is>
      </c>
      <c r="D54" s="13" t="inlineStr">
        <is>
          <t>Run the standard cost update cycle with Finance</t>
        </is>
      </c>
      <c r="E54" s="13" t="inlineStr">
        <is>
          <t>Follows docs/templates/domain/standard-cost-update-checklist.md to prepare and tie out the duty and landed-cost input file, gets Finance and checker sign-off before any Oracle load, and reconciles after the update.</t>
        </is>
      </c>
      <c r="F54" s="13" t="n">
        <v>1</v>
      </c>
      <c r="G54" s="14" t="n"/>
      <c r="H54" s="13" t="n">
        <v>2</v>
      </c>
      <c r="I54" s="14" t="n"/>
      <c r="J54" s="13" t="n">
        <v>3</v>
      </c>
      <c r="K54" s="14" t="n"/>
      <c r="L54" s="14" t="n"/>
      <c r="M54" s="14" t="n"/>
    </row>
    <row r="55">
      <c r="A55" s="13" t="inlineStr">
        <is>
          <t>S-M5C-06</t>
        </is>
      </c>
      <c r="B55" s="13" t="inlineStr">
        <is>
          <t>M5C</t>
        </is>
      </c>
      <c r="C55" s="13" t="inlineStr">
        <is>
          <t>Standard cost</t>
        </is>
      </c>
      <c r="D55" s="13" t="inlineStr">
        <is>
          <t>Analyze purchase price variance (PPV)</t>
        </is>
      </c>
      <c r="E55" s="13" t="inlineStr">
        <is>
          <t>For a closed period, explains the top 10 PPV items by driver (vendor price, duty or tariff, freight, FX, other) and ties total PPV to [COMPANY: Finance PPV report or GL account] within [COMPANY: tolerance].</t>
        </is>
      </c>
      <c r="F55" s="13" t="n">
        <v>2</v>
      </c>
      <c r="G55" s="14" t="n"/>
      <c r="H55" s="13" t="n">
        <v>3</v>
      </c>
      <c r="I55" s="14" t="n"/>
      <c r="J55" s="13" t="n">
        <v>3</v>
      </c>
      <c r="K55" s="14" t="n"/>
      <c r="L55" s="14" t="n"/>
      <c r="M55" s="14" t="n"/>
    </row>
    <row r="56">
      <c r="A56" s="13" t="inlineStr">
        <is>
          <t>S-M5C-07</t>
        </is>
      </c>
      <c r="B56" s="13" t="inlineStr">
        <is>
          <t>M5C</t>
        </is>
      </c>
      <c r="C56" s="13" t="inlineStr">
        <is>
          <t>Standard cost</t>
        </is>
      </c>
      <c r="D56" s="13" t="inlineStr">
        <is>
          <t>Explain how trade outcomes change item cost</t>
        </is>
      </c>
      <c r="E56" s="13" t="inlineStr">
        <is>
          <t>Explains how a USMCA claim, a classification or valuation change, or a new tariff flows into duty, landed cost and margin, including the cost effect of a denied USMCA claim.</t>
        </is>
      </c>
      <c r="F56" s="13" t="n">
        <v>2</v>
      </c>
      <c r="G56" s="14" t="n"/>
      <c r="H56" s="13" t="n">
        <v>3</v>
      </c>
      <c r="I56" s="14" t="n"/>
      <c r="J56" s="13" t="n">
        <v>3</v>
      </c>
      <c r="K56" s="14" t="n"/>
      <c r="L56" s="14" t="n"/>
      <c r="M56" s="14" t="n"/>
    </row>
    <row r="57">
      <c r="A57" s="13" t="inlineStr">
        <is>
          <t>S-M6-01</t>
        </is>
      </c>
      <c r="B57" s="13" t="inlineStr">
        <is>
          <t>M6</t>
        </is>
      </c>
      <c r="C57" s="13" t="inlineStr">
        <is>
          <t>Tools</t>
        </is>
      </c>
      <c r="D57" s="13" t="inlineStr">
        <is>
          <t>Inventory a custom tool</t>
        </is>
      </c>
      <c r="E57" s="13" t="inlineStr">
        <is>
          <t>Completes a Tool Inventory row (purpose, users, stack, location, data sources, run frequency, knowledge holder, risk, e2open impact) from a walkthrough or the tool itself, and the Manager confirms it is accurate.</t>
        </is>
      </c>
      <c r="F57" s="13" t="n">
        <v>2</v>
      </c>
      <c r="G57" s="14" t="n"/>
      <c r="H57" s="13" t="n">
        <v>3</v>
      </c>
      <c r="I57" s="14" t="n"/>
      <c r="J57" s="13" t="n">
        <v>3</v>
      </c>
      <c r="K57" s="14" t="n"/>
      <c r="L57" s="14" t="n"/>
      <c r="M57" s="14" t="n"/>
    </row>
    <row r="58">
      <c r="A58" s="13" t="inlineStr">
        <is>
          <t>S-M6-02</t>
        </is>
      </c>
      <c r="B58" s="13" t="inlineStr">
        <is>
          <t>M6</t>
        </is>
      </c>
      <c r="C58" s="13" t="inlineStr">
        <is>
          <t>Tools</t>
        </is>
      </c>
      <c r="D58" s="13" t="inlineStr">
        <is>
          <t>Run and support the owned tool</t>
        </is>
      </c>
      <c r="E58" s="13" t="inlineStr">
        <is>
          <t>Runs the owned tool end to end (before day 60: once, either supervised in production with the knowledge holder or alone on a test copy; after the day-60 review: on schedule without help), recovers from its known failure modes, is recorded as Knowledge holder today in the Tool Inventory, and is the owner and first point of contact in its tool doc in OneNote.</t>
        </is>
      </c>
      <c r="F58" s="13" t="n">
        <v>1</v>
      </c>
      <c r="G58" s="14" t="n"/>
      <c r="H58" s="13" t="n">
        <v>3</v>
      </c>
      <c r="I58" s="14" t="n"/>
      <c r="J58" s="13" t="n">
        <v>3</v>
      </c>
      <c r="K58" s="14" t="n"/>
      <c r="L58" s="14" t="n"/>
      <c r="M58" s="14" t="n"/>
    </row>
    <row r="59">
      <c r="A59" s="13" t="inlineStr">
        <is>
          <t>S-M6-03</t>
        </is>
      </c>
      <c r="B59" s="13" t="inlineStr">
        <is>
          <t>M6</t>
        </is>
      </c>
      <c r="C59" s="13" t="inlineStr">
        <is>
          <t>Tools</t>
        </is>
      </c>
      <c r="D59" s="13" t="inlineStr">
        <is>
          <t>Document the owned tool</t>
        </is>
      </c>
      <c r="E59" s="13" t="inlineStr">
        <is>
          <t>Publishes a tool doc (docs/templates/knowledge/tool-doc.md) covering purpose, inputs, outputs, logic, dependencies, hard-coded values, backup location, the tool's platform path (database objects, connections, the account it runs as, schedule, server location) and a proposed e2open disposition that the Manager could follow alone.</t>
        </is>
      </c>
      <c r="F59" s="13" t="n">
        <v>1</v>
      </c>
      <c r="G59" s="14" t="n"/>
      <c r="H59" s="13" t="n">
        <v>3</v>
      </c>
      <c r="I59" s="14" t="n"/>
      <c r="J59" s="13" t="n">
        <v>3</v>
      </c>
      <c r="K59" s="14" t="n"/>
      <c r="L59" s="14" t="n"/>
      <c r="M59" s="14" t="n"/>
    </row>
    <row r="60">
      <c r="A60" s="13" t="inlineStr">
        <is>
          <t>S-M6-04</t>
        </is>
      </c>
      <c r="B60" s="13" t="inlineStr">
        <is>
          <t>M6</t>
        </is>
      </c>
      <c r="C60" s="13" t="inlineStr">
        <is>
          <t>Tools</t>
        </is>
      </c>
      <c r="D60" s="13" t="inlineStr">
        <is>
          <t>Troubleshoot and change the owned tool</t>
        </is>
      </c>
      <c r="E60" s="13" t="inlineStr">
        <is>
          <t>Reads the tool's Python, VBA, Access or Power Automate logic to find the cause of an issue, and drafts and tests a fix in a test copy through a change request that names the environments, the test evidence and the rollback, with the Manager as checker; production changes only after the day-60 review.</t>
        </is>
      </c>
      <c r="F60" s="13" t="n">
        <v>0</v>
      </c>
      <c r="G60" s="14" t="n"/>
      <c r="H60" s="13" t="n">
        <v>2</v>
      </c>
      <c r="I60" s="14" t="n"/>
      <c r="J60" s="13" t="n">
        <v>3</v>
      </c>
      <c r="K60" s="14" t="n"/>
      <c r="L60" s="14" t="n"/>
      <c r="M60" s="14" t="n"/>
    </row>
    <row r="61">
      <c r="A61" s="13" t="inlineStr">
        <is>
          <t>S-M6-05</t>
        </is>
      </c>
      <c r="B61" s="13" t="inlineStr">
        <is>
          <t>M6</t>
        </is>
      </c>
      <c r="C61" s="13" t="inlineStr">
        <is>
          <t>Tools</t>
        </is>
      </c>
      <c r="D61" s="13" t="inlineStr">
        <is>
          <t>Learn a second custom tool</t>
        </is>
      </c>
      <c r="E61" s="13" t="inlineStr">
        <is>
          <t>Runs a second tool from its tool doc, corrects gaps in that doc, and can stand in as backup for the other hire's owned tool.</t>
        </is>
      </c>
      <c r="F61" s="13" t="n">
        <v>0</v>
      </c>
      <c r="G61" s="14" t="n"/>
      <c r="H61" s="13" t="n">
        <v>1</v>
      </c>
      <c r="I61" s="14" t="n"/>
      <c r="J61" s="13" t="n">
        <v>2</v>
      </c>
      <c r="K61" s="14" t="n"/>
      <c r="L61" s="14" t="n"/>
      <c r="M61" s="14" t="n"/>
    </row>
    <row r="62">
      <c r="A62" s="13" t="inlineStr">
        <is>
          <t>S-M7-01</t>
        </is>
      </c>
      <c r="B62" s="13" t="inlineStr">
        <is>
          <t>M7</t>
        </is>
      </c>
      <c r="C62" s="13" t="inlineStr">
        <is>
          <t>Exports</t>
        </is>
      </c>
      <c r="D62" s="13" t="inlineStr">
        <is>
          <t>Explain the US export compliance framework</t>
        </is>
      </c>
      <c r="E62" s="13" t="inlineStr">
        <is>
          <t>Explains EAR jurisdiction and classification (ECCN or EAR99), why license determinations stay with the Senior, EEI filing in AES under the FTR, Schedule B and the USPPI role, and restricted party screening at awareness level.</t>
        </is>
      </c>
      <c r="F62" s="13" t="n">
        <v>0</v>
      </c>
      <c r="G62" s="14" t="n"/>
      <c r="H62" s="13" t="n">
        <v>1</v>
      </c>
      <c r="I62" s="14" t="n"/>
      <c r="J62" s="13" t="n">
        <v>2</v>
      </c>
      <c r="K62" s="14" t="n"/>
      <c r="L62" s="14" t="n"/>
      <c r="M62" s="14" t="n"/>
    </row>
    <row r="63">
      <c r="A63" s="13" t="inlineStr">
        <is>
          <t>S-M7-02</t>
        </is>
      </c>
      <c r="B63" s="13" t="inlineStr">
        <is>
          <t>M7</t>
        </is>
      </c>
      <c r="C63" s="13" t="inlineStr">
        <is>
          <t>Exports</t>
        </is>
      </c>
      <c r="D63" s="13" t="inlineStr">
        <is>
          <t>Complete an exports backlog item</t>
        </is>
      </c>
      <c r="E63" s="13" t="inlineStr">
        <is>
          <t>Completes a low-risk exports item (data correction, master-data update, reconciliation or documentation) as maker with the Senior as checker, and adds the steps to the exports SOP draft.</t>
        </is>
      </c>
      <c r="F63" s="13" t="n">
        <v>0</v>
      </c>
      <c r="G63" s="14" t="n"/>
      <c r="H63" s="13" t="n">
        <v>2</v>
      </c>
      <c r="I63" s="14" t="n"/>
      <c r="J63" s="13" t="n">
        <v>2</v>
      </c>
      <c r="K63" s="14" t="n"/>
      <c r="L63" s="14" t="n"/>
      <c r="M63" s="14" t="n"/>
    </row>
    <row r="64">
      <c r="A64" s="13" t="inlineStr">
        <is>
          <t>S-M7-03</t>
        </is>
      </c>
      <c r="B64" s="13" t="inlineStr">
        <is>
          <t>M7</t>
        </is>
      </c>
      <c r="C64" s="13" t="inlineStr">
        <is>
          <t>Exports</t>
        </is>
      </c>
      <c r="D64" s="13" t="inlineStr">
        <is>
          <t>Check export data quality</t>
        </is>
      </c>
      <c r="E64" s="13" t="inlineStr">
        <is>
          <t>Profiles export records for missing or invalid Schedule B, ECCN or EAR99, country, value or USPPI data, and logs each issue with evidence and a proposed fix.</t>
        </is>
      </c>
      <c r="F64" s="13" t="n">
        <v>0</v>
      </c>
      <c r="G64" s="14" t="n"/>
      <c r="H64" s="13" t="n">
        <v>1</v>
      </c>
      <c r="I64" s="14" t="n"/>
      <c r="J64" s="13" t="n">
        <v>2</v>
      </c>
      <c r="K64" s="14" t="n"/>
      <c r="L64" s="14" t="n"/>
      <c r="M64" s="14" t="n"/>
    </row>
    <row r="65">
      <c r="A65" s="13" t="inlineStr">
        <is>
          <t>S-M8-01</t>
        </is>
      </c>
      <c r="B65" s="13" t="inlineStr">
        <is>
          <t>M8</t>
        </is>
      </c>
      <c r="C65" s="13" t="inlineStr">
        <is>
          <t>Reporting</t>
        </is>
      </c>
      <c r="D65" s="13" t="inlineStr">
        <is>
          <t>Explain the report inventory</t>
        </is>
      </c>
      <c r="E65" s="13" t="inlineStr">
        <is>
          <t>For each report in the Senior's inventory, states its source, refresh schedule, consumers and known issues, and who to tell when it breaks.</t>
        </is>
      </c>
      <c r="F65" s="13" t="n">
        <v>0</v>
      </c>
      <c r="G65" s="14" t="n"/>
      <c r="H65" s="13" t="n">
        <v>0</v>
      </c>
      <c r="I65" s="14" t="n"/>
      <c r="J65" s="13" t="n">
        <v>1</v>
      </c>
      <c r="K65" s="14" t="n"/>
      <c r="L65" s="14" t="n"/>
      <c r="M65" s="14" t="n"/>
    </row>
    <row r="66">
      <c r="A66" s="13" t="inlineStr">
        <is>
          <t>S-M8-02</t>
        </is>
      </c>
      <c r="B66" s="13" t="inlineStr">
        <is>
          <t>M8</t>
        </is>
      </c>
      <c r="C66" s="13" t="inlineStr">
        <is>
          <t>Reporting</t>
        </is>
      </c>
      <c r="D66" s="13" t="inlineStr">
        <is>
          <t>Complete a reporting backlog item</t>
        </is>
      </c>
      <c r="E66" s="13" t="inlineStr">
        <is>
          <t>Delivers a Power BI fix, new measure or warehouse view change as maker, compares before-and-after totals, and demos it to the Senior for checker sign-off.</t>
        </is>
      </c>
      <c r="F66" s="13" t="n">
        <v>0</v>
      </c>
      <c r="G66" s="14" t="n"/>
      <c r="H66" s="13" t="n">
        <v>0</v>
      </c>
      <c r="I66" s="14" t="n"/>
      <c r="J66" s="13" t="n">
        <v>1</v>
      </c>
      <c r="K66" s="14" t="n"/>
      <c r="L66" s="14" t="n"/>
      <c r="M66" s="14" t="n"/>
    </row>
    <row r="67">
      <c r="A67" s="13" t="inlineStr">
        <is>
          <t>S-M9-01</t>
        </is>
      </c>
      <c r="B67" s="13" t="inlineStr">
        <is>
          <t>M9</t>
        </is>
      </c>
      <c r="C67" s="13" t="inlineStr">
        <is>
          <t>Drawback</t>
        </is>
      </c>
      <c r="D67" s="13" t="inlineStr">
        <is>
          <t>Explain US duty drawback</t>
        </is>
      </c>
      <c r="E67" s="13" t="inlineStr">
        <is>
          <t>Explains the main drawback types under 19 CFR Part 190 (manufacturing, unused merchandise, rejected merchandise) and which import, export and inventory records a claim relies on.</t>
        </is>
      </c>
      <c r="F67" s="13" t="n">
        <v>0</v>
      </c>
      <c r="G67" s="14" t="n"/>
      <c r="H67" s="13" t="n">
        <v>0</v>
      </c>
      <c r="I67" s="14" t="n"/>
      <c r="J67" s="13" t="n">
        <v>1</v>
      </c>
      <c r="K67" s="14" t="n"/>
      <c r="L67" s="14" t="n"/>
      <c r="M67" s="14" t="n"/>
    </row>
    <row r="68">
      <c r="A68" s="13" t="inlineStr">
        <is>
          <t>S-M9-02</t>
        </is>
      </c>
      <c r="B68" s="13" t="inlineStr">
        <is>
          <t>M9</t>
        </is>
      </c>
      <c r="C68" s="13" t="inlineStr">
        <is>
          <t>Drawback</t>
        </is>
      </c>
      <c r="D68" s="13" t="inlineStr">
        <is>
          <t>Protect drawback data in our processes</t>
        </is>
      </c>
      <c r="E68" s="13" t="inlineStr">
        <is>
          <t>Names the import and export data fields drawback depends on, explains why USMCA limits drawback on goods exported to Canada or Mexico, and flags process or system changes that could break a claim.</t>
        </is>
      </c>
      <c r="F68" s="13" t="n">
        <v>0</v>
      </c>
      <c r="G68" s="14" t="n"/>
      <c r="H68" s="13" t="n">
        <v>0</v>
      </c>
      <c r="I68" s="14" t="n"/>
      <c r="J68" s="13" t="n">
        <v>1</v>
      </c>
      <c r="K68" s="14" t="n"/>
      <c r="L68" s="14" t="n"/>
      <c r="M68" s="14" t="n"/>
    </row>
    <row r="69">
      <c r="A69" s="13" t="inlineStr">
        <is>
          <t>S-M10-01</t>
        </is>
      </c>
      <c r="B69" s="13" t="inlineStr">
        <is>
          <t>M10</t>
        </is>
      </c>
      <c r="C69" s="13" t="inlineStr">
        <is>
          <t>e2open</t>
        </is>
      </c>
      <c r="D69" s="13" t="inlineStr">
        <is>
          <t>Work as a core BSA on the e2open project</t>
        </is>
      </c>
      <c r="E69" s="13" t="inlineStr">
        <is>
          <t>Explains the project's scope, timeline and BSA deliverables, attends sessions with prepared drafts and questions, and keeps own project items current in Jira.</t>
        </is>
      </c>
      <c r="F69" s="13" t="n">
        <v>0</v>
      </c>
      <c r="G69" s="14" t="n"/>
      <c r="H69" s="13" t="n">
        <v>1</v>
      </c>
      <c r="I69" s="14" t="n"/>
      <c r="J69" s="13" t="n">
        <v>2</v>
      </c>
      <c r="K69" s="14" t="n"/>
      <c r="L69" s="14" t="n"/>
      <c r="M69" s="14" t="n"/>
    </row>
    <row r="70">
      <c r="A70" s="13" t="inlineStr">
        <is>
          <t>S-M10-02</t>
        </is>
      </c>
      <c r="B70" s="13" t="inlineStr">
        <is>
          <t>M10</t>
        </is>
      </c>
      <c r="C70" s="13" t="inlineStr">
        <is>
          <t>e2open</t>
        </is>
      </c>
      <c r="D70" s="13" t="inlineStr">
        <is>
          <t>Map own process data to e2open</t>
        </is>
      </c>
      <c r="E70" s="13" t="inlineStr">
        <is>
          <t>Maps each source field for own process (AS400, Excel, Oracle, external) to its e2open concept, logs data-quality issues, and lists cleansing candidates for Manager and Senior review.</t>
        </is>
      </c>
      <c r="F70" s="13" t="n">
        <v>0</v>
      </c>
      <c r="G70" s="14" t="n"/>
      <c r="H70" s="13" t="n">
        <v>1</v>
      </c>
      <c r="I70" s="14" t="n"/>
      <c r="J70" s="13" t="n">
        <v>3</v>
      </c>
      <c r="K70" s="14" t="n"/>
      <c r="L70" s="14" t="n"/>
      <c r="M70" s="14" t="n"/>
    </row>
    <row r="71">
      <c r="A71" s="13" t="inlineStr">
        <is>
          <t>S-M11-01</t>
        </is>
      </c>
      <c r="B71" s="13" t="inlineStr">
        <is>
          <t>M11</t>
        </is>
      </c>
      <c r="C71" s="13" t="inlineStr">
        <is>
          <t>Copilot</t>
        </is>
      </c>
      <c r="D71" s="13" t="inlineStr">
        <is>
          <t>Prompt Copilot Chat with context</t>
        </is>
      </c>
      <c r="E71" s="13" t="inlineStr">
        <is>
          <t>Writes prompts that state the goal, context, source and expected output, asks for assumptions and a check list, iterates on the answer, and turns prompts that worked into team prompt library entries with a Verify step.</t>
        </is>
      </c>
      <c r="F71" s="13" t="n">
        <v>2</v>
      </c>
      <c r="G71" s="14" t="n"/>
      <c r="H71" s="13" t="n">
        <v>2</v>
      </c>
      <c r="I71" s="14" t="n"/>
      <c r="J71" s="13" t="n">
        <v>3</v>
      </c>
      <c r="K71" s="14" t="n"/>
      <c r="L71" s="14" t="n"/>
      <c r="M71" s="14" t="n"/>
    </row>
    <row r="72">
      <c r="A72" s="13" t="inlineStr">
        <is>
          <t>S-M11-02</t>
        </is>
      </c>
      <c r="B72" s="13" t="inlineStr">
        <is>
          <t>M11</t>
        </is>
      </c>
      <c r="C72" s="13" t="inlineStr">
        <is>
          <t>Copilot</t>
        </is>
      </c>
      <c r="D72" s="13" t="inlineStr">
        <is>
          <t>Verify Copilot output and follow the data rules</t>
        </is>
      </c>
      <c r="E72" s="13" t="inlineStr">
        <is>
          <t>Pastes only what the paste rules allow, treats every output as a draft, checks each fact, code, date and number against a primary source or a control total before use, runs Copilot-written code only under the sandbox rule, never cites Copilot as a source, and logs each use with what was verified.</t>
        </is>
      </c>
      <c r="F72" s="13" t="n">
        <v>2</v>
      </c>
      <c r="G72" s="14" t="n"/>
      <c r="H72" s="13" t="n">
        <v>3</v>
      </c>
      <c r="I72" s="14" t="n"/>
      <c r="J72" s="13" t="n">
        <v>3</v>
      </c>
      <c r="K72" s="14" t="n"/>
      <c r="L72" s="14" t="n"/>
      <c r="M72" s="14" t="n"/>
    </row>
    <row r="73">
      <c r="A73" s="13" t="inlineStr">
        <is>
          <t>S-M12-01</t>
        </is>
      </c>
      <c r="B73" s="13" t="inlineStr">
        <is>
          <t>M12</t>
        </is>
      </c>
      <c r="C73" s="13" t="inlineStr">
        <is>
          <t>Data platform</t>
        </is>
      </c>
      <c r="D73" s="13" t="inlineStr">
        <is>
          <t>Use the team database in SSMS, including sandbox loads</t>
        </is>
      </c>
      <c r="E73" s="13" t="inlineStr">
        <is>
          <t>Connects with the personal login, finds the right view through the schemas and INFORMATION_SCHEMA, writes read queries with explicit columns, filters and TOP with ORDER BY, loads files only into [COMPANY: sandbox or staging schema in the team database] under the naming convention with row-count and data-type checks, and drops own sandbox tables when done.</t>
        </is>
      </c>
      <c r="F73" s="13" t="n">
        <v>2</v>
      </c>
      <c r="G73" s="14" t="n"/>
      <c r="H73" s="13" t="n">
        <v>3</v>
      </c>
      <c r="I73" s="14" t="n"/>
      <c r="J73" s="13" t="n">
        <v>3</v>
      </c>
      <c r="K73" s="14" t="n"/>
      <c r="L73" s="14" t="n"/>
      <c r="M73" s="14" t="n"/>
    </row>
    <row r="74">
      <c r="A74" s="13" t="inlineStr">
        <is>
          <t>S-M12-02</t>
        </is>
      </c>
      <c r="B74" s="13" t="inlineStr">
        <is>
          <t>M12</t>
        </is>
      </c>
      <c r="C74" s="13" t="inlineStr">
        <is>
          <t>Data platform</t>
        </is>
      </c>
      <c r="D74" s="13" t="inlineStr">
        <is>
          <t>Query Oracle EBS read-only in DBeaver</t>
        </is>
      </c>
      <c r="E74" s="13" t="inlineStr">
        <is>
          <t>Uses the read-only EBS connection only for short, filtered, row-limited SELECT queries, checks the team database copy of the data first, answers No to any DBeaver confirmation prompt, and exports only the rows and columns the task needs to [COMPANY: approved location for data extracts].</t>
        </is>
      </c>
      <c r="F74" s="13" t="n">
        <v>1</v>
      </c>
      <c r="G74" s="14" t="n"/>
      <c r="H74" s="13" t="n">
        <v>2</v>
      </c>
      <c r="I74" s="14" t="n"/>
      <c r="J74" s="13" t="n">
        <v>3</v>
      </c>
      <c r="K74" s="14" t="n"/>
      <c r="L74" s="14" t="n"/>
      <c r="M74" s="14" t="n"/>
    </row>
    <row r="75">
      <c r="A75" s="13" t="inlineStr">
        <is>
          <t>S-M12-03</t>
        </is>
      </c>
      <c r="B75" s="13" t="inlineStr">
        <is>
          <t>M12</t>
        </is>
      </c>
      <c r="C75" s="13" t="inlineStr">
        <is>
          <t>Data platform</t>
        </is>
      </c>
      <c r="D75" s="13" t="inlineStr">
        <is>
          <t>Troubleshoot refreshes and flow runs read-only</t>
        </is>
      </c>
      <c r="E75" s="13" t="inlineStr">
        <is>
          <t>Traces a Power BI semantic model refresh and a Power Automate or Power Apps run through refresh history, run history, the gateway and connections, names the failing step, the account type involved and who fixes it, and changes nothing outside own access.</t>
        </is>
      </c>
      <c r="F75" s="13" t="n">
        <v>1</v>
      </c>
      <c r="G75" s="14" t="n"/>
      <c r="H75" s="13" t="n">
        <v>2</v>
      </c>
      <c r="I75" s="14" t="n"/>
      <c r="J75" s="13" t="n">
        <v>2</v>
      </c>
      <c r="K75" s="14" t="n"/>
      <c r="L75" s="14" t="n"/>
      <c r="M75" s="14" t="n"/>
    </row>
    <row r="76">
      <c r="A76" s="13" t="inlineStr">
        <is>
          <t>S-M12-04</t>
        </is>
      </c>
      <c r="B76" s="13" t="inlineStr">
        <is>
          <t>M12</t>
        </is>
      </c>
      <c r="C76" s="13" t="inlineStr">
        <is>
          <t>Data platform</t>
        </is>
      </c>
      <c r="D76" s="13" t="inlineStr">
        <is>
          <t>Follow server etiquette and account rules</t>
        </is>
      </c>
      <c r="E76" s="13" t="inlineStr">
        <is>
          <t>Uses only the personal login for interactive work and never the service account or a shared login, signs out of Remote Desktop when done, never restarts the server or changes its software or scheduled tasks, keeps credentials out of scripts, files and prompts, and reports any password found the same day.</t>
        </is>
      </c>
      <c r="F76" s="13" t="n">
        <v>2</v>
      </c>
      <c r="G76" s="14" t="n"/>
      <c r="H76" s="13" t="n">
        <v>3</v>
      </c>
      <c r="I76" s="14" t="n"/>
      <c r="J76" s="13" t="n">
        <v>3</v>
      </c>
      <c r="K76" s="14" t="n"/>
      <c r="L76" s="14" t="n"/>
      <c r="M76" s="14" t="n"/>
    </row>
    <row r="77">
      <c r="A77" s="13" t="inlineStr">
        <is>
          <t>S-M13-01</t>
        </is>
      </c>
      <c r="B77" s="13" t="inlineStr">
        <is>
          <t>M13</t>
        </is>
      </c>
      <c r="C77" s="13" t="inlineStr">
        <is>
          <t>SDLC</t>
        </is>
      </c>
      <c r="D77" s="13" t="inlineStr">
        <is>
          <t>Map the owned tool's environments and release path</t>
        </is>
      </c>
      <c r="E77" s="13" t="inlineStr">
        <is>
          <t>Names where the owned tool's production and test copies live, which accounts and connections each one uses, and how a tested version is released, by whom and with which checks, and records this in the tool's SDLC profile and tool doc.</t>
        </is>
      </c>
      <c r="F77" s="13" t="n">
        <v>0</v>
      </c>
      <c r="G77" s="14" t="n"/>
      <c r="H77" s="13" t="n">
        <v>2</v>
      </c>
      <c r="I77" s="14" t="n"/>
      <c r="J77" s="13" t="n">
        <v>3</v>
      </c>
      <c r="K77" s="14" t="n"/>
      <c r="L77" s="14" t="n"/>
      <c r="M77" s="14" t="n"/>
    </row>
    <row r="78">
      <c r="A78" s="13" t="inlineStr">
        <is>
          <t>S-M13-02</t>
        </is>
      </c>
      <c r="B78" s="13" t="inlineStr">
        <is>
          <t>M13</t>
        </is>
      </c>
      <c r="C78" s="13" t="inlineStr">
        <is>
          <t>SDLC</t>
        </is>
      </c>
      <c r="D78" s="13" t="inlineStr">
        <is>
          <t>Plan test levels and keep test evidence</t>
        </is>
      </c>
      <c r="E78" s="13" t="inlineStr">
        <is>
          <t>Chooses the test levels a change needs (unit, integration, system, acceptance), runs confirmation and regression tests from written test cases with exact expected results, and keeps the evidence (inputs, outputs, row counts, screenshots) with the change request.</t>
        </is>
      </c>
      <c r="F78" s="13" t="n">
        <v>0</v>
      </c>
      <c r="G78" s="14" t="n"/>
      <c r="H78" s="13" t="n">
        <v>2</v>
      </c>
      <c r="I78" s="14" t="n"/>
      <c r="J78" s="13" t="n">
        <v>3</v>
      </c>
      <c r="K78" s="14" t="n"/>
      <c r="L78" s="14" t="n"/>
      <c r="M78" s="14" t="n"/>
    </row>
    <row r="79">
      <c r="A79" s="13" t="inlineStr">
        <is>
          <t>S-M13-03</t>
        </is>
      </c>
      <c r="B79" s="13" t="inlineStr">
        <is>
          <t>M13</t>
        </is>
      </c>
      <c r="C79" s="13" t="inlineStr">
        <is>
          <t>SDLC</t>
        </is>
      </c>
      <c r="D79" s="13" t="inlineStr">
        <is>
          <t>Classify a change and plan its rollback</t>
        </is>
      </c>
      <c r="E79" s="13" t="inlineStr">
        <is>
          <t>Classifies each change as standard, normal or emergency, tells incidents, problems and changes apart, and writes a rollback plan with a verified backup, data clean-up steps and who is told, before any release.</t>
        </is>
      </c>
      <c r="F79" s="13" t="n">
        <v>0</v>
      </c>
      <c r="G79" s="14" t="n"/>
      <c r="H79" s="13" t="n">
        <v>2</v>
      </c>
      <c r="I79" s="14" t="n"/>
      <c r="J79" s="13" t="n">
        <v>3</v>
      </c>
      <c r="K79" s="14" t="n"/>
      <c r="L79" s="14" t="n"/>
      <c r="M79" s="14" t="n"/>
    </row>
  </sheetData>
  <autoFilter ref="A4:M79"/>
  <conditionalFormatting sqref="G5:G79">
    <cfRule type="expression" priority="1" dxfId="0">
      <formula>AND($G5&lt;&gt;"",$G5&gt;=$F5)</formula>
    </cfRule>
    <cfRule type="expression" priority="2" dxfId="1">
      <formula>AND($G5&lt;&gt;"",$G5=$F5-1)</formula>
    </cfRule>
    <cfRule type="expression" priority="3" dxfId="2">
      <formula>AND($G5&lt;&gt;"",$G5&lt;$F5-1)</formula>
    </cfRule>
  </conditionalFormatting>
  <conditionalFormatting sqref="I5:I79">
    <cfRule type="expression" priority="4" dxfId="0">
      <formula>AND($I5&lt;&gt;"",$I5&gt;=$H5)</formula>
    </cfRule>
    <cfRule type="expression" priority="5" dxfId="1">
      <formula>AND($I5&lt;&gt;"",$I5=$H5-1)</formula>
    </cfRule>
    <cfRule type="expression" priority="6" dxfId="2">
      <formula>AND($I5&lt;&gt;"",$I5&lt;$H5-1)</formula>
    </cfRule>
  </conditionalFormatting>
  <conditionalFormatting sqref="K5:K79">
    <cfRule type="expression" priority="7" dxfId="0">
      <formula>AND($K5&lt;&gt;"",$K5&gt;=$J5)</formula>
    </cfRule>
    <cfRule type="expression" priority="8" dxfId="1">
      <formula>AND($K5&lt;&gt;"",$K5=$J5-1)</formula>
    </cfRule>
    <cfRule type="expression" priority="9" dxfId="2">
      <formula>AND($K5&lt;&gt;"",$K5&lt;$J5-1)</formula>
    </cfRule>
  </conditionalFormatting>
  <conditionalFormatting sqref="L5:L79">
    <cfRule type="expression" priority="10" dxfId="0">
      <formula>AND($L5&lt;&gt;"",$L5&gt;=$J5)</formula>
    </cfRule>
    <cfRule type="expression" priority="11" dxfId="1">
      <formula>AND($L5&lt;&gt;"",$L5=$J5-1)</formula>
    </cfRule>
    <cfRule type="expression" priority="12" dxfId="2">
      <formula>AND($L5&lt;&gt;"",$L5&lt;$J5-1)</formula>
    </cfRule>
  </conditionalFormatting>
  <dataValidations count="4">
    <dataValidation sqref="G5:G79" showDropDown="0" showInputMessage="1" showErrorMessage="0" allowBlank="1" prompt="Enter 0-4" type="list">
      <formula1>"0,1,2,3,4"</formula1>
    </dataValidation>
    <dataValidation sqref="I5:I79" showDropDown="0" showInputMessage="1" showErrorMessage="0" allowBlank="1" prompt="Enter 0-4" type="list">
      <formula1>"0,1,2,3,4"</formula1>
    </dataValidation>
    <dataValidation sqref="K5:K79" showDropDown="0" showInputMessage="1" showErrorMessage="0" allowBlank="1" prompt="Enter 0-4" type="list">
      <formula1>"0,1,2,3,4"</formula1>
    </dataValidation>
    <dataValidation sqref="L5:L79" showDropDown="0" showInputMessage="1" showErrorMessage="0" allowBlank="1" prompt="Enter 0-4" type="list">
      <formula1>"0,1,2,3,4"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3"/>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11" customWidth="1" min="3" max="3"/>
    <col width="32" customWidth="1" min="4" max="4"/>
    <col width="42" customWidth="1" min="5" max="5"/>
    <col width="11" customWidth="1" min="6" max="6"/>
    <col width="34" customWidth="1" min="7" max="7"/>
    <col width="8" customWidth="1" min="8" max="8"/>
    <col width="12" customWidth="1" min="9" max="9"/>
    <col width="15" customWidth="1" min="10" max="10"/>
    <col width="12" customWidth="1" min="11" max="11"/>
    <col width="10" customWidth="1" min="12" max="12"/>
    <col width="11" customWidth="1" min="13" max="13"/>
    <col width="42" customWidth="1" min="14" max="14"/>
    <col width="30" customWidth="1" min="15" max="15"/>
  </cols>
  <sheetData>
    <row r="1">
      <c r="A1" s="1" t="inlineStr">
        <is>
          <t>Knowledge tracker: Hire A (Research track)</t>
        </is>
      </c>
    </row>
    <row r="2">
      <c r="A2" s="2" t="inlineStr">
        <is>
          <t>Update Status, Date covered and Confidence as you go. Turn gaps into questions for your 1:1.</t>
        </is>
      </c>
    </row>
    <row r="4">
      <c r="A4" s="12" t="inlineStr">
        <is>
          <t>Topic ID</t>
        </is>
      </c>
      <c r="B4" s="12" t="inlineStr">
        <is>
          <t>Module</t>
        </is>
      </c>
      <c r="C4" s="12" t="inlineStr">
        <is>
          <t>Priority</t>
        </is>
      </c>
      <c r="D4" s="12" t="inlineStr">
        <is>
          <t>Topic</t>
        </is>
      </c>
      <c r="E4" s="12" t="inlineStr">
        <is>
          <t>Learning objective</t>
        </is>
      </c>
      <c r="F4" s="12" t="inlineStr">
        <is>
          <t>Trainer</t>
        </is>
      </c>
      <c r="G4" s="12" t="inlineStr">
        <is>
          <t>Resource</t>
        </is>
      </c>
      <c r="H4" s="12" t="inlineStr">
        <is>
          <t>Target week</t>
        </is>
      </c>
      <c r="I4" s="12" t="inlineStr">
        <is>
          <t>Week starts</t>
        </is>
      </c>
      <c r="J4" s="12" t="inlineStr">
        <is>
          <t>Status</t>
        </is>
      </c>
      <c r="K4" s="12" t="inlineStr">
        <is>
          <t>Date covered</t>
        </is>
      </c>
      <c r="L4" s="12" t="inlineStr">
        <is>
          <t>Confidence (1-5)</t>
        </is>
      </c>
      <c r="M4" s="12" t="inlineStr">
        <is>
          <t>Card / doc written?</t>
        </is>
      </c>
      <c r="N4" s="12" t="inlineStr">
        <is>
          <t>Self-check question</t>
        </is>
      </c>
      <c r="O4" s="12" t="inlineStr">
        <is>
          <t>Notes</t>
        </is>
      </c>
    </row>
    <row r="5">
      <c r="A5" s="13" t="inlineStr">
        <is>
          <t>K-M0-01</t>
        </is>
      </c>
      <c r="B5" s="13" t="inlineStr">
        <is>
          <t>M0</t>
        </is>
      </c>
      <c r="C5" s="13" t="inlineStr">
        <is>
          <t>Core</t>
        </is>
      </c>
      <c r="D5" s="13" t="inlineStr">
        <is>
          <t>Team, systems and processes the BSA team owns</t>
        </is>
      </c>
      <c r="E5" s="13" t="inlineStr">
        <is>
          <t>Explain what the BSA team owns (trade software, custom tools, trade data and analytics), its main internal customers, and where Research and Standard Cost fit.</t>
        </is>
      </c>
      <c r="F5" s="13" t="inlineStr">
        <is>
          <t>Manager</t>
        </is>
      </c>
      <c r="G5" s="13" t="inlineStr">
        <is>
          <t>[COMPANY: team charter and org chart]</t>
        </is>
      </c>
      <c r="H5" s="13" t="n">
        <v>1</v>
      </c>
      <c r="I5" s="15">
        <f>ProgramStart+(H5-1)*7</f>
        <v/>
      </c>
      <c r="J5" s="14" t="inlineStr">
        <is>
          <t>Not started</t>
        </is>
      </c>
      <c r="K5" s="16" t="n"/>
      <c r="L5" s="14" t="n"/>
      <c r="M5" s="14" t="n"/>
      <c r="N5" s="13" t="inlineStr">
        <is>
          <t>Which three processes or systems would stop first if the BSA team were out for a week, and who would notice?</t>
        </is>
      </c>
      <c r="O5" s="14" t="n"/>
    </row>
    <row r="6">
      <c r="A6" s="13" t="inlineStr">
        <is>
          <t>K-M0-02</t>
        </is>
      </c>
      <c r="B6" s="13" t="inlineStr">
        <is>
          <t>M0</t>
        </is>
      </c>
      <c r="C6" s="13" t="inlineStr">
        <is>
          <t>Core</t>
        </is>
      </c>
      <c r="D6" s="13" t="inlineStr">
        <is>
          <t>The 30/60/90 plan, weekly rhythm and milestone evidence</t>
        </is>
      </c>
      <c r="E6" s="13" t="inlineStr">
        <is>
          <t>Name your day-30 Must criteria and their evidence, and run the weekly cadence (1:1, Friday self-report, question log, teach-back) without reminders.</t>
        </is>
      </c>
      <c r="F6" s="13" t="inlineStr">
        <is>
          <t>Manager</t>
        </is>
      </c>
      <c r="G6" s="13" t="inlineStr">
        <is>
          <t>docs/03-check-ins-and-scorecards.md</t>
        </is>
      </c>
      <c r="H6" s="13" t="n">
        <v>1</v>
      </c>
      <c r="I6" s="15">
        <f>ProgramStart+(H6-1)*7</f>
        <v/>
      </c>
      <c r="J6" s="14" t="inlineStr">
        <is>
          <t>Not started</t>
        </is>
      </c>
      <c r="K6" s="16" t="n"/>
      <c r="L6" s="14" t="n"/>
      <c r="M6" s="14" t="n"/>
      <c r="N6" s="13" t="inlineStr">
        <is>
          <t>What evidence is due two working days before your day-30 review, and when is your Friday self-report due?</t>
        </is>
      </c>
      <c r="O6" s="14" t="n"/>
    </row>
    <row r="7">
      <c r="A7" s="13" t="inlineStr">
        <is>
          <t>K-M0-03</t>
        </is>
      </c>
      <c r="B7" s="13" t="inlineStr">
        <is>
          <t>M0</t>
        </is>
      </c>
      <c r="C7" s="13" t="inlineStr">
        <is>
          <t>Core</t>
        </is>
      </c>
      <c r="D7" s="13" t="inlineStr">
        <is>
          <t>Planning a 40-hour week with 5-8 guided hours</t>
        </is>
      </c>
      <c r="E7" s="13" t="inlineStr">
        <is>
          <t>Build a weekly plan where every self-study block has a defined output (cards, a question-log entry or a doc section).</t>
        </is>
      </c>
      <c r="F7" s="13" t="inlineStr">
        <is>
          <t>Self-study</t>
        </is>
      </c>
      <c r="G7" s="13" t="inlineStr">
        <is>
          <t>docs/05-time-management.md</t>
        </is>
      </c>
      <c r="H7" s="13" t="n">
        <v>1</v>
      </c>
      <c r="I7" s="15">
        <f>ProgramStart+(H7-1)*7</f>
        <v/>
      </c>
      <c r="J7" s="14" t="inlineStr">
        <is>
          <t>Not started</t>
        </is>
      </c>
      <c r="K7" s="16" t="n"/>
      <c r="L7" s="14" t="n"/>
      <c r="M7" s="14" t="n"/>
      <c r="N7" s="13" t="inlineStr">
        <is>
          <t>What is the output of each self-study block on your calendar this week?</t>
        </is>
      </c>
      <c r="O7" s="14" t="n"/>
    </row>
    <row r="8">
      <c r="A8" s="13" t="inlineStr">
        <is>
          <t>K-M0-04</t>
        </is>
      </c>
      <c r="B8" s="13" t="inlineStr">
        <is>
          <t>M0</t>
        </is>
      </c>
      <c r="C8" s="13" t="inlineStr">
        <is>
          <t>Core</t>
        </is>
      </c>
      <c r="D8" s="13" t="inlineStr">
        <is>
          <t>Jira and Planner: how the team tracks work</t>
        </is>
      </c>
      <c r="E8" s="13" t="inlineStr">
        <is>
          <t>Create and maintain Jira items to the team standard on [COMPANY: Jira project and board], and keep Planner tasks in sync where the team uses them.</t>
        </is>
      </c>
      <c r="F8" s="13" t="inlineStr">
        <is>
          <t>Manager</t>
        </is>
      </c>
      <c r="G8" s="13" t="inlineStr">
        <is>
          <t>docs/templates/bsa/07-jira-epic-story.md</t>
        </is>
      </c>
      <c r="H8" s="13" t="n">
        <v>1</v>
      </c>
      <c r="I8" s="15">
        <f>ProgramStart+(H8-1)*7</f>
        <v/>
      </c>
      <c r="J8" s="14" t="inlineStr">
        <is>
          <t>Not started</t>
        </is>
      </c>
      <c r="K8" s="16" t="n"/>
      <c r="L8" s="14" t="n"/>
      <c r="M8" s="14" t="n"/>
      <c r="N8" s="13" t="inlineStr">
        <is>
          <t>What must a Jira item contain before you start work on it, and how often do you update its status?</t>
        </is>
      </c>
      <c r="O8" s="14" t="n"/>
    </row>
    <row r="9">
      <c r="A9" s="13" t="inlineStr">
        <is>
          <t>K-M0-05</t>
        </is>
      </c>
      <c r="B9" s="13" t="inlineStr">
        <is>
          <t>M0</t>
        </is>
      </c>
      <c r="C9" s="13" t="inlineStr">
        <is>
          <t>Core</t>
        </is>
      </c>
      <c r="D9" s="13" t="inlineStr">
        <is>
          <t>OneNote structure, document status and Anki card writing</t>
        </is>
      </c>
      <c r="E9" s="13" t="inlineStr">
        <is>
          <t>File notes in the right OneNote section with a Draft, Reviewed or Published status, and write atomic, sourced company-specific Anki cards.</t>
        </is>
      </c>
      <c r="F9" s="13" t="inlineStr">
        <is>
          <t>Self-study</t>
        </is>
      </c>
      <c r="G9" s="13" t="inlineStr">
        <is>
          <t>docs/templates/knowledge/anki-card-writing-guide.md</t>
        </is>
      </c>
      <c r="H9" s="13" t="n">
        <v>1</v>
      </c>
      <c r="I9" s="15">
        <f>ProgramStart+(H9-1)*7</f>
        <v/>
      </c>
      <c r="J9" s="14" t="inlineStr">
        <is>
          <t>Not started</t>
        </is>
      </c>
      <c r="K9" s="16" t="n"/>
      <c r="L9" s="14" t="n"/>
      <c r="M9" s="14" t="n"/>
      <c r="N9" s="13" t="inlineStr">
        <is>
          <t>Which document statuses may go into the shared OneNote sections, and what makes a good company-specific card?</t>
        </is>
      </c>
      <c r="O9" s="14" t="n"/>
    </row>
    <row r="10">
      <c r="A10" s="13" t="inlineStr">
        <is>
          <t>K-M0-06</t>
        </is>
      </c>
      <c r="B10" s="13" t="inlineStr">
        <is>
          <t>M0</t>
        </is>
      </c>
      <c r="C10" s="13" t="inlineStr">
        <is>
          <t>Core</t>
        </is>
      </c>
      <c r="D10" s="13" t="inlineStr">
        <is>
          <t>Business overview: products, suppliers, source countries, customers</t>
        </is>
      </c>
      <c r="E10" s="13" t="inlineStr">
        <is>
          <t>Explain what the company imports, from where, into which countries and through which channels. Hire B: refresher only; skim it for 30 minutes on Tue 10/20 (no quiz) and move the saved time to Oracle cost data.</t>
        </is>
      </c>
      <c r="F10" s="13" t="inlineStr">
        <is>
          <t>Self-study</t>
        </is>
      </c>
      <c r="G10" s="13" t="inlineStr">
        <is>
          <t>[COMPANY: business overview materials]</t>
        </is>
      </c>
      <c r="H10" s="13" t="n">
        <v>1</v>
      </c>
      <c r="I10" s="15">
        <f>ProgramStart+(H10-1)*7</f>
        <v/>
      </c>
      <c r="J10" s="14" t="inlineStr">
        <is>
          <t>Not started</t>
        </is>
      </c>
      <c r="K10" s="16" t="n"/>
      <c r="L10" s="14" t="n"/>
      <c r="M10" s="14" t="n"/>
      <c r="N10" s="13" t="inlineStr">
        <is>
          <t>Which product families and source countries account for most of our import value?</t>
        </is>
      </c>
      <c r="O10" s="14" t="n"/>
    </row>
    <row r="11">
      <c r="A11" s="13" t="inlineStr">
        <is>
          <t>K-M0-07</t>
        </is>
      </c>
      <c r="B11" s="13" t="inlineStr">
        <is>
          <t>M0</t>
        </is>
      </c>
      <c r="C11" s="13" t="inlineStr">
        <is>
          <t>Core</t>
        </is>
      </c>
      <c r="D11" s="13" t="inlineStr">
        <is>
          <t>Boundary rule and maker-checker control</t>
        </is>
      </c>
      <c r="E11" s="13" t="inlineStr">
        <is>
          <t>State who owns the WHAT and who owns the $ for a tariff action, and what a documented checker sign-off must contain.</t>
        </is>
      </c>
      <c r="F11" s="13" t="inlineStr">
        <is>
          <t>Manager</t>
        </is>
      </c>
      <c r="G11" s="13" t="inlineStr">
        <is>
          <t>docs/01-30-60-90-plan.md</t>
        </is>
      </c>
      <c r="H11" s="13" t="n">
        <v>1</v>
      </c>
      <c r="I11" s="15">
        <f>ProgramStart+(H11-1)*7</f>
        <v/>
      </c>
      <c r="J11" s="14" t="inlineStr">
        <is>
          <t>Not started</t>
        </is>
      </c>
      <c r="K11" s="16" t="n"/>
      <c r="L11" s="14" t="n"/>
      <c r="M11" s="14" t="n"/>
      <c r="N11" s="13" t="inlineStr">
        <is>
          <t>For a new tariff action, who owns the effective date, who owns the margin impact, and what must happen before either is released?</t>
        </is>
      </c>
      <c r="O11" s="14" t="n"/>
    </row>
    <row r="12">
      <c r="A12" s="13" t="inlineStr">
        <is>
          <t>K-M0-08</t>
        </is>
      </c>
      <c r="B12" s="13" t="inlineStr">
        <is>
          <t>M0</t>
        </is>
      </c>
      <c r="C12" s="13" t="inlineStr">
        <is>
          <t>Core</t>
        </is>
      </c>
      <c r="D12" s="13" t="inlineStr">
        <is>
          <t>Stakeholder map and intro meetings</t>
        </is>
      </c>
      <c r="E12" s="13" t="inlineStr">
        <is>
          <t>Meet each stakeholder group (30-minute intro meetings in W3-W4, booked by the Manager) and record who they are, what they need from the team and how tariff and cost news reaches them today.</t>
        </is>
      </c>
      <c r="F12" s="13" t="inlineStr">
        <is>
          <t>Shadow</t>
        </is>
      </c>
      <c r="G12" s="13" t="inlineStr">
        <is>
          <t>[COMPANY: stakeholder list]</t>
        </is>
      </c>
      <c r="H12" s="13" t="n">
        <v>4</v>
      </c>
      <c r="I12" s="15">
        <f>ProgramStart+(H12-1)*7</f>
        <v/>
      </c>
      <c r="J12" s="14" t="inlineStr">
        <is>
          <t>Not started</t>
        </is>
      </c>
      <c r="K12" s="16" t="n"/>
      <c r="L12" s="14" t="n"/>
      <c r="M12" s="14" t="n"/>
      <c r="N12" s="13" t="inlineStr">
        <is>
          <t>Who in the business hears about a new tariff action first today, and who needs its cost impact?</t>
        </is>
      </c>
      <c r="O12" s="14" t="n"/>
    </row>
    <row r="13">
      <c r="A13" s="13" t="inlineStr">
        <is>
          <t>K-M1-01</t>
        </is>
      </c>
      <c r="B13" s="13" t="inlineStr">
        <is>
          <t>M1</t>
        </is>
      </c>
      <c r="C13" s="13" t="inlineStr">
        <is>
          <t>Core</t>
        </is>
      </c>
      <c r="D13" s="13" t="inlineStr">
        <is>
          <t>US import roles: importer of record, licensed broker, CBP; reasonable care</t>
        </is>
      </c>
      <c r="E13" s="13" t="inlineStr">
        <is>
          <t>Explain who is legally responsible for what on a US entry and what reasonable care requires of us as importer.</t>
        </is>
      </c>
      <c r="F13" s="13" t="inlineStr">
        <is>
          <t>Senior</t>
        </is>
      </c>
      <c r="G13" s="13" t="inlineStr">
        <is>
          <t>docs/primers/customs-trade-compliance-primer.md</t>
        </is>
      </c>
      <c r="H13" s="13" t="n">
        <v>1</v>
      </c>
      <c r="I13" s="15">
        <f>ProgramStart+(H13-1)*7</f>
        <v/>
      </c>
      <c r="J13" s="14" t="inlineStr">
        <is>
          <t>Not started</t>
        </is>
      </c>
      <c r="K13" s="16" t="n"/>
      <c r="L13" s="14" t="n"/>
      <c r="M13" s="14" t="n"/>
      <c r="N13" s="13" t="inlineStr">
        <is>
          <t>If the broker files a wrong HTS code using data we supplied, who is liable to CBP and why?</t>
        </is>
      </c>
      <c r="O13" s="14" t="n"/>
    </row>
    <row r="14">
      <c r="A14" s="13" t="inlineStr">
        <is>
          <t>K-M1-02</t>
        </is>
      </c>
      <c r="B14" s="13" t="inlineStr">
        <is>
          <t>M1</t>
        </is>
      </c>
      <c r="C14" s="13" t="inlineStr">
        <is>
          <t>Core</t>
        </is>
      </c>
      <c r="D14" s="13" t="inlineStr">
        <is>
          <t>Life of a US entry: release, entry summary, duty payment, liquidation, protest</t>
        </is>
      </c>
      <c r="E14" s="13" t="inlineStr">
        <is>
          <t>Describe each stage of a US formal entry, the documents involved and the statutory windows that matter for corrections.</t>
        </is>
      </c>
      <c r="F14" s="13" t="inlineStr">
        <is>
          <t>Senior</t>
        </is>
      </c>
      <c r="G14" s="13" t="inlineStr">
        <is>
          <t>https://www.cbp.gov/document/publications/importing-united-states</t>
        </is>
      </c>
      <c r="H14" s="13" t="n">
        <v>1</v>
      </c>
      <c r="I14" s="15">
        <f>ProgramStart+(H14-1)*7</f>
        <v/>
      </c>
      <c r="J14" s="14" t="inlineStr">
        <is>
          <t>Not started</t>
        </is>
      </c>
      <c r="K14" s="16" t="n"/>
      <c r="L14" s="14" t="n"/>
      <c r="M14" s="14" t="n"/>
      <c r="N14" s="13" t="inlineStr">
        <is>
          <t>What is the difference between cargo release (CBP Form 3461) and the entry summary (CBP Form 7501), and what event starts the protest clock?</t>
        </is>
      </c>
      <c r="O14" s="14" t="n"/>
    </row>
    <row r="15">
      <c r="A15" s="13" t="inlineStr">
        <is>
          <t>K-M1-03</t>
        </is>
      </c>
      <c r="B15" s="13" t="inlineStr">
        <is>
          <t>M1</t>
        </is>
      </c>
      <c r="C15" s="13" t="inlineStr">
        <is>
          <t>Core</t>
        </is>
      </c>
      <c r="D15" s="13" t="inlineStr">
        <is>
          <t>US duties and fees: ad valorem and specific duty, MPF, HMF, AD/CVD awareness</t>
        </is>
      </c>
      <c r="E15" s="13" t="inlineStr">
        <is>
          <t>Compute duty and fees for a sample entry line and explain when each fee applies.</t>
        </is>
      </c>
      <c r="F15" s="13" t="inlineStr">
        <is>
          <t>Senior</t>
        </is>
      </c>
      <c r="G15" s="13" t="inlineStr">
        <is>
          <t>docs/primers/customs-trade-compliance-primer.md</t>
        </is>
      </c>
      <c r="H15" s="13" t="n">
        <v>1</v>
      </c>
      <c r="I15" s="15">
        <f>ProgramStart+(H15-1)*7</f>
        <v/>
      </c>
      <c r="J15" s="14" t="inlineStr">
        <is>
          <t>Not started</t>
        </is>
      </c>
      <c r="K15" s="16" t="n"/>
      <c r="L15" s="14" t="n"/>
      <c r="M15" s="14" t="n"/>
      <c r="N15" s="13" t="inlineStr">
        <is>
          <t>Why does an ocean entry usually carry HMF while a truck entry from Mexico does not?</t>
        </is>
      </c>
      <c r="O15" s="14" t="n"/>
    </row>
    <row r="16">
      <c r="A16" s="13" t="inlineStr">
        <is>
          <t>K-M1-04</t>
        </is>
      </c>
      <c r="B16" s="13" t="inlineStr">
        <is>
          <t>M1</t>
        </is>
      </c>
      <c r="C16" s="13" t="inlineStr">
        <is>
          <t>Core</t>
        </is>
      </c>
      <c r="D16" s="13" t="inlineStr">
        <is>
          <t>ACE, ABI, ISF and PGA filings around a US entry</t>
        </is>
      </c>
      <c r="E16" s="13" t="inlineStr">
        <is>
          <t>Explain what ACE, ABI, ISF and PGA filings each do, and which ACE reports the team can use to audit broker filings.</t>
        </is>
      </c>
      <c r="F16" s="13" t="inlineStr">
        <is>
          <t>Self-study</t>
        </is>
      </c>
      <c r="G16" s="13" t="inlineStr">
        <is>
          <t>https://www.cbp.gov/trade/automated</t>
        </is>
      </c>
      <c r="H16" s="13" t="n">
        <v>2</v>
      </c>
      <c r="I16" s="15">
        <f>ProgramStart+(H16-1)*7</f>
        <v/>
      </c>
      <c r="J16" s="14" t="inlineStr">
        <is>
          <t>Not started</t>
        </is>
      </c>
      <c r="K16" s="16" t="n"/>
      <c r="L16" s="14" t="n"/>
      <c r="M16" s="14" t="n"/>
      <c r="N16" s="13" t="inlineStr">
        <is>
          <t>For which transport mode is an ISF required, and when must it be filed?</t>
        </is>
      </c>
      <c r="O16" s="14" t="n"/>
    </row>
    <row r="17">
      <c r="A17" s="13" t="inlineStr">
        <is>
          <t>K-M1-05</t>
        </is>
      </c>
      <c r="B17" s="13" t="inlineStr">
        <is>
          <t>M1</t>
        </is>
      </c>
      <c r="C17" s="13" t="inlineStr">
        <is>
          <t>Core</t>
        </is>
      </c>
      <c r="D17" s="13" t="inlineStr">
        <is>
          <t>HS structure and the General Rules of Interpretation</t>
        </is>
      </c>
      <c r="E17" s="13" t="inlineStr">
        <is>
          <t>Classify a simple item to the 6-digit HS level using GRI 1 and the section and chapter notes, then find the 10-digit HTSUS number.</t>
        </is>
      </c>
      <c r="F17" s="13" t="inlineStr">
        <is>
          <t>Senior</t>
        </is>
      </c>
      <c r="G17" s="13" t="inlineStr">
        <is>
          <t>https://hts.usitc.gov/</t>
        </is>
      </c>
      <c r="H17" s="13" t="n">
        <v>2</v>
      </c>
      <c r="I17" s="15">
        <f>ProgramStart+(H17-1)*7</f>
        <v/>
      </c>
      <c r="J17" s="14" t="inlineStr">
        <is>
          <t>Not started</t>
        </is>
      </c>
      <c r="K17" s="16" t="n"/>
      <c r="L17" s="14" t="n"/>
      <c r="M17" s="14" t="n"/>
      <c r="N17" s="13" t="inlineStr">
        <is>
          <t>Why must you read the section and chapter notes before choosing a heading, and when do you move past GRI 1?</t>
        </is>
      </c>
      <c r="O17" s="14" t="n"/>
    </row>
    <row r="18">
      <c r="A18" s="13" t="inlineStr">
        <is>
          <t>K-M1-06</t>
        </is>
      </c>
      <c r="B18" s="13" t="inlineStr">
        <is>
          <t>M1</t>
        </is>
      </c>
      <c r="C18" s="13" t="inlineStr">
        <is>
          <t>Core</t>
        </is>
      </c>
      <c r="D18" s="13" t="inlineStr">
        <is>
          <t>Using CROSS rulings and binding rulings</t>
        </is>
      </c>
      <c r="E18" s="13" t="inlineStr">
        <is>
          <t>Find and cite relevant CBP rulings for an item and explain how much weight a ruling issued to another importer carries.</t>
        </is>
      </c>
      <c r="F18" s="13" t="inlineStr">
        <is>
          <t>Self-study</t>
        </is>
      </c>
      <c r="G18" s="13" t="inlineStr">
        <is>
          <t>https://rulings.cbp.gov/home</t>
        </is>
      </c>
      <c r="H18" s="13" t="n">
        <v>2</v>
      </c>
      <c r="I18" s="15">
        <f>ProgramStart+(H18-1)*7</f>
        <v/>
      </c>
      <c r="J18" s="14" t="inlineStr">
        <is>
          <t>Not started</t>
        </is>
      </c>
      <c r="K18" s="16" t="n"/>
      <c r="L18" s="14" t="n"/>
      <c r="M18" s="14" t="n"/>
      <c r="N18" s="13" t="inlineStr">
        <is>
          <t>Is a CROSS ruling issued to another importer binding for our item, and how should you use it in your reasoning?</t>
        </is>
      </c>
      <c r="O18" s="14" t="n"/>
    </row>
    <row r="19">
      <c r="A19" s="13" t="inlineStr">
        <is>
          <t>K-M1-07</t>
        </is>
      </c>
      <c r="B19" s="13" t="inlineStr">
        <is>
          <t>M1</t>
        </is>
      </c>
      <c r="C19" s="13" t="inlineStr">
        <is>
          <t>Core</t>
        </is>
      </c>
      <c r="D19" s="13" t="inlineStr">
        <is>
          <t>Canada Customs Tariff structure and tariff treatments</t>
        </is>
      </c>
      <c r="E19" s="13" t="inlineStr">
        <is>
          <t>Find the 10-digit Canadian classification number for an item and the rate under the applicable tariff treatment.</t>
        </is>
      </c>
      <c r="F19" s="13" t="inlineStr">
        <is>
          <t>Senior</t>
        </is>
      </c>
      <c r="G19" s="13" t="inlineStr">
        <is>
          <t>https://www.cbsa-asfc.gc.ca/trade-commerce/tariff-tarif/menu-eng.html</t>
        </is>
      </c>
      <c r="H19" s="13" t="n">
        <v>2</v>
      </c>
      <c r="I19" s="15">
        <f>ProgramStart+(H19-1)*7</f>
        <v/>
      </c>
      <c r="J19" s="14" t="inlineStr">
        <is>
          <t>Not started</t>
        </is>
      </c>
      <c r="K19" s="16" t="n"/>
      <c r="L19" s="14" t="n"/>
      <c r="M19" s="14" t="n"/>
      <c r="N19" s="13" t="inlineStr">
        <is>
          <t>How many digits is a Canadian classification number, and what do the last two digits represent?</t>
        </is>
      </c>
      <c r="O19" s="14" t="n"/>
    </row>
    <row r="20">
      <c r="A20" s="13" t="inlineStr">
        <is>
          <t>K-M1-08</t>
        </is>
      </c>
      <c r="B20" s="13" t="inlineStr">
        <is>
          <t>M1</t>
        </is>
      </c>
      <c r="C20" s="13" t="inlineStr">
        <is>
          <t>Core</t>
        </is>
      </c>
      <c r="D20" s="13" t="inlineStr">
        <is>
          <t>Mexico TIGIE, fracción arancelaria and NICO</t>
        </is>
      </c>
      <c r="E20" s="13" t="inlineStr">
        <is>
          <t>Find the 8-digit fracción and 2-digit NICO for an item and its general import duty rate.</t>
        </is>
      </c>
      <c r="F20" s="13" t="inlineStr">
        <is>
          <t>Senior</t>
        </is>
      </c>
      <c r="G20" s="13" t="inlineStr">
        <is>
          <t>https://www.snice.gob.mx/cs/avi/snice/hce.siavi.html</t>
        </is>
      </c>
      <c r="H20" s="13" t="n">
        <v>2</v>
      </c>
      <c r="I20" s="15">
        <f>ProgramStart+(H20-1)*7</f>
        <v/>
      </c>
      <c r="J20" s="14" t="inlineStr">
        <is>
          <t>Not started</t>
        </is>
      </c>
      <c r="K20" s="16" t="n"/>
      <c r="L20" s="14" t="n"/>
      <c r="M20" s="14" t="n"/>
      <c r="N20" s="13" t="inlineStr">
        <is>
          <t>What does the NICO add to the 8-digit fracción, and where are TIGIE changes legally published?</t>
        </is>
      </c>
      <c r="O20" s="14" t="n"/>
    </row>
    <row r="21">
      <c r="A21" s="13" t="inlineStr">
        <is>
          <t>K-M1-09</t>
        </is>
      </c>
      <c r="B21" s="13" t="inlineStr">
        <is>
          <t>M1</t>
        </is>
      </c>
      <c r="C21" s="13" t="inlineStr">
        <is>
          <t>Core</t>
        </is>
      </c>
      <c r="D21" s="13" t="inlineStr">
        <is>
          <t>Canada import process: CBSA, CARM, CAD, BN/RM account, release prior to payment, D-Memoranda</t>
        </is>
      </c>
      <c r="E21" s="13" t="inlineStr">
        <is>
          <t>Explain how a commercial import is released and accounted for in Canada and where CBSA operating rules are written down.</t>
        </is>
      </c>
      <c r="F21" s="13" t="inlineStr">
        <is>
          <t>Senior</t>
        </is>
      </c>
      <c r="G21" s="13" t="inlineStr">
        <is>
          <t>https://www.cbsa-asfc.gc.ca/services/carm-gcra/menu-eng.html</t>
        </is>
      </c>
      <c r="H21" s="13" t="n">
        <v>2</v>
      </c>
      <c r="I21" s="15">
        <f>ProgramStart+(H21-1)*7</f>
        <v/>
      </c>
      <c r="J21" s="14" t="inlineStr">
        <is>
          <t>Not started</t>
        </is>
      </c>
      <c r="K21" s="16" t="n"/>
      <c r="L21" s="14" t="n"/>
      <c r="M21" s="14" t="n"/>
      <c r="N21" s="13" t="inlineStr">
        <is>
          <t>What replaced the B3 under CARM, and what must an importer post to use release prior to payment?</t>
        </is>
      </c>
      <c r="O21" s="14" t="n"/>
    </row>
    <row r="22">
      <c r="A22" s="13" t="inlineStr">
        <is>
          <t>K-M1-10</t>
        </is>
      </c>
      <c r="B22" s="13" t="inlineStr">
        <is>
          <t>M1</t>
        </is>
      </c>
      <c r="C22" s="13" t="inlineStr">
        <is>
          <t>Core</t>
        </is>
      </c>
      <c r="D22" s="13" t="inlineStr">
        <is>
          <t>Mexico import process and taxes: SAT, ANAM, agente aduanal, pedimento, padrón, RFC, e.firma, VUCEM, IGI, IVA, DTA</t>
        </is>
      </c>
      <c r="E22" s="13" t="inlineStr">
        <is>
          <t>Explain who files what for a Mexican import, the registrations the importer needs, and the main charges on a pedimento.</t>
        </is>
      </c>
      <c r="F22" s="13" t="inlineStr">
        <is>
          <t>Senior</t>
        </is>
      </c>
      <c r="G22" s="13" t="inlineStr">
        <is>
          <t>https://www.anam.gob.mx/</t>
        </is>
      </c>
      <c r="H22" s="13" t="n">
        <v>2</v>
      </c>
      <c r="I22" s="15">
        <f>ProgramStart+(H22-1)*7</f>
        <v/>
      </c>
      <c r="J22" s="14" t="inlineStr">
        <is>
          <t>Not started</t>
        </is>
      </c>
      <c r="K22" s="16" t="n"/>
      <c r="L22" s="14" t="n"/>
      <c r="M22" s="14" t="n"/>
      <c r="N22" s="13" t="inlineStr">
        <is>
          <t>Which registrations must an importer hold before an agente aduanal can file a pedimento for it?</t>
        </is>
      </c>
      <c r="O22" s="14" t="n"/>
    </row>
    <row r="23">
      <c r="A23" s="13" t="inlineStr">
        <is>
          <t>K-M1-11</t>
        </is>
      </c>
      <c r="B23" s="13" t="inlineStr">
        <is>
          <t>M1</t>
        </is>
      </c>
      <c r="C23" s="13" t="inlineStr">
        <is>
          <t>Core</t>
        </is>
      </c>
      <c r="D23" s="13" t="inlineStr">
        <is>
          <t>Customs valuation: transaction value, additions, related parties, three-country basis</t>
        </is>
      </c>
      <c r="E23" s="13" t="inlineStr">
        <is>
          <t>Determine customs value for a sample purchase, including assists, and explain how freight and insurance are treated in the US, Canada and Mexico.</t>
        </is>
      </c>
      <c r="F23" s="13" t="inlineStr">
        <is>
          <t>Senior</t>
        </is>
      </c>
      <c r="G23" s="13" t="inlineStr">
        <is>
          <t>https://www.cbp.gov/trade/rulings/informed-compliance-publications</t>
        </is>
      </c>
      <c r="H23" s="13" t="n">
        <v>3</v>
      </c>
      <c r="I23" s="15">
        <f>ProgramStart+(H23-1)*7</f>
        <v/>
      </c>
      <c r="J23" s="14" t="inlineStr">
        <is>
          <t>Not started</t>
        </is>
      </c>
      <c r="K23" s="16" t="n"/>
      <c r="L23" s="14" t="n"/>
      <c r="M23" s="14" t="n"/>
      <c r="N23" s="13" t="inlineStr">
        <is>
          <t>Is international freight part of customs value in the US, in Canada and in Mexico?</t>
        </is>
      </c>
      <c r="O23" s="14" t="n"/>
    </row>
    <row r="24">
      <c r="A24" s="13" t="inlineStr">
        <is>
          <t>K-M1-12</t>
        </is>
      </c>
      <c r="B24" s="13" t="inlineStr">
        <is>
          <t>M1</t>
        </is>
      </c>
      <c r="C24" s="13" t="inlineStr">
        <is>
          <t>Core</t>
        </is>
      </c>
      <c r="D24" s="13" t="inlineStr">
        <is>
          <t>Incoterms 2020 and who pays freight, insurance and duty</t>
        </is>
      </c>
      <c r="E24" s="13" t="inlineStr">
        <is>
          <t>Read a purchase order's Incoterm and state who bears each cost and risk, and how that affects customs value and landed cost.</t>
        </is>
      </c>
      <c r="F24" s="13" t="inlineStr">
        <is>
          <t>Self-study</t>
        </is>
      </c>
      <c r="G24" s="13" t="inlineStr">
        <is>
          <t>https://iccwbo.org/business-solutions/incoterms-rules/incoterms-2020/</t>
        </is>
      </c>
      <c r="H24" s="13" t="n">
        <v>3</v>
      </c>
      <c r="I24" s="15">
        <f>ProgramStart+(H24-1)*7</f>
        <v/>
      </c>
      <c r="J24" s="14" t="inlineStr">
        <is>
          <t>Not started</t>
        </is>
      </c>
      <c r="K24" s="16" t="n"/>
      <c r="L24" s="14" t="n"/>
      <c r="M24" s="14" t="n"/>
      <c r="N24" s="13" t="inlineStr">
        <is>
          <t>On an FCA purchase from a supplier's factory, who pays the main freight, and does it belong in US customs value?</t>
        </is>
      </c>
      <c r="O24" s="14" t="n"/>
    </row>
    <row r="25">
      <c r="A25" s="13" t="inlineStr">
        <is>
          <t>K-M1-13</t>
        </is>
      </c>
      <c r="B25" s="13" t="inlineStr">
        <is>
          <t>M1</t>
        </is>
      </c>
      <c r="C25" s="13" t="inlineStr">
        <is>
          <t>Core</t>
        </is>
      </c>
      <c r="D25" s="13" t="inlineStr">
        <is>
          <t>USMCA rules of origin: originating criteria, product-specific rules, tariff shift, RVC, de minimis, accumulation</t>
        </is>
      </c>
      <c r="E25" s="13" t="inlineStr">
        <is>
          <t>Decide whether a sample item with a bill of materials qualifies under its product-specific rule of origin.</t>
        </is>
      </c>
      <c r="F25" s="13" t="inlineStr">
        <is>
          <t>Senior</t>
        </is>
      </c>
      <c r="G25" s="13" t="inlineStr">
        <is>
          <t>https://ustr.gov/sites/default/files/files/agreements/FTA/USMCA/Text/04-Rules-of-Origin.pdf</t>
        </is>
      </c>
      <c r="H25" s="13" t="n">
        <v>3</v>
      </c>
      <c r="I25" s="15">
        <f>ProgramStart+(H25-1)*7</f>
        <v/>
      </c>
      <c r="J25" s="14" t="inlineStr">
        <is>
          <t>Not started</t>
        </is>
      </c>
      <c r="K25" s="16" t="n"/>
      <c r="L25" s="14" t="n"/>
      <c r="M25" s="14" t="n"/>
      <c r="N25" s="13" t="inlineStr">
        <is>
          <t>If one non-originating component fails the required tariff shift, which two provisions might still let the good qualify?</t>
        </is>
      </c>
      <c r="O25" s="14" t="n"/>
    </row>
    <row r="26">
      <c r="A26" s="13" t="inlineStr">
        <is>
          <t>K-M1-14</t>
        </is>
      </c>
      <c r="B26" s="13" t="inlineStr">
        <is>
          <t>M1</t>
        </is>
      </c>
      <c r="C26" s="13" t="inlineStr">
        <is>
          <t>Core</t>
        </is>
      </c>
      <c r="D26" s="13" t="inlineStr">
        <is>
          <t>USMCA certification of origin and importer obligations</t>
        </is>
      </c>
      <c r="E26" s="13" t="inlineStr">
        <is>
          <t>List the nine minimum data elements and what an importer must hold and do before and after claiming preference.</t>
        </is>
      </c>
      <c r="F26" s="13" t="inlineStr">
        <is>
          <t>Senior</t>
        </is>
      </c>
      <c r="G26" s="13" t="inlineStr">
        <is>
          <t>https://www.cbp.gov/trade/priority-issues/trade-agreements/free-trade-agreements/USMCA/FAQs</t>
        </is>
      </c>
      <c r="H26" s="13" t="n">
        <v>3</v>
      </c>
      <c r="I26" s="15">
        <f>ProgramStart+(H26-1)*7</f>
        <v/>
      </c>
      <c r="J26" s="14" t="inlineStr">
        <is>
          <t>Not started</t>
        </is>
      </c>
      <c r="K26" s="16" t="n"/>
      <c r="L26" s="14" t="n"/>
      <c r="M26" s="14" t="n"/>
      <c r="N26" s="13" t="inlineStr">
        <is>
          <t>What must the importer do if it learns after entry that a USMCA certification it relied on is wrong?</t>
        </is>
      </c>
      <c r="O26" s="14" t="n"/>
    </row>
    <row r="27">
      <c r="A27" s="13" t="inlineStr">
        <is>
          <t>K-M1-15</t>
        </is>
      </c>
      <c r="B27" s="13" t="inlineStr">
        <is>
          <t>M1</t>
        </is>
      </c>
      <c r="C27" s="13" t="inlineStr">
        <is>
          <t>Core</t>
        </is>
      </c>
      <c r="D27" s="13" t="inlineStr">
        <is>
          <t>Recordkeeping requirements (19 CFR Part 163)</t>
        </is>
      </c>
      <c r="E27" s="13" t="inlineStr">
        <is>
          <t>State which import records we must keep, for how long, and how quickly we must produce them on demand.</t>
        </is>
      </c>
      <c r="F27" s="13" t="inlineStr">
        <is>
          <t>Self-study</t>
        </is>
      </c>
      <c r="G27" s="13" t="inlineStr">
        <is>
          <t>https://www.ecfr.gov/current/title-19/chapter-I/part-163</t>
        </is>
      </c>
      <c r="H27" s="13" t="n">
        <v>3</v>
      </c>
      <c r="I27" s="15">
        <f>ProgramStart+(H27-1)*7</f>
        <v/>
      </c>
      <c r="J27" s="14" t="inlineStr">
        <is>
          <t>Not started</t>
        </is>
      </c>
      <c r="K27" s="16" t="n"/>
      <c r="L27" s="14" t="n"/>
      <c r="M27" s="14" t="n"/>
      <c r="N27" s="13" t="inlineStr">
        <is>
          <t>How long must import records generally be kept, and from which date does the period run?</t>
        </is>
      </c>
      <c r="O27" s="14" t="n"/>
    </row>
    <row r="28">
      <c r="A28" s="13" t="inlineStr">
        <is>
          <t>K-M1-16</t>
        </is>
      </c>
      <c r="B28" s="13" t="inlineStr">
        <is>
          <t>M1</t>
        </is>
      </c>
      <c r="C28" s="13" t="inlineStr">
        <is>
          <t>Core</t>
        </is>
      </c>
      <c r="D28" s="13" t="inlineStr">
        <is>
          <t>Special tariff actions: Section 232, Section 301, other authorities and HTSUS Chapter 99</t>
        </is>
      </c>
      <c r="E28" s="13" t="inlineStr">
        <is>
          <t>Explain the legal basis of each type of action, who administers it, and how it appears on an entry line. IEEPA does not authorize tariffs (Learning Resources, Inc. v. Trump, decided 2026-02-20); for what is in force now, use the tariff landscape.</t>
        </is>
      </c>
      <c r="F28" s="13" t="inlineStr">
        <is>
          <t>Senior</t>
        </is>
      </c>
      <c r="G28" s="13" t="inlineStr">
        <is>
          <t>docs/primers/current-tariff-landscape.md</t>
        </is>
      </c>
      <c r="H28" s="13" t="n">
        <v>3</v>
      </c>
      <c r="I28" s="15">
        <f>ProgramStart+(H28-1)*7</f>
        <v/>
      </c>
      <c r="J28" s="14" t="inlineStr">
        <is>
          <t>Not started</t>
        </is>
      </c>
      <c r="K28" s="16" t="n"/>
      <c r="L28" s="14" t="n"/>
      <c r="M28" s="14" t="n"/>
      <c r="N28" s="13" t="inlineStr">
        <is>
          <t>Why does an entry line subject to an additional duty carry two HTS numbers, and what does the Chapter 99 number tell CBP?</t>
        </is>
      </c>
      <c r="O28" s="14" t="n"/>
    </row>
    <row r="29">
      <c r="A29" s="13" t="inlineStr">
        <is>
          <t>K-M1-17</t>
        </is>
      </c>
      <c r="B29" s="13" t="inlineStr">
        <is>
          <t>M1</t>
        </is>
      </c>
      <c r="C29" s="13" t="inlineStr">
        <is>
          <t>Core</t>
        </is>
      </c>
      <c r="D29" s="13" t="inlineStr">
        <is>
          <t>Non-preferential origin, substantial transformation and marking</t>
        </is>
      </c>
      <c r="E29" s="13" t="inlineStr">
        <is>
          <t>Explain how origin is decided for marking and trade remedies and how that differs from USMCA preferential origin.</t>
        </is>
      </c>
      <c r="F29" s="13" t="inlineStr">
        <is>
          <t>Self-study</t>
        </is>
      </c>
      <c r="G29" s="13" t="inlineStr">
        <is>
          <t>docs/primers/customs-trade-compliance-primer.md</t>
        </is>
      </c>
      <c r="H29" s="13" t="n">
        <v>4</v>
      </c>
      <c r="I29" s="15">
        <f>ProgramStart+(H29-1)*7</f>
        <v/>
      </c>
      <c r="J29" s="14" t="inlineStr">
        <is>
          <t>Not started</t>
        </is>
      </c>
      <c r="K29" s="16" t="n"/>
      <c r="L29" s="14" t="n"/>
      <c r="M29" s="14" t="n"/>
      <c r="N29" s="13" t="inlineStr">
        <is>
          <t>Why can an item assembled in Mexico from imported parts be a product of Mexico for Section 301 yet fail to originate under USMCA?</t>
        </is>
      </c>
      <c r="O29" s="14" t="n"/>
    </row>
    <row r="30">
      <c r="A30" s="13" t="inlineStr">
        <is>
          <t>K-M1-18</t>
        </is>
      </c>
      <c r="B30" s="13" t="inlineStr">
        <is>
          <t>M1</t>
        </is>
      </c>
      <c r="C30" s="13" t="inlineStr">
        <is>
          <t>Core</t>
        </is>
      </c>
      <c r="D30" s="13" t="inlineStr">
        <is>
          <t>Correcting errors: post summary correction, protest and prior disclosure</t>
        </is>
      </c>
      <c r="E30" s="13" t="inlineStr">
        <is>
          <t>Identify which correction routes are open for an entry based on its status, and know that the choice is escalated, not made by the hire.</t>
        </is>
      </c>
      <c r="F30" s="13" t="inlineStr">
        <is>
          <t>Senior</t>
        </is>
      </c>
      <c r="G30" s="13" t="inlineStr">
        <is>
          <t>https://www.cbp.gov/trade/programs-administration/entry-summary/post-summary-correction</t>
        </is>
      </c>
      <c r="H30" s="13" t="n">
        <v>5</v>
      </c>
      <c r="I30" s="15">
        <f>ProgramStart+(H30-1)*7</f>
        <v/>
      </c>
      <c r="J30" s="14" t="inlineStr">
        <is>
          <t>Not started</t>
        </is>
      </c>
      <c r="K30" s="16" t="n"/>
      <c r="L30" s="14" t="n"/>
      <c r="M30" s="14" t="n"/>
      <c r="N30" s="13" t="inlineStr">
        <is>
          <t>An error is found on an entry that liquidated last month; which correction routes remain, and who decides which to use?</t>
        </is>
      </c>
      <c r="O30" s="14" t="n"/>
    </row>
    <row r="31">
      <c r="A31" s="13" t="inlineStr">
        <is>
          <t>K-M1-19</t>
        </is>
      </c>
      <c r="B31" s="13" t="inlineStr">
        <is>
          <t>M1</t>
        </is>
      </c>
      <c r="C31" s="13" t="inlineStr">
        <is>
          <t>Core</t>
        </is>
      </c>
      <c r="D31" s="13" t="inlineStr">
        <is>
          <t>Mexico IMMEX program, Anexo 24 and Anexo 30 (formerly Anexo 31)</t>
        </is>
      </c>
      <c r="E31" s="13" t="inlineStr">
        <is>
          <t>Explain what IMMEX allows, its obligations, and what Anexo 24 and Anexo 30 (formerly Anexo 31) each track [COMPANY: confirm IMMEX scope].</t>
        </is>
      </c>
      <c r="F31" s="13" t="inlineStr">
        <is>
          <t>Senior</t>
        </is>
      </c>
      <c r="G31" s="13" t="inlineStr">
        <is>
          <t>https://www.snice.gob.mx/cs/avi/snice/progfom.immex.acercade.html</t>
        </is>
      </c>
      <c r="H31" s="13" t="n">
        <v>4</v>
      </c>
      <c r="I31" s="15">
        <f>ProgramStart+(H31-1)*7</f>
        <v/>
      </c>
      <c r="J31" s="14" t="inlineStr">
        <is>
          <t>Not started</t>
        </is>
      </c>
      <c r="K31" s="16" t="n"/>
      <c r="L31" s="14" t="n"/>
      <c r="M31" s="14" t="n"/>
      <c r="N31" s="13" t="inlineStr">
        <is>
          <t>What does an IMMEX temporary import defer, and what is the difference between what Anexo 24 and Anexo 30 track?</t>
        </is>
      </c>
      <c r="O31" s="14" t="n"/>
    </row>
    <row r="32">
      <c r="A32" s="13" t="inlineStr">
        <is>
          <t>K-M1-20</t>
        </is>
      </c>
      <c r="B32" s="13" t="inlineStr">
        <is>
          <t>M1</t>
        </is>
      </c>
      <c r="C32" s="13" t="inlineStr">
        <is>
          <t>Core</t>
        </is>
      </c>
      <c r="D32" s="13" t="inlineStr">
        <is>
          <t>Auditing broker filings against our data</t>
        </is>
      </c>
      <c r="E32" s="13" t="inlineStr">
        <is>
          <t>Compare filed entries (US entry summary, Canadian CAD, Mexican pedimento) with our master and transaction data and flag discrepancies.</t>
        </is>
      </c>
      <c r="F32" s="13" t="inlineStr">
        <is>
          <t>Senior</t>
        </is>
      </c>
      <c r="G32" s="13" t="inlineStr">
        <is>
          <t>[COMPANY: broker entry data report or ACE report]</t>
        </is>
      </c>
      <c r="H32" s="13" t="n">
        <v>4</v>
      </c>
      <c r="I32" s="15">
        <f>ProgramStart+(H32-1)*7</f>
        <v/>
      </c>
      <c r="J32" s="14" t="inlineStr">
        <is>
          <t>Not started</t>
        </is>
      </c>
      <c r="K32" s="16" t="n"/>
      <c r="L32" s="14" t="n"/>
      <c r="M32" s="14" t="n"/>
      <c r="N32" s="13" t="inlineStr">
        <is>
          <t>Which four fields do you compare when auditing a filed entry line, and who owns the fix if each is wrong?</t>
        </is>
      </c>
      <c r="O32" s="14" t="n"/>
    </row>
    <row r="33">
      <c r="A33" s="13" t="inlineStr">
        <is>
          <t>K-M2-01</t>
        </is>
      </c>
      <c r="B33" s="13" t="inlineStr">
        <is>
          <t>M2</t>
        </is>
      </c>
      <c r="C33" s="13" t="inlineStr">
        <is>
          <t>Core</t>
        </is>
      </c>
      <c r="D33" s="13" t="inlineStr">
        <is>
          <t>Trade systems landscape: AS400 trade system, Oracle, brokers, SQL Server, warehouse, Power BI, custom tools</t>
        </is>
      </c>
      <c r="E33" s="13" t="inlineStr">
        <is>
          <t>Draw the system landscape and name the owner and purpose of each system.</t>
        </is>
      </c>
      <c r="F33" s="13" t="inlineStr">
        <is>
          <t>Manager</t>
        </is>
      </c>
      <c r="G33" s="13" t="inlineStr">
        <is>
          <t>docs/primers/trade-systems-gtm-e2open-primer.md</t>
        </is>
      </c>
      <c r="H33" s="13" t="n">
        <v>1</v>
      </c>
      <c r="I33" s="15">
        <f>ProgramStart+(H33-1)*7</f>
        <v/>
      </c>
      <c r="J33" s="14" t="inlineStr">
        <is>
          <t>Not started</t>
        </is>
      </c>
      <c r="K33" s="16" t="n"/>
      <c r="L33" s="14" t="n"/>
      <c r="M33" s="14" t="n"/>
      <c r="N33" s="13" t="inlineStr">
        <is>
          <t>Which system is the source of truth for an item's HTS code today, and which systems copy it?</t>
        </is>
      </c>
      <c r="O33" s="14" t="n"/>
    </row>
    <row r="34">
      <c r="A34" s="13" t="inlineStr">
        <is>
          <t>K-M2-02</t>
        </is>
      </c>
      <c r="B34" s="13" t="inlineStr">
        <is>
          <t>M2</t>
        </is>
      </c>
      <c r="C34" s="13" t="inlineStr">
        <is>
          <t>Core</t>
        </is>
      </c>
      <c r="D34" s="13" t="inlineStr">
        <is>
          <t>GTM concepts: what a Global Trade Management system does</t>
        </is>
      </c>
      <c r="E34" s="13" t="inlineStr">
        <is>
          <t>Explain the main GTM functions and where each is performed today (AS400, custom tools, brokers, spreadsheets).</t>
        </is>
      </c>
      <c r="F34" s="13" t="inlineStr">
        <is>
          <t>Self-study</t>
        </is>
      </c>
      <c r="G34" s="13" t="inlineStr">
        <is>
          <t>docs/primers/trade-systems-gtm-e2open-primer.md</t>
        </is>
      </c>
      <c r="H34" s="13" t="n">
        <v>1</v>
      </c>
      <c r="I34" s="15">
        <f>ProgramStart+(H34-1)*7</f>
        <v/>
      </c>
      <c r="J34" s="14" t="inlineStr">
        <is>
          <t>Not started</t>
        </is>
      </c>
      <c r="K34" s="16" t="n"/>
      <c r="L34" s="14" t="n"/>
      <c r="M34" s="14" t="n"/>
      <c r="N34" s="13" t="inlineStr">
        <is>
          <t>Which GTM functions do we perform today in AS400, which in custom tools, and which do brokers perform?</t>
        </is>
      </c>
      <c r="O34" s="14" t="n"/>
    </row>
    <row r="35">
      <c r="A35" s="13" t="inlineStr">
        <is>
          <t>K-M2-03</t>
        </is>
      </c>
      <c r="B35" s="13" t="inlineStr">
        <is>
          <t>M2</t>
        </is>
      </c>
      <c r="C35" s="13" t="inlineStr">
        <is>
          <t>Core</t>
        </is>
      </c>
      <c r="D35" s="13" t="inlineStr">
        <is>
          <t>AS400 trade data-flow walkthrough and IBM i basics</t>
        </is>
      </c>
      <c r="E35" s="13" t="inlineStr">
        <is>
          <t>Trace how item, classification, origin and rate data are created, changed and sent out of the AS400 trade system, and explain libraries and files in SQL terms. No screen-by-screen training.</t>
        </is>
      </c>
      <c r="F35" s="13" t="inlineStr">
        <is>
          <t>Manager</t>
        </is>
      </c>
      <c r="G35" s="13" t="inlineStr">
        <is>
          <t>[COMPANY: recorded AS400 walkthrough]</t>
        </is>
      </c>
      <c r="H35" s="13" t="n">
        <v>2</v>
      </c>
      <c r="I35" s="15">
        <f>ProgramStart+(H35-1)*7</f>
        <v/>
      </c>
      <c r="J35" s="14" t="inlineStr">
        <is>
          <t>Not started</t>
        </is>
      </c>
      <c r="K35" s="16" t="n"/>
      <c r="L35" s="14" t="n"/>
      <c r="M35" s="14" t="n"/>
      <c r="N35" s="13" t="inlineStr">
        <is>
          <t>When an item's HTS code changes in AS400, which downstream systems and reports change, and when?</t>
        </is>
      </c>
      <c r="O35" s="14" t="n"/>
    </row>
    <row r="36">
      <c r="A36" s="13" t="inlineStr">
        <is>
          <t>K-M2-04</t>
        </is>
      </c>
      <c r="B36" s="13" t="inlineStr">
        <is>
          <t>M2</t>
        </is>
      </c>
      <c r="C36" s="13" t="inlineStr">
        <is>
          <t>Core</t>
        </is>
      </c>
      <c r="D36" s="13" t="inlineStr">
        <is>
          <t>Oracle touchpoints: item, purchase order, receipt and cost</t>
        </is>
      </c>
      <c r="E36" s="13" t="inlineStr">
        <is>
          <t>Explain which trade data Oracle receives or sends and where landed-cost inputs land. Hire B: show where duty, freight and fees enter Oracle cost data for one item (B30-4).</t>
        </is>
      </c>
      <c r="F36" s="13" t="inlineStr">
        <is>
          <t>Manager</t>
        </is>
      </c>
      <c r="G36" s="13" t="inlineStr">
        <is>
          <t>[COMPANY: Oracle EBS item, PO and cost data flow]</t>
        </is>
      </c>
      <c r="H36" s="13" t="n">
        <v>3</v>
      </c>
      <c r="I36" s="15">
        <f>ProgramStart+(H36-1)*7</f>
        <v/>
      </c>
      <c r="J36" s="14" t="inlineStr">
        <is>
          <t>Not started</t>
        </is>
      </c>
      <c r="K36" s="16" t="n"/>
      <c r="L36" s="14" t="n"/>
      <c r="M36" s="14" t="n"/>
      <c r="N36" s="13" t="inlineStr">
        <is>
          <t>At what point in the PO-to-receipt flow does a standard cost that includes duty affect inventory value?</t>
        </is>
      </c>
      <c r="O36" s="14" t="n"/>
    </row>
    <row r="37">
      <c r="A37" s="13" t="inlineStr">
        <is>
          <t>K-M2-05</t>
        </is>
      </c>
      <c r="B37" s="13" t="inlineStr">
        <is>
          <t>M2</t>
        </is>
      </c>
      <c r="C37" s="13" t="inlineStr">
        <is>
          <t>Core</t>
        </is>
      </c>
      <c r="D37" s="13" t="inlineStr">
        <is>
          <t>Broker data exchange and file or EDI interfaces per country</t>
        </is>
      </c>
      <c r="E37" s="13" t="inlineStr">
        <is>
          <t>Explain what we send each broker, what comes back, the format and schedule, and how a failure is noticed.</t>
        </is>
      </c>
      <c r="F37" s="13" t="inlineStr">
        <is>
          <t>Manager</t>
        </is>
      </c>
      <c r="G37" s="13" t="inlineStr">
        <is>
          <t>[COMPANY: broker interface specifications]</t>
        </is>
      </c>
      <c r="H37" s="13" t="n">
        <v>3</v>
      </c>
      <c r="I37" s="15">
        <f>ProgramStart+(H37-1)*7</f>
        <v/>
      </c>
      <c r="J37" s="14" t="inlineStr">
        <is>
          <t>Not started</t>
        </is>
      </c>
      <c r="K37" s="16" t="n"/>
      <c r="L37" s="14" t="n"/>
      <c r="M37" s="14" t="n"/>
      <c r="N37" s="13" t="inlineStr">
        <is>
          <t>If a broker's returned entry file stops arriving, who notices, how quickly, and what breaks downstream?</t>
        </is>
      </c>
      <c r="O37" s="14" t="n"/>
    </row>
    <row r="38">
      <c r="A38" s="13" t="inlineStr">
        <is>
          <t>K-M2-06</t>
        </is>
      </c>
      <c r="B38" s="13" t="inlineStr">
        <is>
          <t>M2</t>
        </is>
      </c>
      <c r="C38" s="13" t="inlineStr">
        <is>
          <t>Core</t>
        </is>
      </c>
      <c r="D38" s="13" t="inlineStr">
        <is>
          <t>Trade data quality break points and master data governance</t>
        </is>
      </c>
      <c r="E38" s="13" t="inlineStr">
        <is>
          <t>Name where trade data goes wrong (HTS by country, origin, values, units of measure) and who is allowed to change master data.</t>
        </is>
      </c>
      <c r="F38" s="13" t="inlineStr">
        <is>
          <t>Self-study</t>
        </is>
      </c>
      <c r="G38" s="13" t="inlineStr">
        <is>
          <t>docs/primers/trade-systems-gtm-e2open-primer.md</t>
        </is>
      </c>
      <c r="H38" s="13" t="n">
        <v>4</v>
      </c>
      <c r="I38" s="15">
        <f>ProgramStart+(H38-1)*7</f>
        <v/>
      </c>
      <c r="J38" s="14" t="inlineStr">
        <is>
          <t>Not started</t>
        </is>
      </c>
      <c r="K38" s="16" t="n"/>
      <c r="L38" s="14" t="n"/>
      <c r="M38" s="14" t="n"/>
      <c r="N38" s="13" t="inlineStr">
        <is>
          <t>What are three places where trade data quality breaks today, and which control should catch each?</t>
        </is>
      </c>
      <c r="O38" s="14" t="n"/>
    </row>
    <row r="39">
      <c r="A39" s="13" t="inlineStr">
        <is>
          <t>K-M2-07</t>
        </is>
      </c>
      <c r="B39" s="13" t="inlineStr">
        <is>
          <t>M2</t>
        </is>
      </c>
      <c r="C39" s="13" t="inlineStr">
        <is>
          <t>Core</t>
        </is>
      </c>
      <c r="D39" s="13" t="inlineStr">
        <is>
          <t>e2open GTM concepts and the AS400-to-e2open function map</t>
        </is>
      </c>
      <c r="E39" s="13" t="inlineStr">
        <is>
          <t>Map each AS400 trade function to the e2open concept that will replace it, at concept level.</t>
        </is>
      </c>
      <c r="F39" s="13" t="inlineStr">
        <is>
          <t>Self-study</t>
        </is>
      </c>
      <c r="G39" s="13" t="inlineStr">
        <is>
          <t>docs/primers/trade-systems-gtm-e2open-primer.md</t>
        </is>
      </c>
      <c r="H39" s="13" t="n">
        <v>4</v>
      </c>
      <c r="I39" s="15">
        <f>ProgramStart+(H39-1)*7</f>
        <v/>
      </c>
      <c r="J39" s="14" t="inlineStr">
        <is>
          <t>Not started</t>
        </is>
      </c>
      <c r="K39" s="16" t="n"/>
      <c r="L39" s="14" t="n"/>
      <c r="M39" s="14" t="n"/>
      <c r="N39" s="13" t="inlineStr">
        <is>
          <t>Which AS400 functions will e2open replace, which stay elsewhere, and which are still unknown [COMPANY: confirm e2open scope]?</t>
        </is>
      </c>
      <c r="O39" s="14" t="n"/>
    </row>
    <row r="40">
      <c r="A40" s="13" t="inlineStr">
        <is>
          <t>K-M3-01</t>
        </is>
      </c>
      <c r="B40" s="13" t="inlineStr">
        <is>
          <t>M3</t>
        </is>
      </c>
      <c r="C40" s="13" t="inlineStr">
        <is>
          <t>Core</t>
        </is>
      </c>
      <c r="D40" s="13" t="inlineStr">
        <is>
          <t>Data environment tour: SQL Server, data warehouse, Excel extracts, access</t>
        </is>
      </c>
      <c r="E40" s="13" t="inlineStr">
        <is>
          <t>Connect to SQL Server, find the main trade and cost tables, and run a saved query.</t>
        </is>
      </c>
      <c r="F40" s="13" t="inlineStr">
        <is>
          <t>Senior</t>
        </is>
      </c>
      <c r="G40" s="13" t="inlineStr">
        <is>
          <t>[COMPANY: data warehouse documentation]</t>
        </is>
      </c>
      <c r="H40" s="13" t="n">
        <v>1</v>
      </c>
      <c r="I40" s="15">
        <f>ProgramStart+(H40-1)*7</f>
        <v/>
      </c>
      <c r="J40" s="14" t="inlineStr">
        <is>
          <t>Not started</t>
        </is>
      </c>
      <c r="K40" s="16" t="n"/>
      <c r="L40" s="14" t="n"/>
      <c r="M40" s="14" t="n"/>
      <c r="N40" s="13" t="inlineStr">
        <is>
          <t>Which database and schema hold entry-line data, and how often are they refreshed?</t>
        </is>
      </c>
      <c r="O40" s="14" t="n"/>
    </row>
    <row r="41">
      <c r="A41" s="13" t="inlineStr">
        <is>
          <t>K-M3-02</t>
        </is>
      </c>
      <c r="B41" s="13" t="inlineStr">
        <is>
          <t>M3</t>
        </is>
      </c>
      <c r="C41" s="13" t="inlineStr">
        <is>
          <t>Core</t>
        </is>
      </c>
      <c r="D41" s="13" t="inlineStr">
        <is>
          <t>SQL fundamentals: SELECT, WHERE, JOIN, GROUP BY</t>
        </is>
      </c>
      <c r="E41" s="13" t="inlineStr">
        <is>
          <t>Write basic queries against the practice data and check results against the expected answers.</t>
        </is>
      </c>
      <c r="F41" s="13" t="inlineStr">
        <is>
          <t>Self-study</t>
        </is>
      </c>
      <c r="G41" s="13" t="inlineStr">
        <is>
          <t>docs/analytics/practice-exercises.md</t>
        </is>
      </c>
      <c r="H41" s="13" t="n">
        <v>1</v>
      </c>
      <c r="I41" s="15">
        <f>ProgramStart+(H41-1)*7</f>
        <v/>
      </c>
      <c r="J41" s="14" t="inlineStr">
        <is>
          <t>Not started</t>
        </is>
      </c>
      <c r="K41" s="16" t="n"/>
      <c r="L41" s="14" t="n"/>
      <c r="M41" s="14" t="n"/>
      <c r="N41" s="13" t="inlineStr">
        <is>
          <t>What is the difference between WHERE and HAVING, and when do you need each?</t>
        </is>
      </c>
      <c r="O41" s="14" t="n"/>
    </row>
    <row r="42">
      <c r="A42" s="13" t="inlineStr">
        <is>
          <t>K-M3-03</t>
        </is>
      </c>
      <c r="B42" s="13" t="inlineStr">
        <is>
          <t>M3</t>
        </is>
      </c>
      <c r="C42" s="13" t="inlineStr">
        <is>
          <t>Core</t>
        </is>
      </c>
      <c r="D42" s="13" t="inlineStr">
        <is>
          <t>Joins without fan-out and row-count control</t>
        </is>
      </c>
      <c r="E42" s="13" t="inlineStr">
        <is>
          <t>Join tables of different grain without duplicating rows, and prove it with row counts before and after each join.</t>
        </is>
      </c>
      <c r="F42" s="13" t="inlineStr">
        <is>
          <t>Senior</t>
        </is>
      </c>
      <c r="G42" s="13" t="inlineStr">
        <is>
          <t>docs/analytics/practice-exercises.md</t>
        </is>
      </c>
      <c r="H42" s="13" t="n">
        <v>2</v>
      </c>
      <c r="I42" s="15">
        <f>ProgramStart+(H42-1)*7</f>
        <v/>
      </c>
      <c r="J42" s="14" t="inlineStr">
        <is>
          <t>Not started</t>
        </is>
      </c>
      <c r="K42" s="16" t="n"/>
      <c r="L42" s="14" t="n"/>
      <c r="M42" s="14" t="n"/>
      <c r="N42" s="13" t="inlineStr">
        <is>
          <t>You join entry lines to an item table and total duty doubles; what are the two most likely causes?</t>
        </is>
      </c>
      <c r="O42" s="14" t="n"/>
    </row>
    <row r="43">
      <c r="A43" s="13" t="inlineStr">
        <is>
          <t>K-M3-04</t>
        </is>
      </c>
      <c r="B43" s="13" t="inlineStr">
        <is>
          <t>M3</t>
        </is>
      </c>
      <c r="C43" s="13" t="inlineStr">
        <is>
          <t>Core</t>
        </is>
      </c>
      <c r="D43" s="13" t="inlineStr">
        <is>
          <t>Excel and Power Query: import, clean, merge, pivot</t>
        </is>
      </c>
      <c r="E43" s="13" t="inlineStr">
        <is>
          <t>Build a refreshable query from an extract instead of copying and pasting data.</t>
        </is>
      </c>
      <c r="F43" s="13" t="inlineStr">
        <is>
          <t>Self-study</t>
        </is>
      </c>
      <c r="G43" s="13" t="inlineStr">
        <is>
          <t>https://learn.microsoft.com/en-us/power-query/</t>
        </is>
      </c>
      <c r="H43" s="13" t="n">
        <v>2</v>
      </c>
      <c r="I43" s="15">
        <f>ProgramStart+(H43-1)*7</f>
        <v/>
      </c>
      <c r="J43" s="14" t="inlineStr">
        <is>
          <t>Not started</t>
        </is>
      </c>
      <c r="K43" s="16" t="n"/>
      <c r="L43" s="14" t="n"/>
      <c r="M43" s="14" t="n"/>
      <c r="N43" s="13" t="inlineStr">
        <is>
          <t>Why is a refreshable Power Query safer than a pasted extract for a monthly analysis?</t>
        </is>
      </c>
      <c r="O43" s="14" t="n"/>
    </row>
    <row r="44">
      <c r="A44" s="13" t="inlineStr">
        <is>
          <t>K-M3-05</t>
        </is>
      </c>
      <c r="B44" s="13" t="inlineStr">
        <is>
          <t>M3</t>
        </is>
      </c>
      <c r="C44" s="13" t="inlineStr">
        <is>
          <t>Core</t>
        </is>
      </c>
      <c r="D44" s="13" t="inlineStr">
        <is>
          <t>CTEs, window functions and effective-dated lookups</t>
        </is>
      </c>
      <c r="E44" s="13" t="inlineStr">
        <is>
          <t>Pick the rate or cost in effect on a transaction date from an effective-dated table.</t>
        </is>
      </c>
      <c r="F44" s="13" t="inlineStr">
        <is>
          <t>Self-study</t>
        </is>
      </c>
      <c r="G44" s="13" t="inlineStr">
        <is>
          <t>docs/analytics/practice-exercises.md</t>
        </is>
      </c>
      <c r="H44" s="13" t="n">
        <v>3</v>
      </c>
      <c r="I44" s="15">
        <f>ProgramStart+(H44-1)*7</f>
        <v/>
      </c>
      <c r="J44" s="14" t="inlineStr">
        <is>
          <t>Not started</t>
        </is>
      </c>
      <c r="K44" s="16" t="n"/>
      <c r="L44" s="14" t="n"/>
      <c r="M44" s="14" t="n"/>
      <c r="N44" s="13" t="inlineStr">
        <is>
          <t>How do you select the duty rate in effect on an entry date from a table with valid-from and valid-to dates?</t>
        </is>
      </c>
      <c r="O44" s="14" t="n"/>
    </row>
    <row r="45">
      <c r="A45" s="13" t="inlineStr">
        <is>
          <t>K-M3-06</t>
        </is>
      </c>
      <c r="B45" s="13" t="inlineStr">
        <is>
          <t>M3</t>
        </is>
      </c>
      <c r="C45" s="13" t="inlineStr">
        <is>
          <t>Core</t>
        </is>
      </c>
      <c r="D45" s="13" t="inlineStr">
        <is>
          <t>Data warehouse design: facts, dimensions, grain, keys, refresh</t>
        </is>
      </c>
      <c r="E45" s="13" t="inlineStr">
        <is>
          <t>Describe the grain and keys of the main trade and cost tables and how they relate.</t>
        </is>
      </c>
      <c r="F45" s="13" t="inlineStr">
        <is>
          <t>Self-study</t>
        </is>
      </c>
      <c r="G45" s="13" t="inlineStr">
        <is>
          <t>[COMPANY: data warehouse data dictionary]</t>
        </is>
      </c>
      <c r="H45" s="13" t="n">
        <v>3</v>
      </c>
      <c r="I45" s="15">
        <f>ProgramStart+(H45-1)*7</f>
        <v/>
      </c>
      <c r="J45" s="14" t="inlineStr">
        <is>
          <t>Not started</t>
        </is>
      </c>
      <c r="K45" s="16" t="n"/>
      <c r="L45" s="14" t="n"/>
      <c r="M45" s="14" t="n"/>
      <c r="N45" s="13" t="inlineStr">
        <is>
          <t>What is the grain of the entry-line table, and which table tells you an item's country of origin?</t>
        </is>
      </c>
      <c r="O45" s="14" t="n"/>
    </row>
    <row r="46">
      <c r="A46" s="13" t="inlineStr">
        <is>
          <t>K-M3-07</t>
        </is>
      </c>
      <c r="B46" s="13" t="inlineStr">
        <is>
          <t>M3</t>
        </is>
      </c>
      <c r="C46" s="13" t="inlineStr">
        <is>
          <t>Core</t>
        </is>
      </c>
      <c r="D46" s="13" t="inlineStr">
        <is>
          <t>Power BI basics: semantic models, visuals, filters, tracing a number</t>
        </is>
      </c>
      <c r="E46" s="13" t="inlineStr">
        <is>
          <t>Navigate an existing report and trace a visual to its measure and source table.</t>
        </is>
      </c>
      <c r="F46" s="13" t="inlineStr">
        <is>
          <t>Self-study</t>
        </is>
      </c>
      <c r="G46" s="13" t="inlineStr">
        <is>
          <t>https://learn.microsoft.com/en-us/power-bi/</t>
        </is>
      </c>
      <c r="H46" s="13" t="n">
        <v>4</v>
      </c>
      <c r="I46" s="15">
        <f>ProgramStart+(H46-1)*7</f>
        <v/>
      </c>
      <c r="J46" s="14" t="inlineStr">
        <is>
          <t>Not started</t>
        </is>
      </c>
      <c r="K46" s="16" t="n"/>
      <c r="L46" s="14" t="n"/>
      <c r="M46" s="14" t="n"/>
      <c r="N46" s="13" t="inlineStr">
        <is>
          <t>A Power BI total differs from your SQL total; which three places do you check first?</t>
        </is>
      </c>
      <c r="O46" s="14" t="n"/>
    </row>
    <row r="47">
      <c r="A47" s="13" t="inlineStr">
        <is>
          <t>K-M3-08</t>
        </is>
      </c>
      <c r="B47" s="13" t="inlineStr">
        <is>
          <t>M3</t>
        </is>
      </c>
      <c r="C47" s="13" t="inlineStr">
        <is>
          <t>Core</t>
        </is>
      </c>
      <c r="D47" s="13" t="inlineStr">
        <is>
          <t>Small real analysis: scoping, SQL review, validation, 1-page memo</t>
        </is>
      </c>
      <c r="E47" s="13" t="inlineStr">
        <is>
          <t>Scope a real question, reconcile to a control total, get the SQL reviewed, and deliver a findings memo with caveats. Hire B: due Fri 11/13.</t>
        </is>
      </c>
      <c r="F47" s="13" t="inlineStr">
        <is>
          <t>Senior</t>
        </is>
      </c>
      <c r="G47" s="13" t="inlineStr">
        <is>
          <t>docs/analytics/practice-exercises.md</t>
        </is>
      </c>
      <c r="H47" s="13" t="n">
        <v>4</v>
      </c>
      <c r="I47" s="15">
        <f>ProgramStart+(H47-1)*7</f>
        <v/>
      </c>
      <c r="J47" s="14" t="inlineStr">
        <is>
          <t>Not started</t>
        </is>
      </c>
      <c r="K47" s="16" t="n"/>
      <c r="L47" s="14" t="n"/>
      <c r="M47" s="14" t="n"/>
      <c r="N47" s="13" t="inlineStr">
        <is>
          <t>What question does your analysis answer, what data does it exclude, and which control total did you tie to?</t>
        </is>
      </c>
      <c r="O47" s="14" t="n"/>
    </row>
    <row r="48">
      <c r="A48" s="13" t="inlineStr">
        <is>
          <t>K-M3-09</t>
        </is>
      </c>
      <c r="B48" s="13" t="inlineStr">
        <is>
          <t>M3</t>
        </is>
      </c>
      <c r="C48" s="13" t="inlineStr">
        <is>
          <t>Core</t>
        </is>
      </c>
      <c r="D48" s="13" t="inlineStr">
        <is>
          <t>DAX measures and Power BI and warehouse depth</t>
        </is>
      </c>
      <c r="E48" s="13" t="inlineStr">
        <is>
          <t>Write measures with CALCULATE and explain filter context; Hire B builds toward a reusable SQL view or Power BI page. The session also introduces KPI design, the star schema and variance statistics for Exercises 9-11.</t>
        </is>
      </c>
      <c r="F48" s="13" t="inlineStr">
        <is>
          <t>Senior</t>
        </is>
      </c>
      <c r="G48" s="13" t="inlineStr">
        <is>
          <t>https://learn.microsoft.com/en-us/dax/calculate-function-dax</t>
        </is>
      </c>
      <c r="H48" s="13" t="n">
        <v>7</v>
      </c>
      <c r="I48" s="15">
        <f>ProgramStart+(H48-1)*7</f>
        <v/>
      </c>
      <c r="J48" s="14" t="inlineStr">
        <is>
          <t>Not started</t>
        </is>
      </c>
      <c r="K48" s="16" t="n"/>
      <c r="L48" s="14" t="n"/>
      <c r="M48" s="14" t="n"/>
      <c r="N48" s="13" t="inlineStr">
        <is>
          <t>What does CALCULATE do to filter context, and why is a measure better than a calculated column for a duty-rate percentage?</t>
        </is>
      </c>
      <c r="O48" s="14" t="n"/>
    </row>
    <row r="49">
      <c r="A49" s="13" t="inlineStr">
        <is>
          <t>K-M3-10</t>
        </is>
      </c>
      <c r="B49" s="13" t="inlineStr">
        <is>
          <t>M3</t>
        </is>
      </c>
      <c r="C49" s="13" t="inlineStr">
        <is>
          <t>Core</t>
        </is>
      </c>
      <c r="D49" s="13" t="inlineStr">
        <is>
          <t>Tariff-Impact Model drills 1-3 on a copy</t>
        </is>
      </c>
      <c r="E49" s="13" t="inlineStr">
        <is>
          <t>Work Drills 1-3 in the model guide on a copy of the template before the joint tariff drill, and match each expected result.</t>
        </is>
      </c>
      <c r="F49" s="13" t="inlineStr">
        <is>
          <t>Self-study</t>
        </is>
      </c>
      <c r="G49" s="13" t="inlineStr">
        <is>
          <t>docs/templates/domain/tariff-impact-model-guide.md</t>
        </is>
      </c>
      <c r="H49" s="13" t="n">
        <v>6</v>
      </c>
      <c r="I49" s="15">
        <f>ProgramStart+(H49-1)*7</f>
        <v/>
      </c>
      <c r="J49" s="14" t="inlineStr">
        <is>
          <t>Not started</t>
        </is>
      </c>
      <c r="K49" s="16" t="n"/>
      <c r="L49" s="14" t="n"/>
      <c r="M49" s="14" t="n"/>
      <c r="N49" s="13" t="inlineStr">
        <is>
          <t>In Drill 2, why must an item's current rate already include the rate being replaced, and which check tells you when it does not?</t>
        </is>
      </c>
      <c r="O49" s="14" t="n"/>
    </row>
    <row r="50">
      <c r="A50" s="13" t="inlineStr">
        <is>
          <t>K-M3-11</t>
        </is>
      </c>
      <c r="B50" s="13" t="inlineStr">
        <is>
          <t>M3</t>
        </is>
      </c>
      <c r="C50" s="13" t="inlineStr">
        <is>
          <t>Core</t>
        </is>
      </c>
      <c r="D50" s="13" t="inlineStr">
        <is>
          <t>Practice exercise redo from memory</t>
        </is>
      </c>
      <c r="E50" s="13" t="inlineStr">
        <is>
          <t>Redo one practice exercise without notes (Hire A: Exercise 3 or 4; Hire B: Exercise 5 or 6) and compare it with your first attempt.</t>
        </is>
      </c>
      <c r="F50" s="13" t="inlineStr">
        <is>
          <t>Self-study</t>
        </is>
      </c>
      <c r="G50" s="13" t="inlineStr">
        <is>
          <t>docs/analytics/practice-exercises.md</t>
        </is>
      </c>
      <c r="H50" s="13" t="n">
        <v>13</v>
      </c>
      <c r="I50" s="15">
        <f>ProgramStart+(H50-1)*7</f>
        <v/>
      </c>
      <c r="J50" s="14" t="inlineStr">
        <is>
          <t>Not started</t>
        </is>
      </c>
      <c r="K50" s="16" t="n"/>
      <c r="L50" s="14" t="n"/>
      <c r="M50" s="14" t="n"/>
      <c r="N50" s="13" t="inlineStr">
        <is>
          <t>What did you do differently the second time, and which row-count check caught a problem?</t>
        </is>
      </c>
      <c r="O50" s="14" t="n"/>
    </row>
    <row r="51">
      <c r="A51" s="13" t="inlineStr">
        <is>
          <t>K-M3-12</t>
        </is>
      </c>
      <c r="B51" s="13" t="inlineStr">
        <is>
          <t>M3</t>
        </is>
      </c>
      <c r="C51" s="13" t="inlineStr">
        <is>
          <t>Core</t>
        </is>
      </c>
      <c r="D51" s="13" t="inlineStr">
        <is>
          <t>KPI design: the definition checklist, SMART, leading and lagging (Exercise 9)</t>
        </is>
      </c>
      <c r="E51" s="13" t="inlineStr">
        <is>
          <t>Define 3 or 4 KPIs for your own process with every field of the definition checklist, then compute two of them on the practice data.</t>
        </is>
      </c>
      <c r="F51" s="13" t="inlineStr">
        <is>
          <t>Self-study</t>
        </is>
      </c>
      <c r="G51" s="13" t="inlineStr">
        <is>
          <t>docs/analytics/practice-exercises.md</t>
        </is>
      </c>
      <c r="H51" s="13" t="n">
        <v>7</v>
      </c>
      <c r="I51" s="15">
        <f>ProgramStart+(H51-1)*7</f>
        <v/>
      </c>
      <c r="J51" s="14" t="inlineStr">
        <is>
          <t>Not started</t>
        </is>
      </c>
      <c r="K51" s="16" t="n"/>
      <c r="L51" s="14" t="n"/>
      <c r="M51" s="14" t="n"/>
      <c r="N51" s="13" t="inlineStr">
        <is>
          <t>Why is a KPI formula a ratio of sums rather than an average of ratios, and what makes a KPI leading rather than lagging?</t>
        </is>
      </c>
      <c r="O51" s="14" t="n"/>
    </row>
    <row r="52">
      <c r="A52" s="13" t="inlineStr">
        <is>
          <t>K-M3-13</t>
        </is>
      </c>
      <c r="B52" s="13" t="inlineStr">
        <is>
          <t>M3</t>
        </is>
      </c>
      <c r="C52" s="13" t="inlineStr">
        <is>
          <t>Core</t>
        </is>
      </c>
      <c r="D52" s="13" t="inlineStr">
        <is>
          <t>Star-schema model in Power BI: grain, fact and dimension tables, measures (Exercise 10)</t>
        </is>
      </c>
      <c r="E52" s="13" t="inlineStr">
        <is>
          <t>Declare the grain, build one fact table and three dimension tables with a marked date table, and write five measures, including a prior-month comparison.</t>
        </is>
      </c>
      <c r="F52" s="13" t="inlineStr">
        <is>
          <t>Self-study</t>
        </is>
      </c>
      <c r="G52" s="13" t="inlineStr">
        <is>
          <t>docs/analytics/practice-exercises.md</t>
        </is>
      </c>
      <c r="H52" s="13" t="n">
        <v>8</v>
      </c>
      <c r="I52" s="15">
        <f>ProgramStart+(H52-1)*7</f>
        <v/>
      </c>
      <c r="J52" s="14" t="inlineStr">
        <is>
          <t>Not started</t>
        </is>
      </c>
      <c r="K52" s="16" t="n"/>
      <c r="L52" s="14" t="n"/>
      <c r="M52" s="14" t="n"/>
      <c r="N52" s="13" t="inlineStr">
        <is>
          <t>Why do you declare the grain before you build the model, and why is a prior-month comparison a measure and not a calculated column?</t>
        </is>
      </c>
      <c r="O52" s="14" t="n"/>
    </row>
    <row r="53">
      <c r="A53" s="13" t="inlineStr">
        <is>
          <t>K-M3-14</t>
        </is>
      </c>
      <c r="B53" s="13" t="inlineStr">
        <is>
          <t>M3</t>
        </is>
      </c>
      <c r="C53" s="13" t="inlineStr">
        <is>
          <t>Core</t>
        </is>
      </c>
      <c r="D53" s="13" t="inlineStr">
        <is>
          <t>Variance statistics: rate, mix and volume effects; IQR and z-score outliers (Exercise 11)</t>
        </is>
      </c>
      <c r="E53" s="13" t="inlineStr">
        <is>
          <t>Split a change in duty into rate, mix and volume effects that tie to the total, and flag unusual receipt lines with the 1.5 x IQR rule and a z-score without deleting any of them.</t>
        </is>
      </c>
      <c r="F53" s="13" t="inlineStr">
        <is>
          <t>Self-study</t>
        </is>
      </c>
      <c r="G53" s="13" t="inlineStr">
        <is>
          <t>docs/analytics/practice-exercises.md</t>
        </is>
      </c>
      <c r="H53" s="13" t="n">
        <v>9</v>
      </c>
      <c r="I53" s="15">
        <f>ProgramStart+(H53-1)*7</f>
        <v/>
      </c>
      <c r="J53" s="14" t="inlineStr">
        <is>
          <t>Not started</t>
        </is>
      </c>
      <c r="K53" s="16" t="n"/>
      <c r="L53" s="14" t="n"/>
      <c r="M53" s="14" t="n"/>
      <c r="N53" s="13" t="inlineStr">
        <is>
          <t>Why did the z-score flag fewer receipts than the IQR rule on this cost data, and why is deleting a flagged receipt wrong?</t>
        </is>
      </c>
      <c r="O53" s="14" t="n"/>
    </row>
    <row r="54">
      <c r="A54" s="13" t="inlineStr">
        <is>
          <t>K-M4-01</t>
        </is>
      </c>
      <c r="B54" s="13" t="inlineStr">
        <is>
          <t>M4</t>
        </is>
      </c>
      <c r="C54" s="13" t="inlineStr">
        <is>
          <t>Core</t>
        </is>
      </c>
      <c r="D54" s="13" t="inlineStr">
        <is>
          <t>Intake and elicitation: framing the problem and its impact</t>
        </is>
      </c>
      <c r="E54" s="13" t="inlineStr">
        <is>
          <t>Run an intake conversation and complete the intake template before any work starts.</t>
        </is>
      </c>
      <c r="F54" s="13" t="inlineStr">
        <is>
          <t>Manager</t>
        </is>
      </c>
      <c r="G54" s="13" t="inlineStr">
        <is>
          <t>docs/templates/bsa/01-intake-request.md</t>
        </is>
      </c>
      <c r="H54" s="13" t="n">
        <v>3</v>
      </c>
      <c r="I54" s="15">
        <f>ProgramStart+(H54-1)*7</f>
        <v/>
      </c>
      <c r="J54" s="14" t="inlineStr">
        <is>
          <t>Not started</t>
        </is>
      </c>
      <c r="K54" s="16" t="n"/>
      <c r="L54" s="14" t="n"/>
      <c r="M54" s="14" t="n"/>
      <c r="N54" s="13" t="inlineStr">
        <is>
          <t>What must be known about a request before it becomes a Jira item?</t>
        </is>
      </c>
      <c r="O54" s="14" t="n"/>
    </row>
    <row r="55">
      <c r="A55" s="13" t="inlineStr">
        <is>
          <t>K-M4-02</t>
        </is>
      </c>
      <c r="B55" s="13" t="inlineStr">
        <is>
          <t>M4</t>
        </is>
      </c>
      <c r="C55" s="13" t="inlineStr">
        <is>
          <t>Core</t>
        </is>
      </c>
      <c r="D55" s="13" t="inlineStr">
        <is>
          <t>Requirements, user stories, epics, acceptance criteria and MoSCoW</t>
        </is>
      </c>
      <c r="E55" s="13" t="inlineStr">
        <is>
          <t>Write testable requirements and stories with priorities and acceptance criteria that meet the team's definition of done.</t>
        </is>
      </c>
      <c r="F55" s="13" t="inlineStr">
        <is>
          <t>Manager</t>
        </is>
      </c>
      <c r="G55" s="13" t="inlineStr">
        <is>
          <t>docs/templates/bsa/02-requirements.md</t>
        </is>
      </c>
      <c r="H55" s="13" t="n">
        <v>3</v>
      </c>
      <c r="I55" s="15">
        <f>ProgramStart+(H55-1)*7</f>
        <v/>
      </c>
      <c r="J55" s="14" t="inlineStr">
        <is>
          <t>Not started</t>
        </is>
      </c>
      <c r="K55" s="16" t="n"/>
      <c r="L55" s="14" t="n"/>
      <c r="M55" s="14" t="n"/>
      <c r="N55" s="13" t="inlineStr">
        <is>
          <t>How would you rewrite 'the report should be fast' as a testable requirement with acceptance criteria?</t>
        </is>
      </c>
      <c r="O55" s="14" t="n"/>
    </row>
    <row r="56">
      <c r="A56" s="13" t="inlineStr">
        <is>
          <t>K-M4-03</t>
        </is>
      </c>
      <c r="B56" s="13" t="inlineStr">
        <is>
          <t>M4</t>
        </is>
      </c>
      <c r="C56" s="13" t="inlineStr">
        <is>
          <t>Core</t>
        </is>
      </c>
      <c r="D56" s="13" t="inlineStr">
        <is>
          <t>Process mapping: as-is and to-be, swimlanes, controls, pain points</t>
        </is>
      </c>
      <c r="E56" s="13" t="inlineStr">
        <is>
          <t>Map a shadowed process as-is, including workarounds, controls and hand-offs.</t>
        </is>
      </c>
      <c r="F56" s="13" t="inlineStr">
        <is>
          <t>Manager</t>
        </is>
      </c>
      <c r="G56" s="13" t="inlineStr">
        <is>
          <t>docs/templates/bsa/03-process-map-as-is-to-be.md</t>
        </is>
      </c>
      <c r="H56" s="13" t="n">
        <v>4</v>
      </c>
      <c r="I56" s="15">
        <f>ProgramStart+(H56-1)*7</f>
        <v/>
      </c>
      <c r="J56" s="14" t="inlineStr">
        <is>
          <t>Not started</t>
        </is>
      </c>
      <c r="K56" s="16" t="n"/>
      <c r="L56" s="14" t="n"/>
      <c r="M56" s="14" t="n"/>
      <c r="N56" s="13" t="inlineStr">
        <is>
          <t>Why do you map the as-is process, workarounds included, before designing the to-be?</t>
        </is>
      </c>
      <c r="O56" s="14" t="n"/>
    </row>
    <row r="57">
      <c r="A57" s="13" t="inlineStr">
        <is>
          <t>K-M4-04</t>
        </is>
      </c>
      <c r="B57" s="13" t="inlineStr">
        <is>
          <t>M4</t>
        </is>
      </c>
      <c r="C57" s="13" t="inlineStr">
        <is>
          <t>Core</t>
        </is>
      </c>
      <c r="D57" s="13" t="inlineStr">
        <is>
          <t>Writing an SOP from a shadowed process</t>
        </is>
      </c>
      <c r="E57" s="13" t="inlineStr">
        <is>
          <t>Turn shadowing notes into an SOP draft that another person could follow alone.</t>
        </is>
      </c>
      <c r="F57" s="13" t="inlineStr">
        <is>
          <t>Self-study</t>
        </is>
      </c>
      <c r="G57" s="13" t="inlineStr">
        <is>
          <t>docs/templates/knowledge/process-sop.md</t>
        </is>
      </c>
      <c r="H57" s="13" t="n">
        <v>4</v>
      </c>
      <c r="I57" s="15">
        <f>ProgramStart+(H57-1)*7</f>
        <v/>
      </c>
      <c r="J57" s="14" t="inlineStr">
        <is>
          <t>Not started</t>
        </is>
      </c>
      <c r="K57" s="16" t="n"/>
      <c r="L57" s="14" t="n"/>
      <c r="M57" s="14" t="n"/>
      <c r="N57" s="13" t="inlineStr">
        <is>
          <t>What makes an SOP step testable by someone who has never done the process?</t>
        </is>
      </c>
      <c r="O57" s="14" t="n"/>
    </row>
    <row r="58">
      <c r="A58" s="13" t="inlineStr">
        <is>
          <t>K-M4-05</t>
        </is>
      </c>
      <c r="B58" s="13" t="inlineStr">
        <is>
          <t>M4</t>
        </is>
      </c>
      <c r="C58" s="13" t="inlineStr">
        <is>
          <t>Core</t>
        </is>
      </c>
      <c r="D58" s="13" t="inlineStr">
        <is>
          <t>Data mapping specification</t>
        </is>
      </c>
      <c r="E58" s="13" t="inlineStr">
        <is>
          <t>Map source fields to a target with transformation rules, defaults and data-quality notes.</t>
        </is>
      </c>
      <c r="F58" s="13" t="inlineStr">
        <is>
          <t>Manager</t>
        </is>
      </c>
      <c r="G58" s="13" t="inlineStr">
        <is>
          <t>docs/templates/bsa/04-data-mapping-spec.md</t>
        </is>
      </c>
      <c r="H58" s="13" t="n">
        <v>7</v>
      </c>
      <c r="I58" s="15">
        <f>ProgramStart+(H58-1)*7</f>
        <v/>
      </c>
      <c r="J58" s="14" t="inlineStr">
        <is>
          <t>Not started</t>
        </is>
      </c>
      <c r="K58" s="16" t="n"/>
      <c r="L58" s="14" t="n"/>
      <c r="M58" s="14" t="n"/>
      <c r="N58" s="13" t="inlineStr">
        <is>
          <t>What do you record for a source field that has no target, or no reliable value?</t>
        </is>
      </c>
      <c r="O58" s="14" t="n"/>
    </row>
    <row r="59">
      <c r="A59" s="13" t="inlineStr">
        <is>
          <t>K-M4-06</t>
        </is>
      </c>
      <c r="B59" s="13" t="inlineStr">
        <is>
          <t>M4</t>
        </is>
      </c>
      <c r="C59" s="13" t="inlineStr">
        <is>
          <t>Core</t>
        </is>
      </c>
      <c r="D59" s="13" t="inlineStr">
        <is>
          <t>UAT planning and execution</t>
        </is>
      </c>
      <c r="E59" s="13" t="inlineStr">
        <is>
          <t>Write test cases from requirements, run them, and log defects that a developer can reproduce.</t>
        </is>
      </c>
      <c r="F59" s="13" t="inlineStr">
        <is>
          <t>Manager</t>
        </is>
      </c>
      <c r="G59" s="13" t="inlineStr">
        <is>
          <t>docs/templates/bsa/05-uat-test-plan.md</t>
        </is>
      </c>
      <c r="H59" s="13" t="n">
        <v>7</v>
      </c>
      <c r="I59" s="15">
        <f>ProgramStart+(H59-1)*7</f>
        <v/>
      </c>
      <c r="J59" s="14" t="inlineStr">
        <is>
          <t>Not started</t>
        </is>
      </c>
      <c r="K59" s="16" t="n"/>
      <c r="L59" s="14" t="n"/>
      <c r="M59" s="14" t="n"/>
      <c r="N59" s="13" t="inlineStr">
        <is>
          <t>What is the difference between a failed test case and a defect, and what goes in a good defect report?</t>
        </is>
      </c>
      <c r="O59" s="14" t="n"/>
    </row>
    <row r="60">
      <c r="A60" s="13" t="inlineStr">
        <is>
          <t>K-M4-07</t>
        </is>
      </c>
      <c r="B60" s="13" t="inlineStr">
        <is>
          <t>M4</t>
        </is>
      </c>
      <c r="C60" s="13" t="inlineStr">
        <is>
          <t>Core</t>
        </is>
      </c>
      <c r="D60" s="13" t="inlineStr">
        <is>
          <t>Change control and change requests</t>
        </is>
      </c>
      <c r="E60" s="13" t="inlineStr">
        <is>
          <t>Take a change through a change request with test evidence, rollback plan and checker review.</t>
        </is>
      </c>
      <c r="F60" s="13" t="inlineStr">
        <is>
          <t>Manager</t>
        </is>
      </c>
      <c r="G60" s="13" t="inlineStr">
        <is>
          <t>docs/templates/bsa/06-change-request.md</t>
        </is>
      </c>
      <c r="H60" s="13" t="n">
        <v>8</v>
      </c>
      <c r="I60" s="15">
        <f>ProgramStart+(H60-1)*7</f>
        <v/>
      </c>
      <c r="J60" s="14" t="inlineStr">
        <is>
          <t>Not started</t>
        </is>
      </c>
      <c r="K60" s="16" t="n"/>
      <c r="L60" s="14" t="n"/>
      <c r="M60" s="14" t="n"/>
      <c r="N60" s="13" t="inlineStr">
        <is>
          <t>Why does a tool change need a rollback plan even when the change is small?</t>
        </is>
      </c>
      <c r="O60" s="14" t="n"/>
    </row>
    <row r="61">
      <c r="A61" s="13" t="inlineStr">
        <is>
          <t>K-M4-08</t>
        </is>
      </c>
      <c r="B61" s="13" t="inlineStr">
        <is>
          <t>M4</t>
        </is>
      </c>
      <c r="C61" s="13" t="inlineStr">
        <is>
          <t>Core</t>
        </is>
      </c>
      <c r="D61" s="13" t="inlineStr">
        <is>
          <t>Data mapping spec and change request templates in full</t>
        </is>
      </c>
      <c r="E61" s="13" t="inlineStr">
        <is>
          <t>After the W7 data-mapping session, read Parts 1-5 of the data mapping spec and the change request template, and map 5 input fields of your owned tool.</t>
        </is>
      </c>
      <c r="F61" s="13" t="inlineStr">
        <is>
          <t>Self-study</t>
        </is>
      </c>
      <c r="G61" s="13" t="inlineStr">
        <is>
          <t>docs/templates/bsa/04-data-mapping-spec.md</t>
        </is>
      </c>
      <c r="H61" s="13" t="n">
        <v>8</v>
      </c>
      <c r="I61" s="15">
        <f>ProgramStart+(H61-1)*7</f>
        <v/>
      </c>
      <c r="J61" s="14" t="inlineStr">
        <is>
          <t>Not started</t>
        </is>
      </c>
      <c r="K61" s="16" t="n"/>
      <c r="L61" s="14" t="n"/>
      <c r="M61" s="14" t="n"/>
      <c r="N61" s="13" t="inlineStr">
        <is>
          <t>Which part of the spec records a value cross-reference, and why does it matter for e2open?</t>
        </is>
      </c>
      <c r="O61" s="14" t="n"/>
    </row>
    <row r="62">
      <c r="A62" s="13" t="inlineStr">
        <is>
          <t>K-M4-09</t>
        </is>
      </c>
      <c r="B62" s="13" t="inlineStr">
        <is>
          <t>M4</t>
        </is>
      </c>
      <c r="C62" s="13" t="inlineStr">
        <is>
          <t>Core</t>
        </is>
      </c>
      <c r="D62" s="13" t="inlineStr">
        <is>
          <t>BSA fundamentals: what a BSA does here, the BABOK knowledge areas and core concepts</t>
        </is>
      </c>
      <c r="E62" s="13" t="inlineStr">
        <is>
          <t>Describe your track's work as need, system change and data, and name the six BABOK knowledge areas and the six BACCM core concepts with a trade example of each.</t>
        </is>
      </c>
      <c r="F62" s="13" t="inlineStr">
        <is>
          <t>Self-study</t>
        </is>
      </c>
      <c r="G62" s="13" t="inlineStr">
        <is>
          <t>docs/primers/business-systems-analysis-primer.md</t>
        </is>
      </c>
      <c r="H62" s="13" t="n">
        <v>2</v>
      </c>
      <c r="I62" s="15">
        <f>ProgramStart+(H62-1)*7</f>
        <v/>
      </c>
      <c r="J62" s="14" t="inlineStr">
        <is>
          <t>Not started</t>
        </is>
      </c>
      <c r="K62" s="16" t="n"/>
      <c r="L62" s="14" t="n"/>
      <c r="M62" s="14" t="n"/>
      <c r="N62" s="13" t="inlineStr">
        <is>
          <t>Which are the six BABOK knowledge areas and the team template for each, and what is the difference between verifying and validating a requirement?</t>
        </is>
      </c>
      <c r="O62" s="14" t="n"/>
    </row>
    <row r="63">
      <c r="A63" s="13" t="inlineStr">
        <is>
          <t>K-M4-10</t>
        </is>
      </c>
      <c r="B63" s="13" t="inlineStr">
        <is>
          <t>M4</t>
        </is>
      </c>
      <c r="C63" s="13" t="inlineStr">
        <is>
          <t>Core</t>
        </is>
      </c>
      <c r="D63" s="13" t="inlineStr">
        <is>
          <t>Stakeholder analysis: influence and interest, RACI, the stakeholder list</t>
        </is>
      </c>
      <c r="E63" s="13" t="inlineStr">
        <is>
          <t>Build the stakeholder list for a work item, place each stakeholder on an influence and interest grid, and say how each one is kept informed.</t>
        </is>
      </c>
      <c r="F63" s="13" t="inlineStr">
        <is>
          <t>Self-study</t>
        </is>
      </c>
      <c r="G63" s="13" t="inlineStr">
        <is>
          <t>docs/primers/business-systems-analysis-primer.md</t>
        </is>
      </c>
      <c r="H63" s="13" t="n">
        <v>2</v>
      </c>
      <c r="I63" s="15">
        <f>ProgramStart+(H63-1)*7</f>
        <v/>
      </c>
      <c r="J63" s="14" t="inlineStr">
        <is>
          <t>Not started</t>
        </is>
      </c>
      <c r="K63" s="16" t="n"/>
      <c r="L63" s="14" t="n"/>
      <c r="M63" s="14" t="n"/>
      <c r="N63" s="13" t="inlineStr">
        <is>
          <t>In the tariff-action RACI, why is the Standard Cost BSA only informed on scope, and who on your W3 intake needs close engagement?</t>
        </is>
      </c>
      <c r="O63" s="14" t="n"/>
    </row>
    <row r="64">
      <c r="A64" s="13" t="inlineStr">
        <is>
          <t>K-M4-11</t>
        </is>
      </c>
      <c r="B64" s="13" t="inlineStr">
        <is>
          <t>M4</t>
        </is>
      </c>
      <c r="C64" s="13" t="inlineStr">
        <is>
          <t>Core</t>
        </is>
      </c>
      <c r="D64" s="13" t="inlineStr">
        <is>
          <t>Elicitation: techniques, neutral questions, confirming in writing, the elicitation plan</t>
        </is>
      </c>
      <c r="E64" s="13" t="inlineStr">
        <is>
          <t>Pick an elicitation technique for each open question, write neutral questions, and write the elicitation plan for your W3 intake with the Part 10 worked example as the model.</t>
        </is>
      </c>
      <c r="F64" s="13" t="inlineStr">
        <is>
          <t>Manager</t>
        </is>
      </c>
      <c r="G64" s="13" t="inlineStr">
        <is>
          <t>docs/primers/business-systems-analysis-primer.md</t>
        </is>
      </c>
      <c r="H64" s="13" t="n">
        <v>3</v>
      </c>
      <c r="I64" s="15">
        <f>ProgramStart+(H64-1)*7</f>
        <v/>
      </c>
      <c r="J64" s="14" t="inlineStr">
        <is>
          <t>Not started</t>
        </is>
      </c>
      <c r="K64" s="16" t="n"/>
      <c r="L64" s="14" t="n"/>
      <c r="M64" s="14" t="n"/>
      <c r="N64" s="13" t="inlineStr">
        <is>
          <t>A broker's answer would settle a scope question: what do you do before day 60, and when would you use observation instead of an interview?</t>
        </is>
      </c>
      <c r="O64" s="14" t="n"/>
    </row>
    <row r="65">
      <c r="A65" s="13" t="inlineStr">
        <is>
          <t>K-M4-12</t>
        </is>
      </c>
      <c r="B65" s="13" t="inlineStr">
        <is>
          <t>M4</t>
        </is>
      </c>
      <c r="C65" s="13" t="inlineStr">
        <is>
          <t>Core</t>
        </is>
      </c>
      <c r="D65" s="13" t="inlineStr">
        <is>
          <t>Requirement types and quality, INVEST and Given/When/Then</t>
        </is>
      </c>
      <c r="E65" s="13" t="inlineStr">
        <is>
          <t>Classify requirements into the four types, rewrite vague requirements as testable ones, check stories against INVEST, and write Given/When/Then acceptance criteria that cover effective-date edge cases.</t>
        </is>
      </c>
      <c r="F65" s="13" t="inlineStr">
        <is>
          <t>Self-study</t>
        </is>
      </c>
      <c r="G65" s="13" t="inlineStr">
        <is>
          <t>docs/primers/business-systems-analysis-primer.md</t>
        </is>
      </c>
      <c r="H65" s="13" t="n">
        <v>3</v>
      </c>
      <c r="I65" s="15">
        <f>ProgramStart+(H65-1)*7</f>
        <v/>
      </c>
      <c r="J65" s="14" t="inlineStr">
        <is>
          <t>Not started</t>
        </is>
      </c>
      <c r="K65" s="16" t="n"/>
      <c r="L65" s="14" t="n"/>
      <c r="M65" s="14" t="n"/>
      <c r="N65" s="13" t="inlineStr">
        <is>
          <t>What is one example of each of the four requirement types for a standard cost update, and what Given/When/Then criterion covers an effective-date edge case?</t>
        </is>
      </c>
      <c r="O65" s="14" t="n"/>
    </row>
    <row r="66">
      <c r="A66" s="13" t="inlineStr">
        <is>
          <t>K-M4-13</t>
        </is>
      </c>
      <c r="B66" s="13" t="inlineStr">
        <is>
          <t>M4</t>
        </is>
      </c>
      <c r="C66" s="13" t="inlineStr">
        <is>
          <t>Core</t>
        </is>
      </c>
      <c r="D66" s="13" t="inlineStr">
        <is>
          <t>Prioritization, traceability and requirements that change</t>
        </is>
      </c>
      <c r="E66" s="13" t="inlineStr">
        <is>
          <t>Prioritize with MoSCoW, trace each requirement from need to test and release, and follow the steps in order when a requirement changes after release.</t>
        </is>
      </c>
      <c r="F66" s="13" t="inlineStr">
        <is>
          <t>Self-study</t>
        </is>
      </c>
      <c r="G66" s="13" t="inlineStr">
        <is>
          <t>docs/primers/business-systems-analysis-primer.md</t>
        </is>
      </c>
      <c r="H66" s="13" t="n">
        <v>3</v>
      </c>
      <c r="I66" s="15">
        <f>ProgramStart+(H66-1)*7</f>
        <v/>
      </c>
      <c r="J66" s="14" t="inlineStr">
        <is>
          <t>Not started</t>
        </is>
      </c>
      <c r="K66" s="16" t="n"/>
      <c r="L66" s="14" t="n"/>
      <c r="M66" s="14" t="n"/>
      <c r="N66" s="13" t="inlineStr">
        <is>
          <t>What is the difference between MoSCoW, P1-P3 and PP1, and which steps follow, in order, when a notice is amended after your brief was released?</t>
        </is>
      </c>
      <c r="O66" s="14" t="n"/>
    </row>
    <row r="67">
      <c r="A67" s="13" t="inlineStr">
        <is>
          <t>K-M4-14</t>
        </is>
      </c>
      <c r="B67" s="13" t="inlineStr">
        <is>
          <t>M4</t>
        </is>
      </c>
      <c r="C67" s="13" t="inlineStr">
        <is>
          <t>Core</t>
        </is>
      </c>
      <c r="D67" s="13" t="inlineStr">
        <is>
          <t>Analysis and modeling: decision tables and root cause analysis</t>
        </is>
      </c>
      <c r="E67" s="13" t="inlineStr">
        <is>
          <t>Build a complete decision table for a scope rule and run 5 Whys on a data error from your track.</t>
        </is>
      </c>
      <c r="F67" s="13" t="inlineStr">
        <is>
          <t>Self-study</t>
        </is>
      </c>
      <c r="G67" s="13" t="inlineStr">
        <is>
          <t>docs/primers/business-systems-analysis-primer.md</t>
        </is>
      </c>
      <c r="H67" s="13" t="n">
        <v>3</v>
      </c>
      <c r="I67" s="15">
        <f>ProgramStart+(H67-1)*7</f>
        <v/>
      </c>
      <c r="J67" s="14" t="inlineStr">
        <is>
          <t>Not started</t>
        </is>
      </c>
      <c r="K67" s="16" t="n"/>
      <c r="L67" s="14" t="n"/>
      <c r="M67" s="14" t="n"/>
      <c r="N67" s="13" t="inlineStr">
        <is>
          <t>How do you check that a decision table for an action with an exclusion list is complete, and was the root cause of your last data error a person or a control?</t>
        </is>
      </c>
      <c r="O67" s="14" t="n"/>
    </row>
    <row r="68">
      <c r="A68" s="13" t="inlineStr">
        <is>
          <t>K-M4-15</t>
        </is>
      </c>
      <c r="B68" s="13" t="inlineStr">
        <is>
          <t>M4</t>
        </is>
      </c>
      <c r="C68" s="13" t="inlineStr">
        <is>
          <t>Core</t>
        </is>
      </c>
      <c r="D68" s="13" t="inlineStr">
        <is>
          <t>Where analytics fits in BSA work, and growing as a BSA</t>
        </is>
      </c>
      <c r="E68" s="13" t="inlineStr">
        <is>
          <t>Explain how profiling, counts, queries and tie-outs support each BSA step, and choose one habit from the primer's reading list and habits to start.</t>
        </is>
      </c>
      <c r="F68" s="13" t="inlineStr">
        <is>
          <t>Self-study</t>
        </is>
      </c>
      <c r="G68" s="13" t="inlineStr">
        <is>
          <t>docs/primers/business-systems-analysis-primer.md</t>
        </is>
      </c>
      <c r="H68" s="13" t="n">
        <v>4</v>
      </c>
      <c r="I68" s="15">
        <f>ProgramStart+(H68-1)*7</f>
        <v/>
      </c>
      <c r="J68" s="14" t="inlineStr">
        <is>
          <t>Not started</t>
        </is>
      </c>
      <c r="K68" s="16" t="n"/>
      <c r="L68" s="14" t="n"/>
      <c r="M68" s="14" t="n"/>
      <c r="N68" s="13" t="inlineStr">
        <is>
          <t>Which BSA steps do profiling, counts, a test query and a tie-out each support, and which habit from Part 9 will you start this month?</t>
        </is>
      </c>
      <c r="O68" s="14" t="n"/>
    </row>
    <row r="69">
      <c r="A69" s="13" t="inlineStr">
        <is>
          <t>K-M4-16</t>
        </is>
      </c>
      <c r="B69" s="13" t="inlineStr">
        <is>
          <t>M4</t>
        </is>
      </c>
      <c r="C69" s="13" t="inlineStr">
        <is>
          <t>Core</t>
        </is>
      </c>
      <c r="D69" s="13" t="inlineStr">
        <is>
          <t>Solution evaluation: measures of value and the closeout</t>
        </is>
      </c>
      <c r="E69" s="13" t="inlineStr">
        <is>
          <t>Set measures before building, check after release whether a change delivered value, and write a closeout with results, controls evidence and lessons learned.</t>
        </is>
      </c>
      <c r="F69" s="13" t="inlineStr">
        <is>
          <t>Self-study</t>
        </is>
      </c>
      <c r="G69" s="13" t="inlineStr">
        <is>
          <t>docs/primers/business-systems-analysis-primer.md</t>
        </is>
      </c>
      <c r="H69" s="13" t="n">
        <v>8</v>
      </c>
      <c r="I69" s="15">
        <f>ProgramStart+(H69-1)*7</f>
        <v/>
      </c>
      <c r="J69" s="14" t="inlineStr">
        <is>
          <t>Not started</t>
        </is>
      </c>
      <c r="K69" s="16" t="n"/>
      <c r="L69" s="14" t="n"/>
      <c r="M69" s="14" t="n"/>
      <c r="N69" s="13" t="inlineStr">
        <is>
          <t>Which three measures would show that a released change delivered value, and where do you set them before the build?</t>
        </is>
      </c>
      <c r="O69" s="14" t="n"/>
    </row>
    <row r="70">
      <c r="A70" s="13" t="inlineStr">
        <is>
          <t>K-M5R-01</t>
        </is>
      </c>
      <c r="B70" s="13" t="inlineStr">
        <is>
          <t>M5R</t>
        </is>
      </c>
      <c r="C70" s="13" t="inlineStr">
        <is>
          <t>Primary</t>
        </is>
      </c>
      <c r="D70" s="13" t="inlineStr">
        <is>
          <t>Research method: intake, sources, scope, brief, model, handoff, communication</t>
        </is>
      </c>
      <c r="E70" s="13" t="inlineStr">
        <is>
          <t>Describe each step of the Research cycle, its output, and where maker-checker review happens.</t>
        </is>
      </c>
      <c r="F70" s="13" t="inlineStr">
        <is>
          <t>Manager</t>
        </is>
      </c>
      <c r="G70" s="13" t="inlineStr">
        <is>
          <t>docs/templates/domain/tariff-impact-brief.md</t>
        </is>
      </c>
      <c r="H70" s="13" t="n">
        <v>3</v>
      </c>
      <c r="I70" s="15">
        <f>ProgramStart+(H70-1)*7</f>
        <v/>
      </c>
      <c r="J70" s="14" t="inlineStr">
        <is>
          <t>Not started</t>
        </is>
      </c>
      <c r="K70" s="16" t="n"/>
      <c r="L70" s="14" t="n"/>
      <c r="M70" s="14" t="n"/>
      <c r="N70" s="13" t="inlineStr">
        <is>
          <t>At which step does Research hand off to Standard Cost, and what must the handoff contain?</t>
        </is>
      </c>
      <c r="O70" s="14" t="n"/>
    </row>
    <row r="71">
      <c r="A71" s="13" t="inlineStr">
        <is>
          <t>K-M5R-02</t>
        </is>
      </c>
      <c r="B71" s="13" t="inlineStr">
        <is>
          <t>M5R</t>
        </is>
      </c>
      <c r="C71" s="13" t="inlineStr">
        <is>
          <t>Primary</t>
        </is>
      </c>
      <c r="D71" s="13" t="inlineStr">
        <is>
          <t>Reading a Federal Register notice, proclamation or executive order and its annex</t>
        </is>
      </c>
      <c r="E71" s="13" t="inlineStr">
        <is>
          <t>Extract scope, HTS list, rates, effective date and exclusions from the legal text.</t>
        </is>
      </c>
      <c r="F71" s="13" t="inlineStr">
        <is>
          <t>Senior</t>
        </is>
      </c>
      <c r="G71" s="13" t="inlineStr">
        <is>
          <t>https://www.federalregister.gov/</t>
        </is>
      </c>
      <c r="H71" s="13" t="n">
        <v>3</v>
      </c>
      <c r="I71" s="15">
        <f>ProgramStart+(H71-1)*7</f>
        <v/>
      </c>
      <c r="J71" s="14" t="inlineStr">
        <is>
          <t>Not started</t>
        </is>
      </c>
      <c r="K71" s="16" t="n"/>
      <c r="L71" s="14" t="n"/>
      <c r="M71" s="14" t="n"/>
      <c r="N71" s="13" t="inlineStr">
        <is>
          <t>Where in a tariff document do you find the HTS changes and the effective date, and why does the annex control over a summary?</t>
        </is>
      </c>
      <c r="O71" s="14" t="n"/>
    </row>
    <row r="72">
      <c r="A72" s="13" t="inlineStr">
        <is>
          <t>K-M5R-03</t>
        </is>
      </c>
      <c r="B72" s="13" t="inlineStr">
        <is>
          <t>M5R</t>
        </is>
      </c>
      <c r="C72" s="13" t="inlineStr">
        <is>
          <t>Primary</t>
        </is>
      </c>
      <c r="D72" s="13" t="inlineStr">
        <is>
          <t>CBP CSMS messages and implementation guidance</t>
        </is>
      </c>
      <c r="E72" s="13" t="inlineStr">
        <is>
          <t>Find the CSMS message that implements an action and reconcile it with the legal text.</t>
        </is>
      </c>
      <c r="F72" s="13" t="inlineStr">
        <is>
          <t>Self-study</t>
        </is>
      </c>
      <c r="G72" s="13" t="inlineStr">
        <is>
          <t>https://www.cbp.gov/trade/automated/cargo-systems-messaging-service</t>
        </is>
      </c>
      <c r="H72" s="13" t="n">
        <v>3</v>
      </c>
      <c r="I72" s="15">
        <f>ProgramStart+(H72-1)*7</f>
        <v/>
      </c>
      <c r="J72" s="14" t="inlineStr">
        <is>
          <t>Not started</t>
        </is>
      </c>
      <c r="K72" s="16" t="n"/>
      <c r="L72" s="14" t="n"/>
      <c r="M72" s="14" t="n"/>
      <c r="N72" s="13" t="inlineStr">
        <is>
          <t>If a CSMS message and the Federal Register text seem to disagree, which controls and what do you do next?</t>
        </is>
      </c>
      <c r="O72" s="14" t="n"/>
    </row>
    <row r="73">
      <c r="A73" s="13" t="inlineStr">
        <is>
          <t>K-M5R-04</t>
        </is>
      </c>
      <c r="B73" s="13" t="inlineStr">
        <is>
          <t>M5R</t>
        </is>
      </c>
      <c r="C73" s="13" t="inlineStr">
        <is>
          <t>Primary</t>
        </is>
      </c>
      <c r="D73" s="13" t="inlineStr">
        <is>
          <t>HTSUS Chapter 99 structure and additional-duty headings</t>
        </is>
      </c>
      <c r="E73" s="13" t="inlineStr">
        <is>
          <t>Find the Chapter 99 heading for an action, its rate, and the US notes that define its scope.</t>
        </is>
      </c>
      <c r="F73" s="13" t="inlineStr">
        <is>
          <t>Senior</t>
        </is>
      </c>
      <c r="G73" s="13" t="inlineStr">
        <is>
          <t>https://hts.usitc.gov/</t>
        </is>
      </c>
      <c r="H73" s="13" t="n">
        <v>3</v>
      </c>
      <c r="I73" s="15">
        <f>ProgramStart+(H73-1)*7</f>
        <v/>
      </c>
      <c r="J73" s="14" t="inlineStr">
        <is>
          <t>Not started</t>
        </is>
      </c>
      <c r="K73" s="16" t="n"/>
      <c r="L73" s="14" t="n"/>
      <c r="M73" s="14" t="n"/>
      <c r="N73" s="13" t="inlineStr">
        <is>
          <t>Where do you find the product scope of a Chapter 99 additional duty: in the heading text or in the subchapter's US notes?</t>
        </is>
      </c>
      <c r="O73" s="14" t="n"/>
    </row>
    <row r="74">
      <c r="A74" s="13" t="inlineStr">
        <is>
          <t>K-M5R-05</t>
        </is>
      </c>
      <c r="B74" s="13" t="inlineStr">
        <is>
          <t>M5R</t>
        </is>
      </c>
      <c r="C74" s="13" t="inlineStr">
        <is>
          <t>Primary</t>
        </is>
      </c>
      <c r="D74" s="13" t="inlineStr">
        <is>
          <t>Tariff-Impact Brief outline for a recent action</t>
        </is>
      </c>
      <c r="E74" s="13" t="inlineStr">
        <is>
          <t>Produce a brief outline listing affected HTS codes, countries, rate, effective date and a primary source for each.</t>
        </is>
      </c>
      <c r="F74" s="13" t="inlineStr">
        <is>
          <t>Manager</t>
        </is>
      </c>
      <c r="G74" s="13" t="inlineStr">
        <is>
          <t>docs/templates/domain/tariff-impact-brief.md</t>
        </is>
      </c>
      <c r="H74" s="13" t="n">
        <v>4</v>
      </c>
      <c r="I74" s="15">
        <f>ProgramStart+(H74-1)*7</f>
        <v/>
      </c>
      <c r="J74" s="14" t="inlineStr">
        <is>
          <t>Not started</t>
        </is>
      </c>
      <c r="K74" s="16" t="n"/>
      <c r="L74" s="14" t="n"/>
      <c r="M74" s="14" t="n"/>
      <c r="N74" s="13" t="inlineStr">
        <is>
          <t>Which statements in your outline do not yet have a primary source?</t>
        </is>
      </c>
      <c r="O74" s="14" t="n"/>
    </row>
    <row r="75">
      <c r="A75" s="13" t="inlineStr">
        <is>
          <t>K-M5R-06</t>
        </is>
      </c>
      <c r="B75" s="13" t="inlineStr">
        <is>
          <t>M5R</t>
        </is>
      </c>
      <c r="C75" s="13" t="inlineStr">
        <is>
          <t>Primary</t>
        </is>
      </c>
      <c r="D75" s="13" t="inlineStr">
        <is>
          <t>Stacking rules, exclusions and in-transit provisions</t>
        </is>
      </c>
      <c r="E75" s="13" t="inlineStr">
        <is>
          <t>Determine which measures apply together to an item and how exclusions and USMCA claims interact.</t>
        </is>
      </c>
      <c r="F75" s="13" t="inlineStr">
        <is>
          <t>Senior</t>
        </is>
      </c>
      <c r="G75" s="13" t="inlineStr">
        <is>
          <t>docs/primers/current-tariff-landscape.md</t>
        </is>
      </c>
      <c r="H75" s="13" t="n">
        <v>7</v>
      </c>
      <c r="I75" s="15">
        <f>ProgramStart+(H75-1)*7</f>
        <v/>
      </c>
      <c r="J75" s="14" t="inlineStr">
        <is>
          <t>Not started</t>
        </is>
      </c>
      <c r="K75" s="16" t="n"/>
      <c r="L75" s="14" t="n"/>
      <c r="M75" s="14" t="n"/>
      <c r="N75" s="13" t="inlineStr">
        <is>
          <t>For an item hit by two actions, where do you find whether the duties stack or one excludes the other?</t>
        </is>
      </c>
      <c r="O75" s="14" t="n"/>
    </row>
    <row r="76">
      <c r="A76" s="13" t="inlineStr">
        <is>
          <t>K-M5R-07</t>
        </is>
      </c>
      <c r="B76" s="13" t="inlineStr">
        <is>
          <t>M5R</t>
        </is>
      </c>
      <c r="C76" s="13" t="inlineStr">
        <is>
          <t>Primary</t>
        </is>
      </c>
      <c r="D76" s="13" t="inlineStr">
        <is>
          <t>Canada tariff actions: surtax orders and CBSA customs notices</t>
        </is>
      </c>
      <c r="E76" s="13" t="inlineStr">
        <is>
          <t>Find and read a Canadian surtax order and its customs notice, including in-transit and remission provisions.</t>
        </is>
      </c>
      <c r="F76" s="13" t="inlineStr">
        <is>
          <t>Self-study</t>
        </is>
      </c>
      <c r="G76" s="13" t="inlineStr">
        <is>
          <t>https://www.cbsa-asfc.gc.ca/publications/cn-ad/menu-eng.html</t>
        </is>
      </c>
      <c r="H76" s="13" t="n">
        <v>5</v>
      </c>
      <c r="I76" s="15">
        <f>ProgramStart+(H76-1)*7</f>
        <v/>
      </c>
      <c r="J76" s="14" t="inlineStr">
        <is>
          <t>Not started</t>
        </is>
      </c>
      <c r="K76" s="16" t="n"/>
      <c r="L76" s="14" t="n"/>
      <c r="M76" s="14" t="n"/>
      <c r="N76" s="13" t="inlineStr">
        <is>
          <t>Where does the CBSA publish how a new surtax is applied, and what decides whether our goods are affected?</t>
        </is>
      </c>
      <c r="O76" s="14" t="n"/>
    </row>
    <row r="77">
      <c r="A77" s="13" t="inlineStr">
        <is>
          <t>K-M5R-08</t>
        </is>
      </c>
      <c r="B77" s="13" t="inlineStr">
        <is>
          <t>M5R</t>
        </is>
      </c>
      <c r="C77" s="13" t="inlineStr">
        <is>
          <t>Primary</t>
        </is>
      </c>
      <c r="D77" s="13" t="inlineStr">
        <is>
          <t>Mexico tariff actions: DOF decrees modifying the TIGIE</t>
        </is>
      </c>
      <c r="E77" s="13" t="inlineStr">
        <is>
          <t>Find a DOF decree that changes TIGIE rates and list the affected fracciones and effective date.</t>
        </is>
      </c>
      <c r="F77" s="13" t="inlineStr">
        <is>
          <t>Self-study</t>
        </is>
      </c>
      <c r="G77" s="13" t="inlineStr">
        <is>
          <t>https://dof.gob.mx/</t>
        </is>
      </c>
      <c r="H77" s="13" t="n">
        <v>5</v>
      </c>
      <c r="I77" s="15">
        <f>ProgramStart+(H77-1)*7</f>
        <v/>
      </c>
      <c r="J77" s="14" t="inlineStr">
        <is>
          <t>Not started</t>
        </is>
      </c>
      <c r="K77" s="16" t="n"/>
      <c r="L77" s="14" t="n"/>
      <c r="M77" s="14" t="n"/>
      <c r="N77" s="13" t="inlineStr">
        <is>
          <t>Where is a Mexican tariff change legally published, and how do you confirm its effective date?</t>
        </is>
      </c>
      <c r="O77" s="14" t="n"/>
    </row>
    <row r="78">
      <c r="A78" s="13" t="inlineStr">
        <is>
          <t>K-M5R-09</t>
        </is>
      </c>
      <c r="B78" s="13" t="inlineStr">
        <is>
          <t>M5R</t>
        </is>
      </c>
      <c r="C78" s="13" t="inlineStr">
        <is>
          <t>Primary</t>
        </is>
      </c>
      <c r="D78" s="13" t="inlineStr">
        <is>
          <t>Scripting HTS list comparisons (action annex vs item master)</t>
        </is>
      </c>
      <c r="E78" s="13" t="inlineStr">
        <is>
          <t>Automate the comparison of an action's HTS list with our item master; a reviewer checks the output before anyone uses it.</t>
        </is>
      </c>
      <c r="F78" s="13" t="inlineStr">
        <is>
          <t>Self-study</t>
        </is>
      </c>
      <c r="G78" s="13" t="inlineStr">
        <is>
          <t>[COMPANY: approved scripting environment and item master extract]</t>
        </is>
      </c>
      <c r="H78" s="13" t="n">
        <v>5</v>
      </c>
      <c r="I78" s="15">
        <f>ProgramStart+(H78-1)*7</f>
        <v/>
      </c>
      <c r="J78" s="14" t="inlineStr">
        <is>
          <t>Not started</t>
        </is>
      </c>
      <c r="K78" s="16" t="n"/>
      <c r="L78" s="14" t="n"/>
      <c r="M78" s="14" t="n"/>
      <c r="N78" s="13" t="inlineStr">
        <is>
          <t>How do you match an annex that lists 8-digit HTS numbers against an item master that holds 10-digit numbers?</t>
        </is>
      </c>
      <c r="O78" s="14" t="n"/>
    </row>
    <row r="79">
      <c r="A79" s="13" t="inlineStr">
        <is>
          <t>K-M5R-10</t>
        </is>
      </c>
      <c r="B79" s="13" t="inlineStr">
        <is>
          <t>M5R</t>
        </is>
      </c>
      <c r="C79" s="13" t="inlineStr">
        <is>
          <t>Primary</t>
        </is>
      </c>
      <c r="D79" s="13" t="inlineStr">
        <is>
          <t>Tariff-Impact Model: Research (WHAT) inputs, handoff and business communication</t>
        </is>
      </c>
      <c r="E79" s="13" t="inlineStr">
        <is>
          <t>Fill in the WHAT inputs of the shared model, hand off to Standard Cost, and draft the business notice without dollar conclusions.</t>
        </is>
      </c>
      <c r="F79" s="13" t="inlineStr">
        <is>
          <t>Manager</t>
        </is>
      </c>
      <c r="G79" s="13" t="inlineStr">
        <is>
          <t>docs/templates/domain/tariff-impact-model-guide.md</t>
        </is>
      </c>
      <c r="H79" s="13" t="n">
        <v>7</v>
      </c>
      <c r="I79" s="15">
        <f>ProgramStart+(H79-1)*7</f>
        <v/>
      </c>
      <c r="J79" s="14" t="inlineStr">
        <is>
          <t>Not started</t>
        </is>
      </c>
      <c r="K79" s="16" t="n"/>
      <c r="L79" s="14" t="n"/>
      <c r="M79" s="14" t="n"/>
      <c r="N79" s="13" t="inlineStr">
        <is>
          <t>Which model inputs are yours, which are Standard Cost's, and what tells you the handoff is complete?</t>
        </is>
      </c>
      <c r="O79" s="14" t="n"/>
    </row>
    <row r="80">
      <c r="A80" s="13" t="inlineStr">
        <is>
          <t>K-M5R-11</t>
        </is>
      </c>
      <c r="B80" s="13" t="inlineStr">
        <is>
          <t>M5R</t>
        </is>
      </c>
      <c r="C80" s="13" t="inlineStr">
        <is>
          <t>Primary</t>
        </is>
      </c>
      <c r="D80" s="13" t="inlineStr">
        <is>
          <t>Ad-hoc investigations: framing, evidence, finding, recommendation</t>
        </is>
      </c>
      <c r="E80" s="13" t="inlineStr">
        <is>
          <t>Run one investigation end to end and write it up for review.</t>
        </is>
      </c>
      <c r="F80" s="13" t="inlineStr">
        <is>
          <t>Manager</t>
        </is>
      </c>
      <c r="G80" s="13" t="inlineStr">
        <is>
          <t>[COMPANY: past investigation examples]</t>
        </is>
      </c>
      <c r="H80" s="13" t="n">
        <v>8</v>
      </c>
      <c r="I80" s="15">
        <f>ProgramStart+(H80-1)*7</f>
        <v/>
      </c>
      <c r="J80" s="14" t="inlineStr">
        <is>
          <t>Not started</t>
        </is>
      </c>
      <c r="K80" s="16" t="n"/>
      <c r="L80" s="14" t="n"/>
      <c r="M80" s="14" t="n"/>
      <c r="N80" s="13" t="inlineStr">
        <is>
          <t>What is the question, what evidence would change your answer, and who needs the finding?</t>
        </is>
      </c>
      <c r="O80" s="14" t="n"/>
    </row>
    <row r="81">
      <c r="A81" s="13" t="inlineStr">
        <is>
          <t>K-M5R-12</t>
        </is>
      </c>
      <c r="B81" s="13" t="inlineStr">
        <is>
          <t>M5R</t>
        </is>
      </c>
      <c r="C81" s="13" t="inlineStr">
        <is>
          <t>Primary</t>
        </is>
      </c>
      <c r="D81" s="13" t="inlineStr">
        <is>
          <t>Research checklist and what to confirm with the broker or counsel</t>
        </is>
      </c>
      <c r="E81" s="13" t="inlineStr">
        <is>
          <t>While writing the A60-1 brief, work the research checklist (tariff landscape 2.5) and list what must be confirmed with the broker or trade counsel (2.6), sent through the Senior.</t>
        </is>
      </c>
      <c r="F81" s="13" t="inlineStr">
        <is>
          <t>Self-study</t>
        </is>
      </c>
      <c r="G81" s="13" t="inlineStr">
        <is>
          <t>docs/primers/current-tariff-landscape.md</t>
        </is>
      </c>
      <c r="H81" s="13" t="n">
        <v>7</v>
      </c>
      <c r="I81" s="15">
        <f>ProgramStart+(H81-1)*7</f>
        <v/>
      </c>
      <c r="J81" s="14" t="inlineStr">
        <is>
          <t>Not started</t>
        </is>
      </c>
      <c r="K81" s="16" t="n"/>
      <c r="L81" s="14" t="n"/>
      <c r="M81" s="14" t="n"/>
      <c r="N81" s="13" t="inlineStr">
        <is>
          <t>Which statements in your brief are interpretation rather than confirmed in source, and who confirms them?</t>
        </is>
      </c>
      <c r="O81" s="14" t="n"/>
    </row>
    <row r="82">
      <c r="A82" s="13" t="inlineStr">
        <is>
          <t>K-M5C-01</t>
        </is>
      </c>
      <c r="B82" s="13" t="inlineStr">
        <is>
          <t>M5C</t>
        </is>
      </c>
      <c r="C82" s="13" t="inlineStr">
        <is>
          <t>Awareness</t>
        </is>
      </c>
      <c r="D82" s="13" t="inlineStr">
        <is>
          <t>Standard costing fundamentals and Oracle cost elements</t>
        </is>
      </c>
      <c r="E82" s="13" t="inlineStr">
        <is>
          <t>Explain what a standard cost is, why it is used, how variances arise, and how Oracle EBS structures item cost.</t>
        </is>
      </c>
      <c r="F82" s="13" t="inlineStr">
        <is>
          <t>Manager</t>
        </is>
      </c>
      <c r="G82" s="13" t="inlineStr">
        <is>
          <t>[COMPANY: std cost SOP or Finance costing policy]</t>
        </is>
      </c>
      <c r="H82" s="13" t="n">
        <v>3</v>
      </c>
      <c r="I82" s="15">
        <f>ProgramStart+(H82-1)*7</f>
        <v/>
      </c>
      <c r="J82" s="14" t="inlineStr">
        <is>
          <t>Not started</t>
        </is>
      </c>
      <c r="K82" s="16" t="n"/>
      <c r="L82" s="14" t="n"/>
      <c r="M82" s="14" t="n"/>
      <c r="N82" s="13" t="inlineStr">
        <is>
          <t>Why does a business value inventory at standard instead of actual, and where is the difference recorded?</t>
        </is>
      </c>
      <c r="O82" s="14" t="n"/>
    </row>
    <row r="83">
      <c r="A83" s="13" t="inlineStr">
        <is>
          <t>K-M5C-02</t>
        </is>
      </c>
      <c r="B83" s="13" t="inlineStr">
        <is>
          <t>M5C</t>
        </is>
      </c>
      <c r="C83" s="13" t="inlineStr">
        <is>
          <t>Awareness</t>
        </is>
      </c>
      <c r="D83" s="13" t="inlineStr">
        <is>
          <t>Item cost and cost-element data in the warehouse or Oracle extract</t>
        </is>
      </c>
      <c r="E83" s="13" t="inlineStr">
        <is>
          <t>Query item standard cost by cost element for a list of items. Hire B: start in W1-W2 using time saved on the business overview.</t>
        </is>
      </c>
      <c r="F83" s="13" t="inlineStr">
        <is>
          <t>Self-study</t>
        </is>
      </c>
      <c r="G83" s="13" t="inlineStr">
        <is>
          <t>[COMPANY: warehouse cost tables or Oracle extract]</t>
        </is>
      </c>
      <c r="H83" s="13" t="n">
        <v>3</v>
      </c>
      <c r="I83" s="15">
        <f>ProgramStart+(H83-1)*7</f>
        <v/>
      </c>
      <c r="J83" s="14" t="inlineStr">
        <is>
          <t>Not started</t>
        </is>
      </c>
      <c r="K83" s="16" t="n"/>
      <c r="L83" s="14" t="n"/>
      <c r="M83" s="14" t="n"/>
      <c r="N83" s="13" t="inlineStr">
        <is>
          <t>Which cost element holds duty for our imported items, and how do you check one item's total against Oracle?</t>
        </is>
      </c>
      <c r="O83" s="14" t="n"/>
    </row>
    <row r="84">
      <c r="A84" s="13" t="inlineStr">
        <is>
          <t>K-M5C-03</t>
        </is>
      </c>
      <c r="B84" s="13" t="inlineStr">
        <is>
          <t>M5C</t>
        </is>
      </c>
      <c r="C84" s="13" t="inlineStr">
        <is>
          <t>Awareness</t>
        </is>
      </c>
      <c r="D84" s="13" t="inlineStr">
        <is>
          <t>Landed-cost components and their data sources</t>
        </is>
      </c>
      <c r="E84" s="13" t="inlineStr">
        <is>
          <t>Name each component (price, freight, insurance, duty, MPF and HMF, brokerage, inland freight, [COMPANY: other components]) and where its data comes from.</t>
        </is>
      </c>
      <c r="F84" s="13" t="inlineStr">
        <is>
          <t>Manager</t>
        </is>
      </c>
      <c r="G84" s="13" t="inlineStr">
        <is>
          <t>docs/templates/domain/standard-cost-update-checklist.md</t>
        </is>
      </c>
      <c r="H84" s="13" t="n">
        <v>3</v>
      </c>
      <c r="I84" s="15">
        <f>ProgramStart+(H84-1)*7</f>
        <v/>
      </c>
      <c r="J84" s="14" t="inlineStr">
        <is>
          <t>Not started</t>
        </is>
      </c>
      <c r="K84" s="16" t="n"/>
      <c r="L84" s="14" t="n"/>
      <c r="M84" s="14" t="n"/>
      <c r="N84" s="13" t="inlineStr">
        <is>
          <t>Which landed-cost components come from broker entry data, and which from freight invoices or rate tables?</t>
        </is>
      </c>
      <c r="O84" s="14" t="n"/>
    </row>
    <row r="85">
      <c r="A85" s="13" t="inlineStr">
        <is>
          <t>K-M5C-04</t>
        </is>
      </c>
      <c r="B85" s="13" t="inlineStr">
        <is>
          <t>M5C</t>
        </is>
      </c>
      <c r="C85" s="13" t="inlineStr">
        <is>
          <t>Awareness</t>
        </is>
      </c>
      <c r="D85" s="13" t="inlineStr">
        <is>
          <t>Cost-update calendar and Finance roles</t>
        </is>
      </c>
      <c r="E85" s="13" t="inlineStr">
        <is>
          <t>Know when cost updates happen, who does what in Finance, and which sign-offs are required.</t>
        </is>
      </c>
      <c r="F85" s="13" t="inlineStr">
        <is>
          <t>Shadow</t>
        </is>
      </c>
      <c r="G85" s="13" t="inlineStr">
        <is>
          <t>[COMPANY: cost update calendar and Finance cost accounting contact]</t>
        </is>
      </c>
      <c r="H85" s="13" t="n">
        <v>4</v>
      </c>
      <c r="I85" s="15">
        <f>ProgramStart+(H85-1)*7</f>
        <v/>
      </c>
      <c r="J85" s="14" t="inlineStr">
        <is>
          <t>Not started</t>
        </is>
      </c>
      <c r="K85" s="16" t="n"/>
      <c r="L85" s="14" t="n"/>
      <c r="M85" s="14" t="n"/>
      <c r="N85" s="13" t="inlineStr">
        <is>
          <t>When is the next cost update, and who in Finance signs off before anything loads to Oracle?</t>
        </is>
      </c>
      <c r="O85" s="14" t="n"/>
    </row>
    <row r="86">
      <c r="A86" s="13" t="inlineStr">
        <is>
          <t>K-M5C-05</t>
        </is>
      </c>
      <c r="B86" s="13" t="inlineStr">
        <is>
          <t>M5C</t>
        </is>
      </c>
      <c r="C86" s="13" t="inlineStr">
        <is>
          <t>Awareness</t>
        </is>
      </c>
      <c r="D86" s="13" t="inlineStr">
        <is>
          <t>Rebuilding landed cost for sample items</t>
        </is>
      </c>
      <c r="E86" s="13" t="inlineStr">
        <is>
          <t>Rebuild landed cost for 5 items from source data and explain each difference from the current standard.</t>
        </is>
      </c>
      <c r="F86" s="13" t="inlineStr">
        <is>
          <t>Manager</t>
        </is>
      </c>
      <c r="G86" s="13" t="inlineStr">
        <is>
          <t>docs/templates/domain/standard-cost-update-checklist.md</t>
        </is>
      </c>
      <c r="H86" s="13" t="n">
        <v>4</v>
      </c>
      <c r="I86" s="15">
        <f>ProgramStart+(H86-1)*7</f>
        <v/>
      </c>
      <c r="J86" s="14" t="inlineStr">
        <is>
          <t>Not started</t>
        </is>
      </c>
      <c r="K86" s="16" t="n"/>
      <c r="L86" s="14" t="n"/>
      <c r="M86" s="14" t="n"/>
      <c r="N86" s="13" t="inlineStr">
        <is>
          <t>Your rebuilt landed cost is above standard for an item; what are the first three things you check?</t>
        </is>
      </c>
      <c r="O86" s="14" t="n"/>
    </row>
    <row r="87">
      <c r="A87" s="13" t="inlineStr">
        <is>
          <t>K-M5C-06</t>
        </is>
      </c>
      <c r="B87" s="13" t="inlineStr">
        <is>
          <t>M5C</t>
        </is>
      </c>
      <c r="C87" s="13" t="inlineStr">
        <is>
          <t>Awareness</t>
        </is>
      </c>
      <c r="D87" s="13" t="inlineStr">
        <is>
          <t>Standard cost update cycle step by step</t>
        </is>
      </c>
      <c r="E87" s="13" t="inlineStr">
        <is>
          <t>Walk through the full cycle with the checklist, including controls, sign-offs and the post-update reconciliation.</t>
        </is>
      </c>
      <c r="F87" s="13" t="inlineStr">
        <is>
          <t>Self-study</t>
        </is>
      </c>
      <c r="G87" s="13" t="inlineStr">
        <is>
          <t>docs/templates/domain/standard-cost-update-checklist.md</t>
        </is>
      </c>
      <c r="H87" s="13" t="n">
        <v>5</v>
      </c>
      <c r="I87" s="15">
        <f>ProgramStart+(H87-1)*7</f>
        <v/>
      </c>
      <c r="J87" s="14" t="inlineStr">
        <is>
          <t>Not started</t>
        </is>
      </c>
      <c r="K87" s="16" t="n"/>
      <c r="L87" s="14" t="n"/>
      <c r="M87" s="14" t="n"/>
      <c r="N87" s="13" t="inlineStr">
        <is>
          <t>Which steps in the cycle are maker-checker control points, and what evidence does each one leave?</t>
        </is>
      </c>
      <c r="O87" s="14" t="n"/>
    </row>
    <row r="88">
      <c r="A88" s="13" t="inlineStr">
        <is>
          <t>K-M5C-07</t>
        </is>
      </c>
      <c r="B88" s="13" t="inlineStr">
        <is>
          <t>M5C</t>
        </is>
      </c>
      <c r="C88" s="13" t="inlineStr">
        <is>
          <t>Awareness</t>
        </is>
      </c>
      <c r="D88" s="13" t="inlineStr">
        <is>
          <t>Inventory revaluation and GL impact of a standard cost change</t>
        </is>
      </c>
      <c r="E88" s="13" t="inlineStr">
        <is>
          <t>Explain how changing a standard revalues on-hand inventory and where the adjustment posts.</t>
        </is>
      </c>
      <c r="F88" s="13" t="inlineStr">
        <is>
          <t>Shadow</t>
        </is>
      </c>
      <c r="G88" s="13" t="inlineStr">
        <is>
          <t>[COMPANY: Finance cost accounting contact]</t>
        </is>
      </c>
      <c r="H88" s="13" t="n">
        <v>7</v>
      </c>
      <c r="I88" s="15">
        <f>ProgramStart+(H88-1)*7</f>
        <v/>
      </c>
      <c r="J88" s="14" t="inlineStr">
        <is>
          <t>Not started</t>
        </is>
      </c>
      <c r="K88" s="16" t="n"/>
      <c r="L88" s="14" t="n"/>
      <c r="M88" s="14" t="n"/>
      <c r="N88" s="13" t="inlineStr">
        <is>
          <t>If duty in an item's standard rises, what happens to on-hand inventory value at the update, and who needs to know?</t>
        </is>
      </c>
      <c r="O88" s="14" t="n"/>
    </row>
    <row r="89">
      <c r="A89" s="13" t="inlineStr">
        <is>
          <t>K-M5C-08</t>
        </is>
      </c>
      <c r="B89" s="13" t="inlineStr">
        <is>
          <t>M5C</t>
        </is>
      </c>
      <c r="C89" s="13" t="inlineStr">
        <is>
          <t>Awareness</t>
        </is>
      </c>
      <c r="D89" s="13" t="inlineStr">
        <is>
          <t>Purchase price variance (PPV): definition, drivers, tie-out</t>
        </is>
      </c>
      <c r="E89" s="13" t="inlineStr">
        <is>
          <t>Analyze PPV for a closed period by driver and tie the total to Finance.</t>
        </is>
      </c>
      <c r="F89" s="13" t="inlineStr">
        <is>
          <t>Shadow</t>
        </is>
      </c>
      <c r="G89" s="13" t="inlineStr">
        <is>
          <t>[COMPANY: Finance PPV report or GL account]</t>
        </is>
      </c>
      <c r="H89" s="13" t="n">
        <v>7</v>
      </c>
      <c r="I89" s="15">
        <f>ProgramStart+(H89-1)*7</f>
        <v/>
      </c>
      <c r="J89" s="14" t="inlineStr">
        <is>
          <t>Not started</t>
        </is>
      </c>
      <c r="K89" s="16" t="n"/>
      <c r="L89" s="14" t="n"/>
      <c r="M89" s="14" t="n"/>
      <c r="N89" s="13" t="inlineStr">
        <is>
          <t>Which PPV drivers can the trade team explain, and which belong to purchasing?</t>
        </is>
      </c>
      <c r="O89" s="14" t="n"/>
    </row>
    <row r="90">
      <c r="A90" s="13" t="inlineStr">
        <is>
          <t>K-M5C-09</t>
        </is>
      </c>
      <c r="B90" s="13" t="inlineStr">
        <is>
          <t>M5C</t>
        </is>
      </c>
      <c r="C90" s="13" t="inlineStr">
        <is>
          <t>Awareness</t>
        </is>
      </c>
      <c r="D90" s="13" t="inlineStr">
        <is>
          <t>Tariff $ impact modeling with the shared model</t>
        </is>
      </c>
      <c r="E90" s="13" t="inlineStr">
        <is>
          <t>Calculate landed-cost and margin impact from a Tariff-Impact Brief without re-interpreting its legal scope.</t>
        </is>
      </c>
      <c r="F90" s="13" t="inlineStr">
        <is>
          <t>Manager</t>
        </is>
      </c>
      <c r="G90" s="13" t="inlineStr">
        <is>
          <t>docs/templates/domain/tariff-impact-model-guide.md</t>
        </is>
      </c>
      <c r="H90" s="13" t="n">
        <v>7</v>
      </c>
      <c r="I90" s="15">
        <f>ProgramStart+(H90-1)*7</f>
        <v/>
      </c>
      <c r="J90" s="14" t="inlineStr">
        <is>
          <t>Not started</t>
        </is>
      </c>
      <c r="K90" s="16" t="n"/>
      <c r="L90" s="14" t="n"/>
      <c r="M90" s="14" t="n"/>
      <c r="N90" s="13" t="inlineStr">
        <is>
          <t>You disagree with the brief's stacking interpretation; what do you do instead of changing the model?</t>
        </is>
      </c>
      <c r="O90" s="14" t="n"/>
    </row>
    <row r="91">
      <c r="A91" s="13" t="inlineStr">
        <is>
          <t>K-M5C-10</t>
        </is>
      </c>
      <c r="B91" s="13" t="inlineStr">
        <is>
          <t>M5C</t>
        </is>
      </c>
      <c r="C91" s="13" t="inlineStr">
        <is>
          <t>Awareness</t>
        </is>
      </c>
      <c r="D91" s="13" t="inlineStr">
        <is>
          <t>Actual vs standard duty: using broker entry data to explain duty variance</t>
        </is>
      </c>
      <c r="E91" s="13" t="inlineStr">
        <is>
          <t>Compare duty actually paid per entry line with the duty in standard cost and explain the gap.</t>
        </is>
      </c>
      <c r="F91" s="13" t="inlineStr">
        <is>
          <t>Self-study</t>
        </is>
      </c>
      <c r="G91" s="13" t="inlineStr">
        <is>
          <t>[COMPANY: broker entry data report]</t>
        </is>
      </c>
      <c r="H91" s="13" t="n">
        <v>8</v>
      </c>
      <c r="I91" s="15">
        <f>ProgramStart+(H91-1)*7</f>
        <v/>
      </c>
      <c r="J91" s="14" t="inlineStr">
        <is>
          <t>Not started</t>
        </is>
      </c>
      <c r="K91" s="16" t="n"/>
      <c r="L91" s="14" t="n"/>
      <c r="M91" s="14" t="n"/>
      <c r="N91" s="13" t="inlineStr">
        <is>
          <t>What are three reasons duty paid on an entry can differ from the duty in standard cost?</t>
        </is>
      </c>
      <c r="O91" s="14" t="n"/>
    </row>
    <row r="92">
      <c r="A92" s="13" t="inlineStr">
        <is>
          <t>K-M5C-11</t>
        </is>
      </c>
      <c r="B92" s="13" t="inlineStr">
        <is>
          <t>M5C</t>
        </is>
      </c>
      <c r="C92" s="13" t="inlineStr">
        <is>
          <t>Awareness</t>
        </is>
      </c>
      <c r="D92" s="13" t="inlineStr">
        <is>
          <t>Cost checklist phases 1-5 and practice Exercise 5 redo</t>
        </is>
      </c>
      <c r="E92" s="13" t="inlineStr">
        <is>
          <t>Re-read Phases 1-5 of the standard cost update checklist and redo practice Exercise 5 (PPV) before the real PPV analysis.</t>
        </is>
      </c>
      <c r="F92" s="13" t="inlineStr">
        <is>
          <t>Self-study</t>
        </is>
      </c>
      <c r="G92" s="13" t="inlineStr">
        <is>
          <t>docs/templates/domain/standard-cost-update-checklist.md</t>
        </is>
      </c>
      <c r="H92" s="13" t="n">
        <v>7</v>
      </c>
      <c r="I92" s="15">
        <f>ProgramStart+(H92-1)*7</f>
        <v/>
      </c>
      <c r="J92" s="14" t="inlineStr">
        <is>
          <t>Not started</t>
        </is>
      </c>
      <c r="K92" s="16" t="n"/>
      <c r="L92" s="14" t="n"/>
      <c r="M92" s="14" t="n"/>
      <c r="N92" s="13" t="inlineStr">
        <is>
          <t>Which phase produces the evidence the checker reviews, and what must tie out before Finance approval?</t>
        </is>
      </c>
      <c r="O92" s="14" t="n"/>
    </row>
    <row r="93">
      <c r="A93" s="13" t="inlineStr">
        <is>
          <t>K-M6-01</t>
        </is>
      </c>
      <c r="B93" s="13" t="inlineStr">
        <is>
          <t>M6</t>
        </is>
      </c>
      <c r="C93" s="13" t="inlineStr">
        <is>
          <t>Core</t>
        </is>
      </c>
      <c r="D93" s="13" t="inlineStr">
        <is>
          <t>Custom tool landscape and the Tool Inventory</t>
        </is>
      </c>
      <c r="E93" s="13" t="inlineStr">
        <is>
          <t>Fill in Tool Inventory rows for your assigned tools from the Manager's kickoff and your own reading.</t>
        </is>
      </c>
      <c r="F93" s="13" t="inlineStr">
        <is>
          <t>Manager</t>
        </is>
      </c>
      <c r="G93" s="13" t="inlineStr">
        <is>
          <t>docs/templates/knowledge/tool-doc.md</t>
        </is>
      </c>
      <c r="H93" s="13" t="n">
        <v>2</v>
      </c>
      <c r="I93" s="15">
        <f>ProgramStart+(H93-1)*7</f>
        <v/>
      </c>
      <c r="J93" s="14" t="inlineStr">
        <is>
          <t>Not started</t>
        </is>
      </c>
      <c r="K93" s="16" t="n"/>
      <c r="L93" s="14" t="n"/>
      <c r="M93" s="14" t="n"/>
      <c r="N93" s="13" t="inlineStr">
        <is>
          <t>Which of your assigned tools has the highest risk if it breaks, and why?</t>
        </is>
      </c>
      <c r="O93" s="14" t="n"/>
    </row>
    <row r="94">
      <c r="A94" s="13" t="inlineStr">
        <is>
          <t>K-M6-02</t>
        </is>
      </c>
      <c r="B94" s="13" t="inlineStr">
        <is>
          <t>M6</t>
        </is>
      </c>
      <c r="C94" s="13" t="inlineStr">
        <is>
          <t>Core</t>
        </is>
      </c>
      <c r="D94" s="13" t="inlineStr">
        <is>
          <t>Writing a tool doc</t>
        </is>
      </c>
      <c r="E94" s="13" t="inlineStr">
        <is>
          <t>Document a tool so that someone else can run it alone.</t>
        </is>
      </c>
      <c r="F94" s="13" t="inlineStr">
        <is>
          <t>Self-study</t>
        </is>
      </c>
      <c r="G94" s="13" t="inlineStr">
        <is>
          <t>docs/templates/knowledge/tool-doc.md</t>
        </is>
      </c>
      <c r="H94" s="13" t="n">
        <v>3</v>
      </c>
      <c r="I94" s="15">
        <f>ProgramStart+(H94-1)*7</f>
        <v/>
      </c>
      <c r="J94" s="14" t="inlineStr">
        <is>
          <t>Not started</t>
        </is>
      </c>
      <c r="K94" s="16" t="n"/>
      <c r="L94" s="14" t="n"/>
      <c r="M94" s="14" t="n"/>
      <c r="N94" s="13" t="inlineStr">
        <is>
          <t>What must a tool doc include for someone to run the tool while you are out?</t>
        </is>
      </c>
      <c r="O94" s="14" t="n"/>
    </row>
    <row r="95">
      <c r="A95" s="13" t="inlineStr">
        <is>
          <t>K-M6-03</t>
        </is>
      </c>
      <c r="B95" s="13" t="inlineStr">
        <is>
          <t>M6</t>
        </is>
      </c>
      <c r="C95" s="13" t="inlineStr">
        <is>
          <t>Core</t>
        </is>
      </c>
      <c r="D95" s="13" t="inlineStr">
        <is>
          <t>Candidate tool walkthrough: reading its code, flows and dependencies</t>
        </is>
      </c>
      <c r="E95" s="13" t="inlineStr">
        <is>
          <t>Walk through the candidate tool with the Manager and read its Python, VBA, Access or Power Automate logic, including whose credentials it runs under.</t>
        </is>
      </c>
      <c r="F95" s="13" t="inlineStr">
        <is>
          <t>Manager</t>
        </is>
      </c>
      <c r="G95" s="13" t="inlineStr">
        <is>
          <t>[COMPANY: tool closest to Research] or [COMPANY: name of std-cost tool]</t>
        </is>
      </c>
      <c r="H95" s="13" t="n">
        <v>4</v>
      </c>
      <c r="I95" s="15">
        <f>ProgramStart+(H95-1)*7</f>
        <v/>
      </c>
      <c r="J95" s="14" t="inlineStr">
        <is>
          <t>Not started</t>
        </is>
      </c>
      <c r="K95" s="16" t="n"/>
      <c r="L95" s="14" t="n"/>
      <c r="M95" s="14" t="n"/>
      <c r="N95" s="13" t="inlineStr">
        <is>
          <t>Where does the tool read its inputs, and what hard-coded values (rates, paths, dates, credentials) does it contain?</t>
        </is>
      </c>
      <c r="O95" s="14" t="n"/>
    </row>
    <row r="96">
      <c r="A96" s="13" t="inlineStr">
        <is>
          <t>K-M6-04</t>
        </is>
      </c>
      <c r="B96" s="13" t="inlineStr">
        <is>
          <t>M6</t>
        </is>
      </c>
      <c r="C96" s="13" t="inlineStr">
        <is>
          <t>Core</t>
        </is>
      </c>
      <c r="D96" s="13" t="inlineStr">
        <is>
          <t>Running the owned tool: schedule, failure modes, recovery</t>
        </is>
      </c>
      <c r="E96" s="13" t="inlineStr">
        <is>
          <t>Run the owned tool with the Manager and write down its failure modes and recovery steps.</t>
        </is>
      </c>
      <c r="F96" s="13" t="inlineStr">
        <is>
          <t>Manager</t>
        </is>
      </c>
      <c r="G96" s="13" t="inlineStr">
        <is>
          <t>[COMPANY: owned tool run instructions]</t>
        </is>
      </c>
      <c r="H96" s="13" t="n">
        <v>6</v>
      </c>
      <c r="I96" s="15">
        <f>ProgramStart+(H96-1)*7</f>
        <v/>
      </c>
      <c r="J96" s="14" t="inlineStr">
        <is>
          <t>Not started</t>
        </is>
      </c>
      <c r="K96" s="16" t="n"/>
      <c r="L96" s="14" t="n"/>
      <c r="M96" s="14" t="n"/>
      <c r="N96" s="13" t="inlineStr">
        <is>
          <t>What are the two most likely ways the tool fails, and how do you recover from each?</t>
        </is>
      </c>
      <c r="O96" s="14" t="n"/>
    </row>
    <row r="97">
      <c r="A97" s="13" t="inlineStr">
        <is>
          <t>K-M6-05</t>
        </is>
      </c>
      <c r="B97" s="13" t="inlineStr">
        <is>
          <t>M6</t>
        </is>
      </c>
      <c r="C97" s="13" t="inlineStr">
        <is>
          <t>Core</t>
        </is>
      </c>
      <c r="D97" s="13" t="inlineStr">
        <is>
          <t>First change to the owned tool through a change request, in a test copy</t>
        </is>
      </c>
      <c r="E97" s="13" t="inlineStr">
        <is>
          <t>Draft and test one change in a test copy through a change request, with test evidence and the Manager as checker. Production changes wait for the day-60 review.</t>
        </is>
      </c>
      <c r="F97" s="13" t="inlineStr">
        <is>
          <t>Manager</t>
        </is>
      </c>
      <c r="G97" s="13" t="inlineStr">
        <is>
          <t>docs/templates/bsa/06-change-request.md</t>
        </is>
      </c>
      <c r="H97" s="13" t="n">
        <v>8</v>
      </c>
      <c r="I97" s="15">
        <f>ProgramStart+(H97-1)*7</f>
        <v/>
      </c>
      <c r="J97" s="14" t="inlineStr">
        <is>
          <t>Not started</t>
        </is>
      </c>
      <c r="K97" s="16" t="n"/>
      <c r="L97" s="14" t="n"/>
      <c r="M97" s="14" t="n"/>
      <c r="N97" s="13" t="inlineStr">
        <is>
          <t>What test proves your change works and did not break anything else?</t>
        </is>
      </c>
      <c r="O97" s="14" t="n"/>
    </row>
    <row r="98">
      <c r="A98" s="13" t="inlineStr">
        <is>
          <t>K-M6-06</t>
        </is>
      </c>
      <c r="B98" s="13" t="inlineStr">
        <is>
          <t>M6</t>
        </is>
      </c>
      <c r="C98" s="13" t="inlineStr">
        <is>
          <t>Core</t>
        </is>
      </c>
      <c r="D98" s="13" t="inlineStr">
        <is>
          <t>Proposed e2open disposition for the owned tool</t>
        </is>
      </c>
      <c r="E98" s="13" t="inlineStr">
        <is>
          <t>Propose replace, interface, retire, keep or TBD (with the open question) for the owned tool, with reasons, to confirm after the e2open kickoff.</t>
        </is>
      </c>
      <c r="F98" s="13" t="inlineStr">
        <is>
          <t>Manager</t>
        </is>
      </c>
      <c r="G98" s="13" t="inlineStr">
        <is>
          <t>docs/primers/trade-systems-gtm-e2open-primer.md</t>
        </is>
      </c>
      <c r="H98" s="13" t="n">
        <v>9</v>
      </c>
      <c r="I98" s="15">
        <f>ProgramStart+(H98-1)*7</f>
        <v/>
      </c>
      <c r="J98" s="14" t="inlineStr">
        <is>
          <t>Not started</t>
        </is>
      </c>
      <c r="K98" s="16" t="n"/>
      <c r="L98" s="14" t="n"/>
      <c r="M98" s="14" t="n"/>
      <c r="N98" s="13" t="inlineStr">
        <is>
          <t>Which functions of your tool will e2open cover, and what is left over?</t>
        </is>
      </c>
      <c r="O98" s="14" t="n"/>
    </row>
    <row r="99">
      <c r="A99" s="13" t="inlineStr">
        <is>
          <t>K-M6-07</t>
        </is>
      </c>
      <c r="B99" s="13" t="inlineStr">
        <is>
          <t>M6</t>
        </is>
      </c>
      <c r="C99" s="13" t="inlineStr">
        <is>
          <t>Core</t>
        </is>
      </c>
      <c r="D99" s="13" t="inlineStr">
        <is>
          <t>Second custom tool</t>
        </is>
      </c>
      <c r="E99" s="13" t="inlineStr">
        <is>
          <t>Run a second tool from its doc and fix the gaps you find in that doc.</t>
        </is>
      </c>
      <c r="F99" s="13" t="inlineStr">
        <is>
          <t>Self-study</t>
        </is>
      </c>
      <c r="G99" s="13" t="inlineStr">
        <is>
          <t>docs/templates/knowledge/tool-doc.md</t>
        </is>
      </c>
      <c r="H99" s="13" t="n">
        <v>12</v>
      </c>
      <c r="I99" s="15">
        <f>ProgramStart+(H99-1)*7</f>
        <v/>
      </c>
      <c r="J99" s="14" t="inlineStr">
        <is>
          <t>Not started</t>
        </is>
      </c>
      <c r="K99" s="16" t="n"/>
      <c r="L99" s="14" t="n"/>
      <c r="M99" s="14" t="n"/>
      <c r="N99" s="13" t="inlineStr">
        <is>
          <t>Could you run the second tool tomorrow if its owner were out, and what is missing from its doc?</t>
        </is>
      </c>
      <c r="O99" s="14" t="n"/>
    </row>
    <row r="100">
      <c r="A100" s="13" t="inlineStr">
        <is>
          <t>K-M7-01</t>
        </is>
      </c>
      <c r="B100" s="13" t="inlineStr">
        <is>
          <t>M7</t>
        </is>
      </c>
      <c r="C100" s="13" t="inlineStr">
        <is>
          <t>Core</t>
        </is>
      </c>
      <c r="D100" s="13" t="inlineStr">
        <is>
          <t>Export compliance framework: EAR, BIS, jurisdiction, CCL, ECCN and EAR99</t>
        </is>
      </c>
      <c r="E100" s="13" t="inlineStr">
        <is>
          <t>Explain how an item's export classification is determined and why license determinations stay with the Senior.</t>
        </is>
      </c>
      <c r="F100" s="13" t="inlineStr">
        <is>
          <t>Senior</t>
        </is>
      </c>
      <c r="G100" s="13" t="inlineStr">
        <is>
          <t>https://www.bis.gov/regulations/ear</t>
        </is>
      </c>
      <c r="H100" s="13" t="n">
        <v>5</v>
      </c>
      <c r="I100" s="15">
        <f>ProgramStart+(H100-1)*7</f>
        <v/>
      </c>
      <c r="J100" s="14" t="inlineStr">
        <is>
          <t>Not started</t>
        </is>
      </c>
      <c r="K100" s="16" t="n"/>
      <c r="L100" s="14" t="n"/>
      <c r="M100" s="14" t="n"/>
      <c r="N100" s="13" t="inlineStr">
        <is>
          <t>What does EAR99 mean, and in which three situations might an EAR99 item still need a license?</t>
        </is>
      </c>
      <c r="O100" s="14" t="n"/>
    </row>
    <row r="101">
      <c r="A101" s="13" t="inlineStr">
        <is>
          <t>K-M7-02</t>
        </is>
      </c>
      <c r="B101" s="13" t="inlineStr">
        <is>
          <t>M7</t>
        </is>
      </c>
      <c r="C101" s="13" t="inlineStr">
        <is>
          <t>Core</t>
        </is>
      </c>
      <c r="D101" s="13" t="inlineStr">
        <is>
          <t>EEI filing in AES under the FTR, USPPI and routed exports</t>
        </is>
      </c>
      <c r="E101" s="13" t="inlineStr">
        <is>
          <t>Explain when EEI is required, who files it, and what the ITN proves.</t>
        </is>
      </c>
      <c r="F101" s="13" t="inlineStr">
        <is>
          <t>Senior</t>
        </is>
      </c>
      <c r="G101" s="13" t="inlineStr">
        <is>
          <t>https://www.census.gov/foreign-trade/aes/index.html</t>
        </is>
      </c>
      <c r="H101" s="13" t="n">
        <v>5</v>
      </c>
      <c r="I101" s="15">
        <f>ProgramStart+(H101-1)*7</f>
        <v/>
      </c>
      <c r="J101" s="14" t="inlineStr">
        <is>
          <t>Not started</t>
        </is>
      </c>
      <c r="K101" s="16" t="n"/>
      <c r="L101" s="14" t="n"/>
      <c r="M101" s="14" t="n"/>
      <c r="N101" s="13" t="inlineStr">
        <is>
          <t>Who is the USPPI on our exports, and who is responsible for the accuracy of the EEI data?</t>
        </is>
      </c>
      <c r="O101" s="14" t="n"/>
    </row>
    <row r="102">
      <c r="A102" s="13" t="inlineStr">
        <is>
          <t>K-M7-03</t>
        </is>
      </c>
      <c r="B102" s="13" t="inlineStr">
        <is>
          <t>M7</t>
        </is>
      </c>
      <c r="C102" s="13" t="inlineStr">
        <is>
          <t>Core</t>
        </is>
      </c>
      <c r="D102" s="13" t="inlineStr">
        <is>
          <t>The team's exports process and backlog handoff</t>
        </is>
      </c>
      <c r="E102" s="13" t="inlineStr">
        <is>
          <t>Know the exports process, its Jira label, and which items you may take as maker.</t>
        </is>
      </c>
      <c r="F102" s="13" t="inlineStr">
        <is>
          <t>Shadow</t>
        </is>
      </c>
      <c r="G102" s="13" t="inlineStr">
        <is>
          <t>[COMPANY: Jira label for exports transition]</t>
        </is>
      </c>
      <c r="H102" s="13" t="n">
        <v>6</v>
      </c>
      <c r="I102" s="15">
        <f>ProgramStart+(H102-1)*7</f>
        <v/>
      </c>
      <c r="J102" s="14" t="inlineStr">
        <is>
          <t>Not started</t>
        </is>
      </c>
      <c r="K102" s="16" t="n"/>
      <c r="L102" s="14" t="n"/>
      <c r="M102" s="14" t="n"/>
      <c r="N102" s="13" t="inlineStr">
        <is>
          <t>Which exports items may you take as maker, and which stay with the Senior?</t>
        </is>
      </c>
      <c r="O102" s="14" t="n"/>
    </row>
    <row r="103">
      <c r="A103" s="13" t="inlineStr">
        <is>
          <t>K-M7-04</t>
        </is>
      </c>
      <c r="B103" s="13" t="inlineStr">
        <is>
          <t>M7</t>
        </is>
      </c>
      <c r="C103" s="13" t="inlineStr">
        <is>
          <t>Core</t>
        </is>
      </c>
      <c r="D103" s="13" t="inlineStr">
        <is>
          <t>Schedule B classification</t>
        </is>
      </c>
      <c r="E103" s="13" t="inlineStr">
        <is>
          <t>Find the Schedule B number for an item and explain how it relates to the HTSUS.</t>
        </is>
      </c>
      <c r="F103" s="13" t="inlineStr">
        <is>
          <t>Self-study</t>
        </is>
      </c>
      <c r="G103" s="13" t="inlineStr">
        <is>
          <t>https://www.census.gov/scheduleb</t>
        </is>
      </c>
      <c r="H103" s="13" t="n">
        <v>7</v>
      </c>
      <c r="I103" s="15">
        <f>ProgramStart+(H103-1)*7</f>
        <v/>
      </c>
      <c r="J103" s="14" t="inlineStr">
        <is>
          <t>Not started</t>
        </is>
      </c>
      <c r="K103" s="16" t="n"/>
      <c r="L103" s="14" t="n"/>
      <c r="M103" s="14" t="n"/>
      <c r="N103" s="13" t="inlineStr">
        <is>
          <t>For most goods, may you report the HTSUS number instead of the Schedule B number in EEI, and what are the first 6 digits based on?</t>
        </is>
      </c>
      <c r="O103" s="14" t="n"/>
    </row>
    <row r="104">
      <c r="A104" s="13" t="inlineStr">
        <is>
          <t>K-M7-05</t>
        </is>
      </c>
      <c r="B104" s="13" t="inlineStr">
        <is>
          <t>M7</t>
        </is>
      </c>
      <c r="C104" s="13" t="inlineStr">
        <is>
          <t>Core</t>
        </is>
      </c>
      <c r="D104" s="13" t="inlineStr">
        <is>
          <t>Restricted party screening (awareness)</t>
        </is>
      </c>
      <c r="E104" s="13" t="inlineStr">
        <is>
          <t>Explain what screening is, which lists it covers, and how to escalate a possible match.</t>
        </is>
      </c>
      <c r="F104" s="13" t="inlineStr">
        <is>
          <t>Self-study</t>
        </is>
      </c>
      <c r="G104" s="13" t="inlineStr">
        <is>
          <t>https://www.trade.gov/consolidated-screening-list</t>
        </is>
      </c>
      <c r="H104" s="13" t="n">
        <v>7</v>
      </c>
      <c r="I104" s="15">
        <f>ProgramStart+(H104-1)*7</f>
        <v/>
      </c>
      <c r="J104" s="14" t="inlineStr">
        <is>
          <t>Not started</t>
        </is>
      </c>
      <c r="K104" s="16" t="n"/>
      <c r="L104" s="14" t="n"/>
      <c r="M104" s="14" t="n"/>
      <c r="N104" s="13" t="inlineStr">
        <is>
          <t>What do you do if a customer name partially matches an entry on the Consolidated Screening List?</t>
        </is>
      </c>
      <c r="O104" s="14" t="n"/>
    </row>
    <row r="105">
      <c r="A105" s="13" t="inlineStr">
        <is>
          <t>K-M7-06</t>
        </is>
      </c>
      <c r="B105" s="13" t="inlineStr">
        <is>
          <t>M7</t>
        </is>
      </c>
      <c r="C105" s="13" t="inlineStr">
        <is>
          <t>Core</t>
        </is>
      </c>
      <c r="D105" s="13" t="inlineStr">
        <is>
          <t>Export data quality checks</t>
        </is>
      </c>
      <c r="E105" s="13" t="inlineStr">
        <is>
          <t>Profile export records and log data-quality issues with evidence and a proposed fix.</t>
        </is>
      </c>
      <c r="F105" s="13" t="inlineStr">
        <is>
          <t>Senior</t>
        </is>
      </c>
      <c r="G105" s="13" t="inlineStr">
        <is>
          <t>[COMPANY: export data extract]</t>
        </is>
      </c>
      <c r="H105" s="13" t="n">
        <v>8</v>
      </c>
      <c r="I105" s="15">
        <f>ProgramStart+(H105-1)*7</f>
        <v/>
      </c>
      <c r="J105" s="14" t="inlineStr">
        <is>
          <t>Not started</t>
        </is>
      </c>
      <c r="K105" s="16" t="n"/>
      <c r="L105" s="14" t="n"/>
      <c r="M105" s="14" t="n"/>
      <c r="N105" s="13" t="inlineStr">
        <is>
          <t>Which export fields would you check first for missing or invalid values, and why?</t>
        </is>
      </c>
      <c r="O105" s="14" t="n"/>
    </row>
    <row r="106">
      <c r="A106" s="13" t="inlineStr">
        <is>
          <t>K-M7-07</t>
        </is>
      </c>
      <c r="B106" s="13" t="inlineStr">
        <is>
          <t>M7</t>
        </is>
      </c>
      <c r="C106" s="13" t="inlineStr">
        <is>
          <t>Core</t>
        </is>
      </c>
      <c r="D106" s="13" t="inlineStr">
        <is>
          <t>Exports refresher before your first item</t>
        </is>
      </c>
      <c r="E106" s="13" t="inlineStr">
        <is>
          <t>Re-read Section 12 of the customs primer and look up, in 15 CFR Part 30 and the EAR, the terms your first exports item uses.</t>
        </is>
      </c>
      <c r="F106" s="13" t="inlineStr">
        <is>
          <t>Self-study</t>
        </is>
      </c>
      <c r="G106" s="13" t="inlineStr">
        <is>
          <t>docs/primers/customs-trade-compliance-primer.md</t>
        </is>
      </c>
      <c r="H106" s="13" t="n">
        <v>6</v>
      </c>
      <c r="I106" s="15">
        <f>ProgramStart+(H106-1)*7</f>
        <v/>
      </c>
      <c r="J106" s="14" t="inlineStr">
        <is>
          <t>Not started</t>
        </is>
      </c>
      <c r="K106" s="16" t="n"/>
      <c r="L106" s="14" t="n"/>
      <c r="M106" s="14" t="n"/>
      <c r="N106" s="13" t="inlineStr">
        <is>
          <t>Which parts of your exports item can you do as maker, and which facts must you confirm in the EAR or the FTR first?</t>
        </is>
      </c>
      <c r="O106" s="14" t="n"/>
    </row>
    <row r="107">
      <c r="A107" s="13" t="inlineStr">
        <is>
          <t>K-M8-01</t>
        </is>
      </c>
      <c r="B107" s="13" t="inlineStr">
        <is>
          <t>M8</t>
        </is>
      </c>
      <c r="C107" s="13" t="inlineStr">
        <is>
          <t>Core</t>
        </is>
      </c>
      <c r="D107" s="13" t="inlineStr">
        <is>
          <t>Report inventory: sources, refresh, consumers, known issues</t>
        </is>
      </c>
      <c r="E107" s="13" t="inlineStr">
        <is>
          <t>Explain each report in the Senior's inventory and how the business uses it.</t>
        </is>
      </c>
      <c r="F107" s="13" t="inlineStr">
        <is>
          <t>Senior</t>
        </is>
      </c>
      <c r="G107" s="13" t="inlineStr">
        <is>
          <t>[COMPANY: report inventory]</t>
        </is>
      </c>
      <c r="H107" s="13" t="n">
        <v>9</v>
      </c>
      <c r="I107" s="15">
        <f>ProgramStart+(H107-1)*7</f>
        <v/>
      </c>
      <c r="J107" s="14" t="inlineStr">
        <is>
          <t>Not started</t>
        </is>
      </c>
      <c r="K107" s="16" t="n"/>
      <c r="L107" s="14" t="n"/>
      <c r="M107" s="14" t="n"/>
      <c r="N107" s="13" t="inlineStr">
        <is>
          <t>Which reports would the business notice first if the warehouse refresh failed overnight?</t>
        </is>
      </c>
      <c r="O107" s="14" t="n"/>
    </row>
    <row r="108">
      <c r="A108" s="13" t="inlineStr">
        <is>
          <t>K-M8-02</t>
        </is>
      </c>
      <c r="B108" s="13" t="inlineStr">
        <is>
          <t>M8</t>
        </is>
      </c>
      <c r="C108" s="13" t="inlineStr">
        <is>
          <t>Core</t>
        </is>
      </c>
      <c r="D108" s="13" t="inlineStr">
        <is>
          <t>Delivering a reporting backlog item: change, validate, demo</t>
        </is>
      </c>
      <c r="E108" s="13" t="inlineStr">
        <is>
          <t>Make a report change, prove it with before-and-after totals, and demo it to the Senior.</t>
        </is>
      </c>
      <c r="F108" s="13" t="inlineStr">
        <is>
          <t>Senior</t>
        </is>
      </c>
      <c r="G108" s="13" t="inlineStr">
        <is>
          <t>[COMPANY: report backlog in Jira]</t>
        </is>
      </c>
      <c r="H108" s="13" t="n">
        <v>12</v>
      </c>
      <c r="I108" s="15">
        <f>ProgramStart+(H108-1)*7</f>
        <v/>
      </c>
      <c r="J108" s="14" t="inlineStr">
        <is>
          <t>Not started</t>
        </is>
      </c>
      <c r="K108" s="16" t="n"/>
      <c r="L108" s="14" t="n"/>
      <c r="M108" s="14" t="n"/>
      <c r="N108" s="13" t="inlineStr">
        <is>
          <t>How do you prove a new measure is correct before the business sees it?</t>
        </is>
      </c>
      <c r="O108" s="14" t="n"/>
    </row>
    <row r="109">
      <c r="A109" s="13" t="inlineStr">
        <is>
          <t>K-M9-01</t>
        </is>
      </c>
      <c r="B109" s="13" t="inlineStr">
        <is>
          <t>M9</t>
        </is>
      </c>
      <c r="C109" s="13" t="inlineStr">
        <is>
          <t>Core</t>
        </is>
      </c>
      <c r="D109" s="13" t="inlineStr">
        <is>
          <t>Drawback types under 19 CFR Part 190</t>
        </is>
      </c>
      <c r="E109" s="13" t="inlineStr">
        <is>
          <t>Explain manufacturing, unused merchandise and rejected merchandise drawback and how substitution works.</t>
        </is>
      </c>
      <c r="F109" s="13" t="inlineStr">
        <is>
          <t>Senior</t>
        </is>
      </c>
      <c r="G109" s="13" t="inlineStr">
        <is>
          <t>https://www.ecfr.gov/current/title-19/chapter-I/part-190</t>
        </is>
      </c>
      <c r="H109" s="13" t="n">
        <v>11</v>
      </c>
      <c r="I109" s="15">
        <f>ProgramStart+(H109-1)*7</f>
        <v/>
      </c>
      <c r="J109" s="14" t="inlineStr">
        <is>
          <t>Not started</t>
        </is>
      </c>
      <c r="K109" s="16" t="n"/>
      <c r="L109" s="14" t="n"/>
      <c r="M109" s="14" t="n"/>
      <c r="N109" s="13" t="inlineStr">
        <is>
          <t>What is the difference between unused merchandise drawback and manufacturing drawback?</t>
        </is>
      </c>
      <c r="O109" s="14" t="n"/>
    </row>
    <row r="110">
      <c r="A110" s="13" t="inlineStr">
        <is>
          <t>K-M9-02</t>
        </is>
      </c>
      <c r="B110" s="13" t="inlineStr">
        <is>
          <t>M9</t>
        </is>
      </c>
      <c r="C110" s="13" t="inlineStr">
        <is>
          <t>Core</t>
        </is>
      </c>
      <c r="D110" s="13" t="inlineStr">
        <is>
          <t>Records a drawback claim relies on, and USMCA limits</t>
        </is>
      </c>
      <c r="E110" s="13" t="inlineStr">
        <is>
          <t>List the import, export and inventory records drawback needs, and explain why USMCA restricts drawback on exports to Canada or Mexico.</t>
        </is>
      </c>
      <c r="F110" s="13" t="inlineStr">
        <is>
          <t>Senior</t>
        </is>
      </c>
      <c r="G110" s="13" t="inlineStr">
        <is>
          <t>https://www.ecfr.gov/current/title-19/chapter-I/part-182/subpart-E</t>
        </is>
      </c>
      <c r="H110" s="13" t="n">
        <v>11</v>
      </c>
      <c r="I110" s="15">
        <f>ProgramStart+(H110-1)*7</f>
        <v/>
      </c>
      <c r="J110" s="14" t="inlineStr">
        <is>
          <t>Not started</t>
        </is>
      </c>
      <c r="K110" s="16" t="n"/>
      <c r="L110" s="14" t="n"/>
      <c r="M110" s="14" t="n"/>
      <c r="N110" s="13" t="inlineStr">
        <is>
          <t>Why do our export records matter for drawback, and what does USMCA Article 2.5 change?</t>
        </is>
      </c>
      <c r="O110" s="14" t="n"/>
    </row>
    <row r="111">
      <c r="A111" s="13" t="inlineStr">
        <is>
          <t>K-M9-03</t>
        </is>
      </c>
      <c r="B111" s="13" t="inlineStr">
        <is>
          <t>M9</t>
        </is>
      </c>
      <c r="C111" s="13" t="inlineStr">
        <is>
          <t>Core</t>
        </is>
      </c>
      <c r="D111" s="13" t="inlineStr">
        <is>
          <t>Drawback data preparation shadow</t>
        </is>
      </c>
      <c r="E111" s="13" t="inlineStr">
        <is>
          <t>Shadow the Senior preparing or reviewing drawback data, then write the 1-page note on what data drawback needs.</t>
        </is>
      </c>
      <c r="F111" s="13" t="inlineStr">
        <is>
          <t>Shadow</t>
        </is>
      </c>
      <c r="G111" s="13" t="inlineStr">
        <is>
          <t>https://www.cbp.gov/trade/programs-administration/entry-summary/drawback-overview</t>
        </is>
      </c>
      <c r="H111" s="13" t="n">
        <v>12</v>
      </c>
      <c r="I111" s="15">
        <f>ProgramStart+(H111-1)*7</f>
        <v/>
      </c>
      <c r="J111" s="14" t="inlineStr">
        <is>
          <t>Not started</t>
        </is>
      </c>
      <c r="K111" s="16" t="n"/>
      <c r="L111" s="14" t="n"/>
      <c r="M111" s="14" t="n"/>
      <c r="N111" s="13" t="inlineStr">
        <is>
          <t>Which fields in our data would break a drawback claim if they were wrong?</t>
        </is>
      </c>
      <c r="O111" s="14" t="n"/>
    </row>
    <row r="112">
      <c r="A112" s="13" t="inlineStr">
        <is>
          <t>K-M9-04</t>
        </is>
      </c>
      <c r="B112" s="13" t="inlineStr">
        <is>
          <t>M9</t>
        </is>
      </c>
      <c r="C112" s="13" t="inlineStr">
        <is>
          <t>Core</t>
        </is>
      </c>
      <c r="D112" s="13" t="inlineStr">
        <is>
          <t>Drawback pre-read: primer 11.2 and 19 CFR Part 190</t>
        </is>
      </c>
      <c r="E112" s="13" t="inlineStr">
        <is>
          <t>Before the W11 overview, read Section 11.2 of the customs primer and the subpart headings of 19 CFR Part 190, and list your questions for the Senior.</t>
        </is>
      </c>
      <c r="F112" s="13" t="inlineStr">
        <is>
          <t>Self-study</t>
        </is>
      </c>
      <c r="G112" s="13" t="inlineStr">
        <is>
          <t>https://www.ecfr.gov/current/title-19/chapter-I/part-190</t>
        </is>
      </c>
      <c r="H112" s="13" t="n">
        <v>10</v>
      </c>
      <c r="I112" s="15">
        <f>ProgramStart+(H112-1)*7</f>
        <v/>
      </c>
      <c r="J112" s="14" t="inlineStr">
        <is>
          <t>Not started</t>
        </is>
      </c>
      <c r="K112" s="16" t="n"/>
      <c r="L112" s="14" t="n"/>
      <c r="M112" s="14" t="n"/>
      <c r="N112" s="13" t="inlineStr">
        <is>
          <t>How long must drawback records be kept, and from which event does the period run?</t>
        </is>
      </c>
      <c r="O112" s="14" t="n"/>
    </row>
    <row r="113">
      <c r="A113" s="13" t="inlineStr">
        <is>
          <t>K-M10-01</t>
        </is>
      </c>
      <c r="B113" s="13" t="inlineStr">
        <is>
          <t>M10</t>
        </is>
      </c>
      <c r="C113" s="13" t="inlineStr">
        <is>
          <t>Core</t>
        </is>
      </c>
      <c r="D113" s="13" t="inlineStr">
        <is>
          <t>e2open project scope, timeline and BSA roles</t>
        </is>
      </c>
      <c r="E113" s="13" t="inlineStr">
        <is>
          <t>Explain the project's scope and your deliverables (as-is docs, data mapping and cleansing, then UAT).</t>
        </is>
      </c>
      <c r="F113" s="13" t="inlineStr">
        <is>
          <t>Manager</t>
        </is>
      </c>
      <c r="G113" s="13" t="inlineStr">
        <is>
          <t>[COMPANY: e2open project charter]</t>
        </is>
      </c>
      <c r="H113" s="13" t="n">
        <v>12</v>
      </c>
      <c r="I113" s="15">
        <f>ProgramStart+(H113-1)*7</f>
        <v/>
      </c>
      <c r="J113" s="14" t="inlineStr">
        <is>
          <t>Not started</t>
        </is>
      </c>
      <c r="K113" s="16" t="n"/>
      <c r="L113" s="14" t="n"/>
      <c r="M113" s="14" t="n"/>
      <c r="N113" s="13" t="inlineStr">
        <is>
          <t>What are your deliverables on the e2open project before UAT starts?</t>
        </is>
      </c>
      <c r="O113" s="14" t="n"/>
    </row>
    <row r="114">
      <c r="A114" s="13" t="inlineStr">
        <is>
          <t>K-M10-02</t>
        </is>
      </c>
      <c r="B114" s="13" t="inlineStr">
        <is>
          <t>M10</t>
        </is>
      </c>
      <c r="C114" s="13" t="inlineStr">
        <is>
          <t>Core</t>
        </is>
      </c>
      <c r="D114" s="13" t="inlineStr">
        <is>
          <t>GTM data domains vs today's AS400 and warehouse data</t>
        </is>
      </c>
      <c r="E114" s="13" t="inlineStr">
        <is>
          <t>Map product and classification, parties, trade agreements and origin, compliance and landed-cost data to today's sources.</t>
        </is>
      </c>
      <c r="F114" s="13" t="inlineStr">
        <is>
          <t>Senior</t>
        </is>
      </c>
      <c r="G114" s="13" t="inlineStr">
        <is>
          <t>docs/primers/trade-systems-gtm-e2open-primer.md</t>
        </is>
      </c>
      <c r="H114" s="13" t="n">
        <v>9</v>
      </c>
      <c r="I114" s="15">
        <f>ProgramStart+(H114-1)*7</f>
        <v/>
      </c>
      <c r="J114" s="14" t="inlineStr">
        <is>
          <t>Not started</t>
        </is>
      </c>
      <c r="K114" s="16" t="n"/>
      <c r="L114" s="14" t="n"/>
      <c r="M114" s="14" t="n"/>
      <c r="N114" s="13" t="inlineStr">
        <is>
          <t>For your process, which GTM data domain is hardest to source today, and why?</t>
        </is>
      </c>
      <c r="O114" s="14" t="n"/>
    </row>
    <row r="115">
      <c r="A115" s="13" t="inlineStr">
        <is>
          <t>K-M10-03</t>
        </is>
      </c>
      <c r="B115" s="13" t="inlineStr">
        <is>
          <t>M10</t>
        </is>
      </c>
      <c r="C115" s="13" t="inlineStr">
        <is>
          <t>Core</t>
        </is>
      </c>
      <c r="D115" s="13" t="inlineStr">
        <is>
          <t>As-is process doc for own process</t>
        </is>
      </c>
      <c r="E115" s="13" t="inlineStr">
        <is>
          <t>Draft the as-is doc for Research or Standard Cost from the template during the holiday weeks (solo drafting; the Manager reviews the draft in W10).</t>
        </is>
      </c>
      <c r="F115" s="13" t="inlineStr">
        <is>
          <t>Self-study</t>
        </is>
      </c>
      <c r="G115" s="13" t="inlineStr">
        <is>
          <t>docs/templates/bsa/03-process-map-as-is-to-be.md</t>
        </is>
      </c>
      <c r="H115" s="13" t="n">
        <v>10</v>
      </c>
      <c r="I115" s="15">
        <f>ProgramStart+(H115-1)*7</f>
        <v/>
      </c>
      <c r="J115" s="14" t="inlineStr">
        <is>
          <t>Not started</t>
        </is>
      </c>
      <c r="K115" s="16" t="n"/>
      <c r="L115" s="14" t="n"/>
      <c r="M115" s="14" t="n"/>
      <c r="N115" s="13" t="inlineStr">
        <is>
          <t>Which steps of your process are manual workarounds that e2open might remove?</t>
        </is>
      </c>
      <c r="O115" s="14" t="n"/>
    </row>
    <row r="116">
      <c r="A116" s="13" t="inlineStr">
        <is>
          <t>K-M10-04</t>
        </is>
      </c>
      <c r="B116" s="13" t="inlineStr">
        <is>
          <t>M10</t>
        </is>
      </c>
      <c r="C116" s="13" t="inlineStr">
        <is>
          <t>Core</t>
        </is>
      </c>
      <c r="D116" s="13" t="inlineStr">
        <is>
          <t>Data map, profiling and data-quality log for own process</t>
        </is>
      </c>
      <c r="E116" s="13" t="inlineStr">
        <is>
          <t>Map own-process source fields to e2open concepts, profile the data, and log data-quality issues and cleansing candidates (solo drafting; the Manager and the Senior review the draft in W11).</t>
        </is>
      </c>
      <c r="F116" s="13" t="inlineStr">
        <is>
          <t>Self-study</t>
        </is>
      </c>
      <c r="G116" s="13" t="inlineStr">
        <is>
          <t>docs/templates/bsa/04-data-mapping-spec.md</t>
        </is>
      </c>
      <c r="H116" s="13" t="n">
        <v>11</v>
      </c>
      <c r="I116" s="15">
        <f>ProgramStart+(H116-1)*7</f>
        <v/>
      </c>
      <c r="J116" s="14" t="inlineStr">
        <is>
          <t>Not started</t>
        </is>
      </c>
      <c r="K116" s="16" t="n"/>
      <c r="L116" s="14" t="n"/>
      <c r="M116" s="14" t="n"/>
      <c r="N116" s="13" t="inlineStr">
        <is>
          <t>Which source fields have no clear e2open target, and who decides what happens to them?</t>
        </is>
      </c>
      <c r="O116" s="14" t="n"/>
    </row>
    <row r="117">
      <c r="A117" s="13" t="inlineStr">
        <is>
          <t>K-M10-05</t>
        </is>
      </c>
      <c r="B117" s="13" t="inlineStr">
        <is>
          <t>M10</t>
        </is>
      </c>
      <c r="C117" s="13" t="inlineStr">
        <is>
          <t>Core</t>
        </is>
      </c>
      <c r="D117" s="13" t="inlineStr">
        <is>
          <t>e2open kickoff: vendor methodology, environments, deliverables</t>
        </is>
      </c>
      <c r="E117" s="13" t="inlineStr">
        <is>
          <t>Capture project scope, timeline, your role and open questions from the kickoff in OneNote.</t>
        </is>
      </c>
      <c r="F117" s="13" t="inlineStr">
        <is>
          <t>Vendor</t>
        </is>
      </c>
      <c r="G117" s="13" t="inlineStr">
        <is>
          <t>[COMPANY: e2open kickoff materials]</t>
        </is>
      </c>
      <c r="H117" s="13" t="n">
        <v>12</v>
      </c>
      <c r="I117" s="15">
        <f>ProgramStart+(H117-1)*7</f>
        <v/>
      </c>
      <c r="J117" s="14" t="inlineStr">
        <is>
          <t>Not started</t>
        </is>
      </c>
      <c r="K117" s="16" t="n"/>
      <c r="L117" s="14" t="n"/>
      <c r="M117" s="14" t="n"/>
      <c r="N117" s="13" t="inlineStr">
        <is>
          <t>What did the vendor say happens between data mapping and UAT, and when?</t>
        </is>
      </c>
      <c r="O117" s="14" t="n"/>
    </row>
    <row r="118">
      <c r="A118" s="13" t="inlineStr">
        <is>
          <t>K-M10-06</t>
        </is>
      </c>
      <c r="B118" s="13" t="inlineStr">
        <is>
          <t>M10</t>
        </is>
      </c>
      <c r="C118" s="13" t="inlineStr">
        <is>
          <t>Core</t>
        </is>
      </c>
      <c r="D118" s="13" t="inlineStr">
        <is>
          <t>UAT approach preview (from the kickoff)</t>
        </is>
      </c>
      <c r="E118" s="13" t="inlineStr">
        <is>
          <t>Read the UAT template with your kickoff notes and write down how UAT is expected to run on e2open, who triages defects, and what is still open.</t>
        </is>
      </c>
      <c r="F118" s="13" t="inlineStr">
        <is>
          <t>Self-study</t>
        </is>
      </c>
      <c r="G118" s="13" t="inlineStr">
        <is>
          <t>docs/templates/bsa/05-uat-test-plan.md</t>
        </is>
      </c>
      <c r="H118" s="13" t="n">
        <v>13</v>
      </c>
      <c r="I118" s="15">
        <f>ProgramStart+(H118-1)*7</f>
        <v/>
      </c>
      <c r="J118" s="14" t="inlineStr">
        <is>
          <t>Not started</t>
        </is>
      </c>
      <c r="K118" s="16" t="n"/>
      <c r="L118" s="14" t="n"/>
      <c r="M118" s="14" t="n"/>
      <c r="N118" s="13" t="inlineStr">
        <is>
          <t>According to the kickoff, who triages a UAT defect on e2open, and how will you tell a defect from a configuration question?</t>
        </is>
      </c>
      <c r="O118" s="14" t="n"/>
    </row>
    <row r="119">
      <c r="A119" s="13" t="inlineStr">
        <is>
          <t>K-M10-07</t>
        </is>
      </c>
      <c r="B119" s="13" t="inlineStr">
        <is>
          <t>M10</t>
        </is>
      </c>
      <c r="C119" s="13" t="inlineStr">
        <is>
          <t>Core</t>
        </is>
      </c>
      <c r="D119" s="13" t="inlineStr">
        <is>
          <t>e2open preparation reading and the W9 checklist</t>
        </is>
      </c>
      <c r="E119" s="13" t="inlineStr">
        <is>
          <t>Re-read Sections 2, 3 and 6 of the trade systems primer and work the W9 checklist in Section 6.3.</t>
        </is>
      </c>
      <c r="F119" s="13" t="inlineStr">
        <is>
          <t>Self-study</t>
        </is>
      </c>
      <c r="G119" s="13" t="inlineStr">
        <is>
          <t>docs/primers/trade-systems-gtm-e2open-primer.md</t>
        </is>
      </c>
      <c r="H119" s="13" t="n">
        <v>9</v>
      </c>
      <c r="I119" s="15">
        <f>ProgramStart+(H119-1)*7</f>
        <v/>
      </c>
      <c r="J119" s="14" t="inlineStr">
        <is>
          <t>Not started</t>
        </is>
      </c>
      <c r="K119" s="16" t="n"/>
      <c r="L119" s="14" t="n"/>
      <c r="M119" s="14" t="n"/>
      <c r="N119" s="13" t="inlineStr">
        <is>
          <t>Which data elements of your process have no obvious home in the GTM data domains?</t>
        </is>
      </c>
      <c r="O119" s="14" t="n"/>
    </row>
    <row r="120">
      <c r="A120" s="13" t="inlineStr">
        <is>
          <t>K-M10-08</t>
        </is>
      </c>
      <c r="B120" s="13" t="inlineStr">
        <is>
          <t>M10</t>
        </is>
      </c>
      <c r="C120" s="13" t="inlineStr">
        <is>
          <t>Core</t>
        </is>
      </c>
      <c r="D120" s="13" t="inlineStr">
        <is>
          <t>Profiling your own data before the data map</t>
        </is>
      </c>
      <c r="E120" s="13" t="inlineStr">
        <is>
          <t>Apply the profiling checklist (data mapping spec Part 5) and the AS400 data traps (trade systems primer 4.8) to your top three data elements.</t>
        </is>
      </c>
      <c r="F120" s="13" t="inlineStr">
        <is>
          <t>Self-study</t>
        </is>
      </c>
      <c r="G120" s="13" t="inlineStr">
        <is>
          <t>docs/templates/bsa/04-data-mapping-spec.md</t>
        </is>
      </c>
      <c r="H120" s="13" t="n">
        <v>11</v>
      </c>
      <c r="I120" s="15">
        <f>ProgramStart+(H120-1)*7</f>
        <v/>
      </c>
      <c r="J120" s="14" t="inlineStr">
        <is>
          <t>Not started</t>
        </is>
      </c>
      <c r="K120" s="16" t="n"/>
      <c r="L120" s="14" t="n"/>
      <c r="M120" s="14" t="n"/>
      <c r="N120" s="13" t="inlineStr">
        <is>
          <t>Which AS400 data trap did you find in your own data, and how did you prove it?</t>
        </is>
      </c>
      <c r="O120" s="14" t="n"/>
    </row>
    <row r="121">
      <c r="A121" s="13" t="inlineStr">
        <is>
          <t>K-M11-01</t>
        </is>
      </c>
      <c r="B121" s="13" t="inlineStr">
        <is>
          <t>M11</t>
        </is>
      </c>
      <c r="C121" s="13" t="inlineStr">
        <is>
          <t>Core</t>
        </is>
      </c>
      <c r="D121" s="13" t="inlineStr">
        <is>
          <t>Which Copilot we use, what it can see, enterprise data protection and setup</t>
        </is>
      </c>
      <c r="E121" s="13" t="inlineStr">
        <is>
          <t>Say which Copilot experience your work account has, what Copilot Chat can and cannot see here, what enterprise data protection does and does not promise, and complete the setup checklist.</t>
        </is>
      </c>
      <c r="F121" s="13" t="inlineStr">
        <is>
          <t>Manager</t>
        </is>
      </c>
      <c r="G121" s="13" t="inlineStr">
        <is>
          <t>docs/primers/copilot-chat-guide.md</t>
        </is>
      </c>
      <c r="H121" s="13" t="n">
        <v>1</v>
      </c>
      <c r="I121" s="15">
        <f>ProgramStart+(H121-1)*7</f>
        <v/>
      </c>
      <c r="J121" s="14" t="inlineStr">
        <is>
          <t>Not started</t>
        </is>
      </c>
      <c r="K121" s="16" t="n"/>
      <c r="L121" s="14" t="n"/>
      <c r="M121" s="14" t="n"/>
      <c r="N121" s="13" t="inlineStr">
        <is>
          <t>Which Copilot does the guide cover, how do you check which experience you have, and what are three things enterprise data protection does not mean?</t>
        </is>
      </c>
      <c r="O121" s="14" t="n"/>
    </row>
    <row r="122">
      <c r="A122" s="13" t="inlineStr">
        <is>
          <t>K-M11-02</t>
        </is>
      </c>
      <c r="B122" s="13" t="inlineStr">
        <is>
          <t>M11</t>
        </is>
      </c>
      <c r="C122" s="13" t="inlineStr">
        <is>
          <t>Core</t>
        </is>
      </c>
      <c r="D122" s="13" t="inlineStr">
        <is>
          <t>Rules first: the AI policy, what you may paste, output is a draft, the sandbox rule</t>
        </is>
      </c>
      <c r="E122" s="13" t="inlineStr">
        <is>
          <t>Apply the paste rules, treat every output as a draft, and follow the sandbox rule for any code Copilot writes, including the stricter rule for Oracle EBS.</t>
        </is>
      </c>
      <c r="F122" s="13" t="inlineStr">
        <is>
          <t>Manager</t>
        </is>
      </c>
      <c r="G122" s="13" t="inlineStr">
        <is>
          <t>docs/primers/copilot-chat-guide.md</t>
        </is>
      </c>
      <c r="H122" s="13" t="n">
        <v>1</v>
      </c>
      <c r="I122" s="15">
        <f>ProgramStart+(H122-1)*7</f>
        <v/>
      </c>
      <c r="J122" s="14" t="inlineStr">
        <is>
          <t>Not started</t>
        </is>
      </c>
      <c r="K122" s="16" t="n"/>
      <c r="L122" s="14" t="n"/>
      <c r="M122" s="14" t="n"/>
      <c r="N122" s="13" t="inlineStr">
        <is>
          <t>You need a new query on Oracle EBS and Copilot offers to write it: what are the rules?</t>
        </is>
      </c>
      <c r="O122" s="14" t="n"/>
    </row>
    <row r="123">
      <c r="A123" s="13" t="inlineStr">
        <is>
          <t>K-M11-03</t>
        </is>
      </c>
      <c r="B123" s="13" t="inlineStr">
        <is>
          <t>M11</t>
        </is>
      </c>
      <c r="C123" s="13" t="inlineStr">
        <is>
          <t>Core</t>
        </is>
      </c>
      <c r="D123" s="13" t="inlineStr">
        <is>
          <t>Prompting that works: goal, context, source and expectations</t>
        </is>
      </c>
      <c r="E123" s="13" t="inlineStr">
        <is>
          <t>Write prompts with a goal, context, source and expectations, ask for assumptions and a check list, and iterate on the answer.</t>
        </is>
      </c>
      <c r="F123" s="13" t="inlineStr">
        <is>
          <t>Self-study</t>
        </is>
      </c>
      <c r="G123" s="13" t="inlineStr">
        <is>
          <t>docs/primers/copilot-chat-guide.md</t>
        </is>
      </c>
      <c r="H123" s="13" t="n">
        <v>2</v>
      </c>
      <c r="I123" s="15">
        <f>ProgramStart+(H123-1)*7</f>
        <v/>
      </c>
      <c r="J123" s="14" t="inlineStr">
        <is>
          <t>Not started</t>
        </is>
      </c>
      <c r="K123" s="16" t="n"/>
      <c r="L123" s="14" t="n"/>
      <c r="M123" s="14" t="n"/>
      <c r="N123" s="13" t="inlineStr">
        <is>
          <t>How would you rewrite one of your own weak prompts with a goal, context, source and expectations, and which checks would you ask Copilot to list?</t>
        </is>
      </c>
      <c r="O123" s="14" t="n"/>
    </row>
    <row r="124">
      <c r="A124" s="13" t="inlineStr">
        <is>
          <t>K-M11-04</t>
        </is>
      </c>
      <c r="B124" s="13" t="inlineStr">
        <is>
          <t>M11</t>
        </is>
      </c>
      <c r="C124" s="13" t="inlineStr">
        <is>
          <t>Core</t>
        </is>
      </c>
      <c r="D124" s="13" t="inlineStr">
        <is>
          <t>What Copilot gets wrong in trade work</t>
        </is>
      </c>
      <c r="E124" s="13" t="inlineStr">
        <is>
          <t>Recognize invented citations and HTS codes, stale tariff status, arithmetic slips and SQL that answers a different question, and name the check for each.</t>
        </is>
      </c>
      <c r="F124" s="13" t="inlineStr">
        <is>
          <t>Self-study</t>
        </is>
      </c>
      <c r="G124" s="13" t="inlineStr">
        <is>
          <t>docs/primers/copilot-chat-guide.md</t>
        </is>
      </c>
      <c r="H124" s="13" t="n">
        <v>2</v>
      </c>
      <c r="I124" s="15">
        <f>ProgramStart+(H124-1)*7</f>
        <v/>
      </c>
      <c r="J124" s="14" t="inlineStr">
        <is>
          <t>Not started</t>
        </is>
      </c>
      <c r="K124" s="16" t="n"/>
      <c r="L124" s="14" t="n"/>
      <c r="M124" s="14" t="n"/>
      <c r="N124" s="13" t="inlineStr">
        <is>
          <t>Copilot gives you 12 HTS rows from an annex: which three checks do you run before you use any of them?</t>
        </is>
      </c>
      <c r="O124" s="14" t="n"/>
    </row>
    <row r="125">
      <c r="A125" s="13" t="inlineStr">
        <is>
          <t>K-M11-05</t>
        </is>
      </c>
      <c r="B125" s="13" t="inlineStr">
        <is>
          <t>M11</t>
        </is>
      </c>
      <c r="C125" s="13" t="inlineStr">
        <is>
          <t>Core</t>
        </is>
      </c>
      <c r="D125" s="13" t="inlineStr">
        <is>
          <t>Copilot use cases for Research, Standard Cost, data, tools and BSA work</t>
        </is>
      </c>
      <c r="E125" s="13" t="inlineStr">
        <is>
          <t>Read the guide's use-case subsection the first time you use Copilot for a task, and do its verification steps every time.</t>
        </is>
      </c>
      <c r="F125" s="13" t="inlineStr">
        <is>
          <t>Self-study</t>
        </is>
      </c>
      <c r="G125" s="13" t="inlineStr">
        <is>
          <t>docs/primers/copilot-chat-guide.md</t>
        </is>
      </c>
      <c r="H125" s="13" t="n">
        <v>3</v>
      </c>
      <c r="I125" s="15">
        <f>ProgramStart+(H125-1)*7</f>
        <v/>
      </c>
      <c r="J125" s="14" t="inlineStr">
        <is>
          <t>Not started</t>
        </is>
      </c>
      <c r="K125" s="16" t="n"/>
      <c r="L125" s="14" t="n"/>
      <c r="M125" s="14" t="n"/>
      <c r="N125" s="13" t="inlineStr">
        <is>
          <t>Hire B wants to ask Copilot which of our items a new action covers: what is wrong with that?</t>
        </is>
      </c>
      <c r="O125" s="14" t="n"/>
    </row>
    <row r="126">
      <c r="A126" s="13" t="inlineStr">
        <is>
          <t>K-M11-06</t>
        </is>
      </c>
      <c r="B126" s="13" t="inlineStr">
        <is>
          <t>M11</t>
        </is>
      </c>
      <c r="C126" s="13" t="inlineStr">
        <is>
          <t>Core</t>
        </is>
      </c>
      <c r="D126" s="13" t="inlineStr">
        <is>
          <t>The Copilot use log and the W4 use-log review</t>
        </is>
      </c>
      <c r="E126" s="13" t="inlineStr">
        <is>
          <t>Log every work use with the prompt, what the output was used for, what was verified and how, and the outcome, and have 5 reviewed uses by day 30.</t>
        </is>
      </c>
      <c r="F126" s="13" t="inlineStr">
        <is>
          <t>Manager</t>
        </is>
      </c>
      <c r="G126" s="13" t="inlineStr">
        <is>
          <t>docs/primers/copilot-chat-guide.md</t>
        </is>
      </c>
      <c r="H126" s="13" t="n">
        <v>4</v>
      </c>
      <c r="I126" s="15">
        <f>ProgramStart+(H126-1)*7</f>
        <v/>
      </c>
      <c r="J126" s="14" t="inlineStr">
        <is>
          <t>Not started</t>
        </is>
      </c>
      <c r="K126" s="16" t="n"/>
      <c r="L126" s="14" t="n"/>
      <c r="M126" s="14" t="n"/>
      <c r="N126" s="13" t="inlineStr">
        <is>
          <t>What are the six fields of a use log entry, and what makes a Verified entry good enough to be reviewed?</t>
        </is>
      </c>
      <c r="O126" s="14" t="n"/>
    </row>
    <row r="127">
      <c r="A127" s="13" t="inlineStr">
        <is>
          <t>K-M11-07</t>
        </is>
      </c>
      <c r="B127" s="13" t="inlineStr">
        <is>
          <t>M11</t>
        </is>
      </c>
      <c r="C127" s="13" t="inlineStr">
        <is>
          <t>Core</t>
        </is>
      </c>
      <c r="D127" s="13" t="inlineStr">
        <is>
          <t>The team Copilot prompt library: proposing and reviewing entries</t>
        </is>
      </c>
      <c r="E127" s="13" t="inlineStr">
        <is>
          <t>Propose a first library entry by day 60 and have 3 of your own entries reviewed by the Manager by day 90, each with a Verify step someone else could repeat.</t>
        </is>
      </c>
      <c r="F127" s="13" t="inlineStr">
        <is>
          <t>Self-study</t>
        </is>
      </c>
      <c r="G127" s="13" t="inlineStr">
        <is>
          <t>docs/templates/knowledge/copilot-prompt-library.md</t>
        </is>
      </c>
      <c r="H127" s="13" t="n">
        <v>9</v>
      </c>
      <c r="I127" s="15">
        <f>ProgramStart+(H127-1)*7</f>
        <v/>
      </c>
      <c r="J127" s="14" t="inlineStr">
        <is>
          <t>Not started</t>
        </is>
      </c>
      <c r="K127" s="16" t="n"/>
      <c r="L127" s="14" t="n"/>
      <c r="M127" s="14" t="n"/>
      <c r="N127" s="13" t="inlineStr">
        <is>
          <t>What must be true before you propose a prompt library entry, and what makes its Verify step good enough?</t>
        </is>
      </c>
      <c r="O127" s="14" t="n"/>
    </row>
    <row r="128">
      <c r="A128" s="13" t="inlineStr">
        <is>
          <t>K-M12-01</t>
        </is>
      </c>
      <c r="B128" s="13" t="inlineStr">
        <is>
          <t>M12</t>
        </is>
      </c>
      <c r="C128" s="13" t="inlineStr">
        <is>
          <t>Core</t>
        </is>
      </c>
      <c r="D128" s="13" t="inlineStr">
        <is>
          <t>Data platform safe-use rules</t>
        </is>
      </c>
      <c r="E128" s="13" t="inlineStr">
        <is>
          <t>State the twelve safe-use rules in your own words and follow them from your first SSMS or DBeaver session.</t>
        </is>
      </c>
      <c r="F128" s="13" t="inlineStr">
        <is>
          <t>Self-study</t>
        </is>
      </c>
      <c r="G128" s="13" t="inlineStr">
        <is>
          <t>docs/primers/data-platform-primer.md</t>
        </is>
      </c>
      <c r="H128" s="13" t="n">
        <v>1</v>
      </c>
      <c r="I128" s="15">
        <f>ProgramStart+(H128-1)*7</f>
        <v/>
      </c>
      <c r="J128" s="14" t="inlineStr">
        <is>
          <t>Not started</t>
        </is>
      </c>
      <c r="K128" s="16" t="n"/>
      <c r="L128" s="14" t="n"/>
      <c r="M128" s="14" t="n"/>
      <c r="N128" s="13" t="inlineStr">
        <is>
          <t>DBeaver asks you to confirm a statement on the EBS connection: what does that tell you, and what do you do?</t>
        </is>
      </c>
      <c r="O128" s="14" t="n"/>
    </row>
    <row r="129">
      <c r="A129" s="13" t="inlineStr">
        <is>
          <t>K-M12-02</t>
        </is>
      </c>
      <c r="B129" s="13" t="inlineStr">
        <is>
          <t>M12</t>
        </is>
      </c>
      <c r="C129" s="13" t="inlineStr">
        <is>
          <t>Core</t>
        </is>
      </c>
      <c r="D129" s="13" t="inlineStr">
        <is>
          <t>The platform map: components and the data path</t>
        </is>
      </c>
      <c r="E129" s="13" t="inlineStr">
        <is>
          <t>Walk the data path from an Oracle EBS receipt to a number on a Power BI report, and name each component, connection and account on the way.</t>
        </is>
      </c>
      <c r="F129" s="13" t="inlineStr">
        <is>
          <t>Manager</t>
        </is>
      </c>
      <c r="G129" s="13" t="inlineStr">
        <is>
          <t>docs/primers/data-platform-primer.md</t>
        </is>
      </c>
      <c r="H129" s="13" t="n">
        <v>2</v>
      </c>
      <c r="I129" s="15">
        <f>ProgramStart+(H129-1)*7</f>
        <v/>
      </c>
      <c r="J129" s="14" t="inlineStr">
        <is>
          <t>Not started</t>
        </is>
      </c>
      <c r="K129" s="16" t="n"/>
      <c r="L129" s="14" t="n"/>
      <c r="M129" s="14" t="n"/>
      <c r="N129" s="13" t="inlineStr">
        <is>
          <t>On the path from an EBS receipt to a number on a Power BI report, at which hops can the number be out of date?</t>
        </is>
      </c>
      <c r="O129" s="14" t="n"/>
    </row>
    <row r="130">
      <c r="A130" s="13" t="inlineStr">
        <is>
          <t>K-M12-03</t>
        </is>
      </c>
      <c r="B130" s="13" t="inlineStr">
        <is>
          <t>M12</t>
        </is>
      </c>
      <c r="C130" s="13" t="inlineStr">
        <is>
          <t>Core</t>
        </is>
      </c>
      <c r="D130" s="13" t="inlineStr">
        <is>
          <t>Personal and service accounts: the recommended model</t>
        </is>
      </c>
      <c r="E130" s="13" t="inlineStr">
        <is>
          <t>Explain why all interactive work uses your personal login, what the service account is for, and what to do if anyone offers you a shared login.</t>
        </is>
      </c>
      <c r="F130" s="13" t="inlineStr">
        <is>
          <t>Manager</t>
        </is>
      </c>
      <c r="G130" s="13" t="inlineStr">
        <is>
          <t>docs/primers/data-platform-primer.md</t>
        </is>
      </c>
      <c r="H130" s="13" t="n">
        <v>2</v>
      </c>
      <c r="I130" s="15">
        <f>ProgramStart+(H130-1)*7</f>
        <v/>
      </c>
      <c r="J130" s="14" t="inlineStr">
        <is>
          <t>Not started</t>
        </is>
      </c>
      <c r="K130" s="16" t="n"/>
      <c r="L130" s="14" t="n"/>
      <c r="M130" s="14" t="n"/>
      <c r="N130" s="13" t="inlineStr">
        <is>
          <t>What is the recommended service-account model, and what do you say and do if a colleague offers you its password?</t>
        </is>
      </c>
      <c r="O130" s="14" t="n"/>
    </row>
    <row r="131">
      <c r="A131" s="13" t="inlineStr">
        <is>
          <t>K-M12-04</t>
        </is>
      </c>
      <c r="B131" s="13" t="inlineStr">
        <is>
          <t>M12</t>
        </is>
      </c>
      <c r="C131" s="13" t="inlineStr">
        <is>
          <t>Core</t>
        </is>
      </c>
      <c r="D131" s="13" t="inlineStr">
        <is>
          <t>The team database in SSMS: views first, query habits, sandbox loads, schema change requests</t>
        </is>
      </c>
      <c r="E131" s="13" t="inlineStr">
        <is>
          <t>Find the right view, write safe read queries, load a file into the sandbox with checks and clean-up, and say who changes the schema and how to ask for it.</t>
        </is>
      </c>
      <c r="F131" s="13" t="inlineStr">
        <is>
          <t>Self-study</t>
        </is>
      </c>
      <c r="G131" s="13" t="inlineStr">
        <is>
          <t>docs/primers/data-platform-primer.md</t>
        </is>
      </c>
      <c r="H131" s="13" t="n">
        <v>3</v>
      </c>
      <c r="I131" s="15">
        <f>ProgramStart+(H131-1)*7</f>
        <v/>
      </c>
      <c r="J131" s="14" t="inlineStr">
        <is>
          <t>Not started</t>
        </is>
      </c>
      <c r="K131" s="16" t="n"/>
      <c r="L131" s="14" t="n"/>
      <c r="M131" s="14" t="n"/>
      <c r="N131" s="13" t="inlineStr">
        <is>
          <t>Why must TOP come with ORDER BY, and what may you do in the sandbox that you may not do anywhere else?</t>
        </is>
      </c>
      <c r="O131" s="14" t="n"/>
    </row>
    <row r="132">
      <c r="A132" s="13" t="inlineStr">
        <is>
          <t>K-M12-05</t>
        </is>
      </c>
      <c r="B132" s="13" t="inlineStr">
        <is>
          <t>M12</t>
        </is>
      </c>
      <c r="C132" s="13" t="inlineStr">
        <is>
          <t>Core</t>
        </is>
      </c>
      <c r="D132" s="13" t="inlineStr">
        <is>
          <t>Oracle EBS production in DBeaver, read-only</t>
        </is>
      </c>
      <c r="E132" s="13" t="inlineStr">
        <is>
          <t>Use the read-only EBS connection settings, write short, filtered SELECT queries, and export only what the task needs.</t>
        </is>
      </c>
      <c r="F132" s="13" t="inlineStr">
        <is>
          <t>Self-study</t>
        </is>
      </c>
      <c r="G132" s="13" t="inlineStr">
        <is>
          <t>docs/primers/data-platform-primer.md</t>
        </is>
      </c>
      <c r="H132" s="13" t="n">
        <v>3</v>
      </c>
      <c r="I132" s="15">
        <f>ProgramStart+(H132-1)*7</f>
        <v/>
      </c>
      <c r="J132" s="14" t="inlineStr">
        <is>
          <t>Not started</t>
        </is>
      </c>
      <c r="K132" s="16" t="n"/>
      <c r="L132" s="14" t="n"/>
      <c r="M132" s="14" t="n"/>
      <c r="N132" s="13" t="inlineStr">
        <is>
          <t>Which DBeaver settings do you use for EBS, and why is the read-only database account still the real control?</t>
        </is>
      </c>
      <c r="O132" s="14" t="n"/>
    </row>
    <row r="133">
      <c r="A133" s="13" t="inlineStr">
        <is>
          <t>K-M12-06</t>
        </is>
      </c>
      <c r="B133" s="13" t="inlineStr">
        <is>
          <t>M12</t>
        </is>
      </c>
      <c r="C133" s="13" t="inlineStr">
        <is>
          <t>Core</t>
        </is>
      </c>
      <c r="D133" s="13" t="inlineStr">
        <is>
          <t>SSMS lab in the team database</t>
        </is>
      </c>
      <c r="E133" s="13" t="inlineStr">
        <is>
          <t>Complete the eight SSMS lab steps, including one sandbox load and drop, and post the scripts and the lab note for the Senior's SQL review.</t>
        </is>
      </c>
      <c r="F133" s="13" t="inlineStr">
        <is>
          <t>Senior</t>
        </is>
      </c>
      <c r="G133" s="13" t="inlineStr">
        <is>
          <t>docs/primers/data-platform-primer.md</t>
        </is>
      </c>
      <c r="H133" s="13" t="n">
        <v>4</v>
      </c>
      <c r="I133" s="15">
        <f>ProgramStart+(H133-1)*7</f>
        <v/>
      </c>
      <c r="J133" s="14" t="inlineStr">
        <is>
          <t>Not started</t>
        </is>
      </c>
      <c r="K133" s="16" t="n"/>
      <c r="L133" s="14" t="n"/>
      <c r="M133" s="14" t="n"/>
      <c r="N133" s="13" t="inlineStr">
        <is>
          <t>After you load suppliers.csv into the sandbox, which checks prove the load is right, and how do you show the table is gone?</t>
        </is>
      </c>
      <c r="O133" s="14" t="n"/>
    </row>
    <row r="134">
      <c r="A134" s="13" t="inlineStr">
        <is>
          <t>K-M12-07</t>
        </is>
      </c>
      <c r="B134" s="13" t="inlineStr">
        <is>
          <t>M12</t>
        </is>
      </c>
      <c r="C134" s="13" t="inlineStr">
        <is>
          <t>Core</t>
        </is>
      </c>
      <c r="D134" s="13" t="inlineStr">
        <is>
          <t>Power BI premium workspace, gateway and refresh failures</t>
        </is>
      </c>
      <c r="E134" s="13" t="inlineStr">
        <is>
          <t>Explain workspace roles, scheduled refresh and the gateway, and say where to look first and who fixes each common refresh failure.</t>
        </is>
      </c>
      <c r="F134" s="13" t="inlineStr">
        <is>
          <t>Self-study</t>
        </is>
      </c>
      <c r="G134" s="13" t="inlineStr">
        <is>
          <t>docs/primers/data-platform-primer.md</t>
        </is>
      </c>
      <c r="H134" s="13" t="n">
        <v>5</v>
      </c>
      <c r="I134" s="15">
        <f>ProgramStart+(H134-1)*7</f>
        <v/>
      </c>
      <c r="J134" s="14" t="inlineStr">
        <is>
          <t>Not started</t>
        </is>
      </c>
      <c r="K134" s="16" t="n"/>
      <c r="L134" s="14" t="n"/>
      <c r="M134" s="14" t="n"/>
      <c r="N134" s="13" t="inlineStr">
        <is>
          <t>A report shows last Tuesday's data: where do you look first, and whose credentials does a gateway refresh use?</t>
        </is>
      </c>
      <c r="O134" s="14" t="n"/>
    </row>
    <row r="135">
      <c r="A135" s="13" t="inlineStr">
        <is>
          <t>K-M12-08</t>
        </is>
      </c>
      <c r="B135" s="13" t="inlineStr">
        <is>
          <t>M12</t>
        </is>
      </c>
      <c r="C135" s="13" t="inlineStr">
        <is>
          <t>Core</t>
        </is>
      </c>
      <c r="D135" s="13" t="inlineStr">
        <is>
          <t>Power Automate and Power Apps on our databases, and the Power Platform lab</t>
        </is>
      </c>
      <c r="E135" s="13" t="inlineStr">
        <is>
          <t>Trace one semantic model refresh and one flow run read-only, and explain what breaks when a flow's maker leaves.</t>
        </is>
      </c>
      <c r="F135" s="13" t="inlineStr">
        <is>
          <t>Self-study</t>
        </is>
      </c>
      <c r="G135" s="13" t="inlineStr">
        <is>
          <t>docs/primers/data-platform-primer.md</t>
        </is>
      </c>
      <c r="H135" s="13" t="n">
        <v>5</v>
      </c>
      <c r="I135" s="15">
        <f>ProgramStart+(H135-1)*7</f>
        <v/>
      </c>
      <c r="J135" s="14" t="inlineStr">
        <is>
          <t>Not started</t>
        </is>
      </c>
      <c r="K135" s="16" t="n"/>
      <c r="L135" s="14" t="n"/>
      <c r="M135" s="14" t="n"/>
      <c r="N135" s="13" t="inlineStr">
        <is>
          <t>The maker of a flow leaves the company: what breaks, and what would have prevented it?</t>
        </is>
      </c>
      <c r="O135" s="14" t="n"/>
    </row>
    <row r="136">
      <c r="A136" s="13" t="inlineStr">
        <is>
          <t>K-M12-09</t>
        </is>
      </c>
      <c r="B136" s="13" t="inlineStr">
        <is>
          <t>M12</t>
        </is>
      </c>
      <c r="C136" s="13" t="inlineStr">
        <is>
          <t>Core</t>
        </is>
      </c>
      <c r="D136" s="13" t="inlineStr">
        <is>
          <t>The remote server, triage and the server lab</t>
        </is>
      </c>
      <c r="E136" s="13" t="inlineStr">
        <is>
          <t>Tour the server read-only, read the Task Scheduler history of a team job, and follow the triage steps when something breaks.</t>
        </is>
      </c>
      <c r="F136" s="13" t="inlineStr">
        <is>
          <t>Self-study</t>
        </is>
      </c>
      <c r="G136" s="13" t="inlineStr">
        <is>
          <t>docs/primers/data-platform-primer.md</t>
        </is>
      </c>
      <c r="H136" s="13" t="n">
        <v>6</v>
      </c>
      <c r="I136" s="15">
        <f>ProgramStart+(H136-1)*7</f>
        <v/>
      </c>
      <c r="J136" s="14" t="inlineStr">
        <is>
          <t>Not started</t>
        </is>
      </c>
      <c r="K136" s="16" t="n"/>
      <c r="L136" s="14" t="n"/>
      <c r="M136" s="14" t="n"/>
      <c r="N136" s="13" t="inlineStr">
        <is>
          <t>When do you sign out of Remote Desktop rather than disconnect, and what do you do if you find a password in a script on the server?</t>
        </is>
      </c>
      <c r="O136" s="14" t="n"/>
    </row>
    <row r="137">
      <c r="A137" s="13" t="inlineStr">
        <is>
          <t>K-M13-01</t>
        </is>
      </c>
      <c r="B137" s="13" t="inlineStr">
        <is>
          <t>M13</t>
        </is>
      </c>
      <c r="C137" s="13" t="inlineStr">
        <is>
          <t>Core</t>
        </is>
      </c>
      <c r="D137" s="13" t="inlineStr">
        <is>
          <t>What the SDLC is: the phases, their templates and the five rules</t>
        </is>
      </c>
      <c r="E137" s="13" t="inlineStr">
        <is>
          <t>Name the eight SDLC phases with the team template for each, and the five rules that run through the SDLC primer.</t>
        </is>
      </c>
      <c r="F137" s="13" t="inlineStr">
        <is>
          <t>Self-study</t>
        </is>
      </c>
      <c r="G137" s="13" t="inlineStr">
        <is>
          <t>docs/primers/sdlc-primer.md</t>
        </is>
      </c>
      <c r="H137" s="13" t="n">
        <v>5</v>
      </c>
      <c r="I137" s="15">
        <f>ProgramStart+(H137-1)*7</f>
        <v/>
      </c>
      <c r="J137" s="14" t="inlineStr">
        <is>
          <t>Not started</t>
        </is>
      </c>
      <c r="K137" s="16" t="n"/>
      <c r="L137" s="14" t="n"/>
      <c r="M137" s="14" t="n"/>
      <c r="N137" s="13" t="inlineStr">
        <is>
          <t>What are the eight SDLC phases and the team template for each, and which of the five rules changes at the day-60 review?</t>
        </is>
      </c>
      <c r="O137" s="14" t="n"/>
    </row>
    <row r="138">
      <c r="A138" s="13" t="inlineStr">
        <is>
          <t>K-M13-02</t>
        </is>
      </c>
      <c r="B138" s="13" t="inlineStr">
        <is>
          <t>M13</t>
        </is>
      </c>
      <c r="C138" s="13" t="inlineStr">
        <is>
          <t>Core</t>
        </is>
      </c>
      <c r="D138" s="13" t="inlineStr">
        <is>
          <t>Delivery models and environments</t>
        </is>
      </c>
      <c r="E138" s="13" t="inlineStr">
        <is>
          <t>Compare waterfall, the V-model, Scrum and Kanban, explain how a vendor GTM implementation runs, and set up a safe test copy with suitable test data.</t>
        </is>
      </c>
      <c r="F138" s="13" t="inlineStr">
        <is>
          <t>Self-study</t>
        </is>
      </c>
      <c r="G138" s="13" t="inlineStr">
        <is>
          <t>docs/primers/sdlc-primer.md</t>
        </is>
      </c>
      <c r="H138" s="13" t="n">
        <v>5</v>
      </c>
      <c r="I138" s="15">
        <f>ProgramStart+(H138-1)*7</f>
        <v/>
      </c>
      <c r="J138" s="14" t="inlineStr">
        <is>
          <t>Not started</t>
        </is>
      </c>
      <c r="K138" s="16" t="n"/>
      <c r="L138" s="14" t="n"/>
      <c r="M138" s="14" t="n"/>
      <c r="N138" s="13" t="inlineStr">
        <is>
          <t>You set up a test copy of an Excel tool that writes a broker file: what must you change before you run it?</t>
        </is>
      </c>
      <c r="O138" s="14" t="n"/>
    </row>
    <row r="139">
      <c r="A139" s="13" t="inlineStr">
        <is>
          <t>K-M13-03</t>
        </is>
      </c>
      <c r="B139" s="13" t="inlineStr">
        <is>
          <t>M13</t>
        </is>
      </c>
      <c r="C139" s="13" t="inlineStr">
        <is>
          <t>Core</t>
        </is>
      </c>
      <c r="D139" s="13" t="inlineStr">
        <is>
          <t>Version control, test levels and test evidence</t>
        </is>
      </c>
      <c r="E139" s="13" t="inlineStr">
        <is>
          <t>Keep versions and the change history in the tool doc, choose test levels and types, and write test cases with exact expected results.</t>
        </is>
      </c>
      <c r="F139" s="13" t="inlineStr">
        <is>
          <t>Self-study</t>
        </is>
      </c>
      <c r="G139" s="13" t="inlineStr">
        <is>
          <t>docs/primers/sdlc-primer.md</t>
        </is>
      </c>
      <c r="H139" s="13" t="n">
        <v>6</v>
      </c>
      <c r="I139" s="15">
        <f>ProgramStart+(H139-1)*7</f>
        <v/>
      </c>
      <c r="J139" s="14" t="inlineStr">
        <is>
          <t>Not started</t>
        </is>
      </c>
      <c r="K139" s="16" t="n"/>
      <c r="L139" s="14" t="n"/>
      <c r="M139" s="14" t="n"/>
      <c r="N139" s="13" t="inlineStr">
        <is>
          <t>What is the difference between confirmation testing and regression testing, and which runs first?</t>
        </is>
      </c>
      <c r="O139" s="14" t="n"/>
    </row>
    <row r="140">
      <c r="A140" s="13" t="inlineStr">
        <is>
          <t>K-M13-04</t>
        </is>
      </c>
      <c r="B140" s="13" t="inlineStr">
        <is>
          <t>M13</t>
        </is>
      </c>
      <c r="C140" s="13" t="inlineStr">
        <is>
          <t>Core</t>
        </is>
      </c>
      <c r="D140" s="13" t="inlineStr">
        <is>
          <t>SDLC by tool type and the owned-tool SDLC profile</t>
        </is>
      </c>
      <c r="E140" s="13" t="inlineStr">
        <is>
          <t>Write the SDLC profile for your owned tool: where its production and test copies live, and how it is built, tested, released and rolled back.</t>
        </is>
      </c>
      <c r="F140" s="13" t="inlineStr">
        <is>
          <t>Manager</t>
        </is>
      </c>
      <c r="G140" s="13" t="inlineStr">
        <is>
          <t>docs/primers/sdlc-primer.md</t>
        </is>
      </c>
      <c r="H140" s="13" t="n">
        <v>6</v>
      </c>
      <c r="I140" s="15">
        <f>ProgramStart+(H140-1)*7</f>
        <v/>
      </c>
      <c r="J140" s="14" t="inlineStr">
        <is>
          <t>Not started</t>
        </is>
      </c>
      <c r="K140" s="16" t="n"/>
      <c r="L140" s="14" t="n"/>
      <c r="M140" s="14" t="n"/>
      <c r="N140" s="13" t="inlineStr">
        <is>
          <t>For your owned tool, where do you look to know it ran last night, and who is told if it did not?</t>
        </is>
      </c>
      <c r="O140" s="14" t="n"/>
    </row>
    <row r="141">
      <c r="A141" s="13" t="inlineStr">
        <is>
          <t>K-M13-05</t>
        </is>
      </c>
      <c r="B141" s="13" t="inlineStr">
        <is>
          <t>M13</t>
        </is>
      </c>
      <c r="C141" s="13" t="inlineStr">
        <is>
          <t>Core</t>
        </is>
      </c>
      <c r="D141" s="13" t="inlineStr">
        <is>
          <t>Support and operations: incident, problem and change</t>
        </is>
      </c>
      <c r="E141" s="13" t="inlineStr">
        <is>
          <t>Tell incidents, problems and changes apart, monitor scheduled jobs, and follow the first-hour steps when something breaks.</t>
        </is>
      </c>
      <c r="F141" s="13" t="inlineStr">
        <is>
          <t>Self-study</t>
        </is>
      </c>
      <c r="G141" s="13" t="inlineStr">
        <is>
          <t>docs/primers/sdlc-primer.md</t>
        </is>
      </c>
      <c r="H141" s="13" t="n">
        <v>6</v>
      </c>
      <c r="I141" s="15">
        <f>ProgramStart+(H141-1)*7</f>
        <v/>
      </c>
      <c r="J141" s="14" t="inlineStr">
        <is>
          <t>Not started</t>
        </is>
      </c>
      <c r="K141" s="16" t="n"/>
      <c r="L141" s="14" t="n"/>
      <c r="M141" s="14" t="n"/>
      <c r="N141" s="13" t="inlineStr">
        <is>
          <t>Is each of these an incident, a problem or a change: the cost refresh failed last night; it fails every month-end; you move its schedule?</t>
        </is>
      </c>
      <c r="O141" s="14" t="n"/>
    </row>
    <row r="142">
      <c r="A142" s="13" t="inlineStr">
        <is>
          <t>K-M13-06</t>
        </is>
      </c>
      <c r="B142" s="13" t="inlineStr">
        <is>
          <t>M13</t>
        </is>
      </c>
      <c r="C142" s="13" t="inlineStr">
        <is>
          <t>Core</t>
        </is>
      </c>
      <c r="D142" s="13" t="inlineStr">
        <is>
          <t>Change control, release and rollback for the owned tool</t>
        </is>
      </c>
      <c r="E142" s="13" t="inlineStr">
        <is>
          <t>Take a change through a change request that names the environments, the test evidence and the rollback, with the right maker, checker, approver and implementer before and after day 60.</t>
        </is>
      </c>
      <c r="F142" s="13" t="inlineStr">
        <is>
          <t>Manager</t>
        </is>
      </c>
      <c r="G142" s="13" t="inlineStr">
        <is>
          <t>docs/primers/sdlc-primer.md</t>
        </is>
      </c>
      <c r="H142" s="13" t="n">
        <v>8</v>
      </c>
      <c r="I142" s="15">
        <f>ProgramStart+(H142-1)*7</f>
        <v/>
      </c>
      <c r="J142" s="14" t="inlineStr">
        <is>
          <t>Not started</t>
        </is>
      </c>
      <c r="K142" s="16" t="n"/>
      <c r="L142" s="14" t="n"/>
      <c r="M142" s="14" t="n"/>
      <c r="N142" s="13" t="inlineStr">
        <is>
          <t>Who are the maker, checker, approver and implementer for your W8 change, before and after day 60?</t>
        </is>
      </c>
      <c r="O142" s="14" t="n"/>
    </row>
    <row r="143">
      <c r="A143" s="13" t="inlineStr">
        <is>
          <t>K-M13-07</t>
        </is>
      </c>
      <c r="B143" s="13" t="inlineStr">
        <is>
          <t>M13</t>
        </is>
      </c>
      <c r="C143" s="13" t="inlineStr">
        <is>
          <t>Core</t>
        </is>
      </c>
      <c r="D143" s="13" t="inlineStr">
        <is>
          <t>Before the e2open kickoff: the vendor method and test phases</t>
        </is>
      </c>
      <c r="E143" s="13" t="inlineStr">
        <is>
          <t>Explain how a vendor GTM implementation moves from design to cutover, and what SIT and UAT each prove.</t>
        </is>
      </c>
      <c r="F143" s="13" t="inlineStr">
        <is>
          <t>Self-study</t>
        </is>
      </c>
      <c r="G143" s="13" t="inlineStr">
        <is>
          <t>docs/primers/sdlc-primer.md</t>
        </is>
      </c>
      <c r="H143" s="13" t="n">
        <v>12</v>
      </c>
      <c r="I143" s="15">
        <f>ProgramStart+(H143-1)*7</f>
        <v/>
      </c>
      <c r="J143" s="14" t="inlineStr">
        <is>
          <t>Not started</t>
        </is>
      </c>
      <c r="K143" s="16" t="n"/>
      <c r="L143" s="14" t="n"/>
      <c r="M143" s="14" t="n"/>
      <c r="N143" s="13" t="inlineStr">
        <is>
          <t>In a vendor implementation, what is the difference between SIT and UAT, and what is decided at cutover?</t>
        </is>
      </c>
      <c r="O143" s="14" t="n"/>
    </row>
  </sheetData>
  <autoFilter ref="A4:O143"/>
  <conditionalFormatting sqref="J5:J143">
    <cfRule type="expression" priority="1" dxfId="2">
      <formula>AND(TODAY()&gt;$I5+4,$J5&lt;&gt;"Covered",$J5&lt;&gt;"Teach-back done")</formula>
    </cfRule>
    <cfRule type="expression" priority="2" dxfId="0">
      <formula>$J5="Teach-back done"</formula>
    </cfRule>
  </conditionalFormatting>
  <dataValidations count="3">
    <dataValidation sqref="J5:J143" showDropDown="0" showInputMessage="0" showErrorMessage="0" allowBlank="1" type="list">
      <formula1>"Not started,In progress,Covered,Teach-back done"</formula1>
    </dataValidation>
    <dataValidation sqref="L5:L143" showDropDown="0" showInputMessage="1" showErrorMessage="0" allowBlank="1" prompt="1 = lost, 5 = could teach it" type="list">
      <formula1>"1,2,3,4,5"</formula1>
    </dataValidation>
    <dataValidation sqref="M5:M143" showDropDown="0" showInputMessage="0" showErrorMessage="0" allowBlank="1"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43"/>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11" customWidth="1" min="3" max="3"/>
    <col width="32" customWidth="1" min="4" max="4"/>
    <col width="42" customWidth="1" min="5" max="5"/>
    <col width="11" customWidth="1" min="6" max="6"/>
    <col width="34" customWidth="1" min="7" max="7"/>
    <col width="8" customWidth="1" min="8" max="8"/>
    <col width="12" customWidth="1" min="9" max="9"/>
    <col width="15" customWidth="1" min="10" max="10"/>
    <col width="12" customWidth="1" min="11" max="11"/>
    <col width="10" customWidth="1" min="12" max="12"/>
    <col width="11" customWidth="1" min="13" max="13"/>
    <col width="42" customWidth="1" min="14" max="14"/>
    <col width="30" customWidth="1" min="15" max="15"/>
  </cols>
  <sheetData>
    <row r="1">
      <c r="A1" s="1" t="inlineStr">
        <is>
          <t>Knowledge tracker: Hire B (Standard Cost track)</t>
        </is>
      </c>
    </row>
    <row r="2">
      <c r="A2" s="2" t="inlineStr">
        <is>
          <t>Update Status, Date covered and Confidence as you go. Turn gaps into questions for your 1:1.</t>
        </is>
      </c>
    </row>
    <row r="4">
      <c r="A4" s="12" t="inlineStr">
        <is>
          <t>Topic ID</t>
        </is>
      </c>
      <c r="B4" s="12" t="inlineStr">
        <is>
          <t>Module</t>
        </is>
      </c>
      <c r="C4" s="12" t="inlineStr">
        <is>
          <t>Priority</t>
        </is>
      </c>
      <c r="D4" s="12" t="inlineStr">
        <is>
          <t>Topic</t>
        </is>
      </c>
      <c r="E4" s="12" t="inlineStr">
        <is>
          <t>Learning objective</t>
        </is>
      </c>
      <c r="F4" s="12" t="inlineStr">
        <is>
          <t>Trainer</t>
        </is>
      </c>
      <c r="G4" s="12" t="inlineStr">
        <is>
          <t>Resource</t>
        </is>
      </c>
      <c r="H4" s="12" t="inlineStr">
        <is>
          <t>Target week</t>
        </is>
      </c>
      <c r="I4" s="12" t="inlineStr">
        <is>
          <t>Week starts</t>
        </is>
      </c>
      <c r="J4" s="12" t="inlineStr">
        <is>
          <t>Status</t>
        </is>
      </c>
      <c r="K4" s="12" t="inlineStr">
        <is>
          <t>Date covered</t>
        </is>
      </c>
      <c r="L4" s="12" t="inlineStr">
        <is>
          <t>Confidence (1-5)</t>
        </is>
      </c>
      <c r="M4" s="12" t="inlineStr">
        <is>
          <t>Card / doc written?</t>
        </is>
      </c>
      <c r="N4" s="12" t="inlineStr">
        <is>
          <t>Self-check question</t>
        </is>
      </c>
      <c r="O4" s="12" t="inlineStr">
        <is>
          <t>Notes</t>
        </is>
      </c>
    </row>
    <row r="5">
      <c r="A5" s="13" t="inlineStr">
        <is>
          <t>K-M0-01</t>
        </is>
      </c>
      <c r="B5" s="13" t="inlineStr">
        <is>
          <t>M0</t>
        </is>
      </c>
      <c r="C5" s="13" t="inlineStr">
        <is>
          <t>Core</t>
        </is>
      </c>
      <c r="D5" s="13" t="inlineStr">
        <is>
          <t>Team, systems and processes the BSA team owns</t>
        </is>
      </c>
      <c r="E5" s="13" t="inlineStr">
        <is>
          <t>Explain what the BSA team owns (trade software, custom tools, trade data and analytics), its main internal customers, and where Research and Standard Cost fit.</t>
        </is>
      </c>
      <c r="F5" s="13" t="inlineStr">
        <is>
          <t>Manager</t>
        </is>
      </c>
      <c r="G5" s="13" t="inlineStr">
        <is>
          <t>[COMPANY: team charter and org chart]</t>
        </is>
      </c>
      <c r="H5" s="13" t="n">
        <v>1</v>
      </c>
      <c r="I5" s="15">
        <f>ProgramStart+(H5-1)*7</f>
        <v/>
      </c>
      <c r="J5" s="14" t="inlineStr">
        <is>
          <t>Not started</t>
        </is>
      </c>
      <c r="K5" s="16" t="n"/>
      <c r="L5" s="14" t="n"/>
      <c r="M5" s="14" t="n"/>
      <c r="N5" s="13" t="inlineStr">
        <is>
          <t>Which three processes or systems would stop first if the BSA team were out for a week, and who would notice?</t>
        </is>
      </c>
      <c r="O5" s="14" t="n"/>
    </row>
    <row r="6">
      <c r="A6" s="13" t="inlineStr">
        <is>
          <t>K-M0-02</t>
        </is>
      </c>
      <c r="B6" s="13" t="inlineStr">
        <is>
          <t>M0</t>
        </is>
      </c>
      <c r="C6" s="13" t="inlineStr">
        <is>
          <t>Core</t>
        </is>
      </c>
      <c r="D6" s="13" t="inlineStr">
        <is>
          <t>The 30/60/90 plan, weekly rhythm and milestone evidence</t>
        </is>
      </c>
      <c r="E6" s="13" t="inlineStr">
        <is>
          <t>Name your day-30 Must criteria and their evidence, and run the weekly cadence (1:1, Friday self-report, question log, teach-back) without reminders.</t>
        </is>
      </c>
      <c r="F6" s="13" t="inlineStr">
        <is>
          <t>Manager</t>
        </is>
      </c>
      <c r="G6" s="13" t="inlineStr">
        <is>
          <t>docs/03-check-ins-and-scorecards.md</t>
        </is>
      </c>
      <c r="H6" s="13" t="n">
        <v>1</v>
      </c>
      <c r="I6" s="15">
        <f>ProgramStart+(H6-1)*7</f>
        <v/>
      </c>
      <c r="J6" s="14" t="inlineStr">
        <is>
          <t>Not started</t>
        </is>
      </c>
      <c r="K6" s="16" t="n"/>
      <c r="L6" s="14" t="n"/>
      <c r="M6" s="14" t="n"/>
      <c r="N6" s="13" t="inlineStr">
        <is>
          <t>What evidence is due two working days before your day-30 review, and when is your Friday self-report due?</t>
        </is>
      </c>
      <c r="O6" s="14" t="n"/>
    </row>
    <row r="7">
      <c r="A7" s="13" t="inlineStr">
        <is>
          <t>K-M0-03</t>
        </is>
      </c>
      <c r="B7" s="13" t="inlineStr">
        <is>
          <t>M0</t>
        </is>
      </c>
      <c r="C7" s="13" t="inlineStr">
        <is>
          <t>Core</t>
        </is>
      </c>
      <c r="D7" s="13" t="inlineStr">
        <is>
          <t>Planning a 40-hour week with 5-8 guided hours</t>
        </is>
      </c>
      <c r="E7" s="13" t="inlineStr">
        <is>
          <t>Build a weekly plan where every self-study block has a defined output (cards, a question-log entry or a doc section).</t>
        </is>
      </c>
      <c r="F7" s="13" t="inlineStr">
        <is>
          <t>Self-study</t>
        </is>
      </c>
      <c r="G7" s="13" t="inlineStr">
        <is>
          <t>docs/05-time-management.md</t>
        </is>
      </c>
      <c r="H7" s="13" t="n">
        <v>1</v>
      </c>
      <c r="I7" s="15">
        <f>ProgramStart+(H7-1)*7</f>
        <v/>
      </c>
      <c r="J7" s="14" t="inlineStr">
        <is>
          <t>Not started</t>
        </is>
      </c>
      <c r="K7" s="16" t="n"/>
      <c r="L7" s="14" t="n"/>
      <c r="M7" s="14" t="n"/>
      <c r="N7" s="13" t="inlineStr">
        <is>
          <t>What is the output of each self-study block on your calendar this week?</t>
        </is>
      </c>
      <c r="O7" s="14" t="n"/>
    </row>
    <row r="8">
      <c r="A8" s="13" t="inlineStr">
        <is>
          <t>K-M0-04</t>
        </is>
      </c>
      <c r="B8" s="13" t="inlineStr">
        <is>
          <t>M0</t>
        </is>
      </c>
      <c r="C8" s="13" t="inlineStr">
        <is>
          <t>Core</t>
        </is>
      </c>
      <c r="D8" s="13" t="inlineStr">
        <is>
          <t>Jira and Planner: how the team tracks work</t>
        </is>
      </c>
      <c r="E8" s="13" t="inlineStr">
        <is>
          <t>Create and maintain Jira items to the team standard on [COMPANY: Jira project and board], and keep Planner tasks in sync where the team uses them.</t>
        </is>
      </c>
      <c r="F8" s="13" t="inlineStr">
        <is>
          <t>Manager</t>
        </is>
      </c>
      <c r="G8" s="13" t="inlineStr">
        <is>
          <t>docs/templates/bsa/07-jira-epic-story.md</t>
        </is>
      </c>
      <c r="H8" s="13" t="n">
        <v>1</v>
      </c>
      <c r="I8" s="15">
        <f>ProgramStart+(H8-1)*7</f>
        <v/>
      </c>
      <c r="J8" s="14" t="inlineStr">
        <is>
          <t>Not started</t>
        </is>
      </c>
      <c r="K8" s="16" t="n"/>
      <c r="L8" s="14" t="n"/>
      <c r="M8" s="14" t="n"/>
      <c r="N8" s="13" t="inlineStr">
        <is>
          <t>What must a Jira item contain before you start work on it, and how often do you update its status?</t>
        </is>
      </c>
      <c r="O8" s="14" t="n"/>
    </row>
    <row r="9">
      <c r="A9" s="13" t="inlineStr">
        <is>
          <t>K-M0-05</t>
        </is>
      </c>
      <c r="B9" s="13" t="inlineStr">
        <is>
          <t>M0</t>
        </is>
      </c>
      <c r="C9" s="13" t="inlineStr">
        <is>
          <t>Core</t>
        </is>
      </c>
      <c r="D9" s="13" t="inlineStr">
        <is>
          <t>OneNote structure, document status and Anki card writing</t>
        </is>
      </c>
      <c r="E9" s="13" t="inlineStr">
        <is>
          <t>File notes in the right OneNote section with a Draft, Reviewed or Published status, and write atomic, sourced company-specific Anki cards.</t>
        </is>
      </c>
      <c r="F9" s="13" t="inlineStr">
        <is>
          <t>Self-study</t>
        </is>
      </c>
      <c r="G9" s="13" t="inlineStr">
        <is>
          <t>docs/templates/knowledge/anki-card-writing-guide.md</t>
        </is>
      </c>
      <c r="H9" s="13" t="n">
        <v>1</v>
      </c>
      <c r="I9" s="15">
        <f>ProgramStart+(H9-1)*7</f>
        <v/>
      </c>
      <c r="J9" s="14" t="inlineStr">
        <is>
          <t>Not started</t>
        </is>
      </c>
      <c r="K9" s="16" t="n"/>
      <c r="L9" s="14" t="n"/>
      <c r="M9" s="14" t="n"/>
      <c r="N9" s="13" t="inlineStr">
        <is>
          <t>Which document statuses may go into the shared OneNote sections, and what makes a good company-specific card?</t>
        </is>
      </c>
      <c r="O9" s="14" t="n"/>
    </row>
    <row r="10">
      <c r="A10" s="13" t="inlineStr">
        <is>
          <t>K-M0-06</t>
        </is>
      </c>
      <c r="B10" s="13" t="inlineStr">
        <is>
          <t>M0</t>
        </is>
      </c>
      <c r="C10" s="13" t="inlineStr">
        <is>
          <t>Core</t>
        </is>
      </c>
      <c r="D10" s="13" t="inlineStr">
        <is>
          <t>Business overview: products, suppliers, source countries, customers</t>
        </is>
      </c>
      <c r="E10" s="13" t="inlineStr">
        <is>
          <t>Explain what the company imports, from where, into which countries and through which channels. Hire B: refresher only; skim it for 30 minutes on Tue 10/20 (no quiz) and move the saved time to Oracle cost data.</t>
        </is>
      </c>
      <c r="F10" s="13" t="inlineStr">
        <is>
          <t>Self-study</t>
        </is>
      </c>
      <c r="G10" s="13" t="inlineStr">
        <is>
          <t>[COMPANY: business overview materials]</t>
        </is>
      </c>
      <c r="H10" s="13" t="n">
        <v>1</v>
      </c>
      <c r="I10" s="15">
        <f>ProgramStart+(H10-1)*7</f>
        <v/>
      </c>
      <c r="J10" s="14" t="inlineStr">
        <is>
          <t>Not started</t>
        </is>
      </c>
      <c r="K10" s="16" t="n"/>
      <c r="L10" s="14" t="n"/>
      <c r="M10" s="14" t="n"/>
      <c r="N10" s="13" t="inlineStr">
        <is>
          <t>Which product families and source countries account for most of our import value?</t>
        </is>
      </c>
      <c r="O10" s="14" t="n"/>
    </row>
    <row r="11">
      <c r="A11" s="13" t="inlineStr">
        <is>
          <t>K-M0-07</t>
        </is>
      </c>
      <c r="B11" s="13" t="inlineStr">
        <is>
          <t>M0</t>
        </is>
      </c>
      <c r="C11" s="13" t="inlineStr">
        <is>
          <t>Core</t>
        </is>
      </c>
      <c r="D11" s="13" t="inlineStr">
        <is>
          <t>Boundary rule and maker-checker control</t>
        </is>
      </c>
      <c r="E11" s="13" t="inlineStr">
        <is>
          <t>State who owns the WHAT and who owns the $ for a tariff action, and what a documented checker sign-off must contain.</t>
        </is>
      </c>
      <c r="F11" s="13" t="inlineStr">
        <is>
          <t>Manager</t>
        </is>
      </c>
      <c r="G11" s="13" t="inlineStr">
        <is>
          <t>docs/01-30-60-90-plan.md</t>
        </is>
      </c>
      <c r="H11" s="13" t="n">
        <v>1</v>
      </c>
      <c r="I11" s="15">
        <f>ProgramStart+(H11-1)*7</f>
        <v/>
      </c>
      <c r="J11" s="14" t="inlineStr">
        <is>
          <t>Not started</t>
        </is>
      </c>
      <c r="K11" s="16" t="n"/>
      <c r="L11" s="14" t="n"/>
      <c r="M11" s="14" t="n"/>
      <c r="N11" s="13" t="inlineStr">
        <is>
          <t>For a new tariff action, who owns the effective date, who owns the margin impact, and what must happen before either is released?</t>
        </is>
      </c>
      <c r="O11" s="14" t="n"/>
    </row>
    <row r="12">
      <c r="A12" s="13" t="inlineStr">
        <is>
          <t>K-M0-08</t>
        </is>
      </c>
      <c r="B12" s="13" t="inlineStr">
        <is>
          <t>M0</t>
        </is>
      </c>
      <c r="C12" s="13" t="inlineStr">
        <is>
          <t>Core</t>
        </is>
      </c>
      <c r="D12" s="13" t="inlineStr">
        <is>
          <t>Stakeholder map and intro meetings</t>
        </is>
      </c>
      <c r="E12" s="13" t="inlineStr">
        <is>
          <t>Meet each stakeholder group (30-minute intro meetings in W3-W4, booked by the Manager) and record who they are, what they need from the team and how tariff and cost news reaches them today.</t>
        </is>
      </c>
      <c r="F12" s="13" t="inlineStr">
        <is>
          <t>Shadow</t>
        </is>
      </c>
      <c r="G12" s="13" t="inlineStr">
        <is>
          <t>[COMPANY: stakeholder list]</t>
        </is>
      </c>
      <c r="H12" s="13" t="n">
        <v>4</v>
      </c>
      <c r="I12" s="15">
        <f>ProgramStart+(H12-1)*7</f>
        <v/>
      </c>
      <c r="J12" s="14" t="inlineStr">
        <is>
          <t>Not started</t>
        </is>
      </c>
      <c r="K12" s="16" t="n"/>
      <c r="L12" s="14" t="n"/>
      <c r="M12" s="14" t="n"/>
      <c r="N12" s="13" t="inlineStr">
        <is>
          <t>Who in the business hears about a new tariff action first today, and who needs its cost impact?</t>
        </is>
      </c>
      <c r="O12" s="14" t="n"/>
    </row>
    <row r="13">
      <c r="A13" s="13" t="inlineStr">
        <is>
          <t>K-M1-01</t>
        </is>
      </c>
      <c r="B13" s="13" t="inlineStr">
        <is>
          <t>M1</t>
        </is>
      </c>
      <c r="C13" s="13" t="inlineStr">
        <is>
          <t>Core</t>
        </is>
      </c>
      <c r="D13" s="13" t="inlineStr">
        <is>
          <t>US import roles: importer of record, licensed broker, CBP; reasonable care</t>
        </is>
      </c>
      <c r="E13" s="13" t="inlineStr">
        <is>
          <t>Explain who is legally responsible for what on a US entry and what reasonable care requires of us as importer.</t>
        </is>
      </c>
      <c r="F13" s="13" t="inlineStr">
        <is>
          <t>Senior</t>
        </is>
      </c>
      <c r="G13" s="13" t="inlineStr">
        <is>
          <t>docs/primers/customs-trade-compliance-primer.md</t>
        </is>
      </c>
      <c r="H13" s="13" t="n">
        <v>1</v>
      </c>
      <c r="I13" s="15">
        <f>ProgramStart+(H13-1)*7</f>
        <v/>
      </c>
      <c r="J13" s="14" t="inlineStr">
        <is>
          <t>Not started</t>
        </is>
      </c>
      <c r="K13" s="16" t="n"/>
      <c r="L13" s="14" t="n"/>
      <c r="M13" s="14" t="n"/>
      <c r="N13" s="13" t="inlineStr">
        <is>
          <t>If the broker files a wrong HTS code using data we supplied, who is liable to CBP and why?</t>
        </is>
      </c>
      <c r="O13" s="14" t="n"/>
    </row>
    <row r="14">
      <c r="A14" s="13" t="inlineStr">
        <is>
          <t>K-M1-02</t>
        </is>
      </c>
      <c r="B14" s="13" t="inlineStr">
        <is>
          <t>M1</t>
        </is>
      </c>
      <c r="C14" s="13" t="inlineStr">
        <is>
          <t>Core</t>
        </is>
      </c>
      <c r="D14" s="13" t="inlineStr">
        <is>
          <t>Life of a US entry: release, entry summary, duty payment, liquidation, protest</t>
        </is>
      </c>
      <c r="E14" s="13" t="inlineStr">
        <is>
          <t>Describe each stage of a US formal entry, the documents involved and the statutory windows that matter for corrections.</t>
        </is>
      </c>
      <c r="F14" s="13" t="inlineStr">
        <is>
          <t>Senior</t>
        </is>
      </c>
      <c r="G14" s="13" t="inlineStr">
        <is>
          <t>https://www.cbp.gov/document/publications/importing-united-states</t>
        </is>
      </c>
      <c r="H14" s="13" t="n">
        <v>1</v>
      </c>
      <c r="I14" s="15">
        <f>ProgramStart+(H14-1)*7</f>
        <v/>
      </c>
      <c r="J14" s="14" t="inlineStr">
        <is>
          <t>Not started</t>
        </is>
      </c>
      <c r="K14" s="16" t="n"/>
      <c r="L14" s="14" t="n"/>
      <c r="M14" s="14" t="n"/>
      <c r="N14" s="13" t="inlineStr">
        <is>
          <t>What is the difference between cargo release (CBP Form 3461) and the entry summary (CBP Form 7501), and what event starts the protest clock?</t>
        </is>
      </c>
      <c r="O14" s="14" t="n"/>
    </row>
    <row r="15">
      <c r="A15" s="13" t="inlineStr">
        <is>
          <t>K-M1-03</t>
        </is>
      </c>
      <c r="B15" s="13" t="inlineStr">
        <is>
          <t>M1</t>
        </is>
      </c>
      <c r="C15" s="13" t="inlineStr">
        <is>
          <t>Core</t>
        </is>
      </c>
      <c r="D15" s="13" t="inlineStr">
        <is>
          <t>US duties and fees: ad valorem and specific duty, MPF, HMF, AD/CVD awareness</t>
        </is>
      </c>
      <c r="E15" s="13" t="inlineStr">
        <is>
          <t>Compute duty and fees for a sample entry line and explain when each fee applies.</t>
        </is>
      </c>
      <c r="F15" s="13" t="inlineStr">
        <is>
          <t>Senior</t>
        </is>
      </c>
      <c r="G15" s="13" t="inlineStr">
        <is>
          <t>docs/primers/customs-trade-compliance-primer.md</t>
        </is>
      </c>
      <c r="H15" s="13" t="n">
        <v>1</v>
      </c>
      <c r="I15" s="15">
        <f>ProgramStart+(H15-1)*7</f>
        <v/>
      </c>
      <c r="J15" s="14" t="inlineStr">
        <is>
          <t>Not started</t>
        </is>
      </c>
      <c r="K15" s="16" t="n"/>
      <c r="L15" s="14" t="n"/>
      <c r="M15" s="14" t="n"/>
      <c r="N15" s="13" t="inlineStr">
        <is>
          <t>Why does an ocean entry usually carry HMF while a truck entry from Mexico does not?</t>
        </is>
      </c>
      <c r="O15" s="14" t="n"/>
    </row>
    <row r="16">
      <c r="A16" s="13" t="inlineStr">
        <is>
          <t>K-M1-04</t>
        </is>
      </c>
      <c r="B16" s="13" t="inlineStr">
        <is>
          <t>M1</t>
        </is>
      </c>
      <c r="C16" s="13" t="inlineStr">
        <is>
          <t>Core</t>
        </is>
      </c>
      <c r="D16" s="13" t="inlineStr">
        <is>
          <t>ACE, ABI, ISF and PGA filings around a US entry</t>
        </is>
      </c>
      <c r="E16" s="13" t="inlineStr">
        <is>
          <t>Explain what ACE, ABI, ISF and PGA filings each do, and which ACE reports the team can use to audit broker filings.</t>
        </is>
      </c>
      <c r="F16" s="13" t="inlineStr">
        <is>
          <t>Self-study</t>
        </is>
      </c>
      <c r="G16" s="13" t="inlineStr">
        <is>
          <t>https://www.cbp.gov/trade/automated</t>
        </is>
      </c>
      <c r="H16" s="13" t="n">
        <v>2</v>
      </c>
      <c r="I16" s="15">
        <f>ProgramStart+(H16-1)*7</f>
        <v/>
      </c>
      <c r="J16" s="14" t="inlineStr">
        <is>
          <t>Not started</t>
        </is>
      </c>
      <c r="K16" s="16" t="n"/>
      <c r="L16" s="14" t="n"/>
      <c r="M16" s="14" t="n"/>
      <c r="N16" s="13" t="inlineStr">
        <is>
          <t>For which transport mode is an ISF required, and when must it be filed?</t>
        </is>
      </c>
      <c r="O16" s="14" t="n"/>
    </row>
    <row r="17">
      <c r="A17" s="13" t="inlineStr">
        <is>
          <t>K-M1-05</t>
        </is>
      </c>
      <c r="B17" s="13" t="inlineStr">
        <is>
          <t>M1</t>
        </is>
      </c>
      <c r="C17" s="13" t="inlineStr">
        <is>
          <t>Core</t>
        </is>
      </c>
      <c r="D17" s="13" t="inlineStr">
        <is>
          <t>HS structure and the General Rules of Interpretation</t>
        </is>
      </c>
      <c r="E17" s="13" t="inlineStr">
        <is>
          <t>Classify a simple item to the 6-digit HS level using GRI 1 and the section and chapter notes, then find the 10-digit HTSUS number.</t>
        </is>
      </c>
      <c r="F17" s="13" t="inlineStr">
        <is>
          <t>Senior</t>
        </is>
      </c>
      <c r="G17" s="13" t="inlineStr">
        <is>
          <t>https://hts.usitc.gov/</t>
        </is>
      </c>
      <c r="H17" s="13" t="n">
        <v>2</v>
      </c>
      <c r="I17" s="15">
        <f>ProgramStart+(H17-1)*7</f>
        <v/>
      </c>
      <c r="J17" s="14" t="inlineStr">
        <is>
          <t>Not started</t>
        </is>
      </c>
      <c r="K17" s="16" t="n"/>
      <c r="L17" s="14" t="n"/>
      <c r="M17" s="14" t="n"/>
      <c r="N17" s="13" t="inlineStr">
        <is>
          <t>Why must you read the section and chapter notes before choosing a heading, and when do you move past GRI 1?</t>
        </is>
      </c>
      <c r="O17" s="14" t="n"/>
    </row>
    <row r="18">
      <c r="A18" s="13" t="inlineStr">
        <is>
          <t>K-M1-06</t>
        </is>
      </c>
      <c r="B18" s="13" t="inlineStr">
        <is>
          <t>M1</t>
        </is>
      </c>
      <c r="C18" s="13" t="inlineStr">
        <is>
          <t>Core</t>
        </is>
      </c>
      <c r="D18" s="13" t="inlineStr">
        <is>
          <t>Using CROSS rulings and binding rulings</t>
        </is>
      </c>
      <c r="E18" s="13" t="inlineStr">
        <is>
          <t>Find and cite relevant CBP rulings for an item and explain how much weight a ruling issued to another importer carries.</t>
        </is>
      </c>
      <c r="F18" s="13" t="inlineStr">
        <is>
          <t>Self-study</t>
        </is>
      </c>
      <c r="G18" s="13" t="inlineStr">
        <is>
          <t>https://rulings.cbp.gov/home</t>
        </is>
      </c>
      <c r="H18" s="13" t="n">
        <v>2</v>
      </c>
      <c r="I18" s="15">
        <f>ProgramStart+(H18-1)*7</f>
        <v/>
      </c>
      <c r="J18" s="14" t="inlineStr">
        <is>
          <t>Not started</t>
        </is>
      </c>
      <c r="K18" s="16" t="n"/>
      <c r="L18" s="14" t="n"/>
      <c r="M18" s="14" t="n"/>
      <c r="N18" s="13" t="inlineStr">
        <is>
          <t>Is a CROSS ruling issued to another importer binding for our item, and how should you use it in your reasoning?</t>
        </is>
      </c>
      <c r="O18" s="14" t="n"/>
    </row>
    <row r="19">
      <c r="A19" s="13" t="inlineStr">
        <is>
          <t>K-M1-07</t>
        </is>
      </c>
      <c r="B19" s="13" t="inlineStr">
        <is>
          <t>M1</t>
        </is>
      </c>
      <c r="C19" s="13" t="inlineStr">
        <is>
          <t>Core</t>
        </is>
      </c>
      <c r="D19" s="13" t="inlineStr">
        <is>
          <t>Canada Customs Tariff structure and tariff treatments</t>
        </is>
      </c>
      <c r="E19" s="13" t="inlineStr">
        <is>
          <t>Find the 10-digit Canadian classification number for an item and the rate under the applicable tariff treatment.</t>
        </is>
      </c>
      <c r="F19" s="13" t="inlineStr">
        <is>
          <t>Senior</t>
        </is>
      </c>
      <c r="G19" s="13" t="inlineStr">
        <is>
          <t>https://www.cbsa-asfc.gc.ca/trade-commerce/tariff-tarif/menu-eng.html</t>
        </is>
      </c>
      <c r="H19" s="13" t="n">
        <v>2</v>
      </c>
      <c r="I19" s="15">
        <f>ProgramStart+(H19-1)*7</f>
        <v/>
      </c>
      <c r="J19" s="14" t="inlineStr">
        <is>
          <t>Not started</t>
        </is>
      </c>
      <c r="K19" s="16" t="n"/>
      <c r="L19" s="14" t="n"/>
      <c r="M19" s="14" t="n"/>
      <c r="N19" s="13" t="inlineStr">
        <is>
          <t>How many digits is a Canadian classification number, and what do the last two digits represent?</t>
        </is>
      </c>
      <c r="O19" s="14" t="n"/>
    </row>
    <row r="20">
      <c r="A20" s="13" t="inlineStr">
        <is>
          <t>K-M1-08</t>
        </is>
      </c>
      <c r="B20" s="13" t="inlineStr">
        <is>
          <t>M1</t>
        </is>
      </c>
      <c r="C20" s="13" t="inlineStr">
        <is>
          <t>Core</t>
        </is>
      </c>
      <c r="D20" s="13" t="inlineStr">
        <is>
          <t>Mexico TIGIE, fracción arancelaria and NICO</t>
        </is>
      </c>
      <c r="E20" s="13" t="inlineStr">
        <is>
          <t>Find the 8-digit fracción and 2-digit NICO for an item and its general import duty rate.</t>
        </is>
      </c>
      <c r="F20" s="13" t="inlineStr">
        <is>
          <t>Senior</t>
        </is>
      </c>
      <c r="G20" s="13" t="inlineStr">
        <is>
          <t>https://www.snice.gob.mx/cs/avi/snice/hce.siavi.html</t>
        </is>
      </c>
      <c r="H20" s="13" t="n">
        <v>2</v>
      </c>
      <c r="I20" s="15">
        <f>ProgramStart+(H20-1)*7</f>
        <v/>
      </c>
      <c r="J20" s="14" t="inlineStr">
        <is>
          <t>Not started</t>
        </is>
      </c>
      <c r="K20" s="16" t="n"/>
      <c r="L20" s="14" t="n"/>
      <c r="M20" s="14" t="n"/>
      <c r="N20" s="13" t="inlineStr">
        <is>
          <t>What does the NICO add to the 8-digit fracción, and where are TIGIE changes legally published?</t>
        </is>
      </c>
      <c r="O20" s="14" t="n"/>
    </row>
    <row r="21">
      <c r="A21" s="13" t="inlineStr">
        <is>
          <t>K-M1-09</t>
        </is>
      </c>
      <c r="B21" s="13" t="inlineStr">
        <is>
          <t>M1</t>
        </is>
      </c>
      <c r="C21" s="13" t="inlineStr">
        <is>
          <t>Core</t>
        </is>
      </c>
      <c r="D21" s="13" t="inlineStr">
        <is>
          <t>Canada import process: CBSA, CARM, CAD, BN/RM account, release prior to payment, D-Memoranda</t>
        </is>
      </c>
      <c r="E21" s="13" t="inlineStr">
        <is>
          <t>Explain how a commercial import is released and accounted for in Canada and where CBSA operating rules are written down.</t>
        </is>
      </c>
      <c r="F21" s="13" t="inlineStr">
        <is>
          <t>Senior</t>
        </is>
      </c>
      <c r="G21" s="13" t="inlineStr">
        <is>
          <t>https://www.cbsa-asfc.gc.ca/services/carm-gcra/menu-eng.html</t>
        </is>
      </c>
      <c r="H21" s="13" t="n">
        <v>2</v>
      </c>
      <c r="I21" s="15">
        <f>ProgramStart+(H21-1)*7</f>
        <v/>
      </c>
      <c r="J21" s="14" t="inlineStr">
        <is>
          <t>Not started</t>
        </is>
      </c>
      <c r="K21" s="16" t="n"/>
      <c r="L21" s="14" t="n"/>
      <c r="M21" s="14" t="n"/>
      <c r="N21" s="13" t="inlineStr">
        <is>
          <t>What replaced the B3 under CARM, and what must an importer post to use release prior to payment?</t>
        </is>
      </c>
      <c r="O21" s="14" t="n"/>
    </row>
    <row r="22">
      <c r="A22" s="13" t="inlineStr">
        <is>
          <t>K-M1-10</t>
        </is>
      </c>
      <c r="B22" s="13" t="inlineStr">
        <is>
          <t>M1</t>
        </is>
      </c>
      <c r="C22" s="13" t="inlineStr">
        <is>
          <t>Core</t>
        </is>
      </c>
      <c r="D22" s="13" t="inlineStr">
        <is>
          <t>Mexico import process and taxes: SAT, ANAM, agente aduanal, pedimento, padrón, RFC, e.firma, VUCEM, IGI, IVA, DTA</t>
        </is>
      </c>
      <c r="E22" s="13" t="inlineStr">
        <is>
          <t>Explain who files what for a Mexican import, the registrations the importer needs, and the main charges on a pedimento.</t>
        </is>
      </c>
      <c r="F22" s="13" t="inlineStr">
        <is>
          <t>Senior</t>
        </is>
      </c>
      <c r="G22" s="13" t="inlineStr">
        <is>
          <t>https://www.anam.gob.mx/</t>
        </is>
      </c>
      <c r="H22" s="13" t="n">
        <v>2</v>
      </c>
      <c r="I22" s="15">
        <f>ProgramStart+(H22-1)*7</f>
        <v/>
      </c>
      <c r="J22" s="14" t="inlineStr">
        <is>
          <t>Not started</t>
        </is>
      </c>
      <c r="K22" s="16" t="n"/>
      <c r="L22" s="14" t="n"/>
      <c r="M22" s="14" t="n"/>
      <c r="N22" s="13" t="inlineStr">
        <is>
          <t>Which registrations must an importer hold before an agente aduanal can file a pedimento for it?</t>
        </is>
      </c>
      <c r="O22" s="14" t="n"/>
    </row>
    <row r="23">
      <c r="A23" s="13" t="inlineStr">
        <is>
          <t>K-M1-11</t>
        </is>
      </c>
      <c r="B23" s="13" t="inlineStr">
        <is>
          <t>M1</t>
        </is>
      </c>
      <c r="C23" s="13" t="inlineStr">
        <is>
          <t>Core</t>
        </is>
      </c>
      <c r="D23" s="13" t="inlineStr">
        <is>
          <t>Customs valuation: transaction value, additions, related parties, three-country basis</t>
        </is>
      </c>
      <c r="E23" s="13" t="inlineStr">
        <is>
          <t>Determine customs value for a sample purchase, including assists, and explain how freight and insurance are treated in the US, Canada and Mexico.</t>
        </is>
      </c>
      <c r="F23" s="13" t="inlineStr">
        <is>
          <t>Senior</t>
        </is>
      </c>
      <c r="G23" s="13" t="inlineStr">
        <is>
          <t>https://www.cbp.gov/trade/rulings/informed-compliance-publications</t>
        </is>
      </c>
      <c r="H23" s="13" t="n">
        <v>3</v>
      </c>
      <c r="I23" s="15">
        <f>ProgramStart+(H23-1)*7</f>
        <v/>
      </c>
      <c r="J23" s="14" t="inlineStr">
        <is>
          <t>Not started</t>
        </is>
      </c>
      <c r="K23" s="16" t="n"/>
      <c r="L23" s="14" t="n"/>
      <c r="M23" s="14" t="n"/>
      <c r="N23" s="13" t="inlineStr">
        <is>
          <t>Is international freight part of customs value in the US, in Canada and in Mexico?</t>
        </is>
      </c>
      <c r="O23" s="14" t="n"/>
    </row>
    <row r="24">
      <c r="A24" s="13" t="inlineStr">
        <is>
          <t>K-M1-12</t>
        </is>
      </c>
      <c r="B24" s="13" t="inlineStr">
        <is>
          <t>M1</t>
        </is>
      </c>
      <c r="C24" s="13" t="inlineStr">
        <is>
          <t>Core</t>
        </is>
      </c>
      <c r="D24" s="13" t="inlineStr">
        <is>
          <t>Incoterms 2020 and who pays freight, insurance and duty</t>
        </is>
      </c>
      <c r="E24" s="13" t="inlineStr">
        <is>
          <t>Read a purchase order's Incoterm and state who bears each cost and risk, and how that affects customs value and landed cost.</t>
        </is>
      </c>
      <c r="F24" s="13" t="inlineStr">
        <is>
          <t>Self-study</t>
        </is>
      </c>
      <c r="G24" s="13" t="inlineStr">
        <is>
          <t>https://iccwbo.org/business-solutions/incoterms-rules/incoterms-2020/</t>
        </is>
      </c>
      <c r="H24" s="13" t="n">
        <v>3</v>
      </c>
      <c r="I24" s="15">
        <f>ProgramStart+(H24-1)*7</f>
        <v/>
      </c>
      <c r="J24" s="14" t="inlineStr">
        <is>
          <t>Not started</t>
        </is>
      </c>
      <c r="K24" s="16" t="n"/>
      <c r="L24" s="14" t="n"/>
      <c r="M24" s="14" t="n"/>
      <c r="N24" s="13" t="inlineStr">
        <is>
          <t>On an FCA purchase from a supplier's factory, who pays the main freight, and does it belong in US customs value?</t>
        </is>
      </c>
      <c r="O24" s="14" t="n"/>
    </row>
    <row r="25">
      <c r="A25" s="13" t="inlineStr">
        <is>
          <t>K-M1-13</t>
        </is>
      </c>
      <c r="B25" s="13" t="inlineStr">
        <is>
          <t>M1</t>
        </is>
      </c>
      <c r="C25" s="13" t="inlineStr">
        <is>
          <t>Core</t>
        </is>
      </c>
      <c r="D25" s="13" t="inlineStr">
        <is>
          <t>USMCA rules of origin: originating criteria, product-specific rules, tariff shift, RVC, de minimis, accumulation</t>
        </is>
      </c>
      <c r="E25" s="13" t="inlineStr">
        <is>
          <t>Decide whether a sample item with a bill of materials qualifies under its product-specific rule of origin.</t>
        </is>
      </c>
      <c r="F25" s="13" t="inlineStr">
        <is>
          <t>Senior</t>
        </is>
      </c>
      <c r="G25" s="13" t="inlineStr">
        <is>
          <t>https://ustr.gov/sites/default/files/files/agreements/FTA/USMCA/Text/04-Rules-of-Origin.pdf</t>
        </is>
      </c>
      <c r="H25" s="13" t="n">
        <v>3</v>
      </c>
      <c r="I25" s="15">
        <f>ProgramStart+(H25-1)*7</f>
        <v/>
      </c>
      <c r="J25" s="14" t="inlineStr">
        <is>
          <t>Not started</t>
        </is>
      </c>
      <c r="K25" s="16" t="n"/>
      <c r="L25" s="14" t="n"/>
      <c r="M25" s="14" t="n"/>
      <c r="N25" s="13" t="inlineStr">
        <is>
          <t>If one non-originating component fails the required tariff shift, which two provisions might still let the good qualify?</t>
        </is>
      </c>
      <c r="O25" s="14" t="n"/>
    </row>
    <row r="26">
      <c r="A26" s="13" t="inlineStr">
        <is>
          <t>K-M1-14</t>
        </is>
      </c>
      <c r="B26" s="13" t="inlineStr">
        <is>
          <t>M1</t>
        </is>
      </c>
      <c r="C26" s="13" t="inlineStr">
        <is>
          <t>Core</t>
        </is>
      </c>
      <c r="D26" s="13" t="inlineStr">
        <is>
          <t>USMCA certification of origin and importer obligations</t>
        </is>
      </c>
      <c r="E26" s="13" t="inlineStr">
        <is>
          <t>List the nine minimum data elements and what an importer must hold and do before and after claiming preference.</t>
        </is>
      </c>
      <c r="F26" s="13" t="inlineStr">
        <is>
          <t>Senior</t>
        </is>
      </c>
      <c r="G26" s="13" t="inlineStr">
        <is>
          <t>https://www.cbp.gov/trade/priority-issues/trade-agreements/free-trade-agreements/USMCA/FAQs</t>
        </is>
      </c>
      <c r="H26" s="13" t="n">
        <v>3</v>
      </c>
      <c r="I26" s="15">
        <f>ProgramStart+(H26-1)*7</f>
        <v/>
      </c>
      <c r="J26" s="14" t="inlineStr">
        <is>
          <t>Not started</t>
        </is>
      </c>
      <c r="K26" s="16" t="n"/>
      <c r="L26" s="14" t="n"/>
      <c r="M26" s="14" t="n"/>
      <c r="N26" s="13" t="inlineStr">
        <is>
          <t>What must the importer do if it learns after entry that a USMCA certification it relied on is wrong?</t>
        </is>
      </c>
      <c r="O26" s="14" t="n"/>
    </row>
    <row r="27">
      <c r="A27" s="13" t="inlineStr">
        <is>
          <t>K-M1-15</t>
        </is>
      </c>
      <c r="B27" s="13" t="inlineStr">
        <is>
          <t>M1</t>
        </is>
      </c>
      <c r="C27" s="13" t="inlineStr">
        <is>
          <t>Core</t>
        </is>
      </c>
      <c r="D27" s="13" t="inlineStr">
        <is>
          <t>Recordkeeping requirements (19 CFR Part 163)</t>
        </is>
      </c>
      <c r="E27" s="13" t="inlineStr">
        <is>
          <t>State which import records we must keep, for how long, and how quickly we must produce them on demand.</t>
        </is>
      </c>
      <c r="F27" s="13" t="inlineStr">
        <is>
          <t>Self-study</t>
        </is>
      </c>
      <c r="G27" s="13" t="inlineStr">
        <is>
          <t>https://www.ecfr.gov/current/title-19/chapter-I/part-163</t>
        </is>
      </c>
      <c r="H27" s="13" t="n">
        <v>3</v>
      </c>
      <c r="I27" s="15">
        <f>ProgramStart+(H27-1)*7</f>
        <v/>
      </c>
      <c r="J27" s="14" t="inlineStr">
        <is>
          <t>Not started</t>
        </is>
      </c>
      <c r="K27" s="16" t="n"/>
      <c r="L27" s="14" t="n"/>
      <c r="M27" s="14" t="n"/>
      <c r="N27" s="13" t="inlineStr">
        <is>
          <t>How long must import records generally be kept, and from which date does the period run?</t>
        </is>
      </c>
      <c r="O27" s="14" t="n"/>
    </row>
    <row r="28">
      <c r="A28" s="13" t="inlineStr">
        <is>
          <t>K-M1-16</t>
        </is>
      </c>
      <c r="B28" s="13" t="inlineStr">
        <is>
          <t>M1</t>
        </is>
      </c>
      <c r="C28" s="13" t="inlineStr">
        <is>
          <t>Core</t>
        </is>
      </c>
      <c r="D28" s="13" t="inlineStr">
        <is>
          <t>Special tariff actions: Section 232, Section 301, other authorities and HTSUS Chapter 99</t>
        </is>
      </c>
      <c r="E28" s="13" t="inlineStr">
        <is>
          <t>Explain the legal basis of each type of action, who administers it, and how it appears on an entry line. IEEPA does not authorize tariffs (Learning Resources, Inc. v. Trump, decided 2026-02-20); for what is in force now, use the tariff landscape.</t>
        </is>
      </c>
      <c r="F28" s="13" t="inlineStr">
        <is>
          <t>Senior</t>
        </is>
      </c>
      <c r="G28" s="13" t="inlineStr">
        <is>
          <t>docs/primers/current-tariff-landscape.md</t>
        </is>
      </c>
      <c r="H28" s="13" t="n">
        <v>3</v>
      </c>
      <c r="I28" s="15">
        <f>ProgramStart+(H28-1)*7</f>
        <v/>
      </c>
      <c r="J28" s="14" t="inlineStr">
        <is>
          <t>Not started</t>
        </is>
      </c>
      <c r="K28" s="16" t="n"/>
      <c r="L28" s="14" t="n"/>
      <c r="M28" s="14" t="n"/>
      <c r="N28" s="13" t="inlineStr">
        <is>
          <t>Why does an entry line subject to an additional duty carry two HTS numbers, and what does the Chapter 99 number tell CBP?</t>
        </is>
      </c>
      <c r="O28" s="14" t="n"/>
    </row>
    <row r="29">
      <c r="A29" s="13" t="inlineStr">
        <is>
          <t>K-M1-17</t>
        </is>
      </c>
      <c r="B29" s="13" t="inlineStr">
        <is>
          <t>M1</t>
        </is>
      </c>
      <c r="C29" s="13" t="inlineStr">
        <is>
          <t>Core</t>
        </is>
      </c>
      <c r="D29" s="13" t="inlineStr">
        <is>
          <t>Non-preferential origin, substantial transformation and marking</t>
        </is>
      </c>
      <c r="E29" s="13" t="inlineStr">
        <is>
          <t>Explain how origin is decided for marking and trade remedies and how that differs from USMCA preferential origin.</t>
        </is>
      </c>
      <c r="F29" s="13" t="inlineStr">
        <is>
          <t>Self-study</t>
        </is>
      </c>
      <c r="G29" s="13" t="inlineStr">
        <is>
          <t>docs/primers/customs-trade-compliance-primer.md</t>
        </is>
      </c>
      <c r="H29" s="13" t="n">
        <v>4</v>
      </c>
      <c r="I29" s="15">
        <f>ProgramStart+(H29-1)*7</f>
        <v/>
      </c>
      <c r="J29" s="14" t="inlineStr">
        <is>
          <t>Not started</t>
        </is>
      </c>
      <c r="K29" s="16" t="n"/>
      <c r="L29" s="14" t="n"/>
      <c r="M29" s="14" t="n"/>
      <c r="N29" s="13" t="inlineStr">
        <is>
          <t>Why can an item assembled in Mexico from imported parts be a product of Mexico for Section 301 yet fail to originate under USMCA?</t>
        </is>
      </c>
      <c r="O29" s="14" t="n"/>
    </row>
    <row r="30">
      <c r="A30" s="13" t="inlineStr">
        <is>
          <t>K-M1-18</t>
        </is>
      </c>
      <c r="B30" s="13" t="inlineStr">
        <is>
          <t>M1</t>
        </is>
      </c>
      <c r="C30" s="13" t="inlineStr">
        <is>
          <t>Core</t>
        </is>
      </c>
      <c r="D30" s="13" t="inlineStr">
        <is>
          <t>Correcting errors: post summary correction, protest and prior disclosure</t>
        </is>
      </c>
      <c r="E30" s="13" t="inlineStr">
        <is>
          <t>Identify which correction routes are open for an entry based on its status, and know that the choice is escalated, not made by the hire.</t>
        </is>
      </c>
      <c r="F30" s="13" t="inlineStr">
        <is>
          <t>Senior</t>
        </is>
      </c>
      <c r="G30" s="13" t="inlineStr">
        <is>
          <t>https://www.cbp.gov/trade/programs-administration/entry-summary/post-summary-correction</t>
        </is>
      </c>
      <c r="H30" s="13" t="n">
        <v>5</v>
      </c>
      <c r="I30" s="15">
        <f>ProgramStart+(H30-1)*7</f>
        <v/>
      </c>
      <c r="J30" s="14" t="inlineStr">
        <is>
          <t>Not started</t>
        </is>
      </c>
      <c r="K30" s="16" t="n"/>
      <c r="L30" s="14" t="n"/>
      <c r="M30" s="14" t="n"/>
      <c r="N30" s="13" t="inlineStr">
        <is>
          <t>An error is found on an entry that liquidated last month; which correction routes remain, and who decides which to use?</t>
        </is>
      </c>
      <c r="O30" s="14" t="n"/>
    </row>
    <row r="31">
      <c r="A31" s="13" t="inlineStr">
        <is>
          <t>K-M1-19</t>
        </is>
      </c>
      <c r="B31" s="13" t="inlineStr">
        <is>
          <t>M1</t>
        </is>
      </c>
      <c r="C31" s="13" t="inlineStr">
        <is>
          <t>Core</t>
        </is>
      </c>
      <c r="D31" s="13" t="inlineStr">
        <is>
          <t>Mexico IMMEX program, Anexo 24 and Anexo 30 (formerly Anexo 31)</t>
        </is>
      </c>
      <c r="E31" s="13" t="inlineStr">
        <is>
          <t>Explain what IMMEX allows, its obligations, and what Anexo 24 and Anexo 30 (formerly Anexo 31) each track [COMPANY: confirm IMMEX scope].</t>
        </is>
      </c>
      <c r="F31" s="13" t="inlineStr">
        <is>
          <t>Senior</t>
        </is>
      </c>
      <c r="G31" s="13" t="inlineStr">
        <is>
          <t>https://www.snice.gob.mx/cs/avi/snice/progfom.immex.acercade.html</t>
        </is>
      </c>
      <c r="H31" s="13" t="n">
        <v>4</v>
      </c>
      <c r="I31" s="15">
        <f>ProgramStart+(H31-1)*7</f>
        <v/>
      </c>
      <c r="J31" s="14" t="inlineStr">
        <is>
          <t>Not started</t>
        </is>
      </c>
      <c r="K31" s="16" t="n"/>
      <c r="L31" s="14" t="n"/>
      <c r="M31" s="14" t="n"/>
      <c r="N31" s="13" t="inlineStr">
        <is>
          <t>What does an IMMEX temporary import defer, and what is the difference between what Anexo 24 and Anexo 30 track?</t>
        </is>
      </c>
      <c r="O31" s="14" t="n"/>
    </row>
    <row r="32">
      <c r="A32" s="13" t="inlineStr">
        <is>
          <t>K-M1-20</t>
        </is>
      </c>
      <c r="B32" s="13" t="inlineStr">
        <is>
          <t>M1</t>
        </is>
      </c>
      <c r="C32" s="13" t="inlineStr">
        <is>
          <t>Core</t>
        </is>
      </c>
      <c r="D32" s="13" t="inlineStr">
        <is>
          <t>Auditing broker filings against our data</t>
        </is>
      </c>
      <c r="E32" s="13" t="inlineStr">
        <is>
          <t>Compare filed entries (US entry summary, Canadian CAD, Mexican pedimento) with our master and transaction data and flag discrepancies.</t>
        </is>
      </c>
      <c r="F32" s="13" t="inlineStr">
        <is>
          <t>Senior</t>
        </is>
      </c>
      <c r="G32" s="13" t="inlineStr">
        <is>
          <t>[COMPANY: broker entry data report or ACE report]</t>
        </is>
      </c>
      <c r="H32" s="13" t="n">
        <v>4</v>
      </c>
      <c r="I32" s="15">
        <f>ProgramStart+(H32-1)*7</f>
        <v/>
      </c>
      <c r="J32" s="14" t="inlineStr">
        <is>
          <t>Not started</t>
        </is>
      </c>
      <c r="K32" s="16" t="n"/>
      <c r="L32" s="14" t="n"/>
      <c r="M32" s="14" t="n"/>
      <c r="N32" s="13" t="inlineStr">
        <is>
          <t>Which four fields do you compare when auditing a filed entry line, and who owns the fix if each is wrong?</t>
        </is>
      </c>
      <c r="O32" s="14" t="n"/>
    </row>
    <row r="33">
      <c r="A33" s="13" t="inlineStr">
        <is>
          <t>K-M2-01</t>
        </is>
      </c>
      <c r="B33" s="13" t="inlineStr">
        <is>
          <t>M2</t>
        </is>
      </c>
      <c r="C33" s="13" t="inlineStr">
        <is>
          <t>Core</t>
        </is>
      </c>
      <c r="D33" s="13" t="inlineStr">
        <is>
          <t>Trade systems landscape: AS400 trade system, Oracle, brokers, SQL Server, warehouse, Power BI, custom tools</t>
        </is>
      </c>
      <c r="E33" s="13" t="inlineStr">
        <is>
          <t>Draw the system landscape and name the owner and purpose of each system.</t>
        </is>
      </c>
      <c r="F33" s="13" t="inlineStr">
        <is>
          <t>Manager</t>
        </is>
      </c>
      <c r="G33" s="13" t="inlineStr">
        <is>
          <t>docs/primers/trade-systems-gtm-e2open-primer.md</t>
        </is>
      </c>
      <c r="H33" s="13" t="n">
        <v>1</v>
      </c>
      <c r="I33" s="15">
        <f>ProgramStart+(H33-1)*7</f>
        <v/>
      </c>
      <c r="J33" s="14" t="inlineStr">
        <is>
          <t>Not started</t>
        </is>
      </c>
      <c r="K33" s="16" t="n"/>
      <c r="L33" s="14" t="n"/>
      <c r="M33" s="14" t="n"/>
      <c r="N33" s="13" t="inlineStr">
        <is>
          <t>Which system is the source of truth for an item's HTS code today, and which systems copy it?</t>
        </is>
      </c>
      <c r="O33" s="14" t="n"/>
    </row>
    <row r="34">
      <c r="A34" s="13" t="inlineStr">
        <is>
          <t>K-M2-02</t>
        </is>
      </c>
      <c r="B34" s="13" t="inlineStr">
        <is>
          <t>M2</t>
        </is>
      </c>
      <c r="C34" s="13" t="inlineStr">
        <is>
          <t>Core</t>
        </is>
      </c>
      <c r="D34" s="13" t="inlineStr">
        <is>
          <t>GTM concepts: what a Global Trade Management system does</t>
        </is>
      </c>
      <c r="E34" s="13" t="inlineStr">
        <is>
          <t>Explain the main GTM functions and where each is performed today (AS400, custom tools, brokers, spreadsheets).</t>
        </is>
      </c>
      <c r="F34" s="13" t="inlineStr">
        <is>
          <t>Self-study</t>
        </is>
      </c>
      <c r="G34" s="13" t="inlineStr">
        <is>
          <t>docs/primers/trade-systems-gtm-e2open-primer.md</t>
        </is>
      </c>
      <c r="H34" s="13" t="n">
        <v>1</v>
      </c>
      <c r="I34" s="15">
        <f>ProgramStart+(H34-1)*7</f>
        <v/>
      </c>
      <c r="J34" s="14" t="inlineStr">
        <is>
          <t>Not started</t>
        </is>
      </c>
      <c r="K34" s="16" t="n"/>
      <c r="L34" s="14" t="n"/>
      <c r="M34" s="14" t="n"/>
      <c r="N34" s="13" t="inlineStr">
        <is>
          <t>Which GTM functions do we perform today in AS400, which in custom tools, and which do brokers perform?</t>
        </is>
      </c>
      <c r="O34" s="14" t="n"/>
    </row>
    <row r="35">
      <c r="A35" s="13" t="inlineStr">
        <is>
          <t>K-M2-03</t>
        </is>
      </c>
      <c r="B35" s="13" t="inlineStr">
        <is>
          <t>M2</t>
        </is>
      </c>
      <c r="C35" s="13" t="inlineStr">
        <is>
          <t>Core</t>
        </is>
      </c>
      <c r="D35" s="13" t="inlineStr">
        <is>
          <t>AS400 trade data-flow walkthrough and IBM i basics</t>
        </is>
      </c>
      <c r="E35" s="13" t="inlineStr">
        <is>
          <t>Trace how item, classification, origin and rate data are created, changed and sent out of the AS400 trade system, and explain libraries and files in SQL terms. No screen-by-screen training.</t>
        </is>
      </c>
      <c r="F35" s="13" t="inlineStr">
        <is>
          <t>Manager</t>
        </is>
      </c>
      <c r="G35" s="13" t="inlineStr">
        <is>
          <t>[COMPANY: recorded AS400 walkthrough]</t>
        </is>
      </c>
      <c r="H35" s="13" t="n">
        <v>2</v>
      </c>
      <c r="I35" s="15">
        <f>ProgramStart+(H35-1)*7</f>
        <v/>
      </c>
      <c r="J35" s="14" t="inlineStr">
        <is>
          <t>Not started</t>
        </is>
      </c>
      <c r="K35" s="16" t="n"/>
      <c r="L35" s="14" t="n"/>
      <c r="M35" s="14" t="n"/>
      <c r="N35" s="13" t="inlineStr">
        <is>
          <t>When an item's HTS code changes in AS400, which downstream systems and reports change, and when?</t>
        </is>
      </c>
      <c r="O35" s="14" t="n"/>
    </row>
    <row r="36">
      <c r="A36" s="13" t="inlineStr">
        <is>
          <t>K-M2-04</t>
        </is>
      </c>
      <c r="B36" s="13" t="inlineStr">
        <is>
          <t>M2</t>
        </is>
      </c>
      <c r="C36" s="13" t="inlineStr">
        <is>
          <t>Core</t>
        </is>
      </c>
      <c r="D36" s="13" t="inlineStr">
        <is>
          <t>Oracle touchpoints: item, purchase order, receipt and cost</t>
        </is>
      </c>
      <c r="E36" s="13" t="inlineStr">
        <is>
          <t>Explain which trade data Oracle receives or sends and where landed-cost inputs land. Hire B: show where duty, freight and fees enter Oracle cost data for one item (B30-4).</t>
        </is>
      </c>
      <c r="F36" s="13" t="inlineStr">
        <is>
          <t>Manager</t>
        </is>
      </c>
      <c r="G36" s="13" t="inlineStr">
        <is>
          <t>[COMPANY: Oracle EBS item, PO and cost data flow]</t>
        </is>
      </c>
      <c r="H36" s="13" t="n">
        <v>3</v>
      </c>
      <c r="I36" s="15">
        <f>ProgramStart+(H36-1)*7</f>
        <v/>
      </c>
      <c r="J36" s="14" t="inlineStr">
        <is>
          <t>Not started</t>
        </is>
      </c>
      <c r="K36" s="16" t="n"/>
      <c r="L36" s="14" t="n"/>
      <c r="M36" s="14" t="n"/>
      <c r="N36" s="13" t="inlineStr">
        <is>
          <t>At what point in the PO-to-receipt flow does a standard cost that includes duty affect inventory value?</t>
        </is>
      </c>
      <c r="O36" s="14" t="n"/>
    </row>
    <row r="37">
      <c r="A37" s="13" t="inlineStr">
        <is>
          <t>K-M2-05</t>
        </is>
      </c>
      <c r="B37" s="13" t="inlineStr">
        <is>
          <t>M2</t>
        </is>
      </c>
      <c r="C37" s="13" t="inlineStr">
        <is>
          <t>Core</t>
        </is>
      </c>
      <c r="D37" s="13" t="inlineStr">
        <is>
          <t>Broker data exchange and file or EDI interfaces per country</t>
        </is>
      </c>
      <c r="E37" s="13" t="inlineStr">
        <is>
          <t>Explain what we send each broker, what comes back, the format and schedule, and how a failure is noticed.</t>
        </is>
      </c>
      <c r="F37" s="13" t="inlineStr">
        <is>
          <t>Manager</t>
        </is>
      </c>
      <c r="G37" s="13" t="inlineStr">
        <is>
          <t>[COMPANY: broker interface specifications]</t>
        </is>
      </c>
      <c r="H37" s="13" t="n">
        <v>3</v>
      </c>
      <c r="I37" s="15">
        <f>ProgramStart+(H37-1)*7</f>
        <v/>
      </c>
      <c r="J37" s="14" t="inlineStr">
        <is>
          <t>Not started</t>
        </is>
      </c>
      <c r="K37" s="16" t="n"/>
      <c r="L37" s="14" t="n"/>
      <c r="M37" s="14" t="n"/>
      <c r="N37" s="13" t="inlineStr">
        <is>
          <t>If a broker's returned entry file stops arriving, who notices, how quickly, and what breaks downstream?</t>
        </is>
      </c>
      <c r="O37" s="14" t="n"/>
    </row>
    <row r="38">
      <c r="A38" s="13" t="inlineStr">
        <is>
          <t>K-M2-06</t>
        </is>
      </c>
      <c r="B38" s="13" t="inlineStr">
        <is>
          <t>M2</t>
        </is>
      </c>
      <c r="C38" s="13" t="inlineStr">
        <is>
          <t>Core</t>
        </is>
      </c>
      <c r="D38" s="13" t="inlineStr">
        <is>
          <t>Trade data quality break points and master data governance</t>
        </is>
      </c>
      <c r="E38" s="13" t="inlineStr">
        <is>
          <t>Name where trade data goes wrong (HTS by country, origin, values, units of measure) and who is allowed to change master data.</t>
        </is>
      </c>
      <c r="F38" s="13" t="inlineStr">
        <is>
          <t>Self-study</t>
        </is>
      </c>
      <c r="G38" s="13" t="inlineStr">
        <is>
          <t>docs/primers/trade-systems-gtm-e2open-primer.md</t>
        </is>
      </c>
      <c r="H38" s="13" t="n">
        <v>4</v>
      </c>
      <c r="I38" s="15">
        <f>ProgramStart+(H38-1)*7</f>
        <v/>
      </c>
      <c r="J38" s="14" t="inlineStr">
        <is>
          <t>Not started</t>
        </is>
      </c>
      <c r="K38" s="16" t="n"/>
      <c r="L38" s="14" t="n"/>
      <c r="M38" s="14" t="n"/>
      <c r="N38" s="13" t="inlineStr">
        <is>
          <t>What are three places where trade data quality breaks today, and which control should catch each?</t>
        </is>
      </c>
      <c r="O38" s="14" t="n"/>
    </row>
    <row r="39">
      <c r="A39" s="13" t="inlineStr">
        <is>
          <t>K-M2-07</t>
        </is>
      </c>
      <c r="B39" s="13" t="inlineStr">
        <is>
          <t>M2</t>
        </is>
      </c>
      <c r="C39" s="13" t="inlineStr">
        <is>
          <t>Core</t>
        </is>
      </c>
      <c r="D39" s="13" t="inlineStr">
        <is>
          <t>e2open GTM concepts and the AS400-to-e2open function map</t>
        </is>
      </c>
      <c r="E39" s="13" t="inlineStr">
        <is>
          <t>Map each AS400 trade function to the e2open concept that will replace it, at concept level.</t>
        </is>
      </c>
      <c r="F39" s="13" t="inlineStr">
        <is>
          <t>Self-study</t>
        </is>
      </c>
      <c r="G39" s="13" t="inlineStr">
        <is>
          <t>docs/primers/trade-systems-gtm-e2open-primer.md</t>
        </is>
      </c>
      <c r="H39" s="13" t="n">
        <v>4</v>
      </c>
      <c r="I39" s="15">
        <f>ProgramStart+(H39-1)*7</f>
        <v/>
      </c>
      <c r="J39" s="14" t="inlineStr">
        <is>
          <t>Not started</t>
        </is>
      </c>
      <c r="K39" s="16" t="n"/>
      <c r="L39" s="14" t="n"/>
      <c r="M39" s="14" t="n"/>
      <c r="N39" s="13" t="inlineStr">
        <is>
          <t>Which AS400 functions will e2open replace, which stay elsewhere, and which are still unknown [COMPANY: confirm e2open scope]?</t>
        </is>
      </c>
      <c r="O39" s="14" t="n"/>
    </row>
    <row r="40">
      <c r="A40" s="13" t="inlineStr">
        <is>
          <t>K-M3-01</t>
        </is>
      </c>
      <c r="B40" s="13" t="inlineStr">
        <is>
          <t>M3</t>
        </is>
      </c>
      <c r="C40" s="13" t="inlineStr">
        <is>
          <t>Core</t>
        </is>
      </c>
      <c r="D40" s="13" t="inlineStr">
        <is>
          <t>Data environment tour: SQL Server, data warehouse, Excel extracts, access</t>
        </is>
      </c>
      <c r="E40" s="13" t="inlineStr">
        <is>
          <t>Connect to SQL Server, find the main trade and cost tables, and run a saved query.</t>
        </is>
      </c>
      <c r="F40" s="13" t="inlineStr">
        <is>
          <t>Senior</t>
        </is>
      </c>
      <c r="G40" s="13" t="inlineStr">
        <is>
          <t>[COMPANY: data warehouse documentation]</t>
        </is>
      </c>
      <c r="H40" s="13" t="n">
        <v>1</v>
      </c>
      <c r="I40" s="15">
        <f>ProgramStart+(H40-1)*7</f>
        <v/>
      </c>
      <c r="J40" s="14" t="inlineStr">
        <is>
          <t>Not started</t>
        </is>
      </c>
      <c r="K40" s="16" t="n"/>
      <c r="L40" s="14" t="n"/>
      <c r="M40" s="14" t="n"/>
      <c r="N40" s="13" t="inlineStr">
        <is>
          <t>Which database and schema hold entry-line data, and how often are they refreshed?</t>
        </is>
      </c>
      <c r="O40" s="14" t="n"/>
    </row>
    <row r="41">
      <c r="A41" s="13" t="inlineStr">
        <is>
          <t>K-M3-02</t>
        </is>
      </c>
      <c r="B41" s="13" t="inlineStr">
        <is>
          <t>M3</t>
        </is>
      </c>
      <c r="C41" s="13" t="inlineStr">
        <is>
          <t>Core</t>
        </is>
      </c>
      <c r="D41" s="13" t="inlineStr">
        <is>
          <t>SQL fundamentals: SELECT, WHERE, JOIN, GROUP BY</t>
        </is>
      </c>
      <c r="E41" s="13" t="inlineStr">
        <is>
          <t>Write basic queries against the practice data and check results against the expected answers.</t>
        </is>
      </c>
      <c r="F41" s="13" t="inlineStr">
        <is>
          <t>Self-study</t>
        </is>
      </c>
      <c r="G41" s="13" t="inlineStr">
        <is>
          <t>docs/analytics/practice-exercises.md</t>
        </is>
      </c>
      <c r="H41" s="13" t="n">
        <v>1</v>
      </c>
      <c r="I41" s="15">
        <f>ProgramStart+(H41-1)*7</f>
        <v/>
      </c>
      <c r="J41" s="14" t="inlineStr">
        <is>
          <t>Not started</t>
        </is>
      </c>
      <c r="K41" s="16" t="n"/>
      <c r="L41" s="14" t="n"/>
      <c r="M41" s="14" t="n"/>
      <c r="N41" s="13" t="inlineStr">
        <is>
          <t>What is the difference between WHERE and HAVING, and when do you need each?</t>
        </is>
      </c>
      <c r="O41" s="14" t="n"/>
    </row>
    <row r="42">
      <c r="A42" s="13" t="inlineStr">
        <is>
          <t>K-M3-03</t>
        </is>
      </c>
      <c r="B42" s="13" t="inlineStr">
        <is>
          <t>M3</t>
        </is>
      </c>
      <c r="C42" s="13" t="inlineStr">
        <is>
          <t>Core</t>
        </is>
      </c>
      <c r="D42" s="13" t="inlineStr">
        <is>
          <t>Joins without fan-out and row-count control</t>
        </is>
      </c>
      <c r="E42" s="13" t="inlineStr">
        <is>
          <t>Join tables of different grain without duplicating rows, and prove it with row counts before and after each join.</t>
        </is>
      </c>
      <c r="F42" s="13" t="inlineStr">
        <is>
          <t>Senior</t>
        </is>
      </c>
      <c r="G42" s="13" t="inlineStr">
        <is>
          <t>docs/analytics/practice-exercises.md</t>
        </is>
      </c>
      <c r="H42" s="13" t="n">
        <v>2</v>
      </c>
      <c r="I42" s="15">
        <f>ProgramStart+(H42-1)*7</f>
        <v/>
      </c>
      <c r="J42" s="14" t="inlineStr">
        <is>
          <t>Not started</t>
        </is>
      </c>
      <c r="K42" s="16" t="n"/>
      <c r="L42" s="14" t="n"/>
      <c r="M42" s="14" t="n"/>
      <c r="N42" s="13" t="inlineStr">
        <is>
          <t>You join entry lines to an item table and total duty doubles; what are the two most likely causes?</t>
        </is>
      </c>
      <c r="O42" s="14" t="n"/>
    </row>
    <row r="43">
      <c r="A43" s="13" t="inlineStr">
        <is>
          <t>K-M3-04</t>
        </is>
      </c>
      <c r="B43" s="13" t="inlineStr">
        <is>
          <t>M3</t>
        </is>
      </c>
      <c r="C43" s="13" t="inlineStr">
        <is>
          <t>Core</t>
        </is>
      </c>
      <c r="D43" s="13" t="inlineStr">
        <is>
          <t>Excel and Power Query: import, clean, merge, pivot</t>
        </is>
      </c>
      <c r="E43" s="13" t="inlineStr">
        <is>
          <t>Build a refreshable query from an extract instead of copying and pasting data.</t>
        </is>
      </c>
      <c r="F43" s="13" t="inlineStr">
        <is>
          <t>Self-study</t>
        </is>
      </c>
      <c r="G43" s="13" t="inlineStr">
        <is>
          <t>https://learn.microsoft.com/en-us/power-query/</t>
        </is>
      </c>
      <c r="H43" s="13" t="n">
        <v>2</v>
      </c>
      <c r="I43" s="15">
        <f>ProgramStart+(H43-1)*7</f>
        <v/>
      </c>
      <c r="J43" s="14" t="inlineStr">
        <is>
          <t>Not started</t>
        </is>
      </c>
      <c r="K43" s="16" t="n"/>
      <c r="L43" s="14" t="n"/>
      <c r="M43" s="14" t="n"/>
      <c r="N43" s="13" t="inlineStr">
        <is>
          <t>Why is a refreshable Power Query safer than a pasted extract for a monthly analysis?</t>
        </is>
      </c>
      <c r="O43" s="14" t="n"/>
    </row>
    <row r="44">
      <c r="A44" s="13" t="inlineStr">
        <is>
          <t>K-M3-05</t>
        </is>
      </c>
      <c r="B44" s="13" t="inlineStr">
        <is>
          <t>M3</t>
        </is>
      </c>
      <c r="C44" s="13" t="inlineStr">
        <is>
          <t>Core</t>
        </is>
      </c>
      <c r="D44" s="13" t="inlineStr">
        <is>
          <t>CTEs, window functions and effective-dated lookups</t>
        </is>
      </c>
      <c r="E44" s="13" t="inlineStr">
        <is>
          <t>Pick the rate or cost in effect on a transaction date from an effective-dated table.</t>
        </is>
      </c>
      <c r="F44" s="13" t="inlineStr">
        <is>
          <t>Self-study</t>
        </is>
      </c>
      <c r="G44" s="13" t="inlineStr">
        <is>
          <t>docs/analytics/practice-exercises.md</t>
        </is>
      </c>
      <c r="H44" s="13" t="n">
        <v>3</v>
      </c>
      <c r="I44" s="15">
        <f>ProgramStart+(H44-1)*7</f>
        <v/>
      </c>
      <c r="J44" s="14" t="inlineStr">
        <is>
          <t>Not started</t>
        </is>
      </c>
      <c r="K44" s="16" t="n"/>
      <c r="L44" s="14" t="n"/>
      <c r="M44" s="14" t="n"/>
      <c r="N44" s="13" t="inlineStr">
        <is>
          <t>How do you select the duty rate in effect on an entry date from a table with valid-from and valid-to dates?</t>
        </is>
      </c>
      <c r="O44" s="14" t="n"/>
    </row>
    <row r="45">
      <c r="A45" s="13" t="inlineStr">
        <is>
          <t>K-M3-06</t>
        </is>
      </c>
      <c r="B45" s="13" t="inlineStr">
        <is>
          <t>M3</t>
        </is>
      </c>
      <c r="C45" s="13" t="inlineStr">
        <is>
          <t>Core</t>
        </is>
      </c>
      <c r="D45" s="13" t="inlineStr">
        <is>
          <t>Data warehouse design: facts, dimensions, grain, keys, refresh</t>
        </is>
      </c>
      <c r="E45" s="13" t="inlineStr">
        <is>
          <t>Describe the grain and keys of the main trade and cost tables and how they relate.</t>
        </is>
      </c>
      <c r="F45" s="13" t="inlineStr">
        <is>
          <t>Self-study</t>
        </is>
      </c>
      <c r="G45" s="13" t="inlineStr">
        <is>
          <t>[COMPANY: data warehouse data dictionary]</t>
        </is>
      </c>
      <c r="H45" s="13" t="n">
        <v>3</v>
      </c>
      <c r="I45" s="15">
        <f>ProgramStart+(H45-1)*7</f>
        <v/>
      </c>
      <c r="J45" s="14" t="inlineStr">
        <is>
          <t>Not started</t>
        </is>
      </c>
      <c r="K45" s="16" t="n"/>
      <c r="L45" s="14" t="n"/>
      <c r="M45" s="14" t="n"/>
      <c r="N45" s="13" t="inlineStr">
        <is>
          <t>What is the grain of the entry-line table, and which table tells you an item's country of origin?</t>
        </is>
      </c>
      <c r="O45" s="14" t="n"/>
    </row>
    <row r="46">
      <c r="A46" s="13" t="inlineStr">
        <is>
          <t>K-M3-07</t>
        </is>
      </c>
      <c r="B46" s="13" t="inlineStr">
        <is>
          <t>M3</t>
        </is>
      </c>
      <c r="C46" s="13" t="inlineStr">
        <is>
          <t>Core</t>
        </is>
      </c>
      <c r="D46" s="13" t="inlineStr">
        <is>
          <t>Power BI basics: semantic models, visuals, filters, tracing a number</t>
        </is>
      </c>
      <c r="E46" s="13" t="inlineStr">
        <is>
          <t>Navigate an existing report and trace a visual to its measure and source table.</t>
        </is>
      </c>
      <c r="F46" s="13" t="inlineStr">
        <is>
          <t>Self-study</t>
        </is>
      </c>
      <c r="G46" s="13" t="inlineStr">
        <is>
          <t>https://learn.microsoft.com/en-us/power-bi/</t>
        </is>
      </c>
      <c r="H46" s="13" t="n">
        <v>4</v>
      </c>
      <c r="I46" s="15">
        <f>ProgramStart+(H46-1)*7</f>
        <v/>
      </c>
      <c r="J46" s="14" t="inlineStr">
        <is>
          <t>Not started</t>
        </is>
      </c>
      <c r="K46" s="16" t="n"/>
      <c r="L46" s="14" t="n"/>
      <c r="M46" s="14" t="n"/>
      <c r="N46" s="13" t="inlineStr">
        <is>
          <t>A Power BI total differs from your SQL total; which three places do you check first?</t>
        </is>
      </c>
      <c r="O46" s="14" t="n"/>
    </row>
    <row r="47">
      <c r="A47" s="13" t="inlineStr">
        <is>
          <t>K-M3-08</t>
        </is>
      </c>
      <c r="B47" s="13" t="inlineStr">
        <is>
          <t>M3</t>
        </is>
      </c>
      <c r="C47" s="13" t="inlineStr">
        <is>
          <t>Core</t>
        </is>
      </c>
      <c r="D47" s="13" t="inlineStr">
        <is>
          <t>Small real analysis: scoping, SQL review, validation, 1-page memo</t>
        </is>
      </c>
      <c r="E47" s="13" t="inlineStr">
        <is>
          <t>Scope a real question, reconcile to a control total, get the SQL reviewed, and deliver a findings memo with caveats. Hire B: due Fri 11/13.</t>
        </is>
      </c>
      <c r="F47" s="13" t="inlineStr">
        <is>
          <t>Senior</t>
        </is>
      </c>
      <c r="G47" s="13" t="inlineStr">
        <is>
          <t>docs/analytics/practice-exercises.md</t>
        </is>
      </c>
      <c r="H47" s="13" t="n">
        <v>4</v>
      </c>
      <c r="I47" s="15">
        <f>ProgramStart+(H47-1)*7</f>
        <v/>
      </c>
      <c r="J47" s="14" t="inlineStr">
        <is>
          <t>Not started</t>
        </is>
      </c>
      <c r="K47" s="16" t="n"/>
      <c r="L47" s="14" t="n"/>
      <c r="M47" s="14" t="n"/>
      <c r="N47" s="13" t="inlineStr">
        <is>
          <t>What question does your analysis answer, what data does it exclude, and which control total did you tie to?</t>
        </is>
      </c>
      <c r="O47" s="14" t="n"/>
    </row>
    <row r="48">
      <c r="A48" s="13" t="inlineStr">
        <is>
          <t>K-M3-09</t>
        </is>
      </c>
      <c r="B48" s="13" t="inlineStr">
        <is>
          <t>M3</t>
        </is>
      </c>
      <c r="C48" s="13" t="inlineStr">
        <is>
          <t>Core</t>
        </is>
      </c>
      <c r="D48" s="13" t="inlineStr">
        <is>
          <t>DAX measures and Power BI and warehouse depth</t>
        </is>
      </c>
      <c r="E48" s="13" t="inlineStr">
        <is>
          <t>Write measures with CALCULATE and explain filter context; Hire B builds toward a reusable SQL view or Power BI page. The session also introduces KPI design, the star schema and variance statistics for Exercises 9-11.</t>
        </is>
      </c>
      <c r="F48" s="13" t="inlineStr">
        <is>
          <t>Senior</t>
        </is>
      </c>
      <c r="G48" s="13" t="inlineStr">
        <is>
          <t>https://learn.microsoft.com/en-us/dax/calculate-function-dax</t>
        </is>
      </c>
      <c r="H48" s="13" t="n">
        <v>7</v>
      </c>
      <c r="I48" s="15">
        <f>ProgramStart+(H48-1)*7</f>
        <v/>
      </c>
      <c r="J48" s="14" t="inlineStr">
        <is>
          <t>Not started</t>
        </is>
      </c>
      <c r="K48" s="16" t="n"/>
      <c r="L48" s="14" t="n"/>
      <c r="M48" s="14" t="n"/>
      <c r="N48" s="13" t="inlineStr">
        <is>
          <t>What does CALCULATE do to filter context, and why is a measure better than a calculated column for a duty-rate percentage?</t>
        </is>
      </c>
      <c r="O48" s="14" t="n"/>
    </row>
    <row r="49">
      <c r="A49" s="13" t="inlineStr">
        <is>
          <t>K-M3-10</t>
        </is>
      </c>
      <c r="B49" s="13" t="inlineStr">
        <is>
          <t>M3</t>
        </is>
      </c>
      <c r="C49" s="13" t="inlineStr">
        <is>
          <t>Core</t>
        </is>
      </c>
      <c r="D49" s="13" t="inlineStr">
        <is>
          <t>Tariff-Impact Model drills 1-3 on a copy</t>
        </is>
      </c>
      <c r="E49" s="13" t="inlineStr">
        <is>
          <t>Work Drills 1-3 in the model guide on a copy of the template before the joint tariff drill, and match each expected result.</t>
        </is>
      </c>
      <c r="F49" s="13" t="inlineStr">
        <is>
          <t>Self-study</t>
        </is>
      </c>
      <c r="G49" s="13" t="inlineStr">
        <is>
          <t>docs/templates/domain/tariff-impact-model-guide.md</t>
        </is>
      </c>
      <c r="H49" s="13" t="n">
        <v>6</v>
      </c>
      <c r="I49" s="15">
        <f>ProgramStart+(H49-1)*7</f>
        <v/>
      </c>
      <c r="J49" s="14" t="inlineStr">
        <is>
          <t>Not started</t>
        </is>
      </c>
      <c r="K49" s="16" t="n"/>
      <c r="L49" s="14" t="n"/>
      <c r="M49" s="14" t="n"/>
      <c r="N49" s="13" t="inlineStr">
        <is>
          <t>In Drill 2, why must an item's current rate already include the rate being replaced, and which check tells you when it does not?</t>
        </is>
      </c>
      <c r="O49" s="14" t="n"/>
    </row>
    <row r="50">
      <c r="A50" s="13" t="inlineStr">
        <is>
          <t>K-M3-11</t>
        </is>
      </c>
      <c r="B50" s="13" t="inlineStr">
        <is>
          <t>M3</t>
        </is>
      </c>
      <c r="C50" s="13" t="inlineStr">
        <is>
          <t>Core</t>
        </is>
      </c>
      <c r="D50" s="13" t="inlineStr">
        <is>
          <t>Practice exercise redo from memory</t>
        </is>
      </c>
      <c r="E50" s="13" t="inlineStr">
        <is>
          <t>Redo one practice exercise without notes (Hire A: Exercise 3 or 4; Hire B: Exercise 5 or 6) and compare it with your first attempt.</t>
        </is>
      </c>
      <c r="F50" s="13" t="inlineStr">
        <is>
          <t>Self-study</t>
        </is>
      </c>
      <c r="G50" s="13" t="inlineStr">
        <is>
          <t>docs/analytics/practice-exercises.md</t>
        </is>
      </c>
      <c r="H50" s="13" t="n">
        <v>13</v>
      </c>
      <c r="I50" s="15">
        <f>ProgramStart+(H50-1)*7</f>
        <v/>
      </c>
      <c r="J50" s="14" t="inlineStr">
        <is>
          <t>Not started</t>
        </is>
      </c>
      <c r="K50" s="16" t="n"/>
      <c r="L50" s="14" t="n"/>
      <c r="M50" s="14" t="n"/>
      <c r="N50" s="13" t="inlineStr">
        <is>
          <t>What did you do differently the second time, and which row-count check caught a problem?</t>
        </is>
      </c>
      <c r="O50" s="14" t="n"/>
    </row>
    <row r="51">
      <c r="A51" s="13" t="inlineStr">
        <is>
          <t>K-M3-12</t>
        </is>
      </c>
      <c r="B51" s="13" t="inlineStr">
        <is>
          <t>M3</t>
        </is>
      </c>
      <c r="C51" s="13" t="inlineStr">
        <is>
          <t>Core</t>
        </is>
      </c>
      <c r="D51" s="13" t="inlineStr">
        <is>
          <t>KPI design: the definition checklist, SMART, leading and lagging (Exercise 9)</t>
        </is>
      </c>
      <c r="E51" s="13" t="inlineStr">
        <is>
          <t>Define 3 or 4 KPIs for your own process with every field of the definition checklist, then compute two of them on the practice data.</t>
        </is>
      </c>
      <c r="F51" s="13" t="inlineStr">
        <is>
          <t>Self-study</t>
        </is>
      </c>
      <c r="G51" s="13" t="inlineStr">
        <is>
          <t>docs/analytics/practice-exercises.md</t>
        </is>
      </c>
      <c r="H51" s="13" t="n">
        <v>7</v>
      </c>
      <c r="I51" s="15">
        <f>ProgramStart+(H51-1)*7</f>
        <v/>
      </c>
      <c r="J51" s="14" t="inlineStr">
        <is>
          <t>Not started</t>
        </is>
      </c>
      <c r="K51" s="16" t="n"/>
      <c r="L51" s="14" t="n"/>
      <c r="M51" s="14" t="n"/>
      <c r="N51" s="13" t="inlineStr">
        <is>
          <t>Why is a KPI formula a ratio of sums rather than an average of ratios, and what makes a KPI leading rather than lagging?</t>
        </is>
      </c>
      <c r="O51" s="14" t="n"/>
    </row>
    <row r="52">
      <c r="A52" s="13" t="inlineStr">
        <is>
          <t>K-M3-13</t>
        </is>
      </c>
      <c r="B52" s="13" t="inlineStr">
        <is>
          <t>M3</t>
        </is>
      </c>
      <c r="C52" s="13" t="inlineStr">
        <is>
          <t>Core</t>
        </is>
      </c>
      <c r="D52" s="13" t="inlineStr">
        <is>
          <t>Star-schema model in Power BI: grain, fact and dimension tables, measures (Exercise 10)</t>
        </is>
      </c>
      <c r="E52" s="13" t="inlineStr">
        <is>
          <t>Declare the grain, build one fact table and three dimension tables with a marked date table, and write five measures, including a prior-month comparison.</t>
        </is>
      </c>
      <c r="F52" s="13" t="inlineStr">
        <is>
          <t>Self-study</t>
        </is>
      </c>
      <c r="G52" s="13" t="inlineStr">
        <is>
          <t>docs/analytics/practice-exercises.md</t>
        </is>
      </c>
      <c r="H52" s="13" t="n">
        <v>8</v>
      </c>
      <c r="I52" s="15">
        <f>ProgramStart+(H52-1)*7</f>
        <v/>
      </c>
      <c r="J52" s="14" t="inlineStr">
        <is>
          <t>Not started</t>
        </is>
      </c>
      <c r="K52" s="16" t="n"/>
      <c r="L52" s="14" t="n"/>
      <c r="M52" s="14" t="n"/>
      <c r="N52" s="13" t="inlineStr">
        <is>
          <t>Why do you declare the grain before you build the model, and why is a prior-month comparison a measure and not a calculated column?</t>
        </is>
      </c>
      <c r="O52" s="14" t="n"/>
    </row>
    <row r="53">
      <c r="A53" s="13" t="inlineStr">
        <is>
          <t>K-M3-14</t>
        </is>
      </c>
      <c r="B53" s="13" t="inlineStr">
        <is>
          <t>M3</t>
        </is>
      </c>
      <c r="C53" s="13" t="inlineStr">
        <is>
          <t>Core</t>
        </is>
      </c>
      <c r="D53" s="13" t="inlineStr">
        <is>
          <t>Variance statistics: rate, mix and volume effects; IQR and z-score outliers (Exercise 11)</t>
        </is>
      </c>
      <c r="E53" s="13" t="inlineStr">
        <is>
          <t>Split a change in duty into rate, mix and volume effects that tie to the total, and flag unusual receipt lines with the 1.5 x IQR rule and a z-score without deleting any of them.</t>
        </is>
      </c>
      <c r="F53" s="13" t="inlineStr">
        <is>
          <t>Self-study</t>
        </is>
      </c>
      <c r="G53" s="13" t="inlineStr">
        <is>
          <t>docs/analytics/practice-exercises.md</t>
        </is>
      </c>
      <c r="H53" s="13" t="n">
        <v>9</v>
      </c>
      <c r="I53" s="15">
        <f>ProgramStart+(H53-1)*7</f>
        <v/>
      </c>
      <c r="J53" s="14" t="inlineStr">
        <is>
          <t>Not started</t>
        </is>
      </c>
      <c r="K53" s="16" t="n"/>
      <c r="L53" s="14" t="n"/>
      <c r="M53" s="14" t="n"/>
      <c r="N53" s="13" t="inlineStr">
        <is>
          <t>Why did the z-score flag fewer receipts than the IQR rule on this cost data, and why is deleting a flagged receipt wrong?</t>
        </is>
      </c>
      <c r="O53" s="14" t="n"/>
    </row>
    <row r="54">
      <c r="A54" s="13" t="inlineStr">
        <is>
          <t>K-M4-01</t>
        </is>
      </c>
      <c r="B54" s="13" t="inlineStr">
        <is>
          <t>M4</t>
        </is>
      </c>
      <c r="C54" s="13" t="inlineStr">
        <is>
          <t>Core</t>
        </is>
      </c>
      <c r="D54" s="13" t="inlineStr">
        <is>
          <t>Intake and elicitation: framing the problem and its impact</t>
        </is>
      </c>
      <c r="E54" s="13" t="inlineStr">
        <is>
          <t>Run an intake conversation and complete the intake template before any work starts.</t>
        </is>
      </c>
      <c r="F54" s="13" t="inlineStr">
        <is>
          <t>Manager</t>
        </is>
      </c>
      <c r="G54" s="13" t="inlineStr">
        <is>
          <t>docs/templates/bsa/01-intake-request.md</t>
        </is>
      </c>
      <c r="H54" s="13" t="n">
        <v>3</v>
      </c>
      <c r="I54" s="15">
        <f>ProgramStart+(H54-1)*7</f>
        <v/>
      </c>
      <c r="J54" s="14" t="inlineStr">
        <is>
          <t>Not started</t>
        </is>
      </c>
      <c r="K54" s="16" t="n"/>
      <c r="L54" s="14" t="n"/>
      <c r="M54" s="14" t="n"/>
      <c r="N54" s="13" t="inlineStr">
        <is>
          <t>What must be known about a request before it becomes a Jira item?</t>
        </is>
      </c>
      <c r="O54" s="14" t="n"/>
    </row>
    <row r="55">
      <c r="A55" s="13" t="inlineStr">
        <is>
          <t>K-M4-02</t>
        </is>
      </c>
      <c r="B55" s="13" t="inlineStr">
        <is>
          <t>M4</t>
        </is>
      </c>
      <c r="C55" s="13" t="inlineStr">
        <is>
          <t>Core</t>
        </is>
      </c>
      <c r="D55" s="13" t="inlineStr">
        <is>
          <t>Requirements, user stories, epics, acceptance criteria and MoSCoW</t>
        </is>
      </c>
      <c r="E55" s="13" t="inlineStr">
        <is>
          <t>Write testable requirements and stories with priorities and acceptance criteria that meet the team's definition of done.</t>
        </is>
      </c>
      <c r="F55" s="13" t="inlineStr">
        <is>
          <t>Manager</t>
        </is>
      </c>
      <c r="G55" s="13" t="inlineStr">
        <is>
          <t>docs/templates/bsa/02-requirements.md</t>
        </is>
      </c>
      <c r="H55" s="13" t="n">
        <v>3</v>
      </c>
      <c r="I55" s="15">
        <f>ProgramStart+(H55-1)*7</f>
        <v/>
      </c>
      <c r="J55" s="14" t="inlineStr">
        <is>
          <t>Not started</t>
        </is>
      </c>
      <c r="K55" s="16" t="n"/>
      <c r="L55" s="14" t="n"/>
      <c r="M55" s="14" t="n"/>
      <c r="N55" s="13" t="inlineStr">
        <is>
          <t>How would you rewrite 'the report should be fast' as a testable requirement with acceptance criteria?</t>
        </is>
      </c>
      <c r="O55" s="14" t="n"/>
    </row>
    <row r="56">
      <c r="A56" s="13" t="inlineStr">
        <is>
          <t>K-M4-03</t>
        </is>
      </c>
      <c r="B56" s="13" t="inlineStr">
        <is>
          <t>M4</t>
        </is>
      </c>
      <c r="C56" s="13" t="inlineStr">
        <is>
          <t>Core</t>
        </is>
      </c>
      <c r="D56" s="13" t="inlineStr">
        <is>
          <t>Process mapping: as-is and to-be, swimlanes, controls, pain points</t>
        </is>
      </c>
      <c r="E56" s="13" t="inlineStr">
        <is>
          <t>Map a shadowed process as-is, including workarounds, controls and hand-offs.</t>
        </is>
      </c>
      <c r="F56" s="13" t="inlineStr">
        <is>
          <t>Manager</t>
        </is>
      </c>
      <c r="G56" s="13" t="inlineStr">
        <is>
          <t>docs/templates/bsa/03-process-map-as-is-to-be.md</t>
        </is>
      </c>
      <c r="H56" s="13" t="n">
        <v>4</v>
      </c>
      <c r="I56" s="15">
        <f>ProgramStart+(H56-1)*7</f>
        <v/>
      </c>
      <c r="J56" s="14" t="inlineStr">
        <is>
          <t>Not started</t>
        </is>
      </c>
      <c r="K56" s="16" t="n"/>
      <c r="L56" s="14" t="n"/>
      <c r="M56" s="14" t="n"/>
      <c r="N56" s="13" t="inlineStr">
        <is>
          <t>Why do you map the as-is process, workarounds included, before designing the to-be?</t>
        </is>
      </c>
      <c r="O56" s="14" t="n"/>
    </row>
    <row r="57">
      <c r="A57" s="13" t="inlineStr">
        <is>
          <t>K-M4-04</t>
        </is>
      </c>
      <c r="B57" s="13" t="inlineStr">
        <is>
          <t>M4</t>
        </is>
      </c>
      <c r="C57" s="13" t="inlineStr">
        <is>
          <t>Core</t>
        </is>
      </c>
      <c r="D57" s="13" t="inlineStr">
        <is>
          <t>Writing an SOP from a shadowed process</t>
        </is>
      </c>
      <c r="E57" s="13" t="inlineStr">
        <is>
          <t>Turn shadowing notes into an SOP draft that another person could follow alone.</t>
        </is>
      </c>
      <c r="F57" s="13" t="inlineStr">
        <is>
          <t>Self-study</t>
        </is>
      </c>
      <c r="G57" s="13" t="inlineStr">
        <is>
          <t>docs/templates/knowledge/process-sop.md</t>
        </is>
      </c>
      <c r="H57" s="13" t="n">
        <v>4</v>
      </c>
      <c r="I57" s="15">
        <f>ProgramStart+(H57-1)*7</f>
        <v/>
      </c>
      <c r="J57" s="14" t="inlineStr">
        <is>
          <t>Not started</t>
        </is>
      </c>
      <c r="K57" s="16" t="n"/>
      <c r="L57" s="14" t="n"/>
      <c r="M57" s="14" t="n"/>
      <c r="N57" s="13" t="inlineStr">
        <is>
          <t>What makes an SOP step testable by someone who has never done the process?</t>
        </is>
      </c>
      <c r="O57" s="14" t="n"/>
    </row>
    <row r="58">
      <c r="A58" s="13" t="inlineStr">
        <is>
          <t>K-M4-05</t>
        </is>
      </c>
      <c r="B58" s="13" t="inlineStr">
        <is>
          <t>M4</t>
        </is>
      </c>
      <c r="C58" s="13" t="inlineStr">
        <is>
          <t>Core</t>
        </is>
      </c>
      <c r="D58" s="13" t="inlineStr">
        <is>
          <t>Data mapping specification</t>
        </is>
      </c>
      <c r="E58" s="13" t="inlineStr">
        <is>
          <t>Map source fields to a target with transformation rules, defaults and data-quality notes.</t>
        </is>
      </c>
      <c r="F58" s="13" t="inlineStr">
        <is>
          <t>Manager</t>
        </is>
      </c>
      <c r="G58" s="13" t="inlineStr">
        <is>
          <t>docs/templates/bsa/04-data-mapping-spec.md</t>
        </is>
      </c>
      <c r="H58" s="13" t="n">
        <v>7</v>
      </c>
      <c r="I58" s="15">
        <f>ProgramStart+(H58-1)*7</f>
        <v/>
      </c>
      <c r="J58" s="14" t="inlineStr">
        <is>
          <t>Not started</t>
        </is>
      </c>
      <c r="K58" s="16" t="n"/>
      <c r="L58" s="14" t="n"/>
      <c r="M58" s="14" t="n"/>
      <c r="N58" s="13" t="inlineStr">
        <is>
          <t>What do you record for a source field that has no target, or no reliable value?</t>
        </is>
      </c>
      <c r="O58" s="14" t="n"/>
    </row>
    <row r="59">
      <c r="A59" s="13" t="inlineStr">
        <is>
          <t>K-M4-06</t>
        </is>
      </c>
      <c r="B59" s="13" t="inlineStr">
        <is>
          <t>M4</t>
        </is>
      </c>
      <c r="C59" s="13" t="inlineStr">
        <is>
          <t>Core</t>
        </is>
      </c>
      <c r="D59" s="13" t="inlineStr">
        <is>
          <t>UAT planning and execution</t>
        </is>
      </c>
      <c r="E59" s="13" t="inlineStr">
        <is>
          <t>Write test cases from requirements, run them, and log defects that a developer can reproduce.</t>
        </is>
      </c>
      <c r="F59" s="13" t="inlineStr">
        <is>
          <t>Manager</t>
        </is>
      </c>
      <c r="G59" s="13" t="inlineStr">
        <is>
          <t>docs/templates/bsa/05-uat-test-plan.md</t>
        </is>
      </c>
      <c r="H59" s="13" t="n">
        <v>7</v>
      </c>
      <c r="I59" s="15">
        <f>ProgramStart+(H59-1)*7</f>
        <v/>
      </c>
      <c r="J59" s="14" t="inlineStr">
        <is>
          <t>Not started</t>
        </is>
      </c>
      <c r="K59" s="16" t="n"/>
      <c r="L59" s="14" t="n"/>
      <c r="M59" s="14" t="n"/>
      <c r="N59" s="13" t="inlineStr">
        <is>
          <t>What is the difference between a failed test case and a defect, and what goes in a good defect report?</t>
        </is>
      </c>
      <c r="O59" s="14" t="n"/>
    </row>
    <row r="60">
      <c r="A60" s="13" t="inlineStr">
        <is>
          <t>K-M4-07</t>
        </is>
      </c>
      <c r="B60" s="13" t="inlineStr">
        <is>
          <t>M4</t>
        </is>
      </c>
      <c r="C60" s="13" t="inlineStr">
        <is>
          <t>Core</t>
        </is>
      </c>
      <c r="D60" s="13" t="inlineStr">
        <is>
          <t>Change control and change requests</t>
        </is>
      </c>
      <c r="E60" s="13" t="inlineStr">
        <is>
          <t>Take a change through a change request with test evidence, rollback plan and checker review.</t>
        </is>
      </c>
      <c r="F60" s="13" t="inlineStr">
        <is>
          <t>Manager</t>
        </is>
      </c>
      <c r="G60" s="13" t="inlineStr">
        <is>
          <t>docs/templates/bsa/06-change-request.md</t>
        </is>
      </c>
      <c r="H60" s="13" t="n">
        <v>8</v>
      </c>
      <c r="I60" s="15">
        <f>ProgramStart+(H60-1)*7</f>
        <v/>
      </c>
      <c r="J60" s="14" t="inlineStr">
        <is>
          <t>Not started</t>
        </is>
      </c>
      <c r="K60" s="16" t="n"/>
      <c r="L60" s="14" t="n"/>
      <c r="M60" s="14" t="n"/>
      <c r="N60" s="13" t="inlineStr">
        <is>
          <t>Why does a tool change need a rollback plan even when the change is small?</t>
        </is>
      </c>
      <c r="O60" s="14" t="n"/>
    </row>
    <row r="61">
      <c r="A61" s="13" t="inlineStr">
        <is>
          <t>K-M4-08</t>
        </is>
      </c>
      <c r="B61" s="13" t="inlineStr">
        <is>
          <t>M4</t>
        </is>
      </c>
      <c r="C61" s="13" t="inlineStr">
        <is>
          <t>Core</t>
        </is>
      </c>
      <c r="D61" s="13" t="inlineStr">
        <is>
          <t>Data mapping spec and change request templates in full</t>
        </is>
      </c>
      <c r="E61" s="13" t="inlineStr">
        <is>
          <t>After the W7 data-mapping session, read Parts 1-5 of the data mapping spec and the change request template, and map 5 input fields of your owned tool.</t>
        </is>
      </c>
      <c r="F61" s="13" t="inlineStr">
        <is>
          <t>Self-study</t>
        </is>
      </c>
      <c r="G61" s="13" t="inlineStr">
        <is>
          <t>docs/templates/bsa/04-data-mapping-spec.md</t>
        </is>
      </c>
      <c r="H61" s="13" t="n">
        <v>8</v>
      </c>
      <c r="I61" s="15">
        <f>ProgramStart+(H61-1)*7</f>
        <v/>
      </c>
      <c r="J61" s="14" t="inlineStr">
        <is>
          <t>Not started</t>
        </is>
      </c>
      <c r="K61" s="16" t="n"/>
      <c r="L61" s="14" t="n"/>
      <c r="M61" s="14" t="n"/>
      <c r="N61" s="13" t="inlineStr">
        <is>
          <t>Which part of the spec records a value cross-reference, and why does it matter for e2open?</t>
        </is>
      </c>
      <c r="O61" s="14" t="n"/>
    </row>
    <row r="62">
      <c r="A62" s="13" t="inlineStr">
        <is>
          <t>K-M4-09</t>
        </is>
      </c>
      <c r="B62" s="13" t="inlineStr">
        <is>
          <t>M4</t>
        </is>
      </c>
      <c r="C62" s="13" t="inlineStr">
        <is>
          <t>Core</t>
        </is>
      </c>
      <c r="D62" s="13" t="inlineStr">
        <is>
          <t>BSA fundamentals: what a BSA does here, the BABOK knowledge areas and core concepts</t>
        </is>
      </c>
      <c r="E62" s="13" t="inlineStr">
        <is>
          <t>Describe your track's work as need, system change and data, and name the six BABOK knowledge areas and the six BACCM core concepts with a trade example of each.</t>
        </is>
      </c>
      <c r="F62" s="13" t="inlineStr">
        <is>
          <t>Self-study</t>
        </is>
      </c>
      <c r="G62" s="13" t="inlineStr">
        <is>
          <t>docs/primers/business-systems-analysis-primer.md</t>
        </is>
      </c>
      <c r="H62" s="13" t="n">
        <v>2</v>
      </c>
      <c r="I62" s="15">
        <f>ProgramStart+(H62-1)*7</f>
        <v/>
      </c>
      <c r="J62" s="14" t="inlineStr">
        <is>
          <t>Not started</t>
        </is>
      </c>
      <c r="K62" s="16" t="n"/>
      <c r="L62" s="14" t="n"/>
      <c r="M62" s="14" t="n"/>
      <c r="N62" s="13" t="inlineStr">
        <is>
          <t>Which are the six BABOK knowledge areas and the team template for each, and what is the difference between verifying and validating a requirement?</t>
        </is>
      </c>
      <c r="O62" s="14" t="n"/>
    </row>
    <row r="63">
      <c r="A63" s="13" t="inlineStr">
        <is>
          <t>K-M4-10</t>
        </is>
      </c>
      <c r="B63" s="13" t="inlineStr">
        <is>
          <t>M4</t>
        </is>
      </c>
      <c r="C63" s="13" t="inlineStr">
        <is>
          <t>Core</t>
        </is>
      </c>
      <c r="D63" s="13" t="inlineStr">
        <is>
          <t>Stakeholder analysis: influence and interest, RACI, the stakeholder list</t>
        </is>
      </c>
      <c r="E63" s="13" t="inlineStr">
        <is>
          <t>Build the stakeholder list for a work item, place each stakeholder on an influence and interest grid, and say how each one is kept informed.</t>
        </is>
      </c>
      <c r="F63" s="13" t="inlineStr">
        <is>
          <t>Self-study</t>
        </is>
      </c>
      <c r="G63" s="13" t="inlineStr">
        <is>
          <t>docs/primers/business-systems-analysis-primer.md</t>
        </is>
      </c>
      <c r="H63" s="13" t="n">
        <v>2</v>
      </c>
      <c r="I63" s="15">
        <f>ProgramStart+(H63-1)*7</f>
        <v/>
      </c>
      <c r="J63" s="14" t="inlineStr">
        <is>
          <t>Not started</t>
        </is>
      </c>
      <c r="K63" s="16" t="n"/>
      <c r="L63" s="14" t="n"/>
      <c r="M63" s="14" t="n"/>
      <c r="N63" s="13" t="inlineStr">
        <is>
          <t>In the tariff-action RACI, why is the Standard Cost BSA only informed on scope, and who on your W3 intake needs close engagement?</t>
        </is>
      </c>
      <c r="O63" s="14" t="n"/>
    </row>
    <row r="64">
      <c r="A64" s="13" t="inlineStr">
        <is>
          <t>K-M4-11</t>
        </is>
      </c>
      <c r="B64" s="13" t="inlineStr">
        <is>
          <t>M4</t>
        </is>
      </c>
      <c r="C64" s="13" t="inlineStr">
        <is>
          <t>Core</t>
        </is>
      </c>
      <c r="D64" s="13" t="inlineStr">
        <is>
          <t>Elicitation: techniques, neutral questions, confirming in writing, the elicitation plan</t>
        </is>
      </c>
      <c r="E64" s="13" t="inlineStr">
        <is>
          <t>Pick an elicitation technique for each open question, write neutral questions, and write the elicitation plan for your W3 intake with the Part 10 worked example as the model.</t>
        </is>
      </c>
      <c r="F64" s="13" t="inlineStr">
        <is>
          <t>Manager</t>
        </is>
      </c>
      <c r="G64" s="13" t="inlineStr">
        <is>
          <t>docs/primers/business-systems-analysis-primer.md</t>
        </is>
      </c>
      <c r="H64" s="13" t="n">
        <v>3</v>
      </c>
      <c r="I64" s="15">
        <f>ProgramStart+(H64-1)*7</f>
        <v/>
      </c>
      <c r="J64" s="14" t="inlineStr">
        <is>
          <t>Not started</t>
        </is>
      </c>
      <c r="K64" s="16" t="n"/>
      <c r="L64" s="14" t="n"/>
      <c r="M64" s="14" t="n"/>
      <c r="N64" s="13" t="inlineStr">
        <is>
          <t>A broker's answer would settle a scope question: what do you do before day 60, and when would you use observation instead of an interview?</t>
        </is>
      </c>
      <c r="O64" s="14" t="n"/>
    </row>
    <row r="65">
      <c r="A65" s="13" t="inlineStr">
        <is>
          <t>K-M4-12</t>
        </is>
      </c>
      <c r="B65" s="13" t="inlineStr">
        <is>
          <t>M4</t>
        </is>
      </c>
      <c r="C65" s="13" t="inlineStr">
        <is>
          <t>Core</t>
        </is>
      </c>
      <c r="D65" s="13" t="inlineStr">
        <is>
          <t>Requirement types and quality, INVEST and Given/When/Then</t>
        </is>
      </c>
      <c r="E65" s="13" t="inlineStr">
        <is>
          <t>Classify requirements into the four types, rewrite vague requirements as testable ones, check stories against INVEST, and write Given/When/Then acceptance criteria that cover effective-date edge cases.</t>
        </is>
      </c>
      <c r="F65" s="13" t="inlineStr">
        <is>
          <t>Self-study</t>
        </is>
      </c>
      <c r="G65" s="13" t="inlineStr">
        <is>
          <t>docs/primers/business-systems-analysis-primer.md</t>
        </is>
      </c>
      <c r="H65" s="13" t="n">
        <v>3</v>
      </c>
      <c r="I65" s="15">
        <f>ProgramStart+(H65-1)*7</f>
        <v/>
      </c>
      <c r="J65" s="14" t="inlineStr">
        <is>
          <t>Not started</t>
        </is>
      </c>
      <c r="K65" s="16" t="n"/>
      <c r="L65" s="14" t="n"/>
      <c r="M65" s="14" t="n"/>
      <c r="N65" s="13" t="inlineStr">
        <is>
          <t>What is one example of each of the four requirement types for a standard cost update, and what Given/When/Then criterion covers an effective-date edge case?</t>
        </is>
      </c>
      <c r="O65" s="14" t="n"/>
    </row>
    <row r="66">
      <c r="A66" s="13" t="inlineStr">
        <is>
          <t>K-M4-13</t>
        </is>
      </c>
      <c r="B66" s="13" t="inlineStr">
        <is>
          <t>M4</t>
        </is>
      </c>
      <c r="C66" s="13" t="inlineStr">
        <is>
          <t>Core</t>
        </is>
      </c>
      <c r="D66" s="13" t="inlineStr">
        <is>
          <t>Prioritization, traceability and requirements that change</t>
        </is>
      </c>
      <c r="E66" s="13" t="inlineStr">
        <is>
          <t>Prioritize with MoSCoW, trace each requirement from need to test and release, and follow the steps in order when a requirement changes after release.</t>
        </is>
      </c>
      <c r="F66" s="13" t="inlineStr">
        <is>
          <t>Self-study</t>
        </is>
      </c>
      <c r="G66" s="13" t="inlineStr">
        <is>
          <t>docs/primers/business-systems-analysis-primer.md</t>
        </is>
      </c>
      <c r="H66" s="13" t="n">
        <v>3</v>
      </c>
      <c r="I66" s="15">
        <f>ProgramStart+(H66-1)*7</f>
        <v/>
      </c>
      <c r="J66" s="14" t="inlineStr">
        <is>
          <t>Not started</t>
        </is>
      </c>
      <c r="K66" s="16" t="n"/>
      <c r="L66" s="14" t="n"/>
      <c r="M66" s="14" t="n"/>
      <c r="N66" s="13" t="inlineStr">
        <is>
          <t>What is the difference between MoSCoW, P1-P3 and PP1, and which steps follow, in order, when a notice is amended after your brief was released?</t>
        </is>
      </c>
      <c r="O66" s="14" t="n"/>
    </row>
    <row r="67">
      <c r="A67" s="13" t="inlineStr">
        <is>
          <t>K-M4-14</t>
        </is>
      </c>
      <c r="B67" s="13" t="inlineStr">
        <is>
          <t>M4</t>
        </is>
      </c>
      <c r="C67" s="13" t="inlineStr">
        <is>
          <t>Core</t>
        </is>
      </c>
      <c r="D67" s="13" t="inlineStr">
        <is>
          <t>Analysis and modeling: decision tables and root cause analysis</t>
        </is>
      </c>
      <c r="E67" s="13" t="inlineStr">
        <is>
          <t>Build a complete decision table for a scope rule and run 5 Whys on a data error from your track.</t>
        </is>
      </c>
      <c r="F67" s="13" t="inlineStr">
        <is>
          <t>Self-study</t>
        </is>
      </c>
      <c r="G67" s="13" t="inlineStr">
        <is>
          <t>docs/primers/business-systems-analysis-primer.md</t>
        </is>
      </c>
      <c r="H67" s="13" t="n">
        <v>3</v>
      </c>
      <c r="I67" s="15">
        <f>ProgramStart+(H67-1)*7</f>
        <v/>
      </c>
      <c r="J67" s="14" t="inlineStr">
        <is>
          <t>Not started</t>
        </is>
      </c>
      <c r="K67" s="16" t="n"/>
      <c r="L67" s="14" t="n"/>
      <c r="M67" s="14" t="n"/>
      <c r="N67" s="13" t="inlineStr">
        <is>
          <t>How do you check that a decision table for an action with an exclusion list is complete, and was the root cause of your last data error a person or a control?</t>
        </is>
      </c>
      <c r="O67" s="14" t="n"/>
    </row>
    <row r="68">
      <c r="A68" s="13" t="inlineStr">
        <is>
          <t>K-M4-15</t>
        </is>
      </c>
      <c r="B68" s="13" t="inlineStr">
        <is>
          <t>M4</t>
        </is>
      </c>
      <c r="C68" s="13" t="inlineStr">
        <is>
          <t>Core</t>
        </is>
      </c>
      <c r="D68" s="13" t="inlineStr">
        <is>
          <t>Where analytics fits in BSA work, and growing as a BSA</t>
        </is>
      </c>
      <c r="E68" s="13" t="inlineStr">
        <is>
          <t>Explain how profiling, counts, queries and tie-outs support each BSA step, and choose one habit from the primer's reading list and habits to start.</t>
        </is>
      </c>
      <c r="F68" s="13" t="inlineStr">
        <is>
          <t>Self-study</t>
        </is>
      </c>
      <c r="G68" s="13" t="inlineStr">
        <is>
          <t>docs/primers/business-systems-analysis-primer.md</t>
        </is>
      </c>
      <c r="H68" s="13" t="n">
        <v>4</v>
      </c>
      <c r="I68" s="15">
        <f>ProgramStart+(H68-1)*7</f>
        <v/>
      </c>
      <c r="J68" s="14" t="inlineStr">
        <is>
          <t>Not started</t>
        </is>
      </c>
      <c r="K68" s="16" t="n"/>
      <c r="L68" s="14" t="n"/>
      <c r="M68" s="14" t="n"/>
      <c r="N68" s="13" t="inlineStr">
        <is>
          <t>Which BSA steps do profiling, counts, a test query and a tie-out each support, and which habit from Part 9 will you start this month?</t>
        </is>
      </c>
      <c r="O68" s="14" t="n"/>
    </row>
    <row r="69">
      <c r="A69" s="13" t="inlineStr">
        <is>
          <t>K-M4-16</t>
        </is>
      </c>
      <c r="B69" s="13" t="inlineStr">
        <is>
          <t>M4</t>
        </is>
      </c>
      <c r="C69" s="13" t="inlineStr">
        <is>
          <t>Core</t>
        </is>
      </c>
      <c r="D69" s="13" t="inlineStr">
        <is>
          <t>Solution evaluation: measures of value and the closeout</t>
        </is>
      </c>
      <c r="E69" s="13" t="inlineStr">
        <is>
          <t>Set measures before building, check after release whether a change delivered value, and write a closeout with results, controls evidence and lessons learned.</t>
        </is>
      </c>
      <c r="F69" s="13" t="inlineStr">
        <is>
          <t>Self-study</t>
        </is>
      </c>
      <c r="G69" s="13" t="inlineStr">
        <is>
          <t>docs/primers/business-systems-analysis-primer.md</t>
        </is>
      </c>
      <c r="H69" s="13" t="n">
        <v>8</v>
      </c>
      <c r="I69" s="15">
        <f>ProgramStart+(H69-1)*7</f>
        <v/>
      </c>
      <c r="J69" s="14" t="inlineStr">
        <is>
          <t>Not started</t>
        </is>
      </c>
      <c r="K69" s="16" t="n"/>
      <c r="L69" s="14" t="n"/>
      <c r="M69" s="14" t="n"/>
      <c r="N69" s="13" t="inlineStr">
        <is>
          <t>Which three measures would show that a released change delivered value, and where do you set them before the build?</t>
        </is>
      </c>
      <c r="O69" s="14" t="n"/>
    </row>
    <row r="70">
      <c r="A70" s="13" t="inlineStr">
        <is>
          <t>K-M5R-01</t>
        </is>
      </c>
      <c r="B70" s="13" t="inlineStr">
        <is>
          <t>M5R</t>
        </is>
      </c>
      <c r="C70" s="13" t="inlineStr">
        <is>
          <t>Awareness</t>
        </is>
      </c>
      <c r="D70" s="13" t="inlineStr">
        <is>
          <t>Research method: intake, sources, scope, brief, model, handoff, communication</t>
        </is>
      </c>
      <c r="E70" s="13" t="inlineStr">
        <is>
          <t>Describe each step of the Research cycle, its output, and where maker-checker review happens.</t>
        </is>
      </c>
      <c r="F70" s="13" t="inlineStr">
        <is>
          <t>Manager</t>
        </is>
      </c>
      <c r="G70" s="13" t="inlineStr">
        <is>
          <t>docs/templates/domain/tariff-impact-brief.md</t>
        </is>
      </c>
      <c r="H70" s="13" t="n">
        <v>3</v>
      </c>
      <c r="I70" s="15">
        <f>ProgramStart+(H70-1)*7</f>
        <v/>
      </c>
      <c r="J70" s="14" t="inlineStr">
        <is>
          <t>Not started</t>
        </is>
      </c>
      <c r="K70" s="16" t="n"/>
      <c r="L70" s="14" t="n"/>
      <c r="M70" s="14" t="n"/>
      <c r="N70" s="13" t="inlineStr">
        <is>
          <t>At which step does Research hand off to Standard Cost, and what must the handoff contain?</t>
        </is>
      </c>
      <c r="O70" s="14" t="n"/>
    </row>
    <row r="71">
      <c r="A71" s="13" t="inlineStr">
        <is>
          <t>K-M5R-02</t>
        </is>
      </c>
      <c r="B71" s="13" t="inlineStr">
        <is>
          <t>M5R</t>
        </is>
      </c>
      <c r="C71" s="13" t="inlineStr">
        <is>
          <t>Awareness</t>
        </is>
      </c>
      <c r="D71" s="13" t="inlineStr">
        <is>
          <t>Reading a Federal Register notice, proclamation or executive order and its annex</t>
        </is>
      </c>
      <c r="E71" s="13" t="inlineStr">
        <is>
          <t>Extract scope, HTS list, rates, effective date and exclusions from the legal text.</t>
        </is>
      </c>
      <c r="F71" s="13" t="inlineStr">
        <is>
          <t>Senior</t>
        </is>
      </c>
      <c r="G71" s="13" t="inlineStr">
        <is>
          <t>https://www.federalregister.gov/</t>
        </is>
      </c>
      <c r="H71" s="13" t="n">
        <v>3</v>
      </c>
      <c r="I71" s="15">
        <f>ProgramStart+(H71-1)*7</f>
        <v/>
      </c>
      <c r="J71" s="14" t="inlineStr">
        <is>
          <t>Not started</t>
        </is>
      </c>
      <c r="K71" s="16" t="n"/>
      <c r="L71" s="14" t="n"/>
      <c r="M71" s="14" t="n"/>
      <c r="N71" s="13" t="inlineStr">
        <is>
          <t>Where in a tariff document do you find the HTS changes and the effective date, and why does the annex control over a summary?</t>
        </is>
      </c>
      <c r="O71" s="14" t="n"/>
    </row>
    <row r="72">
      <c r="A72" s="13" t="inlineStr">
        <is>
          <t>K-M5R-03</t>
        </is>
      </c>
      <c r="B72" s="13" t="inlineStr">
        <is>
          <t>M5R</t>
        </is>
      </c>
      <c r="C72" s="13" t="inlineStr">
        <is>
          <t>Awareness</t>
        </is>
      </c>
      <c r="D72" s="13" t="inlineStr">
        <is>
          <t>CBP CSMS messages and implementation guidance</t>
        </is>
      </c>
      <c r="E72" s="13" t="inlineStr">
        <is>
          <t>Find the CSMS message that implements an action and reconcile it with the legal text.</t>
        </is>
      </c>
      <c r="F72" s="13" t="inlineStr">
        <is>
          <t>Self-study</t>
        </is>
      </c>
      <c r="G72" s="13" t="inlineStr">
        <is>
          <t>https://www.cbp.gov/trade/automated/cargo-systems-messaging-service</t>
        </is>
      </c>
      <c r="H72" s="13" t="n">
        <v>3</v>
      </c>
      <c r="I72" s="15">
        <f>ProgramStart+(H72-1)*7</f>
        <v/>
      </c>
      <c r="J72" s="14" t="inlineStr">
        <is>
          <t>Not started</t>
        </is>
      </c>
      <c r="K72" s="16" t="n"/>
      <c r="L72" s="14" t="n"/>
      <c r="M72" s="14" t="n"/>
      <c r="N72" s="13" t="inlineStr">
        <is>
          <t>If a CSMS message and the Federal Register text seem to disagree, which controls and what do you do next?</t>
        </is>
      </c>
      <c r="O72" s="14" t="n"/>
    </row>
    <row r="73">
      <c r="A73" s="13" t="inlineStr">
        <is>
          <t>K-M5R-04</t>
        </is>
      </c>
      <c r="B73" s="13" t="inlineStr">
        <is>
          <t>M5R</t>
        </is>
      </c>
      <c r="C73" s="13" t="inlineStr">
        <is>
          <t>Awareness</t>
        </is>
      </c>
      <c r="D73" s="13" t="inlineStr">
        <is>
          <t>HTSUS Chapter 99 structure and additional-duty headings</t>
        </is>
      </c>
      <c r="E73" s="13" t="inlineStr">
        <is>
          <t>Find the Chapter 99 heading for an action, its rate, and the US notes that define its scope.</t>
        </is>
      </c>
      <c r="F73" s="13" t="inlineStr">
        <is>
          <t>Senior</t>
        </is>
      </c>
      <c r="G73" s="13" t="inlineStr">
        <is>
          <t>https://hts.usitc.gov/</t>
        </is>
      </c>
      <c r="H73" s="13" t="n">
        <v>3</v>
      </c>
      <c r="I73" s="15">
        <f>ProgramStart+(H73-1)*7</f>
        <v/>
      </c>
      <c r="J73" s="14" t="inlineStr">
        <is>
          <t>Not started</t>
        </is>
      </c>
      <c r="K73" s="16" t="n"/>
      <c r="L73" s="14" t="n"/>
      <c r="M73" s="14" t="n"/>
      <c r="N73" s="13" t="inlineStr">
        <is>
          <t>Where do you find the product scope of a Chapter 99 additional duty: in the heading text or in the subchapter's US notes?</t>
        </is>
      </c>
      <c r="O73" s="14" t="n"/>
    </row>
    <row r="74">
      <c r="A74" s="13" t="inlineStr">
        <is>
          <t>K-M5R-05</t>
        </is>
      </c>
      <c r="B74" s="13" t="inlineStr">
        <is>
          <t>M5R</t>
        </is>
      </c>
      <c r="C74" s="13" t="inlineStr">
        <is>
          <t>Awareness</t>
        </is>
      </c>
      <c r="D74" s="13" t="inlineStr">
        <is>
          <t>Tariff-Impact Brief outline for a recent action</t>
        </is>
      </c>
      <c r="E74" s="13" t="inlineStr">
        <is>
          <t>Produce a brief outline listing affected HTS codes, countries, rate, effective date and a primary source for each.</t>
        </is>
      </c>
      <c r="F74" s="13" t="inlineStr">
        <is>
          <t>Manager</t>
        </is>
      </c>
      <c r="G74" s="13" t="inlineStr">
        <is>
          <t>docs/templates/domain/tariff-impact-brief.md</t>
        </is>
      </c>
      <c r="H74" s="13" t="n">
        <v>4</v>
      </c>
      <c r="I74" s="15">
        <f>ProgramStart+(H74-1)*7</f>
        <v/>
      </c>
      <c r="J74" s="14" t="inlineStr">
        <is>
          <t>Not started</t>
        </is>
      </c>
      <c r="K74" s="16" t="n"/>
      <c r="L74" s="14" t="n"/>
      <c r="M74" s="14" t="n"/>
      <c r="N74" s="13" t="inlineStr">
        <is>
          <t>Which statements in your outline do not yet have a primary source?</t>
        </is>
      </c>
      <c r="O74" s="14" t="n"/>
    </row>
    <row r="75">
      <c r="A75" s="13" t="inlineStr">
        <is>
          <t>K-M5R-06</t>
        </is>
      </c>
      <c r="B75" s="13" t="inlineStr">
        <is>
          <t>M5R</t>
        </is>
      </c>
      <c r="C75" s="13" t="inlineStr">
        <is>
          <t>Awareness</t>
        </is>
      </c>
      <c r="D75" s="13" t="inlineStr">
        <is>
          <t>Stacking rules, exclusions and in-transit provisions</t>
        </is>
      </c>
      <c r="E75" s="13" t="inlineStr">
        <is>
          <t>Determine which measures apply together to an item and how exclusions and USMCA claims interact.</t>
        </is>
      </c>
      <c r="F75" s="13" t="inlineStr">
        <is>
          <t>Senior</t>
        </is>
      </c>
      <c r="G75" s="13" t="inlineStr">
        <is>
          <t>docs/primers/current-tariff-landscape.md</t>
        </is>
      </c>
      <c r="H75" s="13" t="n">
        <v>7</v>
      </c>
      <c r="I75" s="15">
        <f>ProgramStart+(H75-1)*7</f>
        <v/>
      </c>
      <c r="J75" s="14" t="inlineStr">
        <is>
          <t>Not started</t>
        </is>
      </c>
      <c r="K75" s="16" t="n"/>
      <c r="L75" s="14" t="n"/>
      <c r="M75" s="14" t="n"/>
      <c r="N75" s="13" t="inlineStr">
        <is>
          <t>For an item hit by two actions, where do you find whether the duties stack or one excludes the other?</t>
        </is>
      </c>
      <c r="O75" s="14" t="n"/>
    </row>
    <row r="76">
      <c r="A76" s="13" t="inlineStr">
        <is>
          <t>K-M5R-07</t>
        </is>
      </c>
      <c r="B76" s="13" t="inlineStr">
        <is>
          <t>M5R</t>
        </is>
      </c>
      <c r="C76" s="13" t="inlineStr">
        <is>
          <t>Awareness</t>
        </is>
      </c>
      <c r="D76" s="13" t="inlineStr">
        <is>
          <t>Canada tariff actions: surtax orders and CBSA customs notices</t>
        </is>
      </c>
      <c r="E76" s="13" t="inlineStr">
        <is>
          <t>Find and read a Canadian surtax order and its customs notice, including in-transit and remission provisions.</t>
        </is>
      </c>
      <c r="F76" s="13" t="inlineStr">
        <is>
          <t>Self-study</t>
        </is>
      </c>
      <c r="G76" s="13" t="inlineStr">
        <is>
          <t>https://www.cbsa-asfc.gc.ca/publications/cn-ad/menu-eng.html</t>
        </is>
      </c>
      <c r="H76" s="13" t="n">
        <v>5</v>
      </c>
      <c r="I76" s="15">
        <f>ProgramStart+(H76-1)*7</f>
        <v/>
      </c>
      <c r="J76" s="14" t="inlineStr">
        <is>
          <t>Not started</t>
        </is>
      </c>
      <c r="K76" s="16" t="n"/>
      <c r="L76" s="14" t="n"/>
      <c r="M76" s="14" t="n"/>
      <c r="N76" s="13" t="inlineStr">
        <is>
          <t>Where does the CBSA publish how a new surtax is applied, and what decides whether our goods are affected?</t>
        </is>
      </c>
      <c r="O76" s="14" t="n"/>
    </row>
    <row r="77">
      <c r="A77" s="13" t="inlineStr">
        <is>
          <t>K-M5R-08</t>
        </is>
      </c>
      <c r="B77" s="13" t="inlineStr">
        <is>
          <t>M5R</t>
        </is>
      </c>
      <c r="C77" s="13" t="inlineStr">
        <is>
          <t>Awareness</t>
        </is>
      </c>
      <c r="D77" s="13" t="inlineStr">
        <is>
          <t>Mexico tariff actions: DOF decrees modifying the TIGIE</t>
        </is>
      </c>
      <c r="E77" s="13" t="inlineStr">
        <is>
          <t>Find a DOF decree that changes TIGIE rates and list the affected fracciones and effective date.</t>
        </is>
      </c>
      <c r="F77" s="13" t="inlineStr">
        <is>
          <t>Self-study</t>
        </is>
      </c>
      <c r="G77" s="13" t="inlineStr">
        <is>
          <t>https://dof.gob.mx/</t>
        </is>
      </c>
      <c r="H77" s="13" t="n">
        <v>5</v>
      </c>
      <c r="I77" s="15">
        <f>ProgramStart+(H77-1)*7</f>
        <v/>
      </c>
      <c r="J77" s="14" t="inlineStr">
        <is>
          <t>Not started</t>
        </is>
      </c>
      <c r="K77" s="16" t="n"/>
      <c r="L77" s="14" t="n"/>
      <c r="M77" s="14" t="n"/>
      <c r="N77" s="13" t="inlineStr">
        <is>
          <t>Where is a Mexican tariff change legally published, and how do you confirm its effective date?</t>
        </is>
      </c>
      <c r="O77" s="14" t="n"/>
    </row>
    <row r="78">
      <c r="A78" s="13" t="inlineStr">
        <is>
          <t>K-M5R-09</t>
        </is>
      </c>
      <c r="B78" s="13" t="inlineStr">
        <is>
          <t>M5R</t>
        </is>
      </c>
      <c r="C78" s="13" t="inlineStr">
        <is>
          <t>Awareness</t>
        </is>
      </c>
      <c r="D78" s="13" t="inlineStr">
        <is>
          <t>Scripting HTS list comparisons (action annex vs item master)</t>
        </is>
      </c>
      <c r="E78" s="13" t="inlineStr">
        <is>
          <t>Automate the comparison of an action's HTS list with our item master; a reviewer checks the output before anyone uses it.</t>
        </is>
      </c>
      <c r="F78" s="13" t="inlineStr">
        <is>
          <t>Self-study</t>
        </is>
      </c>
      <c r="G78" s="13" t="inlineStr">
        <is>
          <t>[COMPANY: approved scripting environment and item master extract]</t>
        </is>
      </c>
      <c r="H78" s="13" t="n">
        <v>5</v>
      </c>
      <c r="I78" s="15">
        <f>ProgramStart+(H78-1)*7</f>
        <v/>
      </c>
      <c r="J78" s="14" t="inlineStr">
        <is>
          <t>Not started</t>
        </is>
      </c>
      <c r="K78" s="16" t="n"/>
      <c r="L78" s="14" t="n"/>
      <c r="M78" s="14" t="n"/>
      <c r="N78" s="13" t="inlineStr">
        <is>
          <t>How do you match an annex that lists 8-digit HTS numbers against an item master that holds 10-digit numbers?</t>
        </is>
      </c>
      <c r="O78" s="14" t="n"/>
    </row>
    <row r="79">
      <c r="A79" s="13" t="inlineStr">
        <is>
          <t>K-M5R-10</t>
        </is>
      </c>
      <c r="B79" s="13" t="inlineStr">
        <is>
          <t>M5R</t>
        </is>
      </c>
      <c r="C79" s="13" t="inlineStr">
        <is>
          <t>Awareness</t>
        </is>
      </c>
      <c r="D79" s="13" t="inlineStr">
        <is>
          <t>Tariff-Impact Model: Research (WHAT) inputs, handoff and business communication</t>
        </is>
      </c>
      <c r="E79" s="13" t="inlineStr">
        <is>
          <t>Fill in the WHAT inputs of the shared model, hand off to Standard Cost, and draft the business notice without dollar conclusions.</t>
        </is>
      </c>
      <c r="F79" s="13" t="inlineStr">
        <is>
          <t>Manager</t>
        </is>
      </c>
      <c r="G79" s="13" t="inlineStr">
        <is>
          <t>docs/templates/domain/tariff-impact-model-guide.md</t>
        </is>
      </c>
      <c r="H79" s="13" t="n">
        <v>7</v>
      </c>
      <c r="I79" s="15">
        <f>ProgramStart+(H79-1)*7</f>
        <v/>
      </c>
      <c r="J79" s="14" t="inlineStr">
        <is>
          <t>Not started</t>
        </is>
      </c>
      <c r="K79" s="16" t="n"/>
      <c r="L79" s="14" t="n"/>
      <c r="M79" s="14" t="n"/>
      <c r="N79" s="13" t="inlineStr">
        <is>
          <t>Which model inputs are yours, which are Standard Cost's, and what tells you the handoff is complete?</t>
        </is>
      </c>
      <c r="O79" s="14" t="n"/>
    </row>
    <row r="80">
      <c r="A80" s="13" t="inlineStr">
        <is>
          <t>K-M5R-11</t>
        </is>
      </c>
      <c r="B80" s="13" t="inlineStr">
        <is>
          <t>M5R</t>
        </is>
      </c>
      <c r="C80" s="13" t="inlineStr">
        <is>
          <t>Awareness</t>
        </is>
      </c>
      <c r="D80" s="13" t="inlineStr">
        <is>
          <t>Ad-hoc investigations: framing, evidence, finding, recommendation</t>
        </is>
      </c>
      <c r="E80" s="13" t="inlineStr">
        <is>
          <t>Run one investigation end to end and write it up for review.</t>
        </is>
      </c>
      <c r="F80" s="13" t="inlineStr">
        <is>
          <t>Manager</t>
        </is>
      </c>
      <c r="G80" s="13" t="inlineStr">
        <is>
          <t>[COMPANY: past investigation examples]</t>
        </is>
      </c>
      <c r="H80" s="13" t="n">
        <v>8</v>
      </c>
      <c r="I80" s="15">
        <f>ProgramStart+(H80-1)*7</f>
        <v/>
      </c>
      <c r="J80" s="14" t="inlineStr">
        <is>
          <t>Not started</t>
        </is>
      </c>
      <c r="K80" s="16" t="n"/>
      <c r="L80" s="14" t="n"/>
      <c r="M80" s="14" t="n"/>
      <c r="N80" s="13" t="inlineStr">
        <is>
          <t>What is the question, what evidence would change your answer, and who needs the finding?</t>
        </is>
      </c>
      <c r="O80" s="14" t="n"/>
    </row>
    <row r="81">
      <c r="A81" s="13" t="inlineStr">
        <is>
          <t>K-M5R-12</t>
        </is>
      </c>
      <c r="B81" s="13" t="inlineStr">
        <is>
          <t>M5R</t>
        </is>
      </c>
      <c r="C81" s="13" t="inlineStr">
        <is>
          <t>Awareness</t>
        </is>
      </c>
      <c r="D81" s="13" t="inlineStr">
        <is>
          <t>Research checklist and what to confirm with the broker or counsel</t>
        </is>
      </c>
      <c r="E81" s="13" t="inlineStr">
        <is>
          <t>While writing the A60-1 brief, work the research checklist (tariff landscape 2.5) and list what must be confirmed with the broker or trade counsel (2.6), sent through the Senior.</t>
        </is>
      </c>
      <c r="F81" s="13" t="inlineStr">
        <is>
          <t>Self-study</t>
        </is>
      </c>
      <c r="G81" s="13" t="inlineStr">
        <is>
          <t>docs/primers/current-tariff-landscape.md</t>
        </is>
      </c>
      <c r="H81" s="13" t="n">
        <v>7</v>
      </c>
      <c r="I81" s="15">
        <f>ProgramStart+(H81-1)*7</f>
        <v/>
      </c>
      <c r="J81" s="14" t="inlineStr">
        <is>
          <t>Not started</t>
        </is>
      </c>
      <c r="K81" s="16" t="n"/>
      <c r="L81" s="14" t="n"/>
      <c r="M81" s="14" t="n"/>
      <c r="N81" s="13" t="inlineStr">
        <is>
          <t>Which statements in your brief are interpretation rather than confirmed in source, and who confirms them?</t>
        </is>
      </c>
      <c r="O81" s="14" t="n"/>
    </row>
    <row r="82">
      <c r="A82" s="13" t="inlineStr">
        <is>
          <t>K-M5C-01</t>
        </is>
      </c>
      <c r="B82" s="13" t="inlineStr">
        <is>
          <t>M5C</t>
        </is>
      </c>
      <c r="C82" s="13" t="inlineStr">
        <is>
          <t>Primary</t>
        </is>
      </c>
      <c r="D82" s="13" t="inlineStr">
        <is>
          <t>Standard costing fundamentals and Oracle cost elements</t>
        </is>
      </c>
      <c r="E82" s="13" t="inlineStr">
        <is>
          <t>Explain what a standard cost is, why it is used, how variances arise, and how Oracle EBS structures item cost.</t>
        </is>
      </c>
      <c r="F82" s="13" t="inlineStr">
        <is>
          <t>Manager</t>
        </is>
      </c>
      <c r="G82" s="13" t="inlineStr">
        <is>
          <t>[COMPANY: std cost SOP or Finance costing policy]</t>
        </is>
      </c>
      <c r="H82" s="13" t="n">
        <v>3</v>
      </c>
      <c r="I82" s="15">
        <f>ProgramStart+(H82-1)*7</f>
        <v/>
      </c>
      <c r="J82" s="14" t="inlineStr">
        <is>
          <t>Not started</t>
        </is>
      </c>
      <c r="K82" s="16" t="n"/>
      <c r="L82" s="14" t="n"/>
      <c r="M82" s="14" t="n"/>
      <c r="N82" s="13" t="inlineStr">
        <is>
          <t>Why does a business value inventory at standard instead of actual, and where is the difference recorded?</t>
        </is>
      </c>
      <c r="O82" s="14" t="n"/>
    </row>
    <row r="83">
      <c r="A83" s="13" t="inlineStr">
        <is>
          <t>K-M5C-02</t>
        </is>
      </c>
      <c r="B83" s="13" t="inlineStr">
        <is>
          <t>M5C</t>
        </is>
      </c>
      <c r="C83" s="13" t="inlineStr">
        <is>
          <t>Primary</t>
        </is>
      </c>
      <c r="D83" s="13" t="inlineStr">
        <is>
          <t>Item cost and cost-element data in the warehouse or Oracle extract</t>
        </is>
      </c>
      <c r="E83" s="13" t="inlineStr">
        <is>
          <t>Query item standard cost by cost element for a list of items. Hire B: start in W1-W2 using time saved on the business overview.</t>
        </is>
      </c>
      <c r="F83" s="13" t="inlineStr">
        <is>
          <t>Self-study</t>
        </is>
      </c>
      <c r="G83" s="13" t="inlineStr">
        <is>
          <t>[COMPANY: warehouse cost tables or Oracle extract]</t>
        </is>
      </c>
      <c r="H83" s="13" t="n">
        <v>3</v>
      </c>
      <c r="I83" s="15">
        <f>ProgramStart+(H83-1)*7</f>
        <v/>
      </c>
      <c r="J83" s="14" t="inlineStr">
        <is>
          <t>Not started</t>
        </is>
      </c>
      <c r="K83" s="16" t="n"/>
      <c r="L83" s="14" t="n"/>
      <c r="M83" s="14" t="n"/>
      <c r="N83" s="13" t="inlineStr">
        <is>
          <t>Which cost element holds duty for our imported items, and how do you check one item's total against Oracle?</t>
        </is>
      </c>
      <c r="O83" s="14" t="n"/>
    </row>
    <row r="84">
      <c r="A84" s="13" t="inlineStr">
        <is>
          <t>K-M5C-03</t>
        </is>
      </c>
      <c r="B84" s="13" t="inlineStr">
        <is>
          <t>M5C</t>
        </is>
      </c>
      <c r="C84" s="13" t="inlineStr">
        <is>
          <t>Primary</t>
        </is>
      </c>
      <c r="D84" s="13" t="inlineStr">
        <is>
          <t>Landed-cost components and their data sources</t>
        </is>
      </c>
      <c r="E84" s="13" t="inlineStr">
        <is>
          <t>Name each component (price, freight, insurance, duty, MPF and HMF, brokerage, inland freight, [COMPANY: other components]) and where its data comes from.</t>
        </is>
      </c>
      <c r="F84" s="13" t="inlineStr">
        <is>
          <t>Manager</t>
        </is>
      </c>
      <c r="G84" s="13" t="inlineStr">
        <is>
          <t>docs/templates/domain/standard-cost-update-checklist.md</t>
        </is>
      </c>
      <c r="H84" s="13" t="n">
        <v>3</v>
      </c>
      <c r="I84" s="15">
        <f>ProgramStart+(H84-1)*7</f>
        <v/>
      </c>
      <c r="J84" s="14" t="inlineStr">
        <is>
          <t>Not started</t>
        </is>
      </c>
      <c r="K84" s="16" t="n"/>
      <c r="L84" s="14" t="n"/>
      <c r="M84" s="14" t="n"/>
      <c r="N84" s="13" t="inlineStr">
        <is>
          <t>Which landed-cost components come from broker entry data, and which from freight invoices or rate tables?</t>
        </is>
      </c>
      <c r="O84" s="14" t="n"/>
    </row>
    <row r="85">
      <c r="A85" s="13" t="inlineStr">
        <is>
          <t>K-M5C-04</t>
        </is>
      </c>
      <c r="B85" s="13" t="inlineStr">
        <is>
          <t>M5C</t>
        </is>
      </c>
      <c r="C85" s="13" t="inlineStr">
        <is>
          <t>Primary</t>
        </is>
      </c>
      <c r="D85" s="13" t="inlineStr">
        <is>
          <t>Cost-update calendar and Finance roles</t>
        </is>
      </c>
      <c r="E85" s="13" t="inlineStr">
        <is>
          <t>Know when cost updates happen, who does what in Finance, and which sign-offs are required.</t>
        </is>
      </c>
      <c r="F85" s="13" t="inlineStr">
        <is>
          <t>Shadow</t>
        </is>
      </c>
      <c r="G85" s="13" t="inlineStr">
        <is>
          <t>[COMPANY: cost update calendar and Finance cost accounting contact]</t>
        </is>
      </c>
      <c r="H85" s="13" t="n">
        <v>4</v>
      </c>
      <c r="I85" s="15">
        <f>ProgramStart+(H85-1)*7</f>
        <v/>
      </c>
      <c r="J85" s="14" t="inlineStr">
        <is>
          <t>Not started</t>
        </is>
      </c>
      <c r="K85" s="16" t="n"/>
      <c r="L85" s="14" t="n"/>
      <c r="M85" s="14" t="n"/>
      <c r="N85" s="13" t="inlineStr">
        <is>
          <t>When is the next cost update, and who in Finance signs off before anything loads to Oracle?</t>
        </is>
      </c>
      <c r="O85" s="14" t="n"/>
    </row>
    <row r="86">
      <c r="A86" s="13" t="inlineStr">
        <is>
          <t>K-M5C-05</t>
        </is>
      </c>
      <c r="B86" s="13" t="inlineStr">
        <is>
          <t>M5C</t>
        </is>
      </c>
      <c r="C86" s="13" t="inlineStr">
        <is>
          <t>Primary</t>
        </is>
      </c>
      <c r="D86" s="13" t="inlineStr">
        <is>
          <t>Rebuilding landed cost for sample items</t>
        </is>
      </c>
      <c r="E86" s="13" t="inlineStr">
        <is>
          <t>Rebuild landed cost for 5 items from source data and explain each difference from the current standard.</t>
        </is>
      </c>
      <c r="F86" s="13" t="inlineStr">
        <is>
          <t>Manager</t>
        </is>
      </c>
      <c r="G86" s="13" t="inlineStr">
        <is>
          <t>docs/templates/domain/standard-cost-update-checklist.md</t>
        </is>
      </c>
      <c r="H86" s="13" t="n">
        <v>4</v>
      </c>
      <c r="I86" s="15">
        <f>ProgramStart+(H86-1)*7</f>
        <v/>
      </c>
      <c r="J86" s="14" t="inlineStr">
        <is>
          <t>Not started</t>
        </is>
      </c>
      <c r="K86" s="16" t="n"/>
      <c r="L86" s="14" t="n"/>
      <c r="M86" s="14" t="n"/>
      <c r="N86" s="13" t="inlineStr">
        <is>
          <t>Your rebuilt landed cost is above standard for an item; what are the first three things you check?</t>
        </is>
      </c>
      <c r="O86" s="14" t="n"/>
    </row>
    <row r="87">
      <c r="A87" s="13" t="inlineStr">
        <is>
          <t>K-M5C-06</t>
        </is>
      </c>
      <c r="B87" s="13" t="inlineStr">
        <is>
          <t>M5C</t>
        </is>
      </c>
      <c r="C87" s="13" t="inlineStr">
        <is>
          <t>Primary</t>
        </is>
      </c>
      <c r="D87" s="13" t="inlineStr">
        <is>
          <t>Standard cost update cycle step by step</t>
        </is>
      </c>
      <c r="E87" s="13" t="inlineStr">
        <is>
          <t>Walk through the full cycle with the checklist, including controls, sign-offs and the post-update reconciliation.</t>
        </is>
      </c>
      <c r="F87" s="13" t="inlineStr">
        <is>
          <t>Self-study</t>
        </is>
      </c>
      <c r="G87" s="13" t="inlineStr">
        <is>
          <t>docs/templates/domain/standard-cost-update-checklist.md</t>
        </is>
      </c>
      <c r="H87" s="13" t="n">
        <v>5</v>
      </c>
      <c r="I87" s="15">
        <f>ProgramStart+(H87-1)*7</f>
        <v/>
      </c>
      <c r="J87" s="14" t="inlineStr">
        <is>
          <t>Not started</t>
        </is>
      </c>
      <c r="K87" s="16" t="n"/>
      <c r="L87" s="14" t="n"/>
      <c r="M87" s="14" t="n"/>
      <c r="N87" s="13" t="inlineStr">
        <is>
          <t>Which steps in the cycle are maker-checker control points, and what evidence does each one leave?</t>
        </is>
      </c>
      <c r="O87" s="14" t="n"/>
    </row>
    <row r="88">
      <c r="A88" s="13" t="inlineStr">
        <is>
          <t>K-M5C-07</t>
        </is>
      </c>
      <c r="B88" s="13" t="inlineStr">
        <is>
          <t>M5C</t>
        </is>
      </c>
      <c r="C88" s="13" t="inlineStr">
        <is>
          <t>Primary</t>
        </is>
      </c>
      <c r="D88" s="13" t="inlineStr">
        <is>
          <t>Inventory revaluation and GL impact of a standard cost change</t>
        </is>
      </c>
      <c r="E88" s="13" t="inlineStr">
        <is>
          <t>Explain how changing a standard revalues on-hand inventory and where the adjustment posts.</t>
        </is>
      </c>
      <c r="F88" s="13" t="inlineStr">
        <is>
          <t>Shadow</t>
        </is>
      </c>
      <c r="G88" s="13" t="inlineStr">
        <is>
          <t>[COMPANY: Finance cost accounting contact]</t>
        </is>
      </c>
      <c r="H88" s="13" t="n">
        <v>7</v>
      </c>
      <c r="I88" s="15">
        <f>ProgramStart+(H88-1)*7</f>
        <v/>
      </c>
      <c r="J88" s="14" t="inlineStr">
        <is>
          <t>Not started</t>
        </is>
      </c>
      <c r="K88" s="16" t="n"/>
      <c r="L88" s="14" t="n"/>
      <c r="M88" s="14" t="n"/>
      <c r="N88" s="13" t="inlineStr">
        <is>
          <t>If duty in an item's standard rises, what happens to on-hand inventory value at the update, and who needs to know?</t>
        </is>
      </c>
      <c r="O88" s="14" t="n"/>
    </row>
    <row r="89">
      <c r="A89" s="13" t="inlineStr">
        <is>
          <t>K-M5C-08</t>
        </is>
      </c>
      <c r="B89" s="13" t="inlineStr">
        <is>
          <t>M5C</t>
        </is>
      </c>
      <c r="C89" s="13" t="inlineStr">
        <is>
          <t>Primary</t>
        </is>
      </c>
      <c r="D89" s="13" t="inlineStr">
        <is>
          <t>Purchase price variance (PPV): definition, drivers, tie-out</t>
        </is>
      </c>
      <c r="E89" s="13" t="inlineStr">
        <is>
          <t>Analyze PPV for a closed period by driver and tie the total to Finance.</t>
        </is>
      </c>
      <c r="F89" s="13" t="inlineStr">
        <is>
          <t>Shadow</t>
        </is>
      </c>
      <c r="G89" s="13" t="inlineStr">
        <is>
          <t>[COMPANY: Finance PPV report or GL account]</t>
        </is>
      </c>
      <c r="H89" s="13" t="n">
        <v>7</v>
      </c>
      <c r="I89" s="15">
        <f>ProgramStart+(H89-1)*7</f>
        <v/>
      </c>
      <c r="J89" s="14" t="inlineStr">
        <is>
          <t>Not started</t>
        </is>
      </c>
      <c r="K89" s="16" t="n"/>
      <c r="L89" s="14" t="n"/>
      <c r="M89" s="14" t="n"/>
      <c r="N89" s="13" t="inlineStr">
        <is>
          <t>Which PPV drivers can the trade team explain, and which belong to purchasing?</t>
        </is>
      </c>
      <c r="O89" s="14" t="n"/>
    </row>
    <row r="90">
      <c r="A90" s="13" t="inlineStr">
        <is>
          <t>K-M5C-09</t>
        </is>
      </c>
      <c r="B90" s="13" t="inlineStr">
        <is>
          <t>M5C</t>
        </is>
      </c>
      <c r="C90" s="13" t="inlineStr">
        <is>
          <t>Primary</t>
        </is>
      </c>
      <c r="D90" s="13" t="inlineStr">
        <is>
          <t>Tariff $ impact modeling with the shared model</t>
        </is>
      </c>
      <c r="E90" s="13" t="inlineStr">
        <is>
          <t>Calculate landed-cost and margin impact from a Tariff-Impact Brief without re-interpreting its legal scope.</t>
        </is>
      </c>
      <c r="F90" s="13" t="inlineStr">
        <is>
          <t>Manager</t>
        </is>
      </c>
      <c r="G90" s="13" t="inlineStr">
        <is>
          <t>docs/templates/domain/tariff-impact-model-guide.md</t>
        </is>
      </c>
      <c r="H90" s="13" t="n">
        <v>7</v>
      </c>
      <c r="I90" s="15">
        <f>ProgramStart+(H90-1)*7</f>
        <v/>
      </c>
      <c r="J90" s="14" t="inlineStr">
        <is>
          <t>Not started</t>
        </is>
      </c>
      <c r="K90" s="16" t="n"/>
      <c r="L90" s="14" t="n"/>
      <c r="M90" s="14" t="n"/>
      <c r="N90" s="13" t="inlineStr">
        <is>
          <t>You disagree with the brief's stacking interpretation; what do you do instead of changing the model?</t>
        </is>
      </c>
      <c r="O90" s="14" t="n"/>
    </row>
    <row r="91">
      <c r="A91" s="13" t="inlineStr">
        <is>
          <t>K-M5C-10</t>
        </is>
      </c>
      <c r="B91" s="13" t="inlineStr">
        <is>
          <t>M5C</t>
        </is>
      </c>
      <c r="C91" s="13" t="inlineStr">
        <is>
          <t>Primary</t>
        </is>
      </c>
      <c r="D91" s="13" t="inlineStr">
        <is>
          <t>Actual vs standard duty: using broker entry data to explain duty variance</t>
        </is>
      </c>
      <c r="E91" s="13" t="inlineStr">
        <is>
          <t>Compare duty actually paid per entry line with the duty in standard cost and explain the gap.</t>
        </is>
      </c>
      <c r="F91" s="13" t="inlineStr">
        <is>
          <t>Self-study</t>
        </is>
      </c>
      <c r="G91" s="13" t="inlineStr">
        <is>
          <t>[COMPANY: broker entry data report]</t>
        </is>
      </c>
      <c r="H91" s="13" t="n">
        <v>8</v>
      </c>
      <c r="I91" s="15">
        <f>ProgramStart+(H91-1)*7</f>
        <v/>
      </c>
      <c r="J91" s="14" t="inlineStr">
        <is>
          <t>Not started</t>
        </is>
      </c>
      <c r="K91" s="16" t="n"/>
      <c r="L91" s="14" t="n"/>
      <c r="M91" s="14" t="n"/>
      <c r="N91" s="13" t="inlineStr">
        <is>
          <t>What are three reasons duty paid on an entry can differ from the duty in standard cost?</t>
        </is>
      </c>
      <c r="O91" s="14" t="n"/>
    </row>
    <row r="92">
      <c r="A92" s="13" t="inlineStr">
        <is>
          <t>K-M5C-11</t>
        </is>
      </c>
      <c r="B92" s="13" t="inlineStr">
        <is>
          <t>M5C</t>
        </is>
      </c>
      <c r="C92" s="13" t="inlineStr">
        <is>
          <t>Primary</t>
        </is>
      </c>
      <c r="D92" s="13" t="inlineStr">
        <is>
          <t>Cost checklist phases 1-5 and practice Exercise 5 redo</t>
        </is>
      </c>
      <c r="E92" s="13" t="inlineStr">
        <is>
          <t>Re-read Phases 1-5 of the standard cost update checklist and redo practice Exercise 5 (PPV) before the real PPV analysis.</t>
        </is>
      </c>
      <c r="F92" s="13" t="inlineStr">
        <is>
          <t>Self-study</t>
        </is>
      </c>
      <c r="G92" s="13" t="inlineStr">
        <is>
          <t>docs/templates/domain/standard-cost-update-checklist.md</t>
        </is>
      </c>
      <c r="H92" s="13" t="n">
        <v>7</v>
      </c>
      <c r="I92" s="15">
        <f>ProgramStart+(H92-1)*7</f>
        <v/>
      </c>
      <c r="J92" s="14" t="inlineStr">
        <is>
          <t>Not started</t>
        </is>
      </c>
      <c r="K92" s="16" t="n"/>
      <c r="L92" s="14" t="n"/>
      <c r="M92" s="14" t="n"/>
      <c r="N92" s="13" t="inlineStr">
        <is>
          <t>Which phase produces the evidence the checker reviews, and what must tie out before Finance approval?</t>
        </is>
      </c>
      <c r="O92" s="14" t="n"/>
    </row>
    <row r="93">
      <c r="A93" s="13" t="inlineStr">
        <is>
          <t>K-M6-01</t>
        </is>
      </c>
      <c r="B93" s="13" t="inlineStr">
        <is>
          <t>M6</t>
        </is>
      </c>
      <c r="C93" s="13" t="inlineStr">
        <is>
          <t>Core</t>
        </is>
      </c>
      <c r="D93" s="13" t="inlineStr">
        <is>
          <t>Custom tool landscape and the Tool Inventory</t>
        </is>
      </c>
      <c r="E93" s="13" t="inlineStr">
        <is>
          <t>Fill in Tool Inventory rows for your assigned tools from the Manager's kickoff and your own reading.</t>
        </is>
      </c>
      <c r="F93" s="13" t="inlineStr">
        <is>
          <t>Manager</t>
        </is>
      </c>
      <c r="G93" s="13" t="inlineStr">
        <is>
          <t>docs/templates/knowledge/tool-doc.md</t>
        </is>
      </c>
      <c r="H93" s="13" t="n">
        <v>2</v>
      </c>
      <c r="I93" s="15">
        <f>ProgramStart+(H93-1)*7</f>
        <v/>
      </c>
      <c r="J93" s="14" t="inlineStr">
        <is>
          <t>Not started</t>
        </is>
      </c>
      <c r="K93" s="16" t="n"/>
      <c r="L93" s="14" t="n"/>
      <c r="M93" s="14" t="n"/>
      <c r="N93" s="13" t="inlineStr">
        <is>
          <t>Which of your assigned tools has the highest risk if it breaks, and why?</t>
        </is>
      </c>
      <c r="O93" s="14" t="n"/>
    </row>
    <row r="94">
      <c r="A94" s="13" t="inlineStr">
        <is>
          <t>K-M6-02</t>
        </is>
      </c>
      <c r="B94" s="13" t="inlineStr">
        <is>
          <t>M6</t>
        </is>
      </c>
      <c r="C94" s="13" t="inlineStr">
        <is>
          <t>Core</t>
        </is>
      </c>
      <c r="D94" s="13" t="inlineStr">
        <is>
          <t>Writing a tool doc</t>
        </is>
      </c>
      <c r="E94" s="13" t="inlineStr">
        <is>
          <t>Document a tool so that someone else can run it alone.</t>
        </is>
      </c>
      <c r="F94" s="13" t="inlineStr">
        <is>
          <t>Self-study</t>
        </is>
      </c>
      <c r="G94" s="13" t="inlineStr">
        <is>
          <t>docs/templates/knowledge/tool-doc.md</t>
        </is>
      </c>
      <c r="H94" s="13" t="n">
        <v>3</v>
      </c>
      <c r="I94" s="15">
        <f>ProgramStart+(H94-1)*7</f>
        <v/>
      </c>
      <c r="J94" s="14" t="inlineStr">
        <is>
          <t>Not started</t>
        </is>
      </c>
      <c r="K94" s="16" t="n"/>
      <c r="L94" s="14" t="n"/>
      <c r="M94" s="14" t="n"/>
      <c r="N94" s="13" t="inlineStr">
        <is>
          <t>What must a tool doc include for someone to run the tool while you are out?</t>
        </is>
      </c>
      <c r="O94" s="14" t="n"/>
    </row>
    <row r="95">
      <c r="A95" s="13" t="inlineStr">
        <is>
          <t>K-M6-03</t>
        </is>
      </c>
      <c r="B95" s="13" t="inlineStr">
        <is>
          <t>M6</t>
        </is>
      </c>
      <c r="C95" s="13" t="inlineStr">
        <is>
          <t>Core</t>
        </is>
      </c>
      <c r="D95" s="13" t="inlineStr">
        <is>
          <t>Candidate tool walkthrough: reading its code, flows and dependencies</t>
        </is>
      </c>
      <c r="E95" s="13" t="inlineStr">
        <is>
          <t>Walk through the candidate tool with the Manager and read its Python, VBA, Access or Power Automate logic, including whose credentials it runs under.</t>
        </is>
      </c>
      <c r="F95" s="13" t="inlineStr">
        <is>
          <t>Manager</t>
        </is>
      </c>
      <c r="G95" s="13" t="inlineStr">
        <is>
          <t>[COMPANY: tool closest to Research] or [COMPANY: name of std-cost tool]</t>
        </is>
      </c>
      <c r="H95" s="13" t="n">
        <v>4</v>
      </c>
      <c r="I95" s="15">
        <f>ProgramStart+(H95-1)*7</f>
        <v/>
      </c>
      <c r="J95" s="14" t="inlineStr">
        <is>
          <t>Not started</t>
        </is>
      </c>
      <c r="K95" s="16" t="n"/>
      <c r="L95" s="14" t="n"/>
      <c r="M95" s="14" t="n"/>
      <c r="N95" s="13" t="inlineStr">
        <is>
          <t>Where does the tool read its inputs, and what hard-coded values (rates, paths, dates, credentials) does it contain?</t>
        </is>
      </c>
      <c r="O95" s="14" t="n"/>
    </row>
    <row r="96">
      <c r="A96" s="13" t="inlineStr">
        <is>
          <t>K-M6-04</t>
        </is>
      </c>
      <c r="B96" s="13" t="inlineStr">
        <is>
          <t>M6</t>
        </is>
      </c>
      <c r="C96" s="13" t="inlineStr">
        <is>
          <t>Core</t>
        </is>
      </c>
      <c r="D96" s="13" t="inlineStr">
        <is>
          <t>Running the owned tool: schedule, failure modes, recovery</t>
        </is>
      </c>
      <c r="E96" s="13" t="inlineStr">
        <is>
          <t>Run the owned tool with the Manager and write down its failure modes and recovery steps.</t>
        </is>
      </c>
      <c r="F96" s="13" t="inlineStr">
        <is>
          <t>Manager</t>
        </is>
      </c>
      <c r="G96" s="13" t="inlineStr">
        <is>
          <t>[COMPANY: owned tool run instructions]</t>
        </is>
      </c>
      <c r="H96" s="13" t="n">
        <v>6</v>
      </c>
      <c r="I96" s="15">
        <f>ProgramStart+(H96-1)*7</f>
        <v/>
      </c>
      <c r="J96" s="14" t="inlineStr">
        <is>
          <t>Not started</t>
        </is>
      </c>
      <c r="K96" s="16" t="n"/>
      <c r="L96" s="14" t="n"/>
      <c r="M96" s="14" t="n"/>
      <c r="N96" s="13" t="inlineStr">
        <is>
          <t>What are the two most likely ways the tool fails, and how do you recover from each?</t>
        </is>
      </c>
      <c r="O96" s="14" t="n"/>
    </row>
    <row r="97">
      <c r="A97" s="13" t="inlineStr">
        <is>
          <t>K-M6-05</t>
        </is>
      </c>
      <c r="B97" s="13" t="inlineStr">
        <is>
          <t>M6</t>
        </is>
      </c>
      <c r="C97" s="13" t="inlineStr">
        <is>
          <t>Core</t>
        </is>
      </c>
      <c r="D97" s="13" t="inlineStr">
        <is>
          <t>First change to the owned tool through a change request, in a test copy</t>
        </is>
      </c>
      <c r="E97" s="13" t="inlineStr">
        <is>
          <t>Draft and test one change in a test copy through a change request, with test evidence and the Manager as checker. Production changes wait for the day-60 review.</t>
        </is>
      </c>
      <c r="F97" s="13" t="inlineStr">
        <is>
          <t>Manager</t>
        </is>
      </c>
      <c r="G97" s="13" t="inlineStr">
        <is>
          <t>docs/templates/bsa/06-change-request.md</t>
        </is>
      </c>
      <c r="H97" s="13" t="n">
        <v>8</v>
      </c>
      <c r="I97" s="15">
        <f>ProgramStart+(H97-1)*7</f>
        <v/>
      </c>
      <c r="J97" s="14" t="inlineStr">
        <is>
          <t>Not started</t>
        </is>
      </c>
      <c r="K97" s="16" t="n"/>
      <c r="L97" s="14" t="n"/>
      <c r="M97" s="14" t="n"/>
      <c r="N97" s="13" t="inlineStr">
        <is>
          <t>What test proves your change works and did not break anything else?</t>
        </is>
      </c>
      <c r="O97" s="14" t="n"/>
    </row>
    <row r="98">
      <c r="A98" s="13" t="inlineStr">
        <is>
          <t>K-M6-06</t>
        </is>
      </c>
      <c r="B98" s="13" t="inlineStr">
        <is>
          <t>M6</t>
        </is>
      </c>
      <c r="C98" s="13" t="inlineStr">
        <is>
          <t>Core</t>
        </is>
      </c>
      <c r="D98" s="13" t="inlineStr">
        <is>
          <t>Proposed e2open disposition for the owned tool</t>
        </is>
      </c>
      <c r="E98" s="13" t="inlineStr">
        <is>
          <t>Propose replace, interface, retire, keep or TBD (with the open question) for the owned tool, with reasons, to confirm after the e2open kickoff.</t>
        </is>
      </c>
      <c r="F98" s="13" t="inlineStr">
        <is>
          <t>Manager</t>
        </is>
      </c>
      <c r="G98" s="13" t="inlineStr">
        <is>
          <t>docs/primers/trade-systems-gtm-e2open-primer.md</t>
        </is>
      </c>
      <c r="H98" s="13" t="n">
        <v>9</v>
      </c>
      <c r="I98" s="15">
        <f>ProgramStart+(H98-1)*7</f>
        <v/>
      </c>
      <c r="J98" s="14" t="inlineStr">
        <is>
          <t>Not started</t>
        </is>
      </c>
      <c r="K98" s="16" t="n"/>
      <c r="L98" s="14" t="n"/>
      <c r="M98" s="14" t="n"/>
      <c r="N98" s="13" t="inlineStr">
        <is>
          <t>Which functions of your tool will e2open cover, and what is left over?</t>
        </is>
      </c>
      <c r="O98" s="14" t="n"/>
    </row>
    <row r="99">
      <c r="A99" s="13" t="inlineStr">
        <is>
          <t>K-M6-07</t>
        </is>
      </c>
      <c r="B99" s="13" t="inlineStr">
        <is>
          <t>M6</t>
        </is>
      </c>
      <c r="C99" s="13" t="inlineStr">
        <is>
          <t>Core</t>
        </is>
      </c>
      <c r="D99" s="13" t="inlineStr">
        <is>
          <t>Second custom tool</t>
        </is>
      </c>
      <c r="E99" s="13" t="inlineStr">
        <is>
          <t>Run a second tool from its doc and fix the gaps you find in that doc.</t>
        </is>
      </c>
      <c r="F99" s="13" t="inlineStr">
        <is>
          <t>Self-study</t>
        </is>
      </c>
      <c r="G99" s="13" t="inlineStr">
        <is>
          <t>docs/templates/knowledge/tool-doc.md</t>
        </is>
      </c>
      <c r="H99" s="13" t="n">
        <v>12</v>
      </c>
      <c r="I99" s="15">
        <f>ProgramStart+(H99-1)*7</f>
        <v/>
      </c>
      <c r="J99" s="14" t="inlineStr">
        <is>
          <t>Not started</t>
        </is>
      </c>
      <c r="K99" s="16" t="n"/>
      <c r="L99" s="14" t="n"/>
      <c r="M99" s="14" t="n"/>
      <c r="N99" s="13" t="inlineStr">
        <is>
          <t>Could you run the second tool tomorrow if its owner were out, and what is missing from its doc?</t>
        </is>
      </c>
      <c r="O99" s="14" t="n"/>
    </row>
    <row r="100">
      <c r="A100" s="13" t="inlineStr">
        <is>
          <t>K-M7-01</t>
        </is>
      </c>
      <c r="B100" s="13" t="inlineStr">
        <is>
          <t>M7</t>
        </is>
      </c>
      <c r="C100" s="13" t="inlineStr">
        <is>
          <t>Core</t>
        </is>
      </c>
      <c r="D100" s="13" t="inlineStr">
        <is>
          <t>Export compliance framework: EAR, BIS, jurisdiction, CCL, ECCN and EAR99</t>
        </is>
      </c>
      <c r="E100" s="13" t="inlineStr">
        <is>
          <t>Explain how an item's export classification is determined and why license determinations stay with the Senior.</t>
        </is>
      </c>
      <c r="F100" s="13" t="inlineStr">
        <is>
          <t>Senior</t>
        </is>
      </c>
      <c r="G100" s="13" t="inlineStr">
        <is>
          <t>https://www.bis.gov/regulations/ear</t>
        </is>
      </c>
      <c r="H100" s="13" t="n">
        <v>5</v>
      </c>
      <c r="I100" s="15">
        <f>ProgramStart+(H100-1)*7</f>
        <v/>
      </c>
      <c r="J100" s="14" t="inlineStr">
        <is>
          <t>Not started</t>
        </is>
      </c>
      <c r="K100" s="16" t="n"/>
      <c r="L100" s="14" t="n"/>
      <c r="M100" s="14" t="n"/>
      <c r="N100" s="13" t="inlineStr">
        <is>
          <t>What does EAR99 mean, and in which three situations might an EAR99 item still need a license?</t>
        </is>
      </c>
      <c r="O100" s="14" t="n"/>
    </row>
    <row r="101">
      <c r="A101" s="13" t="inlineStr">
        <is>
          <t>K-M7-02</t>
        </is>
      </c>
      <c r="B101" s="13" t="inlineStr">
        <is>
          <t>M7</t>
        </is>
      </c>
      <c r="C101" s="13" t="inlineStr">
        <is>
          <t>Core</t>
        </is>
      </c>
      <c r="D101" s="13" t="inlineStr">
        <is>
          <t>EEI filing in AES under the FTR, USPPI and routed exports</t>
        </is>
      </c>
      <c r="E101" s="13" t="inlineStr">
        <is>
          <t>Explain when EEI is required, who files it, and what the ITN proves.</t>
        </is>
      </c>
      <c r="F101" s="13" t="inlineStr">
        <is>
          <t>Senior</t>
        </is>
      </c>
      <c r="G101" s="13" t="inlineStr">
        <is>
          <t>https://www.census.gov/foreign-trade/aes/index.html</t>
        </is>
      </c>
      <c r="H101" s="13" t="n">
        <v>5</v>
      </c>
      <c r="I101" s="15">
        <f>ProgramStart+(H101-1)*7</f>
        <v/>
      </c>
      <c r="J101" s="14" t="inlineStr">
        <is>
          <t>Not started</t>
        </is>
      </c>
      <c r="K101" s="16" t="n"/>
      <c r="L101" s="14" t="n"/>
      <c r="M101" s="14" t="n"/>
      <c r="N101" s="13" t="inlineStr">
        <is>
          <t>Who is the USPPI on our exports, and who is responsible for the accuracy of the EEI data?</t>
        </is>
      </c>
      <c r="O101" s="14" t="n"/>
    </row>
    <row r="102">
      <c r="A102" s="13" t="inlineStr">
        <is>
          <t>K-M7-03</t>
        </is>
      </c>
      <c r="B102" s="13" t="inlineStr">
        <is>
          <t>M7</t>
        </is>
      </c>
      <c r="C102" s="13" t="inlineStr">
        <is>
          <t>Core</t>
        </is>
      </c>
      <c r="D102" s="13" t="inlineStr">
        <is>
          <t>The team's exports process and backlog handoff</t>
        </is>
      </c>
      <c r="E102" s="13" t="inlineStr">
        <is>
          <t>Know the exports process, its Jira label, and which items you may take as maker.</t>
        </is>
      </c>
      <c r="F102" s="13" t="inlineStr">
        <is>
          <t>Shadow</t>
        </is>
      </c>
      <c r="G102" s="13" t="inlineStr">
        <is>
          <t>[COMPANY: Jira label for exports transition]</t>
        </is>
      </c>
      <c r="H102" s="13" t="n">
        <v>6</v>
      </c>
      <c r="I102" s="15">
        <f>ProgramStart+(H102-1)*7</f>
        <v/>
      </c>
      <c r="J102" s="14" t="inlineStr">
        <is>
          <t>Not started</t>
        </is>
      </c>
      <c r="K102" s="16" t="n"/>
      <c r="L102" s="14" t="n"/>
      <c r="M102" s="14" t="n"/>
      <c r="N102" s="13" t="inlineStr">
        <is>
          <t>Which exports items may you take as maker, and which stay with the Senior?</t>
        </is>
      </c>
      <c r="O102" s="14" t="n"/>
    </row>
    <row r="103">
      <c r="A103" s="13" t="inlineStr">
        <is>
          <t>K-M7-04</t>
        </is>
      </c>
      <c r="B103" s="13" t="inlineStr">
        <is>
          <t>M7</t>
        </is>
      </c>
      <c r="C103" s="13" t="inlineStr">
        <is>
          <t>Core</t>
        </is>
      </c>
      <c r="D103" s="13" t="inlineStr">
        <is>
          <t>Schedule B classification</t>
        </is>
      </c>
      <c r="E103" s="13" t="inlineStr">
        <is>
          <t>Find the Schedule B number for an item and explain how it relates to the HTSUS.</t>
        </is>
      </c>
      <c r="F103" s="13" t="inlineStr">
        <is>
          <t>Self-study</t>
        </is>
      </c>
      <c r="G103" s="13" t="inlineStr">
        <is>
          <t>https://www.census.gov/scheduleb</t>
        </is>
      </c>
      <c r="H103" s="13" t="n">
        <v>7</v>
      </c>
      <c r="I103" s="15">
        <f>ProgramStart+(H103-1)*7</f>
        <v/>
      </c>
      <c r="J103" s="14" t="inlineStr">
        <is>
          <t>Not started</t>
        </is>
      </c>
      <c r="K103" s="16" t="n"/>
      <c r="L103" s="14" t="n"/>
      <c r="M103" s="14" t="n"/>
      <c r="N103" s="13" t="inlineStr">
        <is>
          <t>For most goods, may you report the HTSUS number instead of the Schedule B number in EEI, and what are the first 6 digits based on?</t>
        </is>
      </c>
      <c r="O103" s="14" t="n"/>
    </row>
    <row r="104">
      <c r="A104" s="13" t="inlineStr">
        <is>
          <t>K-M7-05</t>
        </is>
      </c>
      <c r="B104" s="13" t="inlineStr">
        <is>
          <t>M7</t>
        </is>
      </c>
      <c r="C104" s="13" t="inlineStr">
        <is>
          <t>Core</t>
        </is>
      </c>
      <c r="D104" s="13" t="inlineStr">
        <is>
          <t>Restricted party screening (awareness)</t>
        </is>
      </c>
      <c r="E104" s="13" t="inlineStr">
        <is>
          <t>Explain what screening is, which lists it covers, and how to escalate a possible match.</t>
        </is>
      </c>
      <c r="F104" s="13" t="inlineStr">
        <is>
          <t>Self-study</t>
        </is>
      </c>
      <c r="G104" s="13" t="inlineStr">
        <is>
          <t>https://www.trade.gov/consolidated-screening-list</t>
        </is>
      </c>
      <c r="H104" s="13" t="n">
        <v>7</v>
      </c>
      <c r="I104" s="15">
        <f>ProgramStart+(H104-1)*7</f>
        <v/>
      </c>
      <c r="J104" s="14" t="inlineStr">
        <is>
          <t>Not started</t>
        </is>
      </c>
      <c r="K104" s="16" t="n"/>
      <c r="L104" s="14" t="n"/>
      <c r="M104" s="14" t="n"/>
      <c r="N104" s="13" t="inlineStr">
        <is>
          <t>What do you do if a customer name partially matches an entry on the Consolidated Screening List?</t>
        </is>
      </c>
      <c r="O104" s="14" t="n"/>
    </row>
    <row r="105">
      <c r="A105" s="13" t="inlineStr">
        <is>
          <t>K-M7-06</t>
        </is>
      </c>
      <c r="B105" s="13" t="inlineStr">
        <is>
          <t>M7</t>
        </is>
      </c>
      <c r="C105" s="13" t="inlineStr">
        <is>
          <t>Core</t>
        </is>
      </c>
      <c r="D105" s="13" t="inlineStr">
        <is>
          <t>Export data quality checks</t>
        </is>
      </c>
      <c r="E105" s="13" t="inlineStr">
        <is>
          <t>Profile export records and log data-quality issues with evidence and a proposed fix.</t>
        </is>
      </c>
      <c r="F105" s="13" t="inlineStr">
        <is>
          <t>Senior</t>
        </is>
      </c>
      <c r="G105" s="13" t="inlineStr">
        <is>
          <t>[COMPANY: export data extract]</t>
        </is>
      </c>
      <c r="H105" s="13" t="n">
        <v>8</v>
      </c>
      <c r="I105" s="15">
        <f>ProgramStart+(H105-1)*7</f>
        <v/>
      </c>
      <c r="J105" s="14" t="inlineStr">
        <is>
          <t>Not started</t>
        </is>
      </c>
      <c r="K105" s="16" t="n"/>
      <c r="L105" s="14" t="n"/>
      <c r="M105" s="14" t="n"/>
      <c r="N105" s="13" t="inlineStr">
        <is>
          <t>Which export fields would you check first for missing or invalid values, and why?</t>
        </is>
      </c>
      <c r="O105" s="14" t="n"/>
    </row>
    <row r="106">
      <c r="A106" s="13" t="inlineStr">
        <is>
          <t>K-M7-07</t>
        </is>
      </c>
      <c r="B106" s="13" t="inlineStr">
        <is>
          <t>M7</t>
        </is>
      </c>
      <c r="C106" s="13" t="inlineStr">
        <is>
          <t>Core</t>
        </is>
      </c>
      <c r="D106" s="13" t="inlineStr">
        <is>
          <t>Exports refresher before your first item</t>
        </is>
      </c>
      <c r="E106" s="13" t="inlineStr">
        <is>
          <t>Re-read Section 12 of the customs primer and look up, in 15 CFR Part 30 and the EAR, the terms your first exports item uses.</t>
        </is>
      </c>
      <c r="F106" s="13" t="inlineStr">
        <is>
          <t>Self-study</t>
        </is>
      </c>
      <c r="G106" s="13" t="inlineStr">
        <is>
          <t>docs/primers/customs-trade-compliance-primer.md</t>
        </is>
      </c>
      <c r="H106" s="13" t="n">
        <v>6</v>
      </c>
      <c r="I106" s="15">
        <f>ProgramStart+(H106-1)*7</f>
        <v/>
      </c>
      <c r="J106" s="14" t="inlineStr">
        <is>
          <t>Not started</t>
        </is>
      </c>
      <c r="K106" s="16" t="n"/>
      <c r="L106" s="14" t="n"/>
      <c r="M106" s="14" t="n"/>
      <c r="N106" s="13" t="inlineStr">
        <is>
          <t>Which parts of your exports item can you do as maker, and which facts must you confirm in the EAR or the FTR first?</t>
        </is>
      </c>
      <c r="O106" s="14" t="n"/>
    </row>
    <row r="107">
      <c r="A107" s="13" t="inlineStr">
        <is>
          <t>K-M8-01</t>
        </is>
      </c>
      <c r="B107" s="13" t="inlineStr">
        <is>
          <t>M8</t>
        </is>
      </c>
      <c r="C107" s="13" t="inlineStr">
        <is>
          <t>Core</t>
        </is>
      </c>
      <c r="D107" s="13" t="inlineStr">
        <is>
          <t>Report inventory: sources, refresh, consumers, known issues</t>
        </is>
      </c>
      <c r="E107" s="13" t="inlineStr">
        <is>
          <t>Explain each report in the Senior's inventory and how the business uses it.</t>
        </is>
      </c>
      <c r="F107" s="13" t="inlineStr">
        <is>
          <t>Senior</t>
        </is>
      </c>
      <c r="G107" s="13" t="inlineStr">
        <is>
          <t>[COMPANY: report inventory]</t>
        </is>
      </c>
      <c r="H107" s="13" t="n">
        <v>9</v>
      </c>
      <c r="I107" s="15">
        <f>ProgramStart+(H107-1)*7</f>
        <v/>
      </c>
      <c r="J107" s="14" t="inlineStr">
        <is>
          <t>Not started</t>
        </is>
      </c>
      <c r="K107" s="16" t="n"/>
      <c r="L107" s="14" t="n"/>
      <c r="M107" s="14" t="n"/>
      <c r="N107" s="13" t="inlineStr">
        <is>
          <t>Which reports would the business notice first if the warehouse refresh failed overnight?</t>
        </is>
      </c>
      <c r="O107" s="14" t="n"/>
    </row>
    <row r="108">
      <c r="A108" s="13" t="inlineStr">
        <is>
          <t>K-M8-02</t>
        </is>
      </c>
      <c r="B108" s="13" t="inlineStr">
        <is>
          <t>M8</t>
        </is>
      </c>
      <c r="C108" s="13" t="inlineStr">
        <is>
          <t>Core</t>
        </is>
      </c>
      <c r="D108" s="13" t="inlineStr">
        <is>
          <t>Delivering a reporting backlog item: change, validate, demo</t>
        </is>
      </c>
      <c r="E108" s="13" t="inlineStr">
        <is>
          <t>Make a report change, prove it with before-and-after totals, and demo it to the Senior.</t>
        </is>
      </c>
      <c r="F108" s="13" t="inlineStr">
        <is>
          <t>Senior</t>
        </is>
      </c>
      <c r="G108" s="13" t="inlineStr">
        <is>
          <t>[COMPANY: report backlog in Jira]</t>
        </is>
      </c>
      <c r="H108" s="13" t="n">
        <v>12</v>
      </c>
      <c r="I108" s="15">
        <f>ProgramStart+(H108-1)*7</f>
        <v/>
      </c>
      <c r="J108" s="14" t="inlineStr">
        <is>
          <t>Not started</t>
        </is>
      </c>
      <c r="K108" s="16" t="n"/>
      <c r="L108" s="14" t="n"/>
      <c r="M108" s="14" t="n"/>
      <c r="N108" s="13" t="inlineStr">
        <is>
          <t>How do you prove a new measure is correct before the business sees it?</t>
        </is>
      </c>
      <c r="O108" s="14" t="n"/>
    </row>
    <row r="109">
      <c r="A109" s="13" t="inlineStr">
        <is>
          <t>K-M9-01</t>
        </is>
      </c>
      <c r="B109" s="13" t="inlineStr">
        <is>
          <t>M9</t>
        </is>
      </c>
      <c r="C109" s="13" t="inlineStr">
        <is>
          <t>Core</t>
        </is>
      </c>
      <c r="D109" s="13" t="inlineStr">
        <is>
          <t>Drawback types under 19 CFR Part 190</t>
        </is>
      </c>
      <c r="E109" s="13" t="inlineStr">
        <is>
          <t>Explain manufacturing, unused merchandise and rejected merchandise drawback and how substitution works.</t>
        </is>
      </c>
      <c r="F109" s="13" t="inlineStr">
        <is>
          <t>Senior</t>
        </is>
      </c>
      <c r="G109" s="13" t="inlineStr">
        <is>
          <t>https://www.ecfr.gov/current/title-19/chapter-I/part-190</t>
        </is>
      </c>
      <c r="H109" s="13" t="n">
        <v>11</v>
      </c>
      <c r="I109" s="15">
        <f>ProgramStart+(H109-1)*7</f>
        <v/>
      </c>
      <c r="J109" s="14" t="inlineStr">
        <is>
          <t>Not started</t>
        </is>
      </c>
      <c r="K109" s="16" t="n"/>
      <c r="L109" s="14" t="n"/>
      <c r="M109" s="14" t="n"/>
      <c r="N109" s="13" t="inlineStr">
        <is>
          <t>What is the difference between unused merchandise drawback and manufacturing drawback?</t>
        </is>
      </c>
      <c r="O109" s="14" t="n"/>
    </row>
    <row r="110">
      <c r="A110" s="13" t="inlineStr">
        <is>
          <t>K-M9-02</t>
        </is>
      </c>
      <c r="B110" s="13" t="inlineStr">
        <is>
          <t>M9</t>
        </is>
      </c>
      <c r="C110" s="13" t="inlineStr">
        <is>
          <t>Core</t>
        </is>
      </c>
      <c r="D110" s="13" t="inlineStr">
        <is>
          <t>Records a drawback claim relies on, and USMCA limits</t>
        </is>
      </c>
      <c r="E110" s="13" t="inlineStr">
        <is>
          <t>List the import, export and inventory records drawback needs, and explain why USMCA restricts drawback on exports to Canada or Mexico.</t>
        </is>
      </c>
      <c r="F110" s="13" t="inlineStr">
        <is>
          <t>Senior</t>
        </is>
      </c>
      <c r="G110" s="13" t="inlineStr">
        <is>
          <t>https://www.ecfr.gov/current/title-19/chapter-I/part-182/subpart-E</t>
        </is>
      </c>
      <c r="H110" s="13" t="n">
        <v>11</v>
      </c>
      <c r="I110" s="15">
        <f>ProgramStart+(H110-1)*7</f>
        <v/>
      </c>
      <c r="J110" s="14" t="inlineStr">
        <is>
          <t>Not started</t>
        </is>
      </c>
      <c r="K110" s="16" t="n"/>
      <c r="L110" s="14" t="n"/>
      <c r="M110" s="14" t="n"/>
      <c r="N110" s="13" t="inlineStr">
        <is>
          <t>Why do our export records matter for drawback, and what does USMCA Article 2.5 change?</t>
        </is>
      </c>
      <c r="O110" s="14" t="n"/>
    </row>
    <row r="111">
      <c r="A111" s="13" t="inlineStr">
        <is>
          <t>K-M9-03</t>
        </is>
      </c>
      <c r="B111" s="13" t="inlineStr">
        <is>
          <t>M9</t>
        </is>
      </c>
      <c r="C111" s="13" t="inlineStr">
        <is>
          <t>Core</t>
        </is>
      </c>
      <c r="D111" s="13" t="inlineStr">
        <is>
          <t>Drawback data preparation shadow</t>
        </is>
      </c>
      <c r="E111" s="13" t="inlineStr">
        <is>
          <t>Shadow the Senior preparing or reviewing drawback data, then write the 1-page note on what data drawback needs.</t>
        </is>
      </c>
      <c r="F111" s="13" t="inlineStr">
        <is>
          <t>Shadow</t>
        </is>
      </c>
      <c r="G111" s="13" t="inlineStr">
        <is>
          <t>https://www.cbp.gov/trade/programs-administration/entry-summary/drawback-overview</t>
        </is>
      </c>
      <c r="H111" s="13" t="n">
        <v>12</v>
      </c>
      <c r="I111" s="15">
        <f>ProgramStart+(H111-1)*7</f>
        <v/>
      </c>
      <c r="J111" s="14" t="inlineStr">
        <is>
          <t>Not started</t>
        </is>
      </c>
      <c r="K111" s="16" t="n"/>
      <c r="L111" s="14" t="n"/>
      <c r="M111" s="14" t="n"/>
      <c r="N111" s="13" t="inlineStr">
        <is>
          <t>Which fields in our data would break a drawback claim if they were wrong?</t>
        </is>
      </c>
      <c r="O111" s="14" t="n"/>
    </row>
    <row r="112">
      <c r="A112" s="13" t="inlineStr">
        <is>
          <t>K-M9-04</t>
        </is>
      </c>
      <c r="B112" s="13" t="inlineStr">
        <is>
          <t>M9</t>
        </is>
      </c>
      <c r="C112" s="13" t="inlineStr">
        <is>
          <t>Core</t>
        </is>
      </c>
      <c r="D112" s="13" t="inlineStr">
        <is>
          <t>Drawback pre-read: primer 11.2 and 19 CFR Part 190</t>
        </is>
      </c>
      <c r="E112" s="13" t="inlineStr">
        <is>
          <t>Before the W11 overview, read Section 11.2 of the customs primer and the subpart headings of 19 CFR Part 190, and list your questions for the Senior.</t>
        </is>
      </c>
      <c r="F112" s="13" t="inlineStr">
        <is>
          <t>Self-study</t>
        </is>
      </c>
      <c r="G112" s="13" t="inlineStr">
        <is>
          <t>https://www.ecfr.gov/current/title-19/chapter-I/part-190</t>
        </is>
      </c>
      <c r="H112" s="13" t="n">
        <v>10</v>
      </c>
      <c r="I112" s="15">
        <f>ProgramStart+(H112-1)*7</f>
        <v/>
      </c>
      <c r="J112" s="14" t="inlineStr">
        <is>
          <t>Not started</t>
        </is>
      </c>
      <c r="K112" s="16" t="n"/>
      <c r="L112" s="14" t="n"/>
      <c r="M112" s="14" t="n"/>
      <c r="N112" s="13" t="inlineStr">
        <is>
          <t>How long must drawback records be kept, and from which event does the period run?</t>
        </is>
      </c>
      <c r="O112" s="14" t="n"/>
    </row>
    <row r="113">
      <c r="A113" s="13" t="inlineStr">
        <is>
          <t>K-M10-01</t>
        </is>
      </c>
      <c r="B113" s="13" t="inlineStr">
        <is>
          <t>M10</t>
        </is>
      </c>
      <c r="C113" s="13" t="inlineStr">
        <is>
          <t>Core</t>
        </is>
      </c>
      <c r="D113" s="13" t="inlineStr">
        <is>
          <t>e2open project scope, timeline and BSA roles</t>
        </is>
      </c>
      <c r="E113" s="13" t="inlineStr">
        <is>
          <t>Explain the project's scope and your deliverables (as-is docs, data mapping and cleansing, then UAT).</t>
        </is>
      </c>
      <c r="F113" s="13" t="inlineStr">
        <is>
          <t>Manager</t>
        </is>
      </c>
      <c r="G113" s="13" t="inlineStr">
        <is>
          <t>[COMPANY: e2open project charter]</t>
        </is>
      </c>
      <c r="H113" s="13" t="n">
        <v>12</v>
      </c>
      <c r="I113" s="15">
        <f>ProgramStart+(H113-1)*7</f>
        <v/>
      </c>
      <c r="J113" s="14" t="inlineStr">
        <is>
          <t>Not started</t>
        </is>
      </c>
      <c r="K113" s="16" t="n"/>
      <c r="L113" s="14" t="n"/>
      <c r="M113" s="14" t="n"/>
      <c r="N113" s="13" t="inlineStr">
        <is>
          <t>What are your deliverables on the e2open project before UAT starts?</t>
        </is>
      </c>
      <c r="O113" s="14" t="n"/>
    </row>
    <row r="114">
      <c r="A114" s="13" t="inlineStr">
        <is>
          <t>K-M10-02</t>
        </is>
      </c>
      <c r="B114" s="13" t="inlineStr">
        <is>
          <t>M10</t>
        </is>
      </c>
      <c r="C114" s="13" t="inlineStr">
        <is>
          <t>Core</t>
        </is>
      </c>
      <c r="D114" s="13" t="inlineStr">
        <is>
          <t>GTM data domains vs today's AS400 and warehouse data</t>
        </is>
      </c>
      <c r="E114" s="13" t="inlineStr">
        <is>
          <t>Map product and classification, parties, trade agreements and origin, compliance and landed-cost data to today's sources.</t>
        </is>
      </c>
      <c r="F114" s="13" t="inlineStr">
        <is>
          <t>Senior</t>
        </is>
      </c>
      <c r="G114" s="13" t="inlineStr">
        <is>
          <t>docs/primers/trade-systems-gtm-e2open-primer.md</t>
        </is>
      </c>
      <c r="H114" s="13" t="n">
        <v>9</v>
      </c>
      <c r="I114" s="15">
        <f>ProgramStart+(H114-1)*7</f>
        <v/>
      </c>
      <c r="J114" s="14" t="inlineStr">
        <is>
          <t>Not started</t>
        </is>
      </c>
      <c r="K114" s="16" t="n"/>
      <c r="L114" s="14" t="n"/>
      <c r="M114" s="14" t="n"/>
      <c r="N114" s="13" t="inlineStr">
        <is>
          <t>For your process, which GTM data domain is hardest to source today, and why?</t>
        </is>
      </c>
      <c r="O114" s="14" t="n"/>
    </row>
    <row r="115">
      <c r="A115" s="13" t="inlineStr">
        <is>
          <t>K-M10-03</t>
        </is>
      </c>
      <c r="B115" s="13" t="inlineStr">
        <is>
          <t>M10</t>
        </is>
      </c>
      <c r="C115" s="13" t="inlineStr">
        <is>
          <t>Core</t>
        </is>
      </c>
      <c r="D115" s="13" t="inlineStr">
        <is>
          <t>As-is process doc for own process</t>
        </is>
      </c>
      <c r="E115" s="13" t="inlineStr">
        <is>
          <t>Draft the as-is doc for Research or Standard Cost from the template during the holiday weeks (solo drafting; the Manager reviews the draft in W10).</t>
        </is>
      </c>
      <c r="F115" s="13" t="inlineStr">
        <is>
          <t>Self-study</t>
        </is>
      </c>
      <c r="G115" s="13" t="inlineStr">
        <is>
          <t>docs/templates/bsa/03-process-map-as-is-to-be.md</t>
        </is>
      </c>
      <c r="H115" s="13" t="n">
        <v>10</v>
      </c>
      <c r="I115" s="15">
        <f>ProgramStart+(H115-1)*7</f>
        <v/>
      </c>
      <c r="J115" s="14" t="inlineStr">
        <is>
          <t>Not started</t>
        </is>
      </c>
      <c r="K115" s="16" t="n"/>
      <c r="L115" s="14" t="n"/>
      <c r="M115" s="14" t="n"/>
      <c r="N115" s="13" t="inlineStr">
        <is>
          <t>Which steps of your process are manual workarounds that e2open might remove?</t>
        </is>
      </c>
      <c r="O115" s="14" t="n"/>
    </row>
    <row r="116">
      <c r="A116" s="13" t="inlineStr">
        <is>
          <t>K-M10-04</t>
        </is>
      </c>
      <c r="B116" s="13" t="inlineStr">
        <is>
          <t>M10</t>
        </is>
      </c>
      <c r="C116" s="13" t="inlineStr">
        <is>
          <t>Core</t>
        </is>
      </c>
      <c r="D116" s="13" t="inlineStr">
        <is>
          <t>Data map, profiling and data-quality log for own process</t>
        </is>
      </c>
      <c r="E116" s="13" t="inlineStr">
        <is>
          <t>Map own-process source fields to e2open concepts, profile the data, and log data-quality issues and cleansing candidates (solo drafting; the Manager and the Senior review the draft in W11).</t>
        </is>
      </c>
      <c r="F116" s="13" t="inlineStr">
        <is>
          <t>Self-study</t>
        </is>
      </c>
      <c r="G116" s="13" t="inlineStr">
        <is>
          <t>docs/templates/bsa/04-data-mapping-spec.md</t>
        </is>
      </c>
      <c r="H116" s="13" t="n">
        <v>11</v>
      </c>
      <c r="I116" s="15">
        <f>ProgramStart+(H116-1)*7</f>
        <v/>
      </c>
      <c r="J116" s="14" t="inlineStr">
        <is>
          <t>Not started</t>
        </is>
      </c>
      <c r="K116" s="16" t="n"/>
      <c r="L116" s="14" t="n"/>
      <c r="M116" s="14" t="n"/>
      <c r="N116" s="13" t="inlineStr">
        <is>
          <t>Which source fields have no clear e2open target, and who decides what happens to them?</t>
        </is>
      </c>
      <c r="O116" s="14" t="n"/>
    </row>
    <row r="117">
      <c r="A117" s="13" t="inlineStr">
        <is>
          <t>K-M10-05</t>
        </is>
      </c>
      <c r="B117" s="13" t="inlineStr">
        <is>
          <t>M10</t>
        </is>
      </c>
      <c r="C117" s="13" t="inlineStr">
        <is>
          <t>Core</t>
        </is>
      </c>
      <c r="D117" s="13" t="inlineStr">
        <is>
          <t>e2open kickoff: vendor methodology, environments, deliverables</t>
        </is>
      </c>
      <c r="E117" s="13" t="inlineStr">
        <is>
          <t>Capture project scope, timeline, your role and open questions from the kickoff in OneNote.</t>
        </is>
      </c>
      <c r="F117" s="13" t="inlineStr">
        <is>
          <t>Vendor</t>
        </is>
      </c>
      <c r="G117" s="13" t="inlineStr">
        <is>
          <t>[COMPANY: e2open kickoff materials]</t>
        </is>
      </c>
      <c r="H117" s="13" t="n">
        <v>12</v>
      </c>
      <c r="I117" s="15">
        <f>ProgramStart+(H117-1)*7</f>
        <v/>
      </c>
      <c r="J117" s="14" t="inlineStr">
        <is>
          <t>Not started</t>
        </is>
      </c>
      <c r="K117" s="16" t="n"/>
      <c r="L117" s="14" t="n"/>
      <c r="M117" s="14" t="n"/>
      <c r="N117" s="13" t="inlineStr">
        <is>
          <t>What did the vendor say happens between data mapping and UAT, and when?</t>
        </is>
      </c>
      <c r="O117" s="14" t="n"/>
    </row>
    <row r="118">
      <c r="A118" s="13" t="inlineStr">
        <is>
          <t>K-M10-06</t>
        </is>
      </c>
      <c r="B118" s="13" t="inlineStr">
        <is>
          <t>M10</t>
        </is>
      </c>
      <c r="C118" s="13" t="inlineStr">
        <is>
          <t>Core</t>
        </is>
      </c>
      <c r="D118" s="13" t="inlineStr">
        <is>
          <t>UAT approach preview (from the kickoff)</t>
        </is>
      </c>
      <c r="E118" s="13" t="inlineStr">
        <is>
          <t>Read the UAT template with your kickoff notes and write down how UAT is expected to run on e2open, who triages defects, and what is still open.</t>
        </is>
      </c>
      <c r="F118" s="13" t="inlineStr">
        <is>
          <t>Self-study</t>
        </is>
      </c>
      <c r="G118" s="13" t="inlineStr">
        <is>
          <t>docs/templates/bsa/05-uat-test-plan.md</t>
        </is>
      </c>
      <c r="H118" s="13" t="n">
        <v>13</v>
      </c>
      <c r="I118" s="15">
        <f>ProgramStart+(H118-1)*7</f>
        <v/>
      </c>
      <c r="J118" s="14" t="inlineStr">
        <is>
          <t>Not started</t>
        </is>
      </c>
      <c r="K118" s="16" t="n"/>
      <c r="L118" s="14" t="n"/>
      <c r="M118" s="14" t="n"/>
      <c r="N118" s="13" t="inlineStr">
        <is>
          <t>According to the kickoff, who triages a UAT defect on e2open, and how will you tell a defect from a configuration question?</t>
        </is>
      </c>
      <c r="O118" s="14" t="n"/>
    </row>
    <row r="119">
      <c r="A119" s="13" t="inlineStr">
        <is>
          <t>K-M10-07</t>
        </is>
      </c>
      <c r="B119" s="13" t="inlineStr">
        <is>
          <t>M10</t>
        </is>
      </c>
      <c r="C119" s="13" t="inlineStr">
        <is>
          <t>Core</t>
        </is>
      </c>
      <c r="D119" s="13" t="inlineStr">
        <is>
          <t>e2open preparation reading and the W9 checklist</t>
        </is>
      </c>
      <c r="E119" s="13" t="inlineStr">
        <is>
          <t>Re-read Sections 2, 3 and 6 of the trade systems primer and work the W9 checklist in Section 6.3.</t>
        </is>
      </c>
      <c r="F119" s="13" t="inlineStr">
        <is>
          <t>Self-study</t>
        </is>
      </c>
      <c r="G119" s="13" t="inlineStr">
        <is>
          <t>docs/primers/trade-systems-gtm-e2open-primer.md</t>
        </is>
      </c>
      <c r="H119" s="13" t="n">
        <v>9</v>
      </c>
      <c r="I119" s="15">
        <f>ProgramStart+(H119-1)*7</f>
        <v/>
      </c>
      <c r="J119" s="14" t="inlineStr">
        <is>
          <t>Not started</t>
        </is>
      </c>
      <c r="K119" s="16" t="n"/>
      <c r="L119" s="14" t="n"/>
      <c r="M119" s="14" t="n"/>
      <c r="N119" s="13" t="inlineStr">
        <is>
          <t>Which data elements of your process have no obvious home in the GTM data domains?</t>
        </is>
      </c>
      <c r="O119" s="14" t="n"/>
    </row>
    <row r="120">
      <c r="A120" s="13" t="inlineStr">
        <is>
          <t>K-M10-08</t>
        </is>
      </c>
      <c r="B120" s="13" t="inlineStr">
        <is>
          <t>M10</t>
        </is>
      </c>
      <c r="C120" s="13" t="inlineStr">
        <is>
          <t>Core</t>
        </is>
      </c>
      <c r="D120" s="13" t="inlineStr">
        <is>
          <t>Profiling your own data before the data map</t>
        </is>
      </c>
      <c r="E120" s="13" t="inlineStr">
        <is>
          <t>Apply the profiling checklist (data mapping spec Part 5) and the AS400 data traps (trade systems primer 4.8) to your top three data elements.</t>
        </is>
      </c>
      <c r="F120" s="13" t="inlineStr">
        <is>
          <t>Self-study</t>
        </is>
      </c>
      <c r="G120" s="13" t="inlineStr">
        <is>
          <t>docs/templates/bsa/04-data-mapping-spec.md</t>
        </is>
      </c>
      <c r="H120" s="13" t="n">
        <v>11</v>
      </c>
      <c r="I120" s="15">
        <f>ProgramStart+(H120-1)*7</f>
        <v/>
      </c>
      <c r="J120" s="14" t="inlineStr">
        <is>
          <t>Not started</t>
        </is>
      </c>
      <c r="K120" s="16" t="n"/>
      <c r="L120" s="14" t="n"/>
      <c r="M120" s="14" t="n"/>
      <c r="N120" s="13" t="inlineStr">
        <is>
          <t>Which AS400 data trap did you find in your own data, and how did you prove it?</t>
        </is>
      </c>
      <c r="O120" s="14" t="n"/>
    </row>
    <row r="121">
      <c r="A121" s="13" t="inlineStr">
        <is>
          <t>K-M11-01</t>
        </is>
      </c>
      <c r="B121" s="13" t="inlineStr">
        <is>
          <t>M11</t>
        </is>
      </c>
      <c r="C121" s="13" t="inlineStr">
        <is>
          <t>Core</t>
        </is>
      </c>
      <c r="D121" s="13" t="inlineStr">
        <is>
          <t>Which Copilot we use, what it can see, enterprise data protection and setup</t>
        </is>
      </c>
      <c r="E121" s="13" t="inlineStr">
        <is>
          <t>Say which Copilot experience your work account has, what Copilot Chat can and cannot see here, what enterprise data protection does and does not promise, and complete the setup checklist.</t>
        </is>
      </c>
      <c r="F121" s="13" t="inlineStr">
        <is>
          <t>Manager</t>
        </is>
      </c>
      <c r="G121" s="13" t="inlineStr">
        <is>
          <t>docs/primers/copilot-chat-guide.md</t>
        </is>
      </c>
      <c r="H121" s="13" t="n">
        <v>1</v>
      </c>
      <c r="I121" s="15">
        <f>ProgramStart+(H121-1)*7</f>
        <v/>
      </c>
      <c r="J121" s="14" t="inlineStr">
        <is>
          <t>Not started</t>
        </is>
      </c>
      <c r="K121" s="16" t="n"/>
      <c r="L121" s="14" t="n"/>
      <c r="M121" s="14" t="n"/>
      <c r="N121" s="13" t="inlineStr">
        <is>
          <t>Which Copilot does the guide cover, how do you check which experience you have, and what are three things enterprise data protection does not mean?</t>
        </is>
      </c>
      <c r="O121" s="14" t="n"/>
    </row>
    <row r="122">
      <c r="A122" s="13" t="inlineStr">
        <is>
          <t>K-M11-02</t>
        </is>
      </c>
      <c r="B122" s="13" t="inlineStr">
        <is>
          <t>M11</t>
        </is>
      </c>
      <c r="C122" s="13" t="inlineStr">
        <is>
          <t>Core</t>
        </is>
      </c>
      <c r="D122" s="13" t="inlineStr">
        <is>
          <t>Rules first: the AI policy, what you may paste, output is a draft, the sandbox rule</t>
        </is>
      </c>
      <c r="E122" s="13" t="inlineStr">
        <is>
          <t>Apply the paste rules, treat every output as a draft, and follow the sandbox rule for any code Copilot writes, including the stricter rule for Oracle EBS.</t>
        </is>
      </c>
      <c r="F122" s="13" t="inlineStr">
        <is>
          <t>Manager</t>
        </is>
      </c>
      <c r="G122" s="13" t="inlineStr">
        <is>
          <t>docs/primers/copilot-chat-guide.md</t>
        </is>
      </c>
      <c r="H122" s="13" t="n">
        <v>1</v>
      </c>
      <c r="I122" s="15">
        <f>ProgramStart+(H122-1)*7</f>
        <v/>
      </c>
      <c r="J122" s="14" t="inlineStr">
        <is>
          <t>Not started</t>
        </is>
      </c>
      <c r="K122" s="16" t="n"/>
      <c r="L122" s="14" t="n"/>
      <c r="M122" s="14" t="n"/>
      <c r="N122" s="13" t="inlineStr">
        <is>
          <t>You need a new query on Oracle EBS and Copilot offers to write it: what are the rules?</t>
        </is>
      </c>
      <c r="O122" s="14" t="n"/>
    </row>
    <row r="123">
      <c r="A123" s="13" t="inlineStr">
        <is>
          <t>K-M11-03</t>
        </is>
      </c>
      <c r="B123" s="13" t="inlineStr">
        <is>
          <t>M11</t>
        </is>
      </c>
      <c r="C123" s="13" t="inlineStr">
        <is>
          <t>Core</t>
        </is>
      </c>
      <c r="D123" s="13" t="inlineStr">
        <is>
          <t>Prompting that works: goal, context, source and expectations</t>
        </is>
      </c>
      <c r="E123" s="13" t="inlineStr">
        <is>
          <t>Write prompts with a goal, context, source and expectations, ask for assumptions and a check list, and iterate on the answer.</t>
        </is>
      </c>
      <c r="F123" s="13" t="inlineStr">
        <is>
          <t>Self-study</t>
        </is>
      </c>
      <c r="G123" s="13" t="inlineStr">
        <is>
          <t>docs/primers/copilot-chat-guide.md</t>
        </is>
      </c>
      <c r="H123" s="13" t="n">
        <v>2</v>
      </c>
      <c r="I123" s="15">
        <f>ProgramStart+(H123-1)*7</f>
        <v/>
      </c>
      <c r="J123" s="14" t="inlineStr">
        <is>
          <t>Not started</t>
        </is>
      </c>
      <c r="K123" s="16" t="n"/>
      <c r="L123" s="14" t="n"/>
      <c r="M123" s="14" t="n"/>
      <c r="N123" s="13" t="inlineStr">
        <is>
          <t>How would you rewrite one of your own weak prompts with a goal, context, source and expectations, and which checks would you ask Copilot to list?</t>
        </is>
      </c>
      <c r="O123" s="14" t="n"/>
    </row>
    <row r="124">
      <c r="A124" s="13" t="inlineStr">
        <is>
          <t>K-M11-04</t>
        </is>
      </c>
      <c r="B124" s="13" t="inlineStr">
        <is>
          <t>M11</t>
        </is>
      </c>
      <c r="C124" s="13" t="inlineStr">
        <is>
          <t>Core</t>
        </is>
      </c>
      <c r="D124" s="13" t="inlineStr">
        <is>
          <t>What Copilot gets wrong in trade work</t>
        </is>
      </c>
      <c r="E124" s="13" t="inlineStr">
        <is>
          <t>Recognize invented citations and HTS codes, stale tariff status, arithmetic slips and SQL that answers a different question, and name the check for each.</t>
        </is>
      </c>
      <c r="F124" s="13" t="inlineStr">
        <is>
          <t>Self-study</t>
        </is>
      </c>
      <c r="G124" s="13" t="inlineStr">
        <is>
          <t>docs/primers/copilot-chat-guide.md</t>
        </is>
      </c>
      <c r="H124" s="13" t="n">
        <v>2</v>
      </c>
      <c r="I124" s="15">
        <f>ProgramStart+(H124-1)*7</f>
        <v/>
      </c>
      <c r="J124" s="14" t="inlineStr">
        <is>
          <t>Not started</t>
        </is>
      </c>
      <c r="K124" s="16" t="n"/>
      <c r="L124" s="14" t="n"/>
      <c r="M124" s="14" t="n"/>
      <c r="N124" s="13" t="inlineStr">
        <is>
          <t>Copilot gives you 12 HTS rows from an annex: which three checks do you run before you use any of them?</t>
        </is>
      </c>
      <c r="O124" s="14" t="n"/>
    </row>
    <row r="125">
      <c r="A125" s="13" t="inlineStr">
        <is>
          <t>K-M11-05</t>
        </is>
      </c>
      <c r="B125" s="13" t="inlineStr">
        <is>
          <t>M11</t>
        </is>
      </c>
      <c r="C125" s="13" t="inlineStr">
        <is>
          <t>Core</t>
        </is>
      </c>
      <c r="D125" s="13" t="inlineStr">
        <is>
          <t>Copilot use cases for Research, Standard Cost, data, tools and BSA work</t>
        </is>
      </c>
      <c r="E125" s="13" t="inlineStr">
        <is>
          <t>Read the guide's use-case subsection the first time you use Copilot for a task, and do its verification steps every time.</t>
        </is>
      </c>
      <c r="F125" s="13" t="inlineStr">
        <is>
          <t>Self-study</t>
        </is>
      </c>
      <c r="G125" s="13" t="inlineStr">
        <is>
          <t>docs/primers/copilot-chat-guide.md</t>
        </is>
      </c>
      <c r="H125" s="13" t="n">
        <v>3</v>
      </c>
      <c r="I125" s="15">
        <f>ProgramStart+(H125-1)*7</f>
        <v/>
      </c>
      <c r="J125" s="14" t="inlineStr">
        <is>
          <t>Not started</t>
        </is>
      </c>
      <c r="K125" s="16" t="n"/>
      <c r="L125" s="14" t="n"/>
      <c r="M125" s="14" t="n"/>
      <c r="N125" s="13" t="inlineStr">
        <is>
          <t>Hire B wants to ask Copilot which of our items a new action covers: what is wrong with that?</t>
        </is>
      </c>
      <c r="O125" s="14" t="n"/>
    </row>
    <row r="126">
      <c r="A126" s="13" t="inlineStr">
        <is>
          <t>K-M11-06</t>
        </is>
      </c>
      <c r="B126" s="13" t="inlineStr">
        <is>
          <t>M11</t>
        </is>
      </c>
      <c r="C126" s="13" t="inlineStr">
        <is>
          <t>Core</t>
        </is>
      </c>
      <c r="D126" s="13" t="inlineStr">
        <is>
          <t>The Copilot use log and the W4 use-log review</t>
        </is>
      </c>
      <c r="E126" s="13" t="inlineStr">
        <is>
          <t>Log every work use with the prompt, what the output was used for, what was verified and how, and the outcome, and have 5 reviewed uses by day 30.</t>
        </is>
      </c>
      <c r="F126" s="13" t="inlineStr">
        <is>
          <t>Manager</t>
        </is>
      </c>
      <c r="G126" s="13" t="inlineStr">
        <is>
          <t>docs/primers/copilot-chat-guide.md</t>
        </is>
      </c>
      <c r="H126" s="13" t="n">
        <v>4</v>
      </c>
      <c r="I126" s="15">
        <f>ProgramStart+(H126-1)*7</f>
        <v/>
      </c>
      <c r="J126" s="14" t="inlineStr">
        <is>
          <t>Not started</t>
        </is>
      </c>
      <c r="K126" s="16" t="n"/>
      <c r="L126" s="14" t="n"/>
      <c r="M126" s="14" t="n"/>
      <c r="N126" s="13" t="inlineStr">
        <is>
          <t>What are the six fields of a use log entry, and what makes a Verified entry good enough to be reviewed?</t>
        </is>
      </c>
      <c r="O126" s="14" t="n"/>
    </row>
    <row r="127">
      <c r="A127" s="13" t="inlineStr">
        <is>
          <t>K-M11-07</t>
        </is>
      </c>
      <c r="B127" s="13" t="inlineStr">
        <is>
          <t>M11</t>
        </is>
      </c>
      <c r="C127" s="13" t="inlineStr">
        <is>
          <t>Core</t>
        </is>
      </c>
      <c r="D127" s="13" t="inlineStr">
        <is>
          <t>The team Copilot prompt library: proposing and reviewing entries</t>
        </is>
      </c>
      <c r="E127" s="13" t="inlineStr">
        <is>
          <t>Propose a first library entry by day 60 and have 3 of your own entries reviewed by the Manager by day 90, each with a Verify step someone else could repeat.</t>
        </is>
      </c>
      <c r="F127" s="13" t="inlineStr">
        <is>
          <t>Self-study</t>
        </is>
      </c>
      <c r="G127" s="13" t="inlineStr">
        <is>
          <t>docs/templates/knowledge/copilot-prompt-library.md</t>
        </is>
      </c>
      <c r="H127" s="13" t="n">
        <v>9</v>
      </c>
      <c r="I127" s="15">
        <f>ProgramStart+(H127-1)*7</f>
        <v/>
      </c>
      <c r="J127" s="14" t="inlineStr">
        <is>
          <t>Not started</t>
        </is>
      </c>
      <c r="K127" s="16" t="n"/>
      <c r="L127" s="14" t="n"/>
      <c r="M127" s="14" t="n"/>
      <c r="N127" s="13" t="inlineStr">
        <is>
          <t>What must be true before you propose a prompt library entry, and what makes its Verify step good enough?</t>
        </is>
      </c>
      <c r="O127" s="14" t="n"/>
    </row>
    <row r="128">
      <c r="A128" s="13" t="inlineStr">
        <is>
          <t>K-M12-01</t>
        </is>
      </c>
      <c r="B128" s="13" t="inlineStr">
        <is>
          <t>M12</t>
        </is>
      </c>
      <c r="C128" s="13" t="inlineStr">
        <is>
          <t>Core</t>
        </is>
      </c>
      <c r="D128" s="13" t="inlineStr">
        <is>
          <t>Data platform safe-use rules</t>
        </is>
      </c>
      <c r="E128" s="13" t="inlineStr">
        <is>
          <t>State the twelve safe-use rules in your own words and follow them from your first SSMS or DBeaver session.</t>
        </is>
      </c>
      <c r="F128" s="13" t="inlineStr">
        <is>
          <t>Self-study</t>
        </is>
      </c>
      <c r="G128" s="13" t="inlineStr">
        <is>
          <t>docs/primers/data-platform-primer.md</t>
        </is>
      </c>
      <c r="H128" s="13" t="n">
        <v>1</v>
      </c>
      <c r="I128" s="15">
        <f>ProgramStart+(H128-1)*7</f>
        <v/>
      </c>
      <c r="J128" s="14" t="inlineStr">
        <is>
          <t>Not started</t>
        </is>
      </c>
      <c r="K128" s="16" t="n"/>
      <c r="L128" s="14" t="n"/>
      <c r="M128" s="14" t="n"/>
      <c r="N128" s="13" t="inlineStr">
        <is>
          <t>DBeaver asks you to confirm a statement on the EBS connection: what does that tell you, and what do you do?</t>
        </is>
      </c>
      <c r="O128" s="14" t="n"/>
    </row>
    <row r="129">
      <c r="A129" s="13" t="inlineStr">
        <is>
          <t>K-M12-02</t>
        </is>
      </c>
      <c r="B129" s="13" t="inlineStr">
        <is>
          <t>M12</t>
        </is>
      </c>
      <c r="C129" s="13" t="inlineStr">
        <is>
          <t>Core</t>
        </is>
      </c>
      <c r="D129" s="13" t="inlineStr">
        <is>
          <t>The platform map: components and the data path</t>
        </is>
      </c>
      <c r="E129" s="13" t="inlineStr">
        <is>
          <t>Walk the data path from an Oracle EBS receipt to a number on a Power BI report, and name each component, connection and account on the way.</t>
        </is>
      </c>
      <c r="F129" s="13" t="inlineStr">
        <is>
          <t>Manager</t>
        </is>
      </c>
      <c r="G129" s="13" t="inlineStr">
        <is>
          <t>docs/primers/data-platform-primer.md</t>
        </is>
      </c>
      <c r="H129" s="13" t="n">
        <v>2</v>
      </c>
      <c r="I129" s="15">
        <f>ProgramStart+(H129-1)*7</f>
        <v/>
      </c>
      <c r="J129" s="14" t="inlineStr">
        <is>
          <t>Not started</t>
        </is>
      </c>
      <c r="K129" s="16" t="n"/>
      <c r="L129" s="14" t="n"/>
      <c r="M129" s="14" t="n"/>
      <c r="N129" s="13" t="inlineStr">
        <is>
          <t>On the path from an EBS receipt to a number on a Power BI report, at which hops can the number be out of date?</t>
        </is>
      </c>
      <c r="O129" s="14" t="n"/>
    </row>
    <row r="130">
      <c r="A130" s="13" t="inlineStr">
        <is>
          <t>K-M12-03</t>
        </is>
      </c>
      <c r="B130" s="13" t="inlineStr">
        <is>
          <t>M12</t>
        </is>
      </c>
      <c r="C130" s="13" t="inlineStr">
        <is>
          <t>Core</t>
        </is>
      </c>
      <c r="D130" s="13" t="inlineStr">
        <is>
          <t>Personal and service accounts: the recommended model</t>
        </is>
      </c>
      <c r="E130" s="13" t="inlineStr">
        <is>
          <t>Explain why all interactive work uses your personal login, what the service account is for, and what to do if anyone offers you a shared login.</t>
        </is>
      </c>
      <c r="F130" s="13" t="inlineStr">
        <is>
          <t>Manager</t>
        </is>
      </c>
      <c r="G130" s="13" t="inlineStr">
        <is>
          <t>docs/primers/data-platform-primer.md</t>
        </is>
      </c>
      <c r="H130" s="13" t="n">
        <v>2</v>
      </c>
      <c r="I130" s="15">
        <f>ProgramStart+(H130-1)*7</f>
        <v/>
      </c>
      <c r="J130" s="14" t="inlineStr">
        <is>
          <t>Not started</t>
        </is>
      </c>
      <c r="K130" s="16" t="n"/>
      <c r="L130" s="14" t="n"/>
      <c r="M130" s="14" t="n"/>
      <c r="N130" s="13" t="inlineStr">
        <is>
          <t>What is the recommended service-account model, and what do you say and do if a colleague offers you its password?</t>
        </is>
      </c>
      <c r="O130" s="14" t="n"/>
    </row>
    <row r="131">
      <c r="A131" s="13" t="inlineStr">
        <is>
          <t>K-M12-04</t>
        </is>
      </c>
      <c r="B131" s="13" t="inlineStr">
        <is>
          <t>M12</t>
        </is>
      </c>
      <c r="C131" s="13" t="inlineStr">
        <is>
          <t>Core</t>
        </is>
      </c>
      <c r="D131" s="13" t="inlineStr">
        <is>
          <t>The team database in SSMS: views first, query habits, sandbox loads, schema change requests</t>
        </is>
      </c>
      <c r="E131" s="13" t="inlineStr">
        <is>
          <t>Find the right view, write safe read queries, load a file into the sandbox with checks and clean-up, and say who changes the schema and how to ask for it.</t>
        </is>
      </c>
      <c r="F131" s="13" t="inlineStr">
        <is>
          <t>Self-study</t>
        </is>
      </c>
      <c r="G131" s="13" t="inlineStr">
        <is>
          <t>docs/primers/data-platform-primer.md</t>
        </is>
      </c>
      <c r="H131" s="13" t="n">
        <v>3</v>
      </c>
      <c r="I131" s="15">
        <f>ProgramStart+(H131-1)*7</f>
        <v/>
      </c>
      <c r="J131" s="14" t="inlineStr">
        <is>
          <t>Not started</t>
        </is>
      </c>
      <c r="K131" s="16" t="n"/>
      <c r="L131" s="14" t="n"/>
      <c r="M131" s="14" t="n"/>
      <c r="N131" s="13" t="inlineStr">
        <is>
          <t>Why must TOP come with ORDER BY, and what may you do in the sandbox that you may not do anywhere else?</t>
        </is>
      </c>
      <c r="O131" s="14" t="n"/>
    </row>
    <row r="132">
      <c r="A132" s="13" t="inlineStr">
        <is>
          <t>K-M12-05</t>
        </is>
      </c>
      <c r="B132" s="13" t="inlineStr">
        <is>
          <t>M12</t>
        </is>
      </c>
      <c r="C132" s="13" t="inlineStr">
        <is>
          <t>Core</t>
        </is>
      </c>
      <c r="D132" s="13" t="inlineStr">
        <is>
          <t>Oracle EBS production in DBeaver, read-only</t>
        </is>
      </c>
      <c r="E132" s="13" t="inlineStr">
        <is>
          <t>Use the read-only EBS connection settings, write short, filtered SELECT queries, and export only what the task needs.</t>
        </is>
      </c>
      <c r="F132" s="13" t="inlineStr">
        <is>
          <t>Self-study</t>
        </is>
      </c>
      <c r="G132" s="13" t="inlineStr">
        <is>
          <t>docs/primers/data-platform-primer.md</t>
        </is>
      </c>
      <c r="H132" s="13" t="n">
        <v>3</v>
      </c>
      <c r="I132" s="15">
        <f>ProgramStart+(H132-1)*7</f>
        <v/>
      </c>
      <c r="J132" s="14" t="inlineStr">
        <is>
          <t>Not started</t>
        </is>
      </c>
      <c r="K132" s="16" t="n"/>
      <c r="L132" s="14" t="n"/>
      <c r="M132" s="14" t="n"/>
      <c r="N132" s="13" t="inlineStr">
        <is>
          <t>Which DBeaver settings do you use for EBS, and why is the read-only database account still the real control?</t>
        </is>
      </c>
      <c r="O132" s="14" t="n"/>
    </row>
    <row r="133">
      <c r="A133" s="13" t="inlineStr">
        <is>
          <t>K-M12-06</t>
        </is>
      </c>
      <c r="B133" s="13" t="inlineStr">
        <is>
          <t>M12</t>
        </is>
      </c>
      <c r="C133" s="13" t="inlineStr">
        <is>
          <t>Core</t>
        </is>
      </c>
      <c r="D133" s="13" t="inlineStr">
        <is>
          <t>SSMS lab in the team database</t>
        </is>
      </c>
      <c r="E133" s="13" t="inlineStr">
        <is>
          <t>Complete the eight SSMS lab steps, including one sandbox load and drop, and post the scripts and the lab note for the Senior's SQL review.</t>
        </is>
      </c>
      <c r="F133" s="13" t="inlineStr">
        <is>
          <t>Senior</t>
        </is>
      </c>
      <c r="G133" s="13" t="inlineStr">
        <is>
          <t>docs/primers/data-platform-primer.md</t>
        </is>
      </c>
      <c r="H133" s="13" t="n">
        <v>4</v>
      </c>
      <c r="I133" s="15">
        <f>ProgramStart+(H133-1)*7</f>
        <v/>
      </c>
      <c r="J133" s="14" t="inlineStr">
        <is>
          <t>Not started</t>
        </is>
      </c>
      <c r="K133" s="16" t="n"/>
      <c r="L133" s="14" t="n"/>
      <c r="M133" s="14" t="n"/>
      <c r="N133" s="13" t="inlineStr">
        <is>
          <t>After you load suppliers.csv into the sandbox, which checks prove the load is right, and how do you show the table is gone?</t>
        </is>
      </c>
      <c r="O133" s="14" t="n"/>
    </row>
    <row r="134">
      <c r="A134" s="13" t="inlineStr">
        <is>
          <t>K-M12-07</t>
        </is>
      </c>
      <c r="B134" s="13" t="inlineStr">
        <is>
          <t>M12</t>
        </is>
      </c>
      <c r="C134" s="13" t="inlineStr">
        <is>
          <t>Core</t>
        </is>
      </c>
      <c r="D134" s="13" t="inlineStr">
        <is>
          <t>Power BI premium workspace, gateway and refresh failures</t>
        </is>
      </c>
      <c r="E134" s="13" t="inlineStr">
        <is>
          <t>Explain workspace roles, scheduled refresh and the gateway, and say where to look first and who fixes each common refresh failure.</t>
        </is>
      </c>
      <c r="F134" s="13" t="inlineStr">
        <is>
          <t>Self-study</t>
        </is>
      </c>
      <c r="G134" s="13" t="inlineStr">
        <is>
          <t>docs/primers/data-platform-primer.md</t>
        </is>
      </c>
      <c r="H134" s="13" t="n">
        <v>5</v>
      </c>
      <c r="I134" s="15">
        <f>ProgramStart+(H134-1)*7</f>
        <v/>
      </c>
      <c r="J134" s="14" t="inlineStr">
        <is>
          <t>Not started</t>
        </is>
      </c>
      <c r="K134" s="16" t="n"/>
      <c r="L134" s="14" t="n"/>
      <c r="M134" s="14" t="n"/>
      <c r="N134" s="13" t="inlineStr">
        <is>
          <t>A report shows last Tuesday's data: where do you look first, and whose credentials does a gateway refresh use?</t>
        </is>
      </c>
      <c r="O134" s="14" t="n"/>
    </row>
    <row r="135">
      <c r="A135" s="13" t="inlineStr">
        <is>
          <t>K-M12-08</t>
        </is>
      </c>
      <c r="B135" s="13" t="inlineStr">
        <is>
          <t>M12</t>
        </is>
      </c>
      <c r="C135" s="13" t="inlineStr">
        <is>
          <t>Core</t>
        </is>
      </c>
      <c r="D135" s="13" t="inlineStr">
        <is>
          <t>Power Automate and Power Apps on our databases, and the Power Platform lab</t>
        </is>
      </c>
      <c r="E135" s="13" t="inlineStr">
        <is>
          <t>Trace one semantic model refresh and one flow run read-only, and explain what breaks when a flow's maker leaves.</t>
        </is>
      </c>
      <c r="F135" s="13" t="inlineStr">
        <is>
          <t>Self-study</t>
        </is>
      </c>
      <c r="G135" s="13" t="inlineStr">
        <is>
          <t>docs/primers/data-platform-primer.md</t>
        </is>
      </c>
      <c r="H135" s="13" t="n">
        <v>5</v>
      </c>
      <c r="I135" s="15">
        <f>ProgramStart+(H135-1)*7</f>
        <v/>
      </c>
      <c r="J135" s="14" t="inlineStr">
        <is>
          <t>Not started</t>
        </is>
      </c>
      <c r="K135" s="16" t="n"/>
      <c r="L135" s="14" t="n"/>
      <c r="M135" s="14" t="n"/>
      <c r="N135" s="13" t="inlineStr">
        <is>
          <t>The maker of a flow leaves the company: what breaks, and what would have prevented it?</t>
        </is>
      </c>
      <c r="O135" s="14" t="n"/>
    </row>
    <row r="136">
      <c r="A136" s="13" t="inlineStr">
        <is>
          <t>K-M12-09</t>
        </is>
      </c>
      <c r="B136" s="13" t="inlineStr">
        <is>
          <t>M12</t>
        </is>
      </c>
      <c r="C136" s="13" t="inlineStr">
        <is>
          <t>Core</t>
        </is>
      </c>
      <c r="D136" s="13" t="inlineStr">
        <is>
          <t>The remote server, triage and the server lab</t>
        </is>
      </c>
      <c r="E136" s="13" t="inlineStr">
        <is>
          <t>Tour the server read-only, read the Task Scheduler history of a team job, and follow the triage steps when something breaks.</t>
        </is>
      </c>
      <c r="F136" s="13" t="inlineStr">
        <is>
          <t>Self-study</t>
        </is>
      </c>
      <c r="G136" s="13" t="inlineStr">
        <is>
          <t>docs/primers/data-platform-primer.md</t>
        </is>
      </c>
      <c r="H136" s="13" t="n">
        <v>6</v>
      </c>
      <c r="I136" s="15">
        <f>ProgramStart+(H136-1)*7</f>
        <v/>
      </c>
      <c r="J136" s="14" t="inlineStr">
        <is>
          <t>Not started</t>
        </is>
      </c>
      <c r="K136" s="16" t="n"/>
      <c r="L136" s="14" t="n"/>
      <c r="M136" s="14" t="n"/>
      <c r="N136" s="13" t="inlineStr">
        <is>
          <t>When do you sign out of Remote Desktop rather than disconnect, and what do you do if you find a password in a script on the server?</t>
        </is>
      </c>
      <c r="O136" s="14" t="n"/>
    </row>
    <row r="137">
      <c r="A137" s="13" t="inlineStr">
        <is>
          <t>K-M13-01</t>
        </is>
      </c>
      <c r="B137" s="13" t="inlineStr">
        <is>
          <t>M13</t>
        </is>
      </c>
      <c r="C137" s="13" t="inlineStr">
        <is>
          <t>Core</t>
        </is>
      </c>
      <c r="D137" s="13" t="inlineStr">
        <is>
          <t>What the SDLC is: the phases, their templates and the five rules</t>
        </is>
      </c>
      <c r="E137" s="13" t="inlineStr">
        <is>
          <t>Name the eight SDLC phases with the team template for each, and the five rules that run through the SDLC primer.</t>
        </is>
      </c>
      <c r="F137" s="13" t="inlineStr">
        <is>
          <t>Self-study</t>
        </is>
      </c>
      <c r="G137" s="13" t="inlineStr">
        <is>
          <t>docs/primers/sdlc-primer.md</t>
        </is>
      </c>
      <c r="H137" s="13" t="n">
        <v>5</v>
      </c>
      <c r="I137" s="15">
        <f>ProgramStart+(H137-1)*7</f>
        <v/>
      </c>
      <c r="J137" s="14" t="inlineStr">
        <is>
          <t>Not started</t>
        </is>
      </c>
      <c r="K137" s="16" t="n"/>
      <c r="L137" s="14" t="n"/>
      <c r="M137" s="14" t="n"/>
      <c r="N137" s="13" t="inlineStr">
        <is>
          <t>What are the eight SDLC phases and the team template for each, and which of the five rules changes at the day-60 review?</t>
        </is>
      </c>
      <c r="O137" s="14" t="n"/>
    </row>
    <row r="138">
      <c r="A138" s="13" t="inlineStr">
        <is>
          <t>K-M13-02</t>
        </is>
      </c>
      <c r="B138" s="13" t="inlineStr">
        <is>
          <t>M13</t>
        </is>
      </c>
      <c r="C138" s="13" t="inlineStr">
        <is>
          <t>Core</t>
        </is>
      </c>
      <c r="D138" s="13" t="inlineStr">
        <is>
          <t>Delivery models and environments</t>
        </is>
      </c>
      <c r="E138" s="13" t="inlineStr">
        <is>
          <t>Compare waterfall, the V-model, Scrum and Kanban, explain how a vendor GTM implementation runs, and set up a safe test copy with suitable test data.</t>
        </is>
      </c>
      <c r="F138" s="13" t="inlineStr">
        <is>
          <t>Self-study</t>
        </is>
      </c>
      <c r="G138" s="13" t="inlineStr">
        <is>
          <t>docs/primers/sdlc-primer.md</t>
        </is>
      </c>
      <c r="H138" s="13" t="n">
        <v>5</v>
      </c>
      <c r="I138" s="15">
        <f>ProgramStart+(H138-1)*7</f>
        <v/>
      </c>
      <c r="J138" s="14" t="inlineStr">
        <is>
          <t>Not started</t>
        </is>
      </c>
      <c r="K138" s="16" t="n"/>
      <c r="L138" s="14" t="n"/>
      <c r="M138" s="14" t="n"/>
      <c r="N138" s="13" t="inlineStr">
        <is>
          <t>You set up a test copy of an Excel tool that writes a broker file: what must you change before you run it?</t>
        </is>
      </c>
      <c r="O138" s="14" t="n"/>
    </row>
    <row r="139">
      <c r="A139" s="13" t="inlineStr">
        <is>
          <t>K-M13-03</t>
        </is>
      </c>
      <c r="B139" s="13" t="inlineStr">
        <is>
          <t>M13</t>
        </is>
      </c>
      <c r="C139" s="13" t="inlineStr">
        <is>
          <t>Core</t>
        </is>
      </c>
      <c r="D139" s="13" t="inlineStr">
        <is>
          <t>Version control, test levels and test evidence</t>
        </is>
      </c>
      <c r="E139" s="13" t="inlineStr">
        <is>
          <t>Keep versions and the change history in the tool doc, choose test levels and types, and write test cases with exact expected results.</t>
        </is>
      </c>
      <c r="F139" s="13" t="inlineStr">
        <is>
          <t>Self-study</t>
        </is>
      </c>
      <c r="G139" s="13" t="inlineStr">
        <is>
          <t>docs/primers/sdlc-primer.md</t>
        </is>
      </c>
      <c r="H139" s="13" t="n">
        <v>6</v>
      </c>
      <c r="I139" s="15">
        <f>ProgramStart+(H139-1)*7</f>
        <v/>
      </c>
      <c r="J139" s="14" t="inlineStr">
        <is>
          <t>Not started</t>
        </is>
      </c>
      <c r="K139" s="16" t="n"/>
      <c r="L139" s="14" t="n"/>
      <c r="M139" s="14" t="n"/>
      <c r="N139" s="13" t="inlineStr">
        <is>
          <t>What is the difference between confirmation testing and regression testing, and which runs first?</t>
        </is>
      </c>
      <c r="O139" s="14" t="n"/>
    </row>
    <row r="140">
      <c r="A140" s="13" t="inlineStr">
        <is>
          <t>K-M13-04</t>
        </is>
      </c>
      <c r="B140" s="13" t="inlineStr">
        <is>
          <t>M13</t>
        </is>
      </c>
      <c r="C140" s="13" t="inlineStr">
        <is>
          <t>Core</t>
        </is>
      </c>
      <c r="D140" s="13" t="inlineStr">
        <is>
          <t>SDLC by tool type and the owned-tool SDLC profile</t>
        </is>
      </c>
      <c r="E140" s="13" t="inlineStr">
        <is>
          <t>Write the SDLC profile for your owned tool: where its production and test copies live, and how it is built, tested, released and rolled back.</t>
        </is>
      </c>
      <c r="F140" s="13" t="inlineStr">
        <is>
          <t>Manager</t>
        </is>
      </c>
      <c r="G140" s="13" t="inlineStr">
        <is>
          <t>docs/primers/sdlc-primer.md</t>
        </is>
      </c>
      <c r="H140" s="13" t="n">
        <v>6</v>
      </c>
      <c r="I140" s="15">
        <f>ProgramStart+(H140-1)*7</f>
        <v/>
      </c>
      <c r="J140" s="14" t="inlineStr">
        <is>
          <t>Not started</t>
        </is>
      </c>
      <c r="K140" s="16" t="n"/>
      <c r="L140" s="14" t="n"/>
      <c r="M140" s="14" t="n"/>
      <c r="N140" s="13" t="inlineStr">
        <is>
          <t>For your owned tool, where do you look to know it ran last night, and who is told if it did not?</t>
        </is>
      </c>
      <c r="O140" s="14" t="n"/>
    </row>
    <row r="141">
      <c r="A141" s="13" t="inlineStr">
        <is>
          <t>K-M13-05</t>
        </is>
      </c>
      <c r="B141" s="13" t="inlineStr">
        <is>
          <t>M13</t>
        </is>
      </c>
      <c r="C141" s="13" t="inlineStr">
        <is>
          <t>Core</t>
        </is>
      </c>
      <c r="D141" s="13" t="inlineStr">
        <is>
          <t>Support and operations: incident, problem and change</t>
        </is>
      </c>
      <c r="E141" s="13" t="inlineStr">
        <is>
          <t>Tell incidents, problems and changes apart, monitor scheduled jobs, and follow the first-hour steps when something breaks.</t>
        </is>
      </c>
      <c r="F141" s="13" t="inlineStr">
        <is>
          <t>Self-study</t>
        </is>
      </c>
      <c r="G141" s="13" t="inlineStr">
        <is>
          <t>docs/primers/sdlc-primer.md</t>
        </is>
      </c>
      <c r="H141" s="13" t="n">
        <v>6</v>
      </c>
      <c r="I141" s="15">
        <f>ProgramStart+(H141-1)*7</f>
        <v/>
      </c>
      <c r="J141" s="14" t="inlineStr">
        <is>
          <t>Not started</t>
        </is>
      </c>
      <c r="K141" s="16" t="n"/>
      <c r="L141" s="14" t="n"/>
      <c r="M141" s="14" t="n"/>
      <c r="N141" s="13" t="inlineStr">
        <is>
          <t>Is each of these an incident, a problem or a change: the cost refresh failed last night; it fails every month-end; you move its schedule?</t>
        </is>
      </c>
      <c r="O141" s="14" t="n"/>
    </row>
    <row r="142">
      <c r="A142" s="13" t="inlineStr">
        <is>
          <t>K-M13-06</t>
        </is>
      </c>
      <c r="B142" s="13" t="inlineStr">
        <is>
          <t>M13</t>
        </is>
      </c>
      <c r="C142" s="13" t="inlineStr">
        <is>
          <t>Core</t>
        </is>
      </c>
      <c r="D142" s="13" t="inlineStr">
        <is>
          <t>Change control, release and rollback for the owned tool</t>
        </is>
      </c>
      <c r="E142" s="13" t="inlineStr">
        <is>
          <t>Take a change through a change request that names the environments, the test evidence and the rollback, with the right maker, checker, approver and implementer before and after day 60.</t>
        </is>
      </c>
      <c r="F142" s="13" t="inlineStr">
        <is>
          <t>Manager</t>
        </is>
      </c>
      <c r="G142" s="13" t="inlineStr">
        <is>
          <t>docs/primers/sdlc-primer.md</t>
        </is>
      </c>
      <c r="H142" s="13" t="n">
        <v>8</v>
      </c>
      <c r="I142" s="15">
        <f>ProgramStart+(H142-1)*7</f>
        <v/>
      </c>
      <c r="J142" s="14" t="inlineStr">
        <is>
          <t>Not started</t>
        </is>
      </c>
      <c r="K142" s="16" t="n"/>
      <c r="L142" s="14" t="n"/>
      <c r="M142" s="14" t="n"/>
      <c r="N142" s="13" t="inlineStr">
        <is>
          <t>Who are the maker, checker, approver and implementer for your W8 change, before and after day 60?</t>
        </is>
      </c>
      <c r="O142" s="14" t="n"/>
    </row>
    <row r="143">
      <c r="A143" s="13" t="inlineStr">
        <is>
          <t>K-M13-07</t>
        </is>
      </c>
      <c r="B143" s="13" t="inlineStr">
        <is>
          <t>M13</t>
        </is>
      </c>
      <c r="C143" s="13" t="inlineStr">
        <is>
          <t>Core</t>
        </is>
      </c>
      <c r="D143" s="13" t="inlineStr">
        <is>
          <t>Before the e2open kickoff: the vendor method and test phases</t>
        </is>
      </c>
      <c r="E143" s="13" t="inlineStr">
        <is>
          <t>Explain how a vendor GTM implementation moves from design to cutover, and what SIT and UAT each prove.</t>
        </is>
      </c>
      <c r="F143" s="13" t="inlineStr">
        <is>
          <t>Self-study</t>
        </is>
      </c>
      <c r="G143" s="13" t="inlineStr">
        <is>
          <t>docs/primers/sdlc-primer.md</t>
        </is>
      </c>
      <c r="H143" s="13" t="n">
        <v>12</v>
      </c>
      <c r="I143" s="15">
        <f>ProgramStart+(H143-1)*7</f>
        <v/>
      </c>
      <c r="J143" s="14" t="inlineStr">
        <is>
          <t>Not started</t>
        </is>
      </c>
      <c r="K143" s="16" t="n"/>
      <c r="L143" s="14" t="n"/>
      <c r="M143" s="14" t="n"/>
      <c r="N143" s="13" t="inlineStr">
        <is>
          <t>In a vendor implementation, what is the difference between SIT and UAT, and what is decided at cutover?</t>
        </is>
      </c>
      <c r="O143" s="14" t="n"/>
    </row>
  </sheetData>
  <autoFilter ref="A4:O143"/>
  <conditionalFormatting sqref="J5:J143">
    <cfRule type="expression" priority="1" dxfId="2">
      <formula>AND(TODAY()&gt;$I5+4,$J5&lt;&gt;"Covered",$J5&lt;&gt;"Teach-back done")</formula>
    </cfRule>
    <cfRule type="expression" priority="2" dxfId="0">
      <formula>$J5="Teach-back done"</formula>
    </cfRule>
  </conditionalFormatting>
  <dataValidations count="3">
    <dataValidation sqref="J5:J143" showDropDown="0" showInputMessage="0" showErrorMessage="0" allowBlank="1" type="list">
      <formula1>"Not started,In progress,Covered,Teach-back done"</formula1>
    </dataValidation>
    <dataValidation sqref="L5:L143" showDropDown="0" showInputMessage="1" showErrorMessage="0" allowBlank="1" prompt="1 = lost, 5 = could teach it" type="list">
      <formula1>"1,2,3,4,5"</formula1>
    </dataValidation>
    <dataValidation sqref="M5:M143" showDropDown="0" showInputMessage="0" showErrorMessage="0" allowBlank="1" type="list">
      <formula1>"Y,N"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9"/>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34" customWidth="1" min="3" max="3"/>
    <col width="18" customWidth="1" min="4" max="4"/>
    <col width="14" customWidth="1" min="5" max="5"/>
    <col width="26" customWidth="1" min="6" max="6"/>
    <col width="22" customWidth="1" min="7" max="7"/>
    <col width="12" customWidth="1" min="8" max="8"/>
    <col width="18" customWidth="1" min="9" max="9"/>
    <col width="14" customWidth="1" min="10" max="10"/>
    <col width="13" customWidth="1" min="11" max="11"/>
    <col width="28" customWidth="1" min="12" max="12"/>
    <col width="12" customWidth="1" min="13" max="13"/>
    <col width="13" customWidth="1" min="14" max="14"/>
    <col width="13" customWidth="1" min="15" max="15"/>
    <col width="24" customWidth="1" min="16" max="16"/>
    <col width="12" customWidth="1" min="17" max="17"/>
  </cols>
  <sheetData>
    <row r="1">
      <c r="A1" s="1" t="inlineStr">
        <is>
          <t>Custom tool inventory</t>
        </is>
      </c>
    </row>
    <row r="2">
      <c r="A2" s="2" t="inlineStr">
        <is>
          <t>Built by the hires in week 2. One row per tool; one tool doc per row (docs/templates/knowledge/tool-doc.md).</t>
        </is>
      </c>
    </row>
    <row r="4">
      <c r="A4" s="12" t="inlineStr">
        <is>
          <t>Tool ID</t>
        </is>
      </c>
      <c r="B4" s="12" t="inlineStr">
        <is>
          <t>Tool name</t>
        </is>
      </c>
      <c r="C4" s="12" t="inlineStr">
        <is>
          <t>Purpose / process supported</t>
        </is>
      </c>
      <c r="D4" s="12" t="inlineStr">
        <is>
          <t>Business users</t>
        </is>
      </c>
      <c r="E4" s="12" t="inlineStr">
        <is>
          <t>Stack</t>
        </is>
      </c>
      <c r="F4" s="12" t="inlineStr">
        <is>
          <t>Where code / file lives</t>
        </is>
      </c>
      <c r="G4" s="12" t="inlineStr">
        <is>
          <t>Data sources</t>
        </is>
      </c>
      <c r="H4" s="12" t="inlineStr">
        <is>
          <t>Run frequency</t>
        </is>
      </c>
      <c r="I4" s="12" t="inlineStr">
        <is>
          <t>Knowledge holder today</t>
        </is>
      </c>
      <c r="J4" s="12" t="inlineStr">
        <is>
          <t>Backup</t>
        </is>
      </c>
      <c r="K4" s="12" t="inlineStr">
        <is>
          <t>Documentation</t>
        </is>
      </c>
      <c r="L4" s="12" t="inlineStr">
        <is>
          <t>Known issues</t>
        </is>
      </c>
      <c r="M4" s="12" t="inlineStr">
        <is>
          <t>Risk if it breaks</t>
        </is>
      </c>
      <c r="N4" s="12" t="inlineStr">
        <is>
          <t>e2open impact</t>
        </is>
      </c>
      <c r="O4" s="12" t="inlineStr">
        <is>
          <t>Assigned learner</t>
        </is>
      </c>
      <c r="P4" s="12" t="inlineStr">
        <is>
          <t>Tool doc link</t>
        </is>
      </c>
      <c r="Q4" s="12" t="inlineStr">
        <is>
          <t>Target doc date</t>
        </is>
      </c>
    </row>
    <row r="5">
      <c r="A5" s="13" t="inlineStr">
        <is>
          <t>T-01</t>
        </is>
      </c>
      <c r="B5" s="14" t="inlineStr">
        <is>
          <t>[COMPANY: tool 1]</t>
        </is>
      </c>
      <c r="C5" s="14" t="n"/>
      <c r="D5" s="14" t="n"/>
      <c r="E5" s="14" t="n"/>
      <c r="F5" s="14" t="n"/>
      <c r="G5" s="14" t="n"/>
      <c r="H5" s="14" t="n"/>
      <c r="I5" s="14" t="n"/>
      <c r="J5" s="14" t="n"/>
      <c r="K5" s="14" t="n"/>
      <c r="L5" s="14" t="n"/>
      <c r="M5" s="14" t="n"/>
      <c r="N5" s="14" t="n"/>
      <c r="O5" s="14" t="n"/>
      <c r="P5" s="14" t="n"/>
      <c r="Q5" s="16" t="n"/>
    </row>
    <row r="6">
      <c r="A6" s="13" t="inlineStr">
        <is>
          <t>T-02</t>
        </is>
      </c>
      <c r="B6" s="14" t="inlineStr">
        <is>
          <t>[COMPANY: tool 2]</t>
        </is>
      </c>
      <c r="C6" s="14" t="n"/>
      <c r="D6" s="14" t="n"/>
      <c r="E6" s="14" t="n"/>
      <c r="F6" s="14" t="n"/>
      <c r="G6" s="14" t="n"/>
      <c r="H6" s="14" t="n"/>
      <c r="I6" s="14" t="n"/>
      <c r="J6" s="14" t="n"/>
      <c r="K6" s="14" t="n"/>
      <c r="L6" s="14" t="n"/>
      <c r="M6" s="14" t="n"/>
      <c r="N6" s="14" t="n"/>
      <c r="O6" s="14" t="n"/>
      <c r="P6" s="14" t="n"/>
      <c r="Q6" s="16" t="n"/>
    </row>
    <row r="7">
      <c r="A7" s="13" t="inlineStr">
        <is>
          <t>T-03</t>
        </is>
      </c>
      <c r="B7" s="14" t="inlineStr">
        <is>
          <t>[COMPANY: tool 3]</t>
        </is>
      </c>
      <c r="C7" s="14" t="n"/>
      <c r="D7" s="14" t="n"/>
      <c r="E7" s="14" t="n"/>
      <c r="F7" s="14" t="n"/>
      <c r="G7" s="14" t="n"/>
      <c r="H7" s="14" t="n"/>
      <c r="I7" s="14" t="n"/>
      <c r="J7" s="14" t="n"/>
      <c r="K7" s="14" t="n"/>
      <c r="L7" s="14" t="n"/>
      <c r="M7" s="14" t="n"/>
      <c r="N7" s="14" t="n"/>
      <c r="O7" s="14" t="n"/>
      <c r="P7" s="14" t="n"/>
      <c r="Q7" s="16" t="n"/>
    </row>
    <row r="8">
      <c r="A8" s="13" t="inlineStr">
        <is>
          <t>T-04</t>
        </is>
      </c>
      <c r="B8" s="14" t="inlineStr">
        <is>
          <t>[COMPANY: tool 4]</t>
        </is>
      </c>
      <c r="C8" s="14" t="n"/>
      <c r="D8" s="14" t="n"/>
      <c r="E8" s="14" t="n"/>
      <c r="F8" s="14" t="n"/>
      <c r="G8" s="14" t="n"/>
      <c r="H8" s="14" t="n"/>
      <c r="I8" s="14" t="n"/>
      <c r="J8" s="14" t="n"/>
      <c r="K8" s="14" t="n"/>
      <c r="L8" s="14" t="n"/>
      <c r="M8" s="14" t="n"/>
      <c r="N8" s="14" t="n"/>
      <c r="O8" s="14" t="n"/>
      <c r="P8" s="14" t="n"/>
      <c r="Q8" s="16" t="n"/>
    </row>
    <row r="9">
      <c r="A9" s="13" t="inlineStr">
        <is>
          <t>T-05</t>
        </is>
      </c>
      <c r="B9" s="14" t="inlineStr">
        <is>
          <t>[COMPANY: tool 5]</t>
        </is>
      </c>
      <c r="C9" s="14" t="n"/>
      <c r="D9" s="14" t="n"/>
      <c r="E9" s="14" t="n"/>
      <c r="F9" s="14" t="n"/>
      <c r="G9" s="14" t="n"/>
      <c r="H9" s="14" t="n"/>
      <c r="I9" s="14" t="n"/>
      <c r="J9" s="14" t="n"/>
      <c r="K9" s="14" t="n"/>
      <c r="L9" s="14" t="n"/>
      <c r="M9" s="14" t="n"/>
      <c r="N9" s="14" t="n"/>
      <c r="O9" s="14" t="n"/>
      <c r="P9" s="14" t="n"/>
      <c r="Q9" s="16" t="n"/>
    </row>
    <row r="10">
      <c r="A10" s="13" t="inlineStr">
        <is>
          <t>T-06</t>
        </is>
      </c>
      <c r="B10" s="14" t="inlineStr">
        <is>
          <t>[COMPANY: tool 6]</t>
        </is>
      </c>
      <c r="C10" s="14" t="n"/>
      <c r="D10" s="14" t="n"/>
      <c r="E10" s="14" t="n"/>
      <c r="F10" s="14" t="n"/>
      <c r="G10" s="14" t="n"/>
      <c r="H10" s="14" t="n"/>
      <c r="I10" s="14" t="n"/>
      <c r="J10" s="14" t="n"/>
      <c r="K10" s="14" t="n"/>
      <c r="L10" s="14" t="n"/>
      <c r="M10" s="14" t="n"/>
      <c r="N10" s="14" t="n"/>
      <c r="O10" s="14" t="n"/>
      <c r="P10" s="14" t="n"/>
      <c r="Q10" s="16" t="n"/>
    </row>
    <row r="11">
      <c r="A11" s="13" t="inlineStr">
        <is>
          <t>T-07</t>
        </is>
      </c>
      <c r="B11" s="14" t="inlineStr">
        <is>
          <t>[COMPANY: tool 7]</t>
        </is>
      </c>
      <c r="C11" s="14" t="n"/>
      <c r="D11" s="14" t="n"/>
      <c r="E11" s="14" t="n"/>
      <c r="F11" s="14" t="n"/>
      <c r="G11" s="14" t="n"/>
      <c r="H11" s="14" t="n"/>
      <c r="I11" s="14" t="n"/>
      <c r="J11" s="14" t="n"/>
      <c r="K11" s="14" t="n"/>
      <c r="L11" s="14" t="n"/>
      <c r="M11" s="14" t="n"/>
      <c r="N11" s="14" t="n"/>
      <c r="O11" s="14" t="n"/>
      <c r="P11" s="14" t="n"/>
      <c r="Q11" s="16" t="n"/>
    </row>
    <row r="12">
      <c r="A12" s="13" t="inlineStr">
        <is>
          <t>T-08</t>
        </is>
      </c>
      <c r="B12" s="14" t="inlineStr">
        <is>
          <t>[COMPANY: tool 8]</t>
        </is>
      </c>
      <c r="C12" s="14" t="n"/>
      <c r="D12" s="14" t="n"/>
      <c r="E12" s="14" t="n"/>
      <c r="F12" s="14" t="n"/>
      <c r="G12" s="14" t="n"/>
      <c r="H12" s="14" t="n"/>
      <c r="I12" s="14" t="n"/>
      <c r="J12" s="14" t="n"/>
      <c r="K12" s="14" t="n"/>
      <c r="L12" s="14" t="n"/>
      <c r="M12" s="14" t="n"/>
      <c r="N12" s="14" t="n"/>
      <c r="O12" s="14" t="n"/>
      <c r="P12" s="14" t="n"/>
      <c r="Q12" s="16" t="n"/>
    </row>
    <row r="13">
      <c r="A13" s="13" t="inlineStr">
        <is>
          <t>T-09</t>
        </is>
      </c>
      <c r="B13" s="14" t="inlineStr">
        <is>
          <t>[COMPANY: tool 9]</t>
        </is>
      </c>
      <c r="C13" s="14" t="n"/>
      <c r="D13" s="14" t="n"/>
      <c r="E13" s="14" t="n"/>
      <c r="F13" s="14" t="n"/>
      <c r="G13" s="14" t="n"/>
      <c r="H13" s="14" t="n"/>
      <c r="I13" s="14" t="n"/>
      <c r="J13" s="14" t="n"/>
      <c r="K13" s="14" t="n"/>
      <c r="L13" s="14" t="n"/>
      <c r="M13" s="14" t="n"/>
      <c r="N13" s="14" t="n"/>
      <c r="O13" s="14" t="n"/>
      <c r="P13" s="14" t="n"/>
      <c r="Q13" s="16" t="n"/>
    </row>
    <row r="14">
      <c r="A14" s="13" t="inlineStr">
        <is>
          <t>T-10</t>
        </is>
      </c>
      <c r="B14" s="14" t="inlineStr">
        <is>
          <t>[COMPANY: tool 10]</t>
        </is>
      </c>
      <c r="C14" s="14" t="n"/>
      <c r="D14" s="14" t="n"/>
      <c r="E14" s="14" t="n"/>
      <c r="F14" s="14" t="n"/>
      <c r="G14" s="14" t="n"/>
      <c r="H14" s="14" t="n"/>
      <c r="I14" s="14" t="n"/>
      <c r="J14" s="14" t="n"/>
      <c r="K14" s="14" t="n"/>
      <c r="L14" s="14" t="n"/>
      <c r="M14" s="14" t="n"/>
      <c r="N14" s="14" t="n"/>
      <c r="O14" s="14" t="n"/>
      <c r="P14" s="14" t="n"/>
      <c r="Q14" s="16" t="n"/>
    </row>
    <row r="15">
      <c r="A15" s="13" t="inlineStr">
        <is>
          <t>T-11</t>
        </is>
      </c>
      <c r="B15" s="14" t="inlineStr">
        <is>
          <t>[COMPANY: tool 11]</t>
        </is>
      </c>
      <c r="C15" s="14" t="n"/>
      <c r="D15" s="14" t="n"/>
      <c r="E15" s="14" t="n"/>
      <c r="F15" s="14" t="n"/>
      <c r="G15" s="14" t="n"/>
      <c r="H15" s="14" t="n"/>
      <c r="I15" s="14" t="n"/>
      <c r="J15" s="14" t="n"/>
      <c r="K15" s="14" t="n"/>
      <c r="L15" s="14" t="n"/>
      <c r="M15" s="14" t="n"/>
      <c r="N15" s="14" t="n"/>
      <c r="O15" s="14" t="n"/>
      <c r="P15" s="14" t="n"/>
      <c r="Q15" s="16" t="n"/>
    </row>
    <row r="16">
      <c r="A16" s="13" t="inlineStr">
        <is>
          <t>T-12</t>
        </is>
      </c>
      <c r="B16" s="14" t="inlineStr">
        <is>
          <t>[COMPANY: tool 12]</t>
        </is>
      </c>
      <c r="C16" s="14" t="n"/>
      <c r="D16" s="14" t="n"/>
      <c r="E16" s="14" t="n"/>
      <c r="F16" s="14" t="n"/>
      <c r="G16" s="14" t="n"/>
      <c r="H16" s="14" t="n"/>
      <c r="I16" s="14" t="n"/>
      <c r="J16" s="14" t="n"/>
      <c r="K16" s="14" t="n"/>
      <c r="L16" s="14" t="n"/>
      <c r="M16" s="14" t="n"/>
      <c r="N16" s="14" t="n"/>
      <c r="O16" s="14" t="n"/>
      <c r="P16" s="14" t="n"/>
      <c r="Q16" s="16" t="n"/>
    </row>
    <row r="17">
      <c r="A17" s="13" t="inlineStr">
        <is>
          <t>T-13</t>
        </is>
      </c>
      <c r="B17" s="14" t="inlineStr">
        <is>
          <t>[COMPANY: tool 13]</t>
        </is>
      </c>
      <c r="C17" s="14" t="n"/>
      <c r="D17" s="14" t="n"/>
      <c r="E17" s="14" t="n"/>
      <c r="F17" s="14" t="n"/>
      <c r="G17" s="14" t="n"/>
      <c r="H17" s="14" t="n"/>
      <c r="I17" s="14" t="n"/>
      <c r="J17" s="14" t="n"/>
      <c r="K17" s="14" t="n"/>
      <c r="L17" s="14" t="n"/>
      <c r="M17" s="14" t="n"/>
      <c r="N17" s="14" t="n"/>
      <c r="O17" s="14" t="n"/>
      <c r="P17" s="14" t="n"/>
      <c r="Q17" s="16" t="n"/>
    </row>
    <row r="18">
      <c r="A18" s="13" t="inlineStr">
        <is>
          <t>T-14</t>
        </is>
      </c>
      <c r="B18" s="14" t="inlineStr">
        <is>
          <t>[COMPANY: tool 14]</t>
        </is>
      </c>
      <c r="C18" s="14" t="n"/>
      <c r="D18" s="14" t="n"/>
      <c r="E18" s="14" t="n"/>
      <c r="F18" s="14" t="n"/>
      <c r="G18" s="14" t="n"/>
      <c r="H18" s="14" t="n"/>
      <c r="I18" s="14" t="n"/>
      <c r="J18" s="14" t="n"/>
      <c r="K18" s="14" t="n"/>
      <c r="L18" s="14" t="n"/>
      <c r="M18" s="14" t="n"/>
      <c r="N18" s="14" t="n"/>
      <c r="O18" s="14" t="n"/>
      <c r="P18" s="14" t="n"/>
      <c r="Q18" s="16" t="n"/>
    </row>
    <row r="19">
      <c r="A19" s="13" t="inlineStr">
        <is>
          <t>T-15</t>
        </is>
      </c>
      <c r="B19" s="14" t="inlineStr">
        <is>
          <t>[COMPANY: tool 15]</t>
        </is>
      </c>
      <c r="C19" s="14" t="n"/>
      <c r="D19" s="14" t="n"/>
      <c r="E19" s="14" t="n"/>
      <c r="F19" s="14" t="n"/>
      <c r="G19" s="14" t="n"/>
      <c r="H19" s="14" t="n"/>
      <c r="I19" s="14" t="n"/>
      <c r="J19" s="14" t="n"/>
      <c r="K19" s="14" t="n"/>
      <c r="L19" s="14" t="n"/>
      <c r="M19" s="14" t="n"/>
      <c r="N19" s="14" t="n"/>
      <c r="O19" s="14" t="n"/>
      <c r="P19" s="14" t="n"/>
      <c r="Q19" s="16" t="n"/>
    </row>
  </sheetData>
  <autoFilter ref="A4:Q19"/>
  <conditionalFormatting sqref="M5:M19">
    <cfRule type="expression" priority="1" dxfId="2">
      <formula>$M5="High"</formula>
    </cfRule>
  </conditionalFormatting>
  <conditionalFormatting sqref="K5:K19">
    <cfRule type="expression" priority="2" dxfId="1">
      <formula>$K5="None"</formula>
    </cfRule>
  </conditionalFormatting>
  <dataValidations count="5">
    <dataValidation sqref="E5:E19" showDropDown="0" showInputMessage="0" showErrorMessage="0" allowBlank="1" type="list">
      <formula1>"Python,Excel VBA,Access,Power Apps,Power Automate,Other"</formula1>
    </dataValidation>
    <dataValidation sqref="K5:K19" showDropDown="0" showInputMessage="0" showErrorMessage="0" allowBlank="1" type="list">
      <formula1>"None,Partial,Complete"</formula1>
    </dataValidation>
    <dataValidation sqref="M5:M19" showDropDown="0" showInputMessage="0" showErrorMessage="0" allowBlank="1" type="list">
      <formula1>"High,Medium,Low"</formula1>
    </dataValidation>
    <dataValidation sqref="N5:N19" showDropDown="0" showInputMessage="0" showErrorMessage="0" allowBlank="1" type="list">
      <formula1>"Replaced,Integrates,Unaffected,TBD"</formula1>
    </dataValidation>
    <dataValidation sqref="O5:O19" showDropDown="0" showInputMessage="0" showErrorMessage="0" allowBlank="1" type="list">
      <formula1>"Hire A,Hire B,Senior,Manager"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8"/>
  <sheetViews>
    <sheetView workbookViewId="0">
      <pane ySplit="4" topLeftCell="A5" activePane="bottomLeft" state="frozen"/>
      <selection pane="bottomLeft" activeCell="A1" sqref="A1"/>
    </sheetView>
  </sheetViews>
  <sheetFormatPr baseColWidth="8" defaultRowHeight="15"/>
  <cols>
    <col width="28" customWidth="1" min="1" max="1"/>
    <col width="90" customWidth="1" min="2" max="2"/>
    <col width="10" customWidth="1" min="3" max="3"/>
    <col width="14" customWidth="1" min="4" max="4"/>
  </cols>
  <sheetData>
    <row r="1">
      <c r="A1" s="1" t="inlineStr">
        <is>
          <t>Glossary</t>
        </is>
      </c>
    </row>
    <row r="2">
      <c r="A2" s="2" t="inlineStr">
        <is>
          <t>Filter by country or category. Add company-specific terms on the company copy only.</t>
        </is>
      </c>
    </row>
    <row r="4">
      <c r="A4" s="12" t="inlineStr">
        <is>
          <t>Term</t>
        </is>
      </c>
      <c r="B4" s="12" t="inlineStr">
        <is>
          <t>Definition</t>
        </is>
      </c>
      <c r="C4" s="12" t="inlineStr">
        <is>
          <t>Country</t>
        </is>
      </c>
      <c r="D4" s="12" t="inlineStr">
        <is>
          <t>Category</t>
        </is>
      </c>
    </row>
    <row r="5">
      <c r="A5" s="13" t="inlineStr">
        <is>
          <t>ABI (Automated Broker Interface)</t>
        </is>
      </c>
      <c r="B5" s="13" t="inlineStr">
        <is>
          <t>The electronic interface brokers and self-filers use to transmit entry and entry summary data to ACE.</t>
        </is>
      </c>
      <c r="C5" s="13" t="inlineStr">
        <is>
          <t>US</t>
        </is>
      </c>
      <c r="D5" s="13" t="inlineStr">
        <is>
          <t>Customs</t>
        </is>
      </c>
    </row>
    <row r="6">
      <c r="A6" s="13" t="inlineStr">
        <is>
          <t>Acceptance criteria</t>
        </is>
      </c>
      <c r="B6" s="13" t="inlineStr">
        <is>
          <t>Specific, testable conditions a deliverable must meet to be accepted, agreed before work starts and often written as Given/When/Then.</t>
        </is>
      </c>
      <c r="C6" s="13" t="inlineStr">
        <is>
          <t>All</t>
        </is>
      </c>
      <c r="D6" s="13" t="inlineStr">
        <is>
          <t>BSA</t>
        </is>
      </c>
    </row>
    <row r="7">
      <c r="A7" s="13" t="inlineStr">
        <is>
          <t>Accumulation (USMCA)</t>
        </is>
      </c>
      <c r="B7" s="13" t="inlineStr">
        <is>
          <t>Rule that lets production and originating materials from any of the three USMCA countries count toward a good's origin.</t>
        </is>
      </c>
      <c r="C7" s="13" t="inlineStr">
        <is>
          <t>All</t>
        </is>
      </c>
      <c r="D7" s="13" t="inlineStr">
        <is>
          <t>Origin</t>
        </is>
      </c>
    </row>
    <row r="8">
      <c r="A8" s="13" t="inlineStr">
        <is>
          <t>ACE (Automated Commercial Environment)</t>
        </is>
      </c>
      <c r="B8" s="13" t="inlineStr">
        <is>
          <t>CBP's single-window system for import and export processing. Brokers file entries in it; the ACE Portal gives importers reports on their own entries.</t>
        </is>
      </c>
      <c r="C8" s="13" t="inlineStr">
        <is>
          <t>US</t>
        </is>
      </c>
      <c r="D8" s="13" t="inlineStr">
        <is>
          <t>Customs</t>
        </is>
      </c>
    </row>
    <row r="9">
      <c r="A9" s="13" t="inlineStr">
        <is>
          <t>Ad valorem, specific and compound duty</t>
        </is>
      </c>
      <c r="B9" s="13" t="inlineStr">
        <is>
          <t>Ad valorem duty is a percentage of customs value, specific duty a fixed amount per unit such as per kg, and compound duty combines both.</t>
        </is>
      </c>
      <c r="C9" s="13" t="inlineStr">
        <is>
          <t>All</t>
        </is>
      </c>
      <c r="D9" s="13" t="inlineStr">
        <is>
          <t>Customs</t>
        </is>
      </c>
    </row>
    <row r="10">
      <c r="A10" s="13" t="inlineStr">
        <is>
          <t>AD/CVD (antidumping and countervailing duties)</t>
        </is>
      </c>
      <c r="B10" s="13" t="inlineStr">
        <is>
          <t>Additional duties that offset dumping or subsidies on specific goods from specific countries, often by manufacturer. US cases run through Commerce and USITC; Canadian ones through CBSA and CITT.</t>
        </is>
      </c>
      <c r="C10" s="13" t="inlineStr">
        <is>
          <t>All</t>
        </is>
      </c>
      <c r="D10" s="13" t="inlineStr">
        <is>
          <t>Customs</t>
        </is>
      </c>
    </row>
    <row r="11">
      <c r="A11" s="13" t="inlineStr">
        <is>
          <t>AES and ACE AESDirect</t>
        </is>
      </c>
      <c r="B11" s="13" t="inlineStr">
        <is>
          <t>The Automated Export System is the export part of ACE where EEI is filed; ACE AESDirect is the Census Bureau's free web portal for filing it.</t>
        </is>
      </c>
      <c r="C11" s="13" t="inlineStr">
        <is>
          <t>US</t>
        </is>
      </c>
      <c r="D11" s="13" t="inlineStr">
        <is>
          <t>Exports</t>
        </is>
      </c>
    </row>
    <row r="12">
      <c r="A12" s="13" t="inlineStr">
        <is>
          <t>Agente aduanal</t>
        </is>
      </c>
      <c r="B12" s="13" t="inlineStr">
        <is>
          <t>Mexican customs broker holding a patente from the customs authority; files pedimentos for the importer. The importer remains liable, and the agente shares liability for the taxes.</t>
        </is>
      </c>
      <c r="C12" s="13" t="inlineStr">
        <is>
          <t>MX</t>
        </is>
      </c>
      <c r="D12" s="13" t="inlineStr">
        <is>
          <t>Customs</t>
        </is>
      </c>
    </row>
    <row r="13">
      <c r="A13" s="13" t="inlineStr">
        <is>
          <t>AMPS (Administrative Monetary Penalty System)</t>
        </is>
      </c>
      <c r="B13" s="13" t="inlineStr">
        <is>
          <t>Canada's civil penalty regime for customs contraventions. Penalty amounts are set by contravention in CBSA's Master Penalty Document, rise for repeat contraventions, and are issued against the importer's BN15.</t>
        </is>
      </c>
      <c r="C13" s="13" t="inlineStr">
        <is>
          <t>CA</t>
        </is>
      </c>
      <c r="D13" s="13" t="inlineStr">
        <is>
          <t>Customs</t>
        </is>
      </c>
    </row>
    <row r="14">
      <c r="A14" s="13" t="inlineStr">
        <is>
          <t>ANAM (Agencia Nacional de Aduanas de México)</t>
        </is>
      </c>
      <c r="B14" s="13" t="inlineStr">
        <is>
          <t>Mexico's customs agency since 2022, responsible for customs offices, inspections and customs operations.</t>
        </is>
      </c>
      <c r="C14" s="13" t="inlineStr">
        <is>
          <t>MX</t>
        </is>
      </c>
      <c r="D14" s="13" t="inlineStr">
        <is>
          <t>Customs</t>
        </is>
      </c>
    </row>
    <row r="15">
      <c r="A15" s="13" t="inlineStr">
        <is>
          <t>Anexo 24</t>
        </is>
      </c>
      <c r="B15" s="13" t="inlineStr">
        <is>
          <t>RGCE annex setting the automated inventory control system IMMEX companies must keep for temporary imports, tracking each input from entry to export or change of regime.</t>
        </is>
      </c>
      <c r="C15" s="13" t="inlineStr">
        <is>
          <t>MX</t>
        </is>
      </c>
      <c r="D15" s="13" t="inlineStr">
        <is>
          <t>Programs</t>
        </is>
      </c>
    </row>
    <row r="16">
      <c r="A16" s="13" t="inlineStr">
        <is>
          <t>Anexo 30 (SCCCyG; formerly Anexo 31)</t>
        </is>
      </c>
      <c r="B16" s="13" t="inlineStr">
        <is>
          <t>RGCE annex for SAT's Sistema de Control de Cuentas de Créditos y Garantías (SCCCyG), which tracks IVA and IEPS credits on certified companies' temporary imports until exports discharge them; it must reconcile with Anexo 24. Numbered Anexo 31 before the RGCE for 2022, and the trade still often says 'Anexo 31'.</t>
        </is>
      </c>
      <c r="C16" s="13" t="inlineStr">
        <is>
          <t>MX</t>
        </is>
      </c>
      <c r="D16" s="13" t="inlineStr">
        <is>
          <t>Programs</t>
        </is>
      </c>
    </row>
    <row r="17">
      <c r="A17" s="13" t="inlineStr">
        <is>
          <t>As-is and to-be</t>
        </is>
      </c>
      <c r="B17" s="13" t="inlineStr">
        <is>
          <t>As-is documents how a process works today, workarounds included; to-be describes the target process after the change. The gaps between them drive requirements.</t>
        </is>
      </c>
      <c r="C17" s="13" t="inlineStr">
        <is>
          <t>All</t>
        </is>
      </c>
      <c r="D17" s="13" t="inlineStr">
        <is>
          <t>BSA</t>
        </is>
      </c>
    </row>
    <row r="18">
      <c r="A18" s="13" t="inlineStr">
        <is>
          <t>AS400 / IBM i</t>
        </is>
      </c>
      <c r="B18" s="13" t="inlineStr">
        <is>
          <t>IBM midrange platform; AS/400 is the original name and IBM i the current operating system. It runs our legacy trade system, which e2open will replace.</t>
        </is>
      </c>
      <c r="C18" s="13" t="inlineStr">
        <is>
          <t>Internal</t>
        </is>
      </c>
      <c r="D18" s="13" t="inlineStr">
        <is>
          <t>Systems</t>
        </is>
      </c>
    </row>
    <row r="19">
      <c r="A19" s="13" t="inlineStr">
        <is>
          <t>Assist</t>
        </is>
      </c>
      <c r="B19" s="13" t="inlineStr">
        <is>
          <t>A good or service the buyer supplies free or at reduced cost for producing imported goods, such as molds, tooling or engineering done abroad; its value is added to customs value.</t>
        </is>
      </c>
      <c r="C19" s="13" t="inlineStr">
        <is>
          <t>All</t>
        </is>
      </c>
      <c r="D19" s="13" t="inlineStr">
        <is>
          <t>Customs</t>
        </is>
      </c>
    </row>
    <row r="20">
      <c r="A20" s="13" t="inlineStr">
        <is>
          <t>BABOK Guide</t>
        </is>
      </c>
      <c r="B20" s="13" t="inlineStr">
        <is>
          <t>A Guide to the Business Analysis Body of Knowledge, from the International Institute of Business Analysis (IIBA). Version 3 (2015), still current as of Oct 2026, has 6 knowledge areas, 30 tasks and 50 techniques.</t>
        </is>
      </c>
      <c r="C20" s="13" t="inlineStr">
        <is>
          <t>All</t>
        </is>
      </c>
      <c r="D20" s="13" t="inlineStr">
        <is>
          <t>BSA</t>
        </is>
      </c>
    </row>
    <row r="21">
      <c r="A21" s="13" t="inlineStr">
        <is>
          <t>BACCM (Business Analysis Core Concept Model)</t>
        </is>
      </c>
      <c r="B21" s="13" t="inlineStr">
        <is>
          <t>BABOK's six core concepts: change, need, solution, stakeholder, value and context. None is primary; a concept you cannot name for an intake is your first elicitation question.</t>
        </is>
      </c>
      <c r="C21" s="13" t="inlineStr">
        <is>
          <t>All</t>
        </is>
      </c>
      <c r="D21" s="13" t="inlineStr">
        <is>
          <t>BSA</t>
        </is>
      </c>
    </row>
    <row r="22">
      <c r="A22" s="13" t="inlineStr">
        <is>
          <t>Bill of materials for origin</t>
        </is>
      </c>
      <c r="B22" s="13" t="inlineStr">
        <is>
          <t>List of a good's components with HS classification, origin and value, used to test the product-specific rule; the core evidence behind a USMCA certification.</t>
        </is>
      </c>
      <c r="C22" s="13" t="inlineStr">
        <is>
          <t>All</t>
        </is>
      </c>
      <c r="D22" s="13" t="inlineStr">
        <is>
          <t>Origin</t>
        </is>
      </c>
    </row>
    <row r="23">
      <c r="A23" s="13" t="inlineStr">
        <is>
          <t>Binding ruling</t>
        </is>
      </c>
      <c r="B23" s="13" t="inlineStr">
        <is>
          <t>Written CBP decision (19 CFR Part 177) on classification, origin or value for a specifically described good; binding on CBP for that good. Canada and Mexico offer advance rulings too.</t>
        </is>
      </c>
      <c r="C23" s="13" t="inlineStr">
        <is>
          <t>US</t>
        </is>
      </c>
      <c r="D23" s="13" t="inlineStr">
        <is>
          <t>Classification</t>
        </is>
      </c>
    </row>
    <row r="24">
      <c r="A24" s="13" t="inlineStr">
        <is>
          <t>BIS (Bureau of Industry and Security)</t>
        </is>
      </c>
      <c r="B24" s="13" t="inlineStr">
        <is>
          <t>Department of Commerce bureau that administers and enforces the EAR, including the Commerce Control List and the Entity List.</t>
        </is>
      </c>
      <c r="C24" s="13" t="inlineStr">
        <is>
          <t>US</t>
        </is>
      </c>
      <c r="D24" s="13" t="inlineStr">
        <is>
          <t>Exports</t>
        </is>
      </c>
    </row>
    <row r="25">
      <c r="A25" s="13" t="inlineStr">
        <is>
          <t>Boundary rule</t>
        </is>
      </c>
      <c r="B25" s="13" t="inlineStr">
        <is>
          <t>Research owns the WHAT (legal scope, codes, rates, dates, stacking, sources); Standard Cost owns the $ (landed cost, margin, Oracle update, variance).</t>
        </is>
      </c>
      <c r="C25" s="13" t="inlineStr">
        <is>
          <t>Internal</t>
        </is>
      </c>
      <c r="D25" s="13" t="inlineStr">
        <is>
          <t>BSA</t>
        </is>
      </c>
    </row>
    <row r="26">
      <c r="A26" s="13" t="inlineStr">
        <is>
          <t>BRD (business requirements document)</t>
        </is>
      </c>
      <c r="B26" s="13" t="inlineStr">
        <is>
          <t>Document stating the business problem, scope, stakeholders, requirements and acceptance criteria for a change, approved before build starts.</t>
        </is>
      </c>
      <c r="C26" s="13" t="inlineStr">
        <is>
          <t>All</t>
        </is>
      </c>
      <c r="D26" s="13" t="inlineStr">
        <is>
          <t>BSA</t>
        </is>
      </c>
    </row>
    <row r="27">
      <c r="A27" s="13" t="inlineStr">
        <is>
          <t>Broker data exchange</t>
        </is>
      </c>
      <c r="B27" s="13" t="inlineStr">
        <is>
          <t>The files or messages we send each country's broker (classification, values, origin) and the entry data they return [COMPANY: broker interfaces and formats].</t>
        </is>
      </c>
      <c r="C27" s="13" t="inlineStr">
        <is>
          <t>Internal</t>
        </is>
      </c>
      <c r="D27" s="13" t="inlineStr">
        <is>
          <t>Systems</t>
        </is>
      </c>
    </row>
    <row r="28">
      <c r="A28" s="13" t="inlineStr">
        <is>
          <t>Business Number and RM account (BN15)</t>
        </is>
      </c>
      <c r="B28" s="13" t="inlineStr">
        <is>
          <t>A Canadian importer's 9-digit Business Number plus its import-export (RM) program account, both registered with the Canada Revenue Agency and used by the CBSA; together the 15-character identifier on customs documents, for example 123456789RM0001.</t>
        </is>
      </c>
      <c r="C28" s="13" t="inlineStr">
        <is>
          <t>CA</t>
        </is>
      </c>
      <c r="D28" s="13" t="inlineStr">
        <is>
          <t>Customs</t>
        </is>
      </c>
    </row>
    <row r="29">
      <c r="A29" s="13" t="inlineStr">
        <is>
          <t>CAD (Commercial Accounting Declaration)</t>
        </is>
      </c>
      <c r="B29" s="13" t="inlineStr">
        <is>
          <t>The CARM declaration that accounts for imported commercial goods: classification, value, origin, duties and taxes. It replaced the B3; corrections are filed as new versions.</t>
        </is>
      </c>
      <c r="C29" s="13" t="inlineStr">
        <is>
          <t>CA</t>
        </is>
      </c>
      <c r="D29" s="13" t="inlineStr">
        <is>
          <t>Customs</t>
        </is>
      </c>
    </row>
    <row r="30">
      <c r="A30" s="13" t="inlineStr">
        <is>
          <t>Calculated column</t>
        </is>
      </c>
      <c r="B30" s="13" t="inlineStr">
        <is>
          <t>A DAX column computed row by row at refresh and stored in the table. It ignores report filters; a ratio stored as a column and then summed gives the wrong total, so use a measure.</t>
        </is>
      </c>
      <c r="C30" s="13" t="inlineStr">
        <is>
          <t>All</t>
        </is>
      </c>
      <c r="D30" s="13" t="inlineStr">
        <is>
          <t>Data</t>
        </is>
      </c>
    </row>
    <row r="31">
      <c r="A31" s="13" t="inlineStr">
        <is>
          <t>CARM (CBSA Assessment and Revenue Management)</t>
        </is>
      </c>
      <c r="B31" s="13" t="inlineStr">
        <is>
          <t>CBSA's system of record for assessing and collecting duties and taxes on commercial imports since October 2024, used through the CARM Client Portal.</t>
        </is>
      </c>
      <c r="C31" s="13" t="inlineStr">
        <is>
          <t>CA</t>
        </is>
      </c>
      <c r="D31" s="13" t="inlineStr">
        <is>
          <t>Customs</t>
        </is>
      </c>
    </row>
    <row r="32">
      <c r="A32" s="13" t="inlineStr">
        <is>
          <t>CBP (U.S. Customs and Border Protection)</t>
        </is>
      </c>
      <c r="B32" s="13" t="inlineStr">
        <is>
          <t>DHS agency that enforces US import and export laws, assesses and collects duties, taxes and fees, and releases goods at US ports of entry.</t>
        </is>
      </c>
      <c r="C32" s="13" t="inlineStr">
        <is>
          <t>US</t>
        </is>
      </c>
      <c r="D32" s="13" t="inlineStr">
        <is>
          <t>Customs</t>
        </is>
      </c>
    </row>
    <row r="33">
      <c r="A33" s="13" t="inlineStr">
        <is>
          <t>CBSA (Canada Border Services Agency)</t>
        </is>
      </c>
      <c r="B33" s="13" t="inlineStr">
        <is>
          <t>Federal agency that administers Canadian customs and trade laws, assesses and collects duties and taxes, and releases goods at the border.</t>
        </is>
      </c>
      <c r="C33" s="13" t="inlineStr">
        <is>
          <t>CA</t>
        </is>
      </c>
      <c r="D33" s="13" t="inlineStr">
        <is>
          <t>Customs</t>
        </is>
      </c>
    </row>
    <row r="34">
      <c r="A34" s="13" t="inlineStr">
        <is>
          <t>CCL (Commerce Control List)</t>
        </is>
      </c>
      <c r="B34" s="13" t="inlineStr">
        <is>
          <t>The EAR list of controlled items (Supplement No. 1 to 15 CFR Part 774), organized into 10 categories and 5 product groups and identified by ECCN.</t>
        </is>
      </c>
      <c r="C34" s="13" t="inlineStr">
        <is>
          <t>US</t>
        </is>
      </c>
      <c r="D34" s="13" t="inlineStr">
        <is>
          <t>Exports</t>
        </is>
      </c>
    </row>
    <row r="35">
      <c r="A35" s="13" t="inlineStr">
        <is>
          <t>CERS (Canadian Export Reporting System)</t>
        </is>
      </c>
      <c r="B35" s="13" t="inlineStr">
        <is>
          <t>CBSA's free web portal for filing export declarations for goods leaving Canada; it normally requires a valid BN15.</t>
        </is>
      </c>
      <c r="C35" s="13" t="inlineStr">
        <is>
          <t>CA</t>
        </is>
      </c>
      <c r="D35" s="13" t="inlineStr">
        <is>
          <t>Exports</t>
        </is>
      </c>
    </row>
    <row r="36">
      <c r="A36" s="13" t="inlineStr">
        <is>
          <t>Certification of origin (USMCA)</t>
        </is>
      </c>
      <c r="B36" s="13" t="inlineStr">
        <is>
          <t>Statement by the importer, exporter or producer, in any format, containing the nine minimum data elements of Annex 5-A; it can cover one shipment or a blanket period of up to 12 months.</t>
        </is>
      </c>
      <c r="C36" s="13" t="inlineStr">
        <is>
          <t>All</t>
        </is>
      </c>
      <c r="D36" s="13" t="inlineStr">
        <is>
          <t>Origin</t>
        </is>
      </c>
    </row>
    <row r="37">
      <c r="A37" s="13" t="inlineStr">
        <is>
          <t>Change enablement</t>
        </is>
      </c>
      <c r="B37" s="13" t="inlineStr">
        <is>
          <t>ITIL 4's name for the practice that older material calls change management or change control: assessing, authorizing and scheduling changes so they succeed. It names three change types: standard, normal and emergency.</t>
        </is>
      </c>
      <c r="C37" s="13" t="inlineStr">
        <is>
          <t>All</t>
        </is>
      </c>
      <c r="D37" s="13" t="inlineStr">
        <is>
          <t>BSA</t>
        </is>
      </c>
    </row>
    <row r="38">
      <c r="A38" s="13" t="inlineStr">
        <is>
          <t>Change request</t>
        </is>
      </c>
      <c r="B38" s="13" t="inlineStr">
        <is>
          <t>Documented request to change a system or tool, with reason, impact, test evidence, rollback plan and approvals, completed before the change reaches production.</t>
        </is>
      </c>
      <c r="C38" s="13" t="inlineStr">
        <is>
          <t>All</t>
        </is>
      </c>
      <c r="D38" s="13" t="inlineStr">
        <is>
          <t>BSA</t>
        </is>
      </c>
    </row>
    <row r="39">
      <c r="A39" s="13" t="inlineStr">
        <is>
          <t>Chapter 98 (HTSUS)</t>
        </is>
      </c>
      <c r="B39" s="13" t="inlineStr">
        <is>
          <t>Special classification provisions, such as US goods returned or assembled abroad, that can reduce or remove duty when their conditions and documentation are met.</t>
        </is>
      </c>
      <c r="C39" s="13" t="inlineStr">
        <is>
          <t>US</t>
        </is>
      </c>
      <c r="D39" s="13" t="inlineStr">
        <is>
          <t>Classification</t>
        </is>
      </c>
    </row>
    <row r="40">
      <c r="A40" s="13" t="inlineStr">
        <is>
          <t>Chapter 99 (HTSUS)</t>
        </is>
      </c>
      <c r="B40" s="13" t="inlineStr">
        <is>
          <t>Temporary legislation and additional import duties, such as Section 232 and Section 301 measures, reported as an extra HTS number alongside the regular Chapter 1-97 classification.</t>
        </is>
      </c>
      <c r="C40" s="13" t="inlineStr">
        <is>
          <t>US</t>
        </is>
      </c>
      <c r="D40" s="13" t="inlineStr">
        <is>
          <t>Classification</t>
        </is>
      </c>
    </row>
    <row r="41">
      <c r="A41" s="13" t="inlineStr">
        <is>
          <t>CIF (Cost, Insurance and Freight)</t>
        </is>
      </c>
      <c r="B41" s="13" t="inlineStr">
        <is>
          <t>Sea term: seller pays freight and minimum insurance to the destination port, but risk passes when the goods are loaded on the vessel at origin.</t>
        </is>
      </c>
      <c r="C41" s="13" t="inlineStr">
        <is>
          <t>All</t>
        </is>
      </c>
      <c r="D41" s="13" t="inlineStr">
        <is>
          <t>Cost</t>
        </is>
      </c>
    </row>
    <row r="42">
      <c r="A42" s="13" t="inlineStr">
        <is>
          <t>CIP (Carriage and Insurance Paid To)</t>
        </is>
      </c>
      <c r="B42" s="13" t="inlineStr">
        <is>
          <t>Any-mode version of CIF; Incoterms 2020 requires the seller to buy broader insurance cover (Institute Cargo Clauses A).</t>
        </is>
      </c>
      <c r="C42" s="13" t="inlineStr">
        <is>
          <t>All</t>
        </is>
      </c>
      <c r="D42" s="13" t="inlineStr">
        <is>
          <t>Cost</t>
        </is>
      </c>
    </row>
    <row r="43">
      <c r="A43" s="13" t="inlineStr">
        <is>
          <t>Connection reference</t>
        </is>
      </c>
      <c r="B43" s="13" t="inlineStr">
        <is>
          <t>A Power Platform solution component that points to a connection, so the same app or flow can use a different connection, and so a different account, in each environment.</t>
        </is>
      </c>
      <c r="C43" s="13" t="inlineStr">
        <is>
          <t>All</t>
        </is>
      </c>
      <c r="D43" s="13" t="inlineStr">
        <is>
          <t>Systems</t>
        </is>
      </c>
    </row>
    <row r="44">
      <c r="A44" s="13" t="inlineStr">
        <is>
          <t>Control total</t>
        </is>
      </c>
      <c r="B44" s="13" t="inlineStr">
        <is>
          <t>A known total, such as a row count, value or duty amount, used to prove data was extracted or transformed completely and correctly.</t>
        </is>
      </c>
      <c r="C44" s="13" t="inlineStr">
        <is>
          <t>All</t>
        </is>
      </c>
      <c r="D44" s="13" t="inlineStr">
        <is>
          <t>Data</t>
        </is>
      </c>
    </row>
    <row r="45">
      <c r="A45" s="13" t="inlineStr">
        <is>
          <t>Cost element</t>
        </is>
      </c>
      <c r="B45" s="13" t="inlineStr">
        <is>
          <t>A bucket within an item's cost in the ERP, such as material or material overhead. Which element holds freight and duty is a setup choice [COMPANY: Oracle cost element setup].</t>
        </is>
      </c>
      <c r="C45" s="13" t="inlineStr">
        <is>
          <t>All</t>
        </is>
      </c>
      <c r="D45" s="13" t="inlineStr">
        <is>
          <t>Cost</t>
        </is>
      </c>
    </row>
    <row r="46">
      <c r="A46" s="13" t="inlineStr">
        <is>
          <t>Cost update (cost roll)</t>
        </is>
      </c>
      <c r="B46" s="13" t="inlineStr">
        <is>
          <t>Periodic process that calculates new standard costs, rolls up their components, and loads them to the ERP, revaluing on-hand inventory. Here it needs Finance and checker sign-off.</t>
        </is>
      </c>
      <c r="C46" s="13" t="inlineStr">
        <is>
          <t>All</t>
        </is>
      </c>
      <c r="D46" s="13" t="inlineStr">
        <is>
          <t>Cost</t>
        </is>
      </c>
    </row>
    <row r="47">
      <c r="A47" s="13" t="inlineStr">
        <is>
          <t>CROSS</t>
        </is>
      </c>
      <c r="B47" s="13" t="inlineStr">
        <is>
          <t>CBP's Customs Rulings Online Search System: a free, searchable database of CBP rulings on classification, origin and valuation since 1989, used to support our classification decisions.</t>
        </is>
      </c>
      <c r="C47" s="13" t="inlineStr">
        <is>
          <t>US</t>
        </is>
      </c>
      <c r="D47" s="13" t="inlineStr">
        <is>
          <t>Classification</t>
        </is>
      </c>
    </row>
    <row r="48">
      <c r="A48" s="13" t="inlineStr">
        <is>
          <t>CSMS (Cargo Systems Messaging Service)</t>
        </is>
      </c>
      <c r="B48" s="13" t="inlineStr">
        <is>
          <t>CBP's official messages to the trade about ACE changes and how new tariff actions must be filed; a primary source for Research alongside the Federal Register.</t>
        </is>
      </c>
      <c r="C48" s="13" t="inlineStr">
        <is>
          <t>US</t>
        </is>
      </c>
      <c r="D48" s="13" t="inlineStr">
        <is>
          <t>Customs</t>
        </is>
      </c>
    </row>
    <row r="49">
      <c r="A49" s="13" t="inlineStr">
        <is>
          <t>CUSMA</t>
        </is>
      </c>
      <c r="B49" s="13" t="inlineStr">
        <is>
          <t>Canada-United States-Mexico Agreement: Canada's name for USMCA. Same agreement as USMCA and T-MEC.</t>
        </is>
      </c>
      <c r="C49" s="13" t="inlineStr">
        <is>
          <t>CA</t>
        </is>
      </c>
      <c r="D49" s="13" t="inlineStr">
        <is>
          <t>Origin</t>
        </is>
      </c>
    </row>
    <row r="50">
      <c r="A50" s="13" t="inlineStr">
        <is>
          <t>Customs bond</t>
        </is>
      </c>
      <c r="B50" s="13" t="inlineStr">
        <is>
          <t>Surety contract guaranteeing payment of duties, taxes and penalties to CBP; required for formal entries. A continuous bond covers a year of entries, a single-transaction bond one entry.</t>
        </is>
      </c>
      <c r="C50" s="13" t="inlineStr">
        <is>
          <t>US</t>
        </is>
      </c>
      <c r="D50" s="13" t="inlineStr">
        <is>
          <t>Customs</t>
        </is>
      </c>
    </row>
    <row r="51">
      <c r="A51" s="13" t="inlineStr">
        <is>
          <t>Customs broker</t>
        </is>
      </c>
      <c r="B51" s="13" t="inlineStr">
        <is>
          <t>Licensed intermediary who files import declarations for the importer: CBP-licensed in the US, CBSA-licensed in Canada, an agente aduanal in Mexico. The importer stays responsible for the data.</t>
        </is>
      </c>
      <c r="C51" s="13" t="inlineStr">
        <is>
          <t>All</t>
        </is>
      </c>
      <c r="D51" s="13" t="inlineStr">
        <is>
          <t>Customs</t>
        </is>
      </c>
    </row>
    <row r="52">
      <c r="A52" s="13" t="inlineStr">
        <is>
          <t>Customs Tariff (Canada)</t>
        </is>
      </c>
      <c r="B52" s="13" t="inlineStr">
        <is>
          <t>Canadian statute whose schedule sets classification and duty rates by tariff treatment; tariff items are 8 digits plus a 2-digit statistical suffix.</t>
        </is>
      </c>
      <c r="C52" s="13" t="inlineStr">
        <is>
          <t>CA</t>
        </is>
      </c>
      <c r="D52" s="13" t="inlineStr">
        <is>
          <t>Classification</t>
        </is>
      </c>
    </row>
    <row r="53">
      <c r="A53" s="13" t="inlineStr">
        <is>
          <t>Customs value (Mexico)</t>
        </is>
      </c>
      <c r="B53" s="13" t="inlineStr">
        <is>
          <t>Mexico's valor en aduana: transaction value plus additions such as freight and insurance to the point of entry, giving a CIF-like base, unlike the US and Canada.</t>
        </is>
      </c>
      <c r="C53" s="13" t="inlineStr">
        <is>
          <t>MX</t>
        </is>
      </c>
      <c r="D53" s="13" t="inlineStr">
        <is>
          <t>Customs</t>
        </is>
      </c>
    </row>
    <row r="54">
      <c r="A54" s="13" t="inlineStr">
        <is>
          <t>Cutover</t>
        </is>
      </c>
      <c r="B54" s="13" t="inlineStr">
        <is>
          <t>The planned, rehearsed switch from the old system to the new one: final data migration, go/no-go decision and fallback plan.</t>
        </is>
      </c>
      <c r="C54" s="13" t="inlineStr">
        <is>
          <t>All</t>
        </is>
      </c>
      <c r="D54" s="13" t="inlineStr">
        <is>
          <t>BSA</t>
        </is>
      </c>
    </row>
    <row r="55">
      <c r="A55" s="13" t="inlineStr">
        <is>
          <t>CYYMMDD</t>
        </is>
      </c>
      <c r="B55" s="13" t="inlineStr">
        <is>
          <t>A numeric date format common on IBM i (AS400): a century digit (0 for the 1900s, 1 for the 2000s) followed by YYMMDD, so 1261019 is 2026-10-19. Convert it explicitly when extracting or mapping AS400 data.</t>
        </is>
      </c>
      <c r="C55" s="13" t="inlineStr">
        <is>
          <t>All</t>
        </is>
      </c>
      <c r="D55" s="13" t="inlineStr">
        <is>
          <t>Systems</t>
        </is>
      </c>
    </row>
    <row r="56">
      <c r="A56" s="13" t="inlineStr">
        <is>
          <t>D-Memoranda</t>
        </is>
      </c>
      <c r="B56" s="13" t="inlineStr">
        <is>
          <t>CBSA departmental memoranda explaining how customs laws are applied, such as D10 classification, D11 origin, D13 valuation and D17 accounting; the operational rulebook for Canada.</t>
        </is>
      </c>
      <c r="C56" s="13" t="inlineStr">
        <is>
          <t>CA</t>
        </is>
      </c>
      <c r="D56" s="13" t="inlineStr">
        <is>
          <t>Customs</t>
        </is>
      </c>
    </row>
    <row r="57">
      <c r="A57" s="13" t="inlineStr">
        <is>
          <t>DAP (Delivered at Place)</t>
        </is>
      </c>
      <c r="B57" s="13" t="inlineStr">
        <is>
          <t>Seller bears transport and risk to the named destination, ready for unloading; the buyer handles import clearance and pays duties.</t>
        </is>
      </c>
      <c r="C57" s="13" t="inlineStr">
        <is>
          <t>All</t>
        </is>
      </c>
      <c r="D57" s="13" t="inlineStr">
        <is>
          <t>Cost</t>
        </is>
      </c>
    </row>
    <row r="58">
      <c r="A58" s="13" t="inlineStr">
        <is>
          <t>Data mapping</t>
        </is>
      </c>
      <c r="B58" s="13" t="inlineStr">
        <is>
          <t>Specifying field by field how source data moves to a target system, including transformations, defaults, validation rules and known data-quality issues.</t>
        </is>
      </c>
      <c r="C58" s="13" t="inlineStr">
        <is>
          <t>All</t>
        </is>
      </c>
      <c r="D58" s="13" t="inlineStr">
        <is>
          <t>BSA</t>
        </is>
      </c>
    </row>
    <row r="59">
      <c r="A59" s="13" t="inlineStr">
        <is>
          <t>Data profiling</t>
        </is>
      </c>
      <c r="B59" s="13" t="inlineStr">
        <is>
          <t>Systematic checking of a dataset for completeness, validity and consistency, such as nulls, invalid HTS codes, duplicates and outliers; issues become cleansing candidates with an owner.</t>
        </is>
      </c>
      <c r="C59" s="13" t="inlineStr">
        <is>
          <t>All</t>
        </is>
      </c>
      <c r="D59" s="13" t="inlineStr">
        <is>
          <t>Data</t>
        </is>
      </c>
    </row>
    <row r="60">
      <c r="A60" s="13" t="inlineStr">
        <is>
          <t>Data warehouse</t>
        </is>
      </c>
      <c r="B60" s="13" t="inlineStr">
        <is>
          <t>A database built for reporting that integrates data from source systems such as AS400, Oracle and broker files on a schedule, usually as fact and dimension tables.</t>
        </is>
      </c>
      <c r="C60" s="13" t="inlineStr">
        <is>
          <t>All</t>
        </is>
      </c>
      <c r="D60" s="13" t="inlineStr">
        <is>
          <t>Data</t>
        </is>
      </c>
    </row>
    <row r="61">
      <c r="A61" s="13" t="inlineStr">
        <is>
          <t>DAX (Data Analysis Expressions)</t>
        </is>
      </c>
      <c r="B61" s="13" t="inlineStr">
        <is>
          <t>Formula language for Power BI measures and calculated columns; CALCULATE evaluates an expression under a modified filter context.</t>
        </is>
      </c>
      <c r="C61" s="13" t="inlineStr">
        <is>
          <t>All</t>
        </is>
      </c>
      <c r="D61" s="13" t="inlineStr">
        <is>
          <t>Data</t>
        </is>
      </c>
    </row>
    <row r="62">
      <c r="A62" s="13" t="inlineStr">
        <is>
          <t>Db2 for i</t>
        </is>
      </c>
      <c r="B62" s="13" t="inlineStr">
        <is>
          <t>The relational database built into IBM i. Libraries act as schemas, physical files as tables, and logical files as views or indexes; it can be queried with SQL.</t>
        </is>
      </c>
      <c r="C62" s="13" t="inlineStr">
        <is>
          <t>All</t>
        </is>
      </c>
      <c r="D62" s="13" t="inlineStr">
        <is>
          <t>Systems</t>
        </is>
      </c>
    </row>
    <row r="63">
      <c r="A63" s="13" t="inlineStr">
        <is>
          <t>DBeaver</t>
        </is>
      </c>
      <c r="B63" s="13" t="inlineStr">
        <is>
          <t>A SQL client for many databases. The hires use it only for Oracle EBS production, with a personal read-only database account, the Production connection type and the Read-only connection setting.</t>
        </is>
      </c>
      <c r="C63" s="13" t="inlineStr">
        <is>
          <t>All</t>
        </is>
      </c>
      <c r="D63" s="13" t="inlineStr">
        <is>
          <t>Data</t>
        </is>
      </c>
    </row>
    <row r="64">
      <c r="A64" s="13" t="inlineStr">
        <is>
          <t>DDL (data definition language)</t>
        </is>
      </c>
      <c r="B64" s="13" t="inlineStr">
        <is>
          <t>SQL statements that change structure: CREATE, ALTER and DROP. The hires never run DDL on Oracle EBS; in the team database, outside their own sandbox tables, schema changes go through the Senior.</t>
        </is>
      </c>
      <c r="C64" s="13" t="inlineStr">
        <is>
          <t>All</t>
        </is>
      </c>
      <c r="D64" s="13" t="inlineStr">
        <is>
          <t>Data</t>
        </is>
      </c>
    </row>
    <row r="65">
      <c r="A65" s="13" t="inlineStr">
        <is>
          <t>DDP (Delivered Duty Paid)</t>
        </is>
      </c>
      <c r="B65" s="13" t="inlineStr">
        <is>
          <t>Seller bears all costs and risk to the destination, including import clearance and duties, so it typically acts as importer of record.</t>
        </is>
      </c>
      <c r="C65" s="13" t="inlineStr">
        <is>
          <t>All</t>
        </is>
      </c>
      <c r="D65" s="13" t="inlineStr">
        <is>
          <t>Cost</t>
        </is>
      </c>
    </row>
    <row r="66">
      <c r="A66" s="13" t="inlineStr">
        <is>
          <t>De minimis (USMCA)</t>
        </is>
      </c>
      <c r="B66" s="13" t="inlineStr">
        <is>
          <t>Lets a good originate even though some non-originating materials fail the tariff shift, if those materials are no more than 10 percent of the good's value; exceptions apply.</t>
        </is>
      </c>
      <c r="C66" s="13" t="inlineStr">
        <is>
          <t>All</t>
        </is>
      </c>
      <c r="D66" s="13" t="inlineStr">
        <is>
          <t>Origin</t>
        </is>
      </c>
    </row>
    <row r="67">
      <c r="A67" s="13" t="inlineStr">
        <is>
          <t>Definition of done</t>
        </is>
      </c>
      <c r="B67" s="13" t="inlineStr">
        <is>
          <t>The team's checklist every work item must meet before it is closed, such as tested, checker-reviewed, documented and stakeholder informed. In Scrum, work that does not meet it cannot be released.</t>
        </is>
      </c>
      <c r="C67" s="13" t="inlineStr">
        <is>
          <t>All</t>
        </is>
      </c>
      <c r="D67" s="13" t="inlineStr">
        <is>
          <t>BSA</t>
        </is>
      </c>
    </row>
    <row r="68">
      <c r="A68" s="13" t="inlineStr">
        <is>
          <t>Delegation (Power Apps)</t>
        </is>
      </c>
      <c r="B68" s="13" t="inlineStr">
        <is>
          <t>Power Apps passing a formula to the data source. When a formula cannot be delegated to SQL Server, Power Apps processes only the first 500 records (up to 2,000), so results can be silently incomplete.</t>
        </is>
      </c>
      <c r="C68" s="13" t="inlineStr">
        <is>
          <t>All</t>
        </is>
      </c>
      <c r="D68" s="13" t="inlineStr">
        <is>
          <t>Systems</t>
        </is>
      </c>
    </row>
    <row r="69">
      <c r="A69" s="13" t="inlineStr">
        <is>
          <t>DML (data manipulation language)</t>
        </is>
      </c>
      <c r="B69" s="13" t="inlineStr">
        <is>
          <t>SQL statements that change data: INSERT, UPDATE, DELETE and MERGE. The hires never run DML on Oracle EBS, and in the team database only on their own sandbox tables.</t>
        </is>
      </c>
      <c r="C69" s="13" t="inlineStr">
        <is>
          <t>All</t>
        </is>
      </c>
      <c r="D69" s="13" t="inlineStr">
        <is>
          <t>Data</t>
        </is>
      </c>
    </row>
    <row r="70">
      <c r="A70" s="13" t="inlineStr">
        <is>
          <t>DOF (Diario Oficial de la Federación)</t>
        </is>
      </c>
      <c r="B70" s="13" t="inlineStr">
        <is>
          <t>Mexico's official gazette, where TIGIE changes, decrees and RGCE amendments are published; the legal source for Mexican tariff research.</t>
        </is>
      </c>
      <c r="C70" s="13" t="inlineStr">
        <is>
          <t>MX</t>
        </is>
      </c>
      <c r="D70" s="13" t="inlineStr">
        <is>
          <t>Customs</t>
        </is>
      </c>
    </row>
    <row r="71">
      <c r="A71" s="13" t="inlineStr">
        <is>
          <t>DTA (Derecho de Trámite Aduanero)</t>
        </is>
      </c>
      <c r="B71" s="13" t="inlineStr">
        <is>
          <t>Mexican customs processing fee charged on pedimentos, either a percentage of customs value or a fixed amount depending on the regime.</t>
        </is>
      </c>
      <c r="C71" s="13" t="inlineStr">
        <is>
          <t>MX</t>
        </is>
      </c>
      <c r="D71" s="13" t="inlineStr">
        <is>
          <t>Customs</t>
        </is>
      </c>
    </row>
    <row r="72">
      <c r="A72" s="13" t="inlineStr">
        <is>
          <t>Duty base</t>
        </is>
      </c>
      <c r="B72" s="13" t="inlineStr">
        <is>
          <t>The value a duty rate is applied to: an FOB-like customs value in the US and Canada, CIF-like in Mexico. Some actions tax only part of the value; read the legal text.</t>
        </is>
      </c>
      <c r="C72" s="13" t="inlineStr">
        <is>
          <t>All</t>
        </is>
      </c>
      <c r="D72" s="13" t="inlineStr">
        <is>
          <t>Cost</t>
        </is>
      </c>
    </row>
    <row r="73">
      <c r="A73" s="13" t="inlineStr">
        <is>
          <t>Duty drawback</t>
        </is>
      </c>
      <c r="B73" s="13" t="inlineStr">
        <is>
          <t>Refund of up to 99 percent of certain duties, taxes and fees paid on imports when the goods, or permitted substitutes, are exported or destroyed (19 CFR Part 190). The Senior owns it here.</t>
        </is>
      </c>
      <c r="C73" s="13" t="inlineStr">
        <is>
          <t>US</t>
        </is>
      </c>
      <c r="D73" s="13" t="inlineStr">
        <is>
          <t>Programs</t>
        </is>
      </c>
    </row>
    <row r="74">
      <c r="A74" s="13" t="inlineStr">
        <is>
          <t>e.firma</t>
        </is>
      </c>
      <c r="B74" s="13" t="inlineStr">
        <is>
          <t>SAT-issued advanced electronic signature (formerly FIEL) used to sign SAT and single-window (VUCEM, now VUTCE) filings, including padrón registration.</t>
        </is>
      </c>
      <c r="C74" s="13" t="inlineStr">
        <is>
          <t>MX</t>
        </is>
      </c>
      <c r="D74" s="13" t="inlineStr">
        <is>
          <t>Customs</t>
        </is>
      </c>
    </row>
    <row r="75">
      <c r="A75" s="13" t="inlineStr">
        <is>
          <t>e2open</t>
        </is>
      </c>
      <c r="B75" s="13" t="inlineStr">
        <is>
          <t>Supply chain software vendor whose Global Trade Management applications will replace our AS400 trade system; the project starts January 2027 [COMPANY: confirm scope and kickoff date].</t>
        </is>
      </c>
      <c r="C75" s="13" t="inlineStr">
        <is>
          <t>Internal</t>
        </is>
      </c>
      <c r="D75" s="13" t="inlineStr">
        <is>
          <t>Systems</t>
        </is>
      </c>
    </row>
    <row r="76">
      <c r="A76" s="13" t="inlineStr">
        <is>
          <t>EAR (Export Administration Regulations)</t>
        </is>
      </c>
      <c r="B76" s="13" t="inlineStr">
        <is>
          <t>Rules at 15 CFR Parts 730-774, administered by BIS, controlling exports, reexports and transfers of commercial and dual-use items.</t>
        </is>
      </c>
      <c r="C76" s="13" t="inlineStr">
        <is>
          <t>US</t>
        </is>
      </c>
      <c r="D76" s="13" t="inlineStr">
        <is>
          <t>Exports</t>
        </is>
      </c>
    </row>
    <row r="77">
      <c r="A77" s="13" t="inlineStr">
        <is>
          <t>EAR99</t>
        </is>
      </c>
      <c r="B77" s="13" t="inlineStr">
        <is>
          <t>Designation for items subject to the EAR but not on the CCL; usually no license is needed, except for embargoed destinations, prohibited end uses or restricted parties.</t>
        </is>
      </c>
      <c r="C77" s="13" t="inlineStr">
        <is>
          <t>US</t>
        </is>
      </c>
      <c r="D77" s="13" t="inlineStr">
        <is>
          <t>Exports</t>
        </is>
      </c>
    </row>
    <row r="78">
      <c r="A78" s="13" t="inlineStr">
        <is>
          <t>EBCDIC</t>
        </is>
      </c>
      <c r="B78" s="13" t="inlineStr">
        <is>
          <t>The IBM character encoding used on IBM i (AS400) servers, different from ASCII and UTF-8. Extracts convert it; check that accented characters such as é and ñ survive.</t>
        </is>
      </c>
      <c r="C78" s="13" t="inlineStr">
        <is>
          <t>All</t>
        </is>
      </c>
      <c r="D78" s="13" t="inlineStr">
        <is>
          <t>Systems</t>
        </is>
      </c>
    </row>
    <row r="79">
      <c r="A79" s="13" t="inlineStr">
        <is>
          <t>ECCN (Export Control Classification Number)</t>
        </is>
      </c>
      <c r="B79" s="13" t="inlineStr">
        <is>
          <t>Five-character code on the CCL, such as 3A001, that identifies an item and its reasons for control and license requirements.</t>
        </is>
      </c>
      <c r="C79" s="13" t="inlineStr">
        <is>
          <t>US</t>
        </is>
      </c>
      <c r="D79" s="13" t="inlineStr">
        <is>
          <t>Exports</t>
        </is>
      </c>
    </row>
    <row r="80">
      <c r="A80" s="13" t="inlineStr">
        <is>
          <t>EDI (electronic data interchange)</t>
        </is>
      </c>
      <c r="B80" s="13" t="inlineStr">
        <is>
          <t>Exchange of business documents between systems in standard formats such as ANSI X12 or EDIFACT; brokers, carriers and government systems often exchange data this way.</t>
        </is>
      </c>
      <c r="C80" s="13" t="inlineStr">
        <is>
          <t>All</t>
        </is>
      </c>
      <c r="D80" s="13" t="inlineStr">
        <is>
          <t>Systems</t>
        </is>
      </c>
    </row>
    <row r="81">
      <c r="A81" s="13" t="inlineStr">
        <is>
          <t>EEI (Electronic Export Information)</t>
        </is>
      </c>
      <c r="B81" s="13" t="inlineStr">
        <is>
          <t>Export data filed in AES under the Foreign Trade Regulations (15 CFR Part 30) for many US exports; an accepted filing returns an Internal Transaction Number (ITN) as proof.</t>
        </is>
      </c>
      <c r="C81" s="13" t="inlineStr">
        <is>
          <t>US</t>
        </is>
      </c>
      <c r="D81" s="13" t="inlineStr">
        <is>
          <t>Exports</t>
        </is>
      </c>
    </row>
    <row r="82">
      <c r="A82" s="13" t="inlineStr">
        <is>
          <t>Effective duty rate</t>
        </is>
      </c>
      <c r="B82" s="13" t="inlineStr">
        <is>
          <t>Total duties paid divided by customs value; combines the base rate, additional duties and any preference. Use it to sanity-check models against actual entries.</t>
        </is>
      </c>
      <c r="C82" s="13" t="inlineStr">
        <is>
          <t>All</t>
        </is>
      </c>
      <c r="D82" s="13" t="inlineStr">
        <is>
          <t>Cost</t>
        </is>
      </c>
    </row>
    <row r="83">
      <c r="A83" s="13" t="inlineStr">
        <is>
          <t>Elicitation</t>
        </is>
      </c>
      <c r="B83" s="13" t="inlineStr">
        <is>
          <t>Drawing out information from people and sources (interviews, observation, document analysis, workshops and others), then confirming in writing that you understood it: prepare, conduct, confirm.</t>
        </is>
      </c>
      <c r="C83" s="13" t="inlineStr">
        <is>
          <t>All</t>
        </is>
      </c>
      <c r="D83" s="13" t="inlineStr">
        <is>
          <t>BSA</t>
        </is>
      </c>
    </row>
    <row r="84">
      <c r="A84" s="13" t="inlineStr">
        <is>
          <t>Enterprise data protection (EDP)</t>
        </is>
      </c>
      <c r="B84" s="13" t="inlineStr">
        <is>
          <t>The terms covering Copilot Chat with a work account: prompts and responses fall under Microsoft's data protection terms and do not train its models. Not permission to paste anything; web search queries fall outside it.</t>
        </is>
      </c>
      <c r="C84" s="13" t="inlineStr">
        <is>
          <t>All</t>
        </is>
      </c>
      <c r="D84" s="13" t="inlineStr">
        <is>
          <t>Systems</t>
        </is>
      </c>
    </row>
    <row r="85">
      <c r="A85" s="13" t="inlineStr">
        <is>
          <t>Entry (cargo release, CBP Form 3461)</t>
        </is>
      </c>
      <c r="B85" s="13" t="inlineStr">
        <is>
          <t>The filing that asks CBP to release goods from customs custody. Release is not the end: the entry summary and duty payment follow.</t>
        </is>
      </c>
      <c r="C85" s="13" t="inlineStr">
        <is>
          <t>US</t>
        </is>
      </c>
      <c r="D85" s="13" t="inlineStr">
        <is>
          <t>Customs</t>
        </is>
      </c>
    </row>
    <row r="86">
      <c r="A86" s="13" t="inlineStr">
        <is>
          <t>Entry summary (CBP Form 7501)</t>
        </is>
      </c>
      <c r="B86" s="13" t="inlineStr">
        <is>
          <t>The filing that declares classification, value, origin, preference claims, rates and duties for each line; generally due with duty deposit within 10 working days after release.</t>
        </is>
      </c>
      <c r="C86" s="13" t="inlineStr">
        <is>
          <t>US</t>
        </is>
      </c>
      <c r="D86" s="13" t="inlineStr">
        <is>
          <t>Customs</t>
        </is>
      </c>
    </row>
    <row r="87">
      <c r="A87" s="13" t="inlineStr">
        <is>
          <t>Environment (dev, test, prod)</t>
        </is>
      </c>
      <c r="B87" s="13" t="inlineStr">
        <is>
          <t>A separate place where a version of a system runs with its own data, settings and access: dev (build), test (prove) and prod (what the business relies on). For an Excel or Access tool, test means a test copy.</t>
        </is>
      </c>
      <c r="C87" s="13" t="inlineStr">
        <is>
          <t>All</t>
        </is>
      </c>
      <c r="D87" s="13" t="inlineStr">
        <is>
          <t>BSA</t>
        </is>
      </c>
    </row>
    <row r="88">
      <c r="A88" s="13" t="inlineStr">
        <is>
          <t>ERP (enterprise resource planning)</t>
        </is>
      </c>
      <c r="B88" s="13" t="inlineStr">
        <is>
          <t>Integrated business system for items, purchasing, receiving, inventory, costing and the general ledger; ours is Oracle E-Business Suite (Oracle EBS).</t>
        </is>
      </c>
      <c r="C88" s="13" t="inlineStr">
        <is>
          <t>Internal</t>
        </is>
      </c>
      <c r="D88" s="13" t="inlineStr">
        <is>
          <t>Systems</t>
        </is>
      </c>
    </row>
    <row r="89">
      <c r="A89" s="13" t="inlineStr">
        <is>
          <t>ETL (extract, transform, load)</t>
        </is>
      </c>
      <c r="B89" s="13" t="inlineStr">
        <is>
          <t>Process that moves data from source systems into the warehouse, cleaning and reshaping it on the way.</t>
        </is>
      </c>
      <c r="C89" s="13" t="inlineStr">
        <is>
          <t>All</t>
        </is>
      </c>
      <c r="D89" s="13" t="inlineStr">
        <is>
          <t>Data</t>
        </is>
      </c>
    </row>
    <row r="90">
      <c r="A90" s="13" t="inlineStr">
        <is>
          <t>Explanatory Notes</t>
        </is>
      </c>
      <c r="B90" s="13" t="inlineStr">
        <is>
          <t>The WCO's official commentary on HS headings; not legally binding in the US, but CBP and courts treat them as persuasive guidance.</t>
        </is>
      </c>
      <c r="C90" s="13" t="inlineStr">
        <is>
          <t>All</t>
        </is>
      </c>
      <c r="D90" s="13" t="inlineStr">
        <is>
          <t>Classification</t>
        </is>
      </c>
    </row>
    <row r="91">
      <c r="A91" s="13" t="inlineStr">
        <is>
          <t>EXW (Ex Works)</t>
        </is>
      </c>
      <c r="B91" s="13" t="inlineStr">
        <is>
          <t>Seller makes the goods available at its premises; the buyer bears all transport, risk, and export and import clearance.</t>
        </is>
      </c>
      <c r="C91" s="13" t="inlineStr">
        <is>
          <t>All</t>
        </is>
      </c>
      <c r="D91" s="13" t="inlineStr">
        <is>
          <t>Cost</t>
        </is>
      </c>
    </row>
    <row r="92">
      <c r="A92" s="13" t="inlineStr">
        <is>
          <t>Fact and dimension tables</t>
        </is>
      </c>
      <c r="B92" s="13" t="inlineStr">
        <is>
          <t>Fact tables hold measurable events, such as entry lines or receipts, at a defined grain; dimension tables describe them, such as item, supplier, country or date.</t>
        </is>
      </c>
      <c r="C92" s="13" t="inlineStr">
        <is>
          <t>All</t>
        </is>
      </c>
      <c r="D92" s="13" t="inlineStr">
        <is>
          <t>Data</t>
        </is>
      </c>
    </row>
    <row r="93">
      <c r="A93" s="13" t="inlineStr">
        <is>
          <t>FCA (Free Carrier)</t>
        </is>
      </c>
      <c r="B93" s="13" t="inlineStr">
        <is>
          <t>Seller delivers the goods, cleared for export, to the buyer's carrier at a named place, where risk passes; usable for any mode of transport.</t>
        </is>
      </c>
      <c r="C93" s="13" t="inlineStr">
        <is>
          <t>All</t>
        </is>
      </c>
      <c r="D93" s="13" t="inlineStr">
        <is>
          <t>Cost</t>
        </is>
      </c>
    </row>
    <row r="94">
      <c r="A94" s="13" t="inlineStr">
        <is>
          <t>Federal Register</t>
        </is>
      </c>
      <c r="B94" s="13" t="inlineStr">
        <is>
          <t>The US government's daily publication of rules, proclamations, executive orders and notices. Tariff actions and their HTS annexes appear here; it is the legal source for scope and effective dates.</t>
        </is>
      </c>
      <c r="C94" s="13" t="inlineStr">
        <is>
          <t>US</t>
        </is>
      </c>
      <c r="D94" s="13" t="inlineStr">
        <is>
          <t>Customs</t>
        </is>
      </c>
    </row>
    <row r="95">
      <c r="A95" s="13" t="inlineStr">
        <is>
          <t>FOB (Free On Board)</t>
        </is>
      </c>
      <c r="B95" s="13" t="inlineStr">
        <is>
          <t>Sea and inland waterway term: seller delivers goods on board the vessel at the named port of shipment, where risk passes. Often misused for container or truck freight.</t>
        </is>
      </c>
      <c r="C95" s="13" t="inlineStr">
        <is>
          <t>All</t>
        </is>
      </c>
      <c r="D95" s="13" t="inlineStr">
        <is>
          <t>Cost</t>
        </is>
      </c>
    </row>
    <row r="96">
      <c r="A96" s="13" t="inlineStr">
        <is>
          <t>Given/When/Then</t>
        </is>
      </c>
      <c r="B96" s="13" t="inlineStr">
        <is>
          <t>The acceptance-criteria pattern from behaviour-driven development: Given a known starting state, When an action or event happens, Then an outcome someone can observe. One behavior per criterion, with concrete data.</t>
        </is>
      </c>
      <c r="C96" s="13" t="inlineStr">
        <is>
          <t>All</t>
        </is>
      </c>
      <c r="D96" s="13" t="inlineStr">
        <is>
          <t>BSA</t>
        </is>
      </c>
    </row>
    <row r="97">
      <c r="A97" s="13" t="inlineStr">
        <is>
          <t>gMSA (group Managed Service Account)</t>
        </is>
      </c>
      <c r="B97" s="13" t="inlineStr">
        <is>
          <t>A Windows Active Directory account for services and scheduled tasks whose password Windows rotates itself, so no person needs to know or type it.</t>
        </is>
      </c>
      <c r="C97" s="13" t="inlineStr">
        <is>
          <t>All</t>
        </is>
      </c>
      <c r="D97" s="13" t="inlineStr">
        <is>
          <t>Systems</t>
        </is>
      </c>
    </row>
    <row r="98">
      <c r="A98" s="13" t="inlineStr">
        <is>
          <t>Grain</t>
        </is>
      </c>
      <c r="B98" s="13" t="inlineStr">
        <is>
          <t>What one row of a table represents, such as one entry line or one item per day. Joining tables of different grain carelessly duplicates rows.</t>
        </is>
      </c>
      <c r="C98" s="13" t="inlineStr">
        <is>
          <t>All</t>
        </is>
      </c>
      <c r="D98" s="13" t="inlineStr">
        <is>
          <t>Data</t>
        </is>
      </c>
    </row>
    <row r="99">
      <c r="A99" s="13" t="inlineStr">
        <is>
          <t>GRI (General Rules of Interpretation)</t>
        </is>
      </c>
      <c r="B99" s="13" t="inlineStr">
        <is>
          <t>Six ordered rules for classifying goods in the HS. GRI 1 (heading terms plus section and chapter notes) decides most cases; later rules apply only when GRI 1 does not.</t>
        </is>
      </c>
      <c r="C99" s="13" t="inlineStr">
        <is>
          <t>All</t>
        </is>
      </c>
      <c r="D99" s="13" t="inlineStr">
        <is>
          <t>Classification</t>
        </is>
      </c>
    </row>
    <row r="100">
      <c r="A100" s="13" t="inlineStr">
        <is>
          <t>Grounding</t>
        </is>
      </c>
      <c r="B100" s="13" t="inlineStr">
        <is>
          <t>What an AI answer draws on: web results, uploaded files or pasted text. Copilot Chat is grounded in the web and in what you give it, and can still produce ungrounded results, so check every claim.</t>
        </is>
      </c>
      <c r="C100" s="13" t="inlineStr">
        <is>
          <t>All</t>
        </is>
      </c>
      <c r="D100" s="13" t="inlineStr">
        <is>
          <t>Systems</t>
        </is>
      </c>
    </row>
    <row r="101">
      <c r="A101" s="13" t="inlineStr">
        <is>
          <t>GST on imports</t>
        </is>
      </c>
      <c r="B101" s="13" t="inlineStr">
        <is>
          <t>Canada's federal Goods and Services Tax charged on most imported goods on the duty-paid value, collected by the CBSA; registered businesses can usually claim input tax credits.</t>
        </is>
      </c>
      <c r="C101" s="13" t="inlineStr">
        <is>
          <t>CA</t>
        </is>
      </c>
      <c r="D101" s="13" t="inlineStr">
        <is>
          <t>Customs</t>
        </is>
      </c>
    </row>
    <row r="102">
      <c r="A102" s="13" t="inlineStr">
        <is>
          <t>GTM (Global Trade Management)</t>
        </is>
      </c>
      <c r="B102" s="13" t="inlineStr">
        <is>
          <t>Software that manages trade compliance data and processes, such as product classification, origin and trade agreements, restricted party screening, customs filing data and landed cost.</t>
        </is>
      </c>
      <c r="C102" s="13" t="inlineStr">
        <is>
          <t>All</t>
        </is>
      </c>
      <c r="D102" s="13" t="inlineStr">
        <is>
          <t>Systems</t>
        </is>
      </c>
    </row>
    <row r="103">
      <c r="A103" s="13" t="inlineStr">
        <is>
          <t>Hallucination</t>
        </is>
      </c>
      <c r="B103" s="13" t="inlineStr">
        <is>
          <t>An AI answer that sounds right but is invented, such as a Federal Register citation, HTS code or rate that does not exist or says something else. Open the primary source; never cite Copilot.</t>
        </is>
      </c>
      <c r="C103" s="13" t="inlineStr">
        <is>
          <t>All</t>
        </is>
      </c>
      <c r="D103" s="13" t="inlineStr">
        <is>
          <t>Systems</t>
        </is>
      </c>
    </row>
    <row r="104">
      <c r="A104" s="13" t="inlineStr">
        <is>
          <t>HMF (Harbor Maintenance Fee)</t>
        </is>
      </c>
      <c r="B104" s="13" t="inlineStr">
        <is>
          <t>Fee charged as a percentage of the value of imported commercial cargo unloaded at covered US seaports; it does not apply to air, truck or rail shipments, or to exports.</t>
        </is>
      </c>
      <c r="C104" s="13" t="inlineStr">
        <is>
          <t>US</t>
        </is>
      </c>
      <c r="D104" s="13" t="inlineStr">
        <is>
          <t>Customs</t>
        </is>
      </c>
    </row>
    <row r="105">
      <c r="A105" s="13" t="inlineStr">
        <is>
          <t>HS (Harmonized System)</t>
        </is>
      </c>
      <c r="B105" s="13" t="inlineStr">
        <is>
          <t>The World Customs Organization's international product nomenclature. The first 6 digits are shared by the US, Canada and Mexico; each country adds its own digits.</t>
        </is>
      </c>
      <c r="C105" s="13" t="inlineStr">
        <is>
          <t>All</t>
        </is>
      </c>
      <c r="D105" s="13" t="inlineStr">
        <is>
          <t>Classification</t>
        </is>
      </c>
    </row>
    <row r="106">
      <c r="A106" s="13" t="inlineStr">
        <is>
          <t>HTSUS</t>
        </is>
      </c>
      <c r="B106" s="13" t="inlineStr">
        <is>
          <t>Harmonized Tariff Schedule of the United States, published by the USITC: 8-digit tariff lines plus 2-digit statistical suffixes, with general notes, chapter notes and duty rates.</t>
        </is>
      </c>
      <c r="C106" s="13" t="inlineStr">
        <is>
          <t>US</t>
        </is>
      </c>
      <c r="D106" s="13" t="inlineStr">
        <is>
          <t>Classification</t>
        </is>
      </c>
    </row>
    <row r="107">
      <c r="A107" s="13" t="inlineStr">
        <is>
          <t>IEEPA</t>
        </is>
      </c>
      <c r="B107" s="13" t="inlineStr">
        <is>
          <t>International Emergency Economic Powers Act. Used in 2025 as the legal basis for broad additional tariffs; in Learning Resources, Inc. v. Trump (decided with Trump v. V.O.S. Selections on 20 February 2026, 6-3) the Supreme Court held it does not authorize tariffs. Current status of any replacement measures: docs/primers/current-tariff-landscape.md.</t>
        </is>
      </c>
      <c r="C107" s="13" t="inlineStr">
        <is>
          <t>US</t>
        </is>
      </c>
      <c r="D107" s="13" t="inlineStr">
        <is>
          <t>Customs</t>
        </is>
      </c>
    </row>
    <row r="108">
      <c r="A108" s="13" t="inlineStr">
        <is>
          <t>IEPS (Impuesto Especial sobre Producción y Servicios)</t>
        </is>
      </c>
      <c r="B108" s="13" t="inlineStr">
        <is>
          <t>Mexico's excise tax on specific goods, such as fuels, alcoholic drinks, tobacco and sweetened drinks; charged on the pedimento when those goods are imported. Certified IMMEX companies can cover it on temporary imports with a tax credit.</t>
        </is>
      </c>
      <c r="C108" s="13" t="inlineStr">
        <is>
          <t>MX</t>
        </is>
      </c>
      <c r="D108" s="13" t="inlineStr">
        <is>
          <t>Customs</t>
        </is>
      </c>
    </row>
    <row r="109">
      <c r="A109" s="13" t="inlineStr">
        <is>
          <t>IGI (Impuesto General de Importación)</t>
        </is>
      </c>
      <c r="B109" s="13" t="inlineStr">
        <is>
          <t>Mexico's import duty, calculated on the customs value at the TIGIE rate unless a preference such as T-MEC applies.</t>
        </is>
      </c>
      <c r="C109" s="13" t="inlineStr">
        <is>
          <t>MX</t>
        </is>
      </c>
      <c r="D109" s="13" t="inlineStr">
        <is>
          <t>Customs</t>
        </is>
      </c>
    </row>
    <row r="110">
      <c r="A110" s="13" t="inlineStr">
        <is>
          <t>IMMEX</t>
        </is>
      </c>
      <c r="B110" s="13" t="inlineStr">
        <is>
          <t>Mexican program (Industria Manufacturera, Maquiladora y de Servicios de Exportación) letting authorized companies import inputs temporarily, deferring import duty and IVA, to process and export them.</t>
        </is>
      </c>
      <c r="C110" s="13" t="inlineStr">
        <is>
          <t>MX</t>
        </is>
      </c>
      <c r="D110" s="13" t="inlineStr">
        <is>
          <t>Programs</t>
        </is>
      </c>
    </row>
    <row r="111">
      <c r="A111" s="13" t="inlineStr">
        <is>
          <t>Importer of record (IOR)</t>
        </is>
      </c>
      <c r="B111" s="13" t="inlineStr">
        <is>
          <t>The party legally responsible for a US entry: accurate declarations, payment of duties and fees, and keeping records. Usually the owner or purchaser of the goods.</t>
        </is>
      </c>
      <c r="C111" s="13" t="inlineStr">
        <is>
          <t>US</t>
        </is>
      </c>
      <c r="D111" s="13" t="inlineStr">
        <is>
          <t>Customs</t>
        </is>
      </c>
    </row>
    <row r="112">
      <c r="A112" s="13" t="inlineStr">
        <is>
          <t>Incoterms 2020</t>
        </is>
      </c>
      <c r="B112" s="13" t="inlineStr">
        <is>
          <t>The ICC's 11 standard trade terms defining where risk passes and who pays freight, insurance and clearance. They do not set customs value or transfer of title.</t>
        </is>
      </c>
      <c r="C112" s="13" t="inlineStr">
        <is>
          <t>All</t>
        </is>
      </c>
      <c r="D112" s="13" t="inlineStr">
        <is>
          <t>Cost</t>
        </is>
      </c>
    </row>
    <row r="113">
      <c r="A113" s="13" t="inlineStr">
        <is>
          <t>Inventory revaluation</t>
        </is>
      </c>
      <c r="B113" s="13" t="inlineStr">
        <is>
          <t>Accounting adjustment to on-hand inventory when standard costs change: new standard minus old standard, times on-hand quantity, posted to a revaluation account.</t>
        </is>
      </c>
      <c r="C113" s="13" t="inlineStr">
        <is>
          <t>All</t>
        </is>
      </c>
      <c r="D113" s="13" t="inlineStr">
        <is>
          <t>Cost</t>
        </is>
      </c>
    </row>
    <row r="114">
      <c r="A114" s="13" t="inlineStr">
        <is>
          <t>INVEST</t>
        </is>
      </c>
      <c r="B114" s="13" t="inlineStr">
        <is>
          <t>Bill Wake's checklist for user stories: Independent, Negotiable, Valuable, Estimable, Small, Testable.</t>
        </is>
      </c>
      <c r="C114" s="13" t="inlineStr">
        <is>
          <t>All</t>
        </is>
      </c>
      <c r="D114" s="13" t="inlineStr">
        <is>
          <t>BSA</t>
        </is>
      </c>
    </row>
    <row r="115">
      <c r="A115" s="13" t="inlineStr">
        <is>
          <t>IQR rule (Tukey fences)</t>
        </is>
      </c>
      <c r="B115" s="13" t="inlineStr">
        <is>
          <t>An outlier rule: with IQR = Q3 - Q1, flag values below Q1 - 1.5 x IQR or above Q3 + 1.5 x IQR; beyond 3 x IQR is extreme. A flag means investigate, never delete.</t>
        </is>
      </c>
      <c r="C115" s="13" t="inlineStr">
        <is>
          <t>All</t>
        </is>
      </c>
      <c r="D115" s="13" t="inlineStr">
        <is>
          <t>Data</t>
        </is>
      </c>
    </row>
    <row r="116">
      <c r="A116" s="13" t="inlineStr">
        <is>
          <t>ISF (Importer Security Filing, 10+2)</t>
        </is>
      </c>
      <c r="B116" s="13" t="inlineStr">
        <is>
          <t>Advance cargo data the ISF importer must file for ocean shipments before the cargo is loaded at the foreign port; late or wrong filings risk liquidated damages and holds.</t>
        </is>
      </c>
      <c r="C116" s="13" t="inlineStr">
        <is>
          <t>US</t>
        </is>
      </c>
      <c r="D116" s="13" t="inlineStr">
        <is>
          <t>Customs</t>
        </is>
      </c>
    </row>
    <row r="117">
      <c r="A117" s="13" t="inlineStr">
        <is>
          <t>Item master</t>
        </is>
      </c>
      <c r="B117" s="13" t="inlineStr">
        <is>
          <t>The system record of an item. For trade it carries HTS by country, origin, program eligibility and descriptions [COMPANY: which system is the source of truth].</t>
        </is>
      </c>
      <c r="C117" s="13" t="inlineStr">
        <is>
          <t>Internal</t>
        </is>
      </c>
      <c r="D117" s="13" t="inlineStr">
        <is>
          <t>Data</t>
        </is>
      </c>
    </row>
    <row r="118">
      <c r="A118" s="13" t="inlineStr">
        <is>
          <t>IVA (Impuesto al Valor Agregado)</t>
        </is>
      </c>
      <c r="B118" s="13" t="inlineStr">
        <is>
          <t>Mexico's value-added tax. On imports it is charged on the customs value plus the import duty and other charges; most businesses can credit it.</t>
        </is>
      </c>
      <c r="C118" s="13" t="inlineStr">
        <is>
          <t>MX</t>
        </is>
      </c>
      <c r="D118" s="13" t="inlineStr">
        <is>
          <t>Customs</t>
        </is>
      </c>
    </row>
    <row r="119">
      <c r="A119" s="13" t="inlineStr">
        <is>
          <t>Join fan-out</t>
        </is>
      </c>
      <c r="B119" s="13" t="inlineStr">
        <is>
          <t>Row multiplication when a join matches several rows per key, inflating sums; check row counts before and after every join.</t>
        </is>
      </c>
      <c r="C119" s="13" t="inlineStr">
        <is>
          <t>All</t>
        </is>
      </c>
      <c r="D119" s="13" t="inlineStr">
        <is>
          <t>Data</t>
        </is>
      </c>
    </row>
    <row r="120">
      <c r="A120" s="13" t="inlineStr">
        <is>
          <t>Knowledge area (BABOK)</t>
        </is>
      </c>
      <c r="B120" s="13" t="inlineStr">
        <is>
          <t>One of BABOK's six task groups: Business Analysis Planning and Monitoring; Elicitation and Collaboration; Requirements Life Cycle Management; Strategy Analysis; Requirements Analysis and Design Definition; Solution Evaluation. Not a sequence.</t>
        </is>
      </c>
      <c r="C120" s="13" t="inlineStr">
        <is>
          <t>All</t>
        </is>
      </c>
      <c r="D120" s="13" t="inlineStr">
        <is>
          <t>BSA</t>
        </is>
      </c>
    </row>
    <row r="121">
      <c r="A121" s="13" t="inlineStr">
        <is>
          <t>KPI (key performance indicator)</t>
        </is>
      </c>
      <c r="B121" s="13" t="inlineStr">
        <is>
          <t>A metric tied to an objective, with a definition, target, owner and time frame, that someone acts on when it moves. Write the definition first (which items, which dates, open items), then compute.</t>
        </is>
      </c>
      <c r="C121" s="13" t="inlineStr">
        <is>
          <t>All</t>
        </is>
      </c>
      <c r="D121" s="13" t="inlineStr">
        <is>
          <t>Data</t>
        </is>
      </c>
    </row>
    <row r="122">
      <c r="A122" s="13" t="inlineStr">
        <is>
          <t>Landed cost</t>
        </is>
      </c>
      <c r="B122" s="13" t="inlineStr">
        <is>
          <t>Total cost to bring an item into our warehouse: purchase price plus freight, insurance, duty, customs fees, brokerage, inland freight and [COMPANY: other components].</t>
        </is>
      </c>
      <c r="C122" s="13" t="inlineStr">
        <is>
          <t>All</t>
        </is>
      </c>
      <c r="D122" s="13" t="inlineStr">
        <is>
          <t>Cost</t>
        </is>
      </c>
    </row>
    <row r="123">
      <c r="A123" s="13" t="inlineStr">
        <is>
          <t>Leading and lagging indicator</t>
        </is>
      </c>
      <c r="B123" s="13" t="inlineStr">
        <is>
          <t>A lagging KPI reports a result that already happened (items released on time, PPV %). A leading KPI warns before the result moves (in-scope items with a confirmed HTS before the effective date). Use both.</t>
        </is>
      </c>
      <c r="C123" s="13" t="inlineStr">
        <is>
          <t>All</t>
        </is>
      </c>
      <c r="D123" s="13" t="inlineStr">
        <is>
          <t>Data</t>
        </is>
      </c>
    </row>
    <row r="124">
      <c r="A124" s="13" t="inlineStr">
        <is>
          <t>LIGIE (Ley de los Impuestos Generales de Importación y de Exportación)</t>
        </is>
      </c>
      <c r="B124" s="13" t="inlineStr">
        <is>
          <t>The Mexican law that contains the TIGIE tariff schedule and its fracciones arancelarias; rates are changed by decrees published in the DOF.</t>
        </is>
      </c>
      <c r="C124" s="13" t="inlineStr">
        <is>
          <t>MX</t>
        </is>
      </c>
      <c r="D124" s="13" t="inlineStr">
        <is>
          <t>Classification</t>
        </is>
      </c>
    </row>
    <row r="125">
      <c r="A125" s="13" t="inlineStr">
        <is>
          <t>Liquidation</t>
        </is>
      </c>
      <c r="B125" s="13" t="inlineStr">
        <is>
          <t>CBP's final computation of duties, taxes and fees on an entry; by statute generally within one year of entry unless extended or suspended. It starts the 180-day protest clock.</t>
        </is>
      </c>
      <c r="C125" s="13" t="inlineStr">
        <is>
          <t>US</t>
        </is>
      </c>
      <c r="D125" s="13" t="inlineStr">
        <is>
          <t>Customs</t>
        </is>
      </c>
    </row>
    <row r="126">
      <c r="A126" s="13" t="inlineStr">
        <is>
          <t>Maker-checker</t>
        </is>
      </c>
      <c r="B126" s="13" t="inlineStr">
        <is>
          <t>Control where one person prepares the work (maker) and a second person independently reviews and signs it off (checker) before release. Mandatory here for cost updates and tariff models.</t>
        </is>
      </c>
      <c r="C126" s="13" t="inlineStr">
        <is>
          <t>Internal</t>
        </is>
      </c>
      <c r="D126" s="13" t="inlineStr">
        <is>
          <t>BSA</t>
        </is>
      </c>
    </row>
    <row r="127">
      <c r="A127" s="13" t="inlineStr">
        <is>
          <t>Managed solution (Power Platform)</t>
        </is>
      </c>
      <c r="B127" s="13" t="inlineStr">
        <is>
          <t>A packaged solution deployed to test and production that cannot be edited directly there, which stops quick fixes in production. Changes are made in the unmanaged solution in development and deployed again.</t>
        </is>
      </c>
      <c r="C127" s="13" t="inlineStr">
        <is>
          <t>All</t>
        </is>
      </c>
      <c r="D127" s="13" t="inlineStr">
        <is>
          <t>Systems</t>
        </is>
      </c>
    </row>
    <row r="128">
      <c r="A128" s="13" t="inlineStr">
        <is>
          <t>Manufacturing drawback</t>
        </is>
      </c>
      <c r="B128" s="13" t="inlineStr">
        <is>
          <t>Drawback on imported merchandise used to make an article that is exported or destroyed, by direct identification (19 U.S.C. 1313(a)) or substitution (1313(b)).</t>
        </is>
      </c>
      <c r="C128" s="13" t="inlineStr">
        <is>
          <t>US</t>
        </is>
      </c>
      <c r="D128" s="13" t="inlineStr">
        <is>
          <t>Programs</t>
        </is>
      </c>
    </row>
    <row r="129">
      <c r="A129" s="13" t="inlineStr">
        <is>
          <t>Master data</t>
        </is>
      </c>
      <c r="B129" s="13" t="inlineStr">
        <is>
          <t>Core reference records shared across processes, such as items, suppliers, HTS codes, origin and cost; an error here spreads to every entry, cost and report that uses it.</t>
        </is>
      </c>
      <c r="C129" s="13" t="inlineStr">
        <is>
          <t>All</t>
        </is>
      </c>
      <c r="D129" s="13" t="inlineStr">
        <is>
          <t>Data</t>
        </is>
      </c>
    </row>
    <row r="130">
      <c r="A130" s="13" t="inlineStr">
        <is>
          <t>Material error</t>
        </is>
      </c>
      <c r="B130" s="13" t="inlineStr">
        <is>
          <t>Here: an error that would change a business decision, such as wrong items, rate, effective date or stacking, or a cost impact off by more than [COMPANY: materiality threshold].</t>
        </is>
      </c>
      <c r="C130" s="13" t="inlineStr">
        <is>
          <t>Internal</t>
        </is>
      </c>
      <c r="D130" s="13" t="inlineStr">
        <is>
          <t>BSA</t>
        </is>
      </c>
    </row>
    <row r="131">
      <c r="A131" s="13" t="inlineStr">
        <is>
          <t>Measure (Power BI)</t>
        </is>
      </c>
      <c r="B131" s="13" t="inlineStr">
        <is>
          <t>A DAX calculation evaluated in the current filter context when a visual is shown, such as Total Duty or Effective Duty Rate. Totals, ratios and time comparisons are measures because they must follow the filters.</t>
        </is>
      </c>
      <c r="C131" s="13" t="inlineStr">
        <is>
          <t>All</t>
        </is>
      </c>
      <c r="D131" s="13" t="inlineStr">
        <is>
          <t>Data</t>
        </is>
      </c>
    </row>
    <row r="132">
      <c r="A132" s="13" t="inlineStr">
        <is>
          <t>MFN (most-favoured-nation) rate</t>
        </is>
      </c>
      <c r="B132" s="13" t="inlineStr">
        <is>
          <t>The normal tariff rate a WTO member applies to imports from other WTO members that have no preference. In the US it is the Column 1 General (normal trade relations) rate; in Canada it is the MFN tariff treatment.</t>
        </is>
      </c>
      <c r="C132" s="13" t="inlineStr">
        <is>
          <t>All</t>
        </is>
      </c>
      <c r="D132" s="13" t="inlineStr">
        <is>
          <t>Customs</t>
        </is>
      </c>
    </row>
    <row r="133">
      <c r="A133" s="13" t="inlineStr">
        <is>
          <t>Microsoft 365 Copilot Chat</t>
        </is>
      </c>
      <c r="B133" s="13" t="inlineStr">
        <is>
          <t>The AI chat included with a Microsoft 365 work account at no extra cost, grounded in the web. It cannot see our files or databases unless you paste or upload them. Not the paid Copilot license.</t>
        </is>
      </c>
      <c r="C133" s="13" t="inlineStr">
        <is>
          <t>All</t>
        </is>
      </c>
      <c r="D133" s="13" t="inlineStr">
        <is>
          <t>Systems</t>
        </is>
      </c>
    </row>
    <row r="134">
      <c r="A134" s="13" t="inlineStr">
        <is>
          <t>MID (manufacturer identification code)</t>
        </is>
      </c>
      <c r="B134" s="13" t="inlineStr">
        <is>
          <t>Code on each US entry summary line that identifies the manufacturer or shipper, built from its country code, name, street address number and city by CBP's construction rules. The supplier is not always the manufacturer.</t>
        </is>
      </c>
      <c r="C134" s="13" t="inlineStr">
        <is>
          <t>US</t>
        </is>
      </c>
      <c r="D134" s="13" t="inlineStr">
        <is>
          <t>Customs</t>
        </is>
      </c>
    </row>
    <row r="135">
      <c r="A135" s="13" t="inlineStr">
        <is>
          <t>MoSCoW</t>
        </is>
      </c>
      <c r="B135" s="13" t="inlineStr">
        <is>
          <t>Prioritization method that sorts requirements into Must have, Should have, Could have and Won't have (this time).</t>
        </is>
      </c>
      <c r="C135" s="13" t="inlineStr">
        <is>
          <t>All</t>
        </is>
      </c>
      <c r="D135" s="13" t="inlineStr">
        <is>
          <t>BSA</t>
        </is>
      </c>
    </row>
    <row r="136">
      <c r="A136" s="13" t="inlineStr">
        <is>
          <t>MPF (Merchandise Processing Fee)</t>
        </is>
      </c>
      <c r="B136" s="13" t="inlineStr">
        <is>
          <t>CBP user fee (19 CFR 24.23). Formal entries pay a percentage of value with a per-entry minimum and maximum that change each fiscal year; informal entries pay a small flat fee. Goods claimed as USMCA-originating are exempt.</t>
        </is>
      </c>
      <c r="C136" s="13" t="inlineStr">
        <is>
          <t>US</t>
        </is>
      </c>
      <c r="D136" s="13" t="inlineStr">
        <is>
          <t>Customs</t>
        </is>
      </c>
    </row>
    <row r="137">
      <c r="A137" s="13" t="inlineStr">
        <is>
          <t>Net cost method (RVC)</t>
        </is>
      </c>
      <c r="B137" s="13" t="inlineStr">
        <is>
          <t>RVC = (net cost minus value of non-originating materials) divided by net cost, times 100; net cost excludes sales promotion, royalties, shipping and packing, and non-allowable interest.</t>
        </is>
      </c>
      <c r="C137" s="13" t="inlineStr">
        <is>
          <t>All</t>
        </is>
      </c>
      <c r="D137" s="13" t="inlineStr">
        <is>
          <t>Origin</t>
        </is>
      </c>
    </row>
    <row r="138">
      <c r="A138" s="13" t="inlineStr">
        <is>
          <t>NICO (Número de Identificación Comercial)</t>
        </is>
      </c>
      <c r="B138" s="13" t="inlineStr">
        <is>
          <t>2-digit statistical suffix after the 8-digit TIGIE fracción, giving the 10-digit code declared on the pedimento.</t>
        </is>
      </c>
      <c r="C138" s="13" t="inlineStr">
        <is>
          <t>MX</t>
        </is>
      </c>
      <c r="D138" s="13" t="inlineStr">
        <is>
          <t>Classification</t>
        </is>
      </c>
    </row>
    <row r="139">
      <c r="A139" s="13" t="inlineStr">
        <is>
          <t>NOM (Norma Oficial Mexicana)</t>
        </is>
      </c>
      <c r="B139" s="13" t="inlineStr">
        <is>
          <t>A mandatory Mexican technical regulation, for example on product labeling or safety. Compliance is checked at import for the fracciones listed, so a wrong fracción can trigger or miss a NOM.</t>
        </is>
      </c>
      <c r="C139" s="13" t="inlineStr">
        <is>
          <t>MX</t>
        </is>
      </c>
      <c r="D139" s="13" t="inlineStr">
        <is>
          <t>Customs</t>
        </is>
      </c>
    </row>
    <row r="140">
      <c r="A140" s="13" t="inlineStr">
        <is>
          <t>OGD (other government department)</t>
        </is>
      </c>
      <c r="B140" s="13" t="inlineStr">
        <is>
          <t>Canadian term for a federal department or agency other than the CBSA that regulates imports, such as the CFIA or Health Canada. Their permit and data requirements are triggered by the classification.</t>
        </is>
      </c>
      <c r="C140" s="13" t="inlineStr">
        <is>
          <t>CA</t>
        </is>
      </c>
      <c r="D140" s="13" t="inlineStr">
        <is>
          <t>Customs</t>
        </is>
      </c>
    </row>
    <row r="141">
      <c r="A141" s="13" t="inlineStr">
        <is>
          <t>On-premises data gateway</t>
        </is>
      </c>
      <c r="B141" s="13" t="inlineStr">
        <is>
          <t>Microsoft software that lets Power BI, Power Automate and Power Apps reach on-premises sources such as the team database. Each gateway connection stores one set of credentials, used for every refresh through it.</t>
        </is>
      </c>
      <c r="C141" s="13" t="inlineStr">
        <is>
          <t>All</t>
        </is>
      </c>
      <c r="D141" s="13" t="inlineStr">
        <is>
          <t>Systems</t>
        </is>
      </c>
    </row>
    <row r="142">
      <c r="A142" s="13" t="inlineStr">
        <is>
          <t>Originating good</t>
        </is>
      </c>
      <c r="B142" s="13" t="inlineStr">
        <is>
          <t>A good that meets USMCA Article 4.2: (A) wholly obtained or produced in the region; (B) meets its product-specific rule using non-originating materials; (C) produced exclusively from originating materials; or (D) in limited cases, meets a regional value content test; plus the other Chapter 4 requirements. The letter is the origin criterion on the certification.</t>
        </is>
      </c>
      <c r="C142" s="13" t="inlineStr">
        <is>
          <t>All</t>
        </is>
      </c>
      <c r="D142" s="13" t="inlineStr">
        <is>
          <t>Origin</t>
        </is>
      </c>
    </row>
    <row r="143">
      <c r="A143" s="13" t="inlineStr">
        <is>
          <t>Padrón de importadores</t>
        </is>
      </c>
      <c r="B143" s="13" t="inlineStr">
        <is>
          <t>SAT registry an importer must be in, active and in good standing, to import into Mexico; some sectors need an extra sector-specific registration.</t>
        </is>
      </c>
      <c r="C143" s="13" t="inlineStr">
        <is>
          <t>MX</t>
        </is>
      </c>
      <c r="D143" s="13" t="inlineStr">
        <is>
          <t>Customs</t>
        </is>
      </c>
    </row>
    <row r="144">
      <c r="A144" s="13" t="inlineStr">
        <is>
          <t>PAMA (Procedimiento Administrativo en Materia Aduanera)</t>
        </is>
      </c>
      <c r="B144" s="13" t="inlineStr">
        <is>
          <t>The Mexican customs administrative proceeding opened when an inspection or review finds irregularities, such as undeclared goods or missing non-tariff compliance; goods can be held, and it ends with a resolution on omitted taxes and fines (Ley Aduanera arts. 150 to 153).</t>
        </is>
      </c>
      <c r="C144" s="13" t="inlineStr">
        <is>
          <t>MX</t>
        </is>
      </c>
      <c r="D144" s="13" t="inlineStr">
        <is>
          <t>Customs</t>
        </is>
      </c>
    </row>
    <row r="145">
      <c r="A145" s="13" t="inlineStr">
        <is>
          <t>Pedimento</t>
        </is>
      </c>
      <c r="B145" s="13" t="inlineStr">
        <is>
          <t>The Mexican customs declaration that the agente aduanal transmits for each import or export, showing classification, value, origin, taxes and regime, such as definitive or temporary.</t>
        </is>
      </c>
      <c r="C145" s="13" t="inlineStr">
        <is>
          <t>MX</t>
        </is>
      </c>
      <c r="D145" s="13" t="inlineStr">
        <is>
          <t>Customs</t>
        </is>
      </c>
    </row>
    <row r="146">
      <c r="A146" s="13" t="inlineStr">
        <is>
          <t>PGA (Partner Government Agency)</t>
        </is>
      </c>
      <c r="B146" s="13" t="inlineStr">
        <is>
          <t>Another US agency, such as FDA, EPA, USDA or CPSC, whose admissibility data is filed through ACE alongside the customs entry.</t>
        </is>
      </c>
      <c r="C146" s="13" t="inlineStr">
        <is>
          <t>US</t>
        </is>
      </c>
      <c r="D146" s="13" t="inlineStr">
        <is>
          <t>Customs</t>
        </is>
      </c>
    </row>
    <row r="147">
      <c r="A147" s="13" t="inlineStr">
        <is>
          <t>PMS (Periodic Monthly Statement)</t>
        </is>
      </c>
      <c r="B147" s="13" t="inlineStr">
        <is>
          <t>CBP option that lets an importer or broker pay the duties and fees for a month's entries in one payment, due on the 15th working day of the following month, instead of paying entry by entry.</t>
        </is>
      </c>
      <c r="C147" s="13" t="inlineStr">
        <is>
          <t>US</t>
        </is>
      </c>
      <c r="D147" s="13" t="inlineStr">
        <is>
          <t>Customs</t>
        </is>
      </c>
    </row>
    <row r="148">
      <c r="A148" s="13" t="inlineStr">
        <is>
          <t>Power Apps and Power Automate</t>
        </is>
      </c>
      <c r="B148" s="13" t="inlineStr">
        <is>
          <t>Microsoft low-code tools for building apps and automated flows. Several of our custom tools use them; record each flow's owner, connections and credentials when documenting it.</t>
        </is>
      </c>
      <c r="C148" s="13" t="inlineStr">
        <is>
          <t>All</t>
        </is>
      </c>
      <c r="D148" s="13" t="inlineStr">
        <is>
          <t>Systems</t>
        </is>
      </c>
    </row>
    <row r="149">
      <c r="A149" s="13" t="inlineStr">
        <is>
          <t>Power BI</t>
        </is>
      </c>
      <c r="B149" s="13" t="inlineStr">
        <is>
          <t>Microsoft's business intelligence tool. Power BI Desktop builds semantic models and reports; the Power BI service publishes, shares and refreshes them.</t>
        </is>
      </c>
      <c r="C149" s="13" t="inlineStr">
        <is>
          <t>All</t>
        </is>
      </c>
      <c r="D149" s="13" t="inlineStr">
        <is>
          <t>Data</t>
        </is>
      </c>
    </row>
    <row r="150">
      <c r="A150" s="13" t="inlineStr">
        <is>
          <t>Power Query</t>
        </is>
      </c>
      <c r="B150" s="13" t="inlineStr">
        <is>
          <t>Data import and transformation engine in Excel and Power BI; each step is recorded in the M language and replayed on refresh.</t>
        </is>
      </c>
      <c r="C150" s="13" t="inlineStr">
        <is>
          <t>All</t>
        </is>
      </c>
      <c r="D150" s="13" t="inlineStr">
        <is>
          <t>Data</t>
        </is>
      </c>
    </row>
    <row r="151">
      <c r="A151" s="13" t="inlineStr">
        <is>
          <t>PPV (purchase price variance)</t>
        </is>
      </c>
      <c r="B151" s="13" t="inlineStr">
        <is>
          <t>Difference between actual purchase cost and standard cost for quantities received; drivers include vendor price, duty or tariff, freight and FX.</t>
        </is>
      </c>
      <c r="C151" s="13" t="inlineStr">
        <is>
          <t>All</t>
        </is>
      </c>
      <c r="D151" s="13" t="inlineStr">
        <is>
          <t>Cost</t>
        </is>
      </c>
    </row>
    <row r="152">
      <c r="A152" s="13" t="inlineStr">
        <is>
          <t>Price and quantity variance</t>
        </is>
      </c>
      <c r="B152" s="13" t="inlineStr">
        <is>
          <t>Splits a change between two periods into a price (rate) effect and a quantity (value or volume) effect that add up to the total change. Conventions differ, so name yours (Exercise 11).</t>
        </is>
      </c>
      <c r="C152" s="13" t="inlineStr">
        <is>
          <t>All</t>
        </is>
      </c>
      <c r="D152" s="13" t="inlineStr">
        <is>
          <t>Cost</t>
        </is>
      </c>
    </row>
    <row r="153">
      <c r="A153" s="13" t="inlineStr">
        <is>
          <t>Prior disclosure</t>
        </is>
      </c>
      <c r="B153" s="13" t="inlineStr">
        <is>
          <t>Voluntary report to CBP of a potential 19 U.S.C. 1592 violation before a formal investigation starts, with tender of lost duties; it substantially reduces penalties (19 CFR 162.74). Hires escalate; they do not decide.</t>
        </is>
      </c>
      <c r="C153" s="13" t="inlineStr">
        <is>
          <t>US</t>
        </is>
      </c>
      <c r="D153" s="13" t="inlineStr">
        <is>
          <t>Customs</t>
        </is>
      </c>
    </row>
    <row r="154">
      <c r="A154" s="13" t="inlineStr">
        <is>
          <t>Product-specific rule of origin (PSR)</t>
        </is>
      </c>
      <c r="B154" s="13" t="inlineStr">
        <is>
          <t>The USMCA Annex 4-B rule for an HS chapter, heading or subheading stating the tariff shift and/or RVC a good must meet to originate.</t>
        </is>
      </c>
      <c r="C154" s="13" t="inlineStr">
        <is>
          <t>All</t>
        </is>
      </c>
      <c r="D154" s="13" t="inlineStr">
        <is>
          <t>Origin</t>
        </is>
      </c>
    </row>
    <row r="155">
      <c r="A155" s="13" t="inlineStr">
        <is>
          <t>Prompt</t>
        </is>
      </c>
      <c r="B155" s="13" t="inlineStr">
        <is>
          <t>The instruction you give an AI tool. A good prompt states the goal, context, source and expectations (format, length, detail); for our work, also ask for its assumptions, uncertainties and what to verify.</t>
        </is>
      </c>
      <c r="C155" s="13" t="inlineStr">
        <is>
          <t>All</t>
        </is>
      </c>
      <c r="D155" s="13" t="inlineStr">
        <is>
          <t>Systems</t>
        </is>
      </c>
    </row>
    <row r="156">
      <c r="A156" s="13" t="inlineStr">
        <is>
          <t>PROSEC (Programas de Promoción Sectorial)</t>
        </is>
      </c>
      <c r="B156" s="13" t="inlineStr">
        <is>
          <t>Secretaría de Economía programs that let registered producers in designated sectors import listed inputs and machinery at reduced IGI rates, whether the finished goods are exported or sold in Mexico.</t>
        </is>
      </c>
      <c r="C156" s="13" t="inlineStr">
        <is>
          <t>MX</t>
        </is>
      </c>
      <c r="D156" s="13" t="inlineStr">
        <is>
          <t>Programs</t>
        </is>
      </c>
    </row>
    <row r="157">
      <c r="A157" s="13" t="inlineStr">
        <is>
          <t>Protest (CBP Form 19)</t>
        </is>
      </c>
      <c r="B157" s="13" t="inlineStr">
        <is>
          <t>Formal challenge to a CBP decision such as liquidation, filed within 180 days of the decision under 19 U.S.C. 1514.</t>
        </is>
      </c>
      <c r="C157" s="13" t="inlineStr">
        <is>
          <t>US</t>
        </is>
      </c>
      <c r="D157" s="13" t="inlineStr">
        <is>
          <t>Customs</t>
        </is>
      </c>
    </row>
    <row r="158">
      <c r="A158" s="13" t="inlineStr">
        <is>
          <t>PSC (Post Summary Correction)</t>
        </is>
      </c>
      <c r="B158" s="13" t="inlineStr">
        <is>
          <t>An electronic correction to an accepted entry summary, filed in ACE before liquidation within CBP's PSC time limits; it fully replaces the original entry summary.</t>
        </is>
      </c>
      <c r="C158" s="13" t="inlineStr">
        <is>
          <t>US</t>
        </is>
      </c>
      <c r="D158" s="13" t="inlineStr">
        <is>
          <t>Customs</t>
        </is>
      </c>
    </row>
    <row r="159">
      <c r="A159" s="13" t="inlineStr">
        <is>
          <t>RACI</t>
        </is>
      </c>
      <c r="B159" s="13" t="inlineStr">
        <is>
          <t>Responsibility matrix for each task or decision: Responsible (does the work), Accountable (the one owner who approves), Consulted and Informed.</t>
        </is>
      </c>
      <c r="C159" s="13" t="inlineStr">
        <is>
          <t>All</t>
        </is>
      </c>
      <c r="D159" s="13" t="inlineStr">
        <is>
          <t>BSA</t>
        </is>
      </c>
    </row>
    <row r="160">
      <c r="A160" s="13" t="inlineStr">
        <is>
          <t>RDP (Remote Desktop Protocol)</t>
        </is>
      </c>
      <c r="B160" s="13" t="inlineStr">
        <is>
          <t>The Windows protocol for signing in to another computer, such as the team server. Use your personal account and sign out when you finish; disconnecting leaves your programs running there.</t>
        </is>
      </c>
      <c r="C160" s="13" t="inlineStr">
        <is>
          <t>All</t>
        </is>
      </c>
      <c r="D160" s="13" t="inlineStr">
        <is>
          <t>Systems</t>
        </is>
      </c>
    </row>
    <row r="161">
      <c r="A161" s="13" t="inlineStr">
        <is>
          <t>Read-only connection (DBeaver)</t>
        </is>
      </c>
      <c r="B161" s="13" t="inlineStr">
        <is>
          <t>A DBeaver connection setting that refuses data-changing statements. Anyone can switch it off on their own machine, so the real control is a database account that can only read; the setting is a safety net.</t>
        </is>
      </c>
      <c r="C161" s="13" t="inlineStr">
        <is>
          <t>All</t>
        </is>
      </c>
      <c r="D161" s="13" t="inlineStr">
        <is>
          <t>Data</t>
        </is>
      </c>
    </row>
    <row r="162">
      <c r="A162" s="13" t="inlineStr">
        <is>
          <t>Reasonable care</t>
        </is>
      </c>
      <c r="B162" s="13" t="inlineStr">
        <is>
          <t>The importer of record's legal duty (19 U.S.C. 1484) to use reasonable care in declaring classification, value, origin and rate. Relying blindly on the broker does not meet it.</t>
        </is>
      </c>
      <c r="C162" s="13" t="inlineStr">
        <is>
          <t>US</t>
        </is>
      </c>
      <c r="D162" s="13" t="inlineStr">
        <is>
          <t>Customs</t>
        </is>
      </c>
    </row>
    <row r="163">
      <c r="A163" s="13" t="inlineStr">
        <is>
          <t>Recordkeeping (19 CFR Part 163)</t>
        </is>
      </c>
      <c r="B163" s="13" t="inlineStr">
        <is>
          <t>Legal duty to keep import records, such as entries, invoices and origin support, generally for five years from entry and to produce them when CBP demands.</t>
        </is>
      </c>
      <c r="C163" s="13" t="inlineStr">
        <is>
          <t>US</t>
        </is>
      </c>
      <c r="D163" s="13" t="inlineStr">
        <is>
          <t>Customs</t>
        </is>
      </c>
    </row>
    <row r="164">
      <c r="A164" s="13" t="inlineStr">
        <is>
          <t>Regression testing</t>
        </is>
      </c>
      <c r="B164" s="13" t="inlineStr">
        <is>
          <t>Testing that a change has not broken what it should not change. For a tool change, run the old and new versions on the same full input and confirm that only the intended differences appear.</t>
        </is>
      </c>
      <c r="C164" s="13" t="inlineStr">
        <is>
          <t>All</t>
        </is>
      </c>
      <c r="D164" s="13" t="inlineStr">
        <is>
          <t>BSA</t>
        </is>
      </c>
    </row>
    <row r="165">
      <c r="A165" s="13" t="inlineStr">
        <is>
          <t>Release prior to payment (RPP)</t>
        </is>
      </c>
      <c r="B165" s="13" t="inlineStr">
        <is>
          <t>CBSA privilege that releases goods before final accounting and payment of duties and taxes; under CARM the importer must post its own financial security to use it.</t>
        </is>
      </c>
      <c r="C165" s="13" t="inlineStr">
        <is>
          <t>CA</t>
        </is>
      </c>
      <c r="D165" s="13" t="inlineStr">
        <is>
          <t>Customs</t>
        </is>
      </c>
    </row>
    <row r="166">
      <c r="A166" s="13" t="inlineStr">
        <is>
          <t>Requirement types (business, stakeholder, solution, transition)</t>
        </is>
      </c>
      <c r="B166" s="13" t="inlineStr">
        <is>
          <t>BABOK's four types. Business: why the change was started. Stakeholder: what stakeholders need. Solution: what it does (functional) and how well (non-functional). Transition: what is needed, temporarily, to reach the future state.</t>
        </is>
      </c>
      <c r="C166" s="13" t="inlineStr">
        <is>
          <t>All</t>
        </is>
      </c>
      <c r="D166" s="13" t="inlineStr">
        <is>
          <t>BSA</t>
        </is>
      </c>
    </row>
    <row r="167">
      <c r="A167" s="13" t="inlineStr">
        <is>
          <t>Restricted party screening (RPS)</t>
        </is>
      </c>
      <c r="B167" s="13" t="inlineStr">
        <is>
          <t>Checking customers, suppliers and other parties against government restricted lists, such as the Consolidated Screening List, before a transaction. Awareness only for the hires.</t>
        </is>
      </c>
      <c r="C167" s="13" t="inlineStr">
        <is>
          <t>US</t>
        </is>
      </c>
      <c r="D167" s="13" t="inlineStr">
        <is>
          <t>Exports</t>
        </is>
      </c>
    </row>
    <row r="168">
      <c r="A168" s="13" t="inlineStr">
        <is>
          <t>RFC (Registro Federal de Contribuyentes)</t>
        </is>
      </c>
      <c r="B168" s="13" t="inlineStr">
        <is>
          <t>Mexico's taxpayer ID, required on pedimentos and for registration in the padrón de importadores.</t>
        </is>
      </c>
      <c r="C168" s="13" t="inlineStr">
        <is>
          <t>MX</t>
        </is>
      </c>
      <c r="D168" s="13" t="inlineStr">
        <is>
          <t>Customs</t>
        </is>
      </c>
    </row>
    <row r="169">
      <c r="A169" s="13" t="inlineStr">
        <is>
          <t>RGCE (Reglas Generales de Comercio Exterior)</t>
        </is>
      </c>
      <c r="B169" s="13" t="inlineStr">
        <is>
          <t>SAT's foreign-trade rules, issued each year with numbered annexes (for example Anexo 22 for the pedimento, Anexo 24 for IMMEX inventory control and Anexo 30 for the SCCCyG) and amended during the year in the DOF. Cite the year's edition.</t>
        </is>
      </c>
      <c r="C169" s="13" t="inlineStr">
        <is>
          <t>MX</t>
        </is>
      </c>
      <c r="D169" s="13" t="inlineStr">
        <is>
          <t>Customs</t>
        </is>
      </c>
    </row>
    <row r="170">
      <c r="A170" s="13" t="inlineStr">
        <is>
          <t>Rollback</t>
        </is>
      </c>
      <c r="B170" s="13" t="inlineStr">
        <is>
          <t>Restoring the previous version when a release goes wrong. The rollback plan gives the trigger, who decides, the steps, the verified backup and how faulty outputs get corrected. Roll back first, investigate second.</t>
        </is>
      </c>
      <c r="C170" s="13" t="inlineStr">
        <is>
          <t>All</t>
        </is>
      </c>
      <c r="D170" s="13" t="inlineStr">
        <is>
          <t>BSA</t>
        </is>
      </c>
    </row>
    <row r="171">
      <c r="A171" s="13" t="inlineStr">
        <is>
          <t>RVC (regional value content)</t>
        </is>
      </c>
      <c r="B171" s="13" t="inlineStr">
        <is>
          <t>The share of a good's value that is regional, calculated by the transaction value method or the net cost method as the product-specific rule allows.</t>
        </is>
      </c>
      <c r="C171" s="13" t="inlineStr">
        <is>
          <t>All</t>
        </is>
      </c>
      <c r="D171" s="13" t="inlineStr">
        <is>
          <t>Origin</t>
        </is>
      </c>
    </row>
    <row r="172">
      <c r="A172" s="13" t="inlineStr">
        <is>
          <t>Sandbox schema</t>
        </is>
      </c>
      <c r="B172" s="13" t="inlineStr">
        <is>
          <t>The area of the team database where the hires create, load, query and drop their own tables [COMPANY: sandbox or staging schema in the team database]. It is not production: nothing may depend on it.</t>
        </is>
      </c>
      <c r="C172" s="13" t="inlineStr">
        <is>
          <t>Internal</t>
        </is>
      </c>
      <c r="D172" s="13" t="inlineStr">
        <is>
          <t>Data</t>
        </is>
      </c>
    </row>
    <row r="173">
      <c r="A173" s="13" t="inlineStr">
        <is>
          <t>SAT (Servicio de Administración Tributaria)</t>
        </is>
      </c>
      <c r="B173" s="13" t="inlineStr">
        <is>
          <t>Mexico's tax authority. It administers the RFC, e.firma, the padrón de importadores and the annual foreign-trade rules (Reglas Generales de Comercio Exterior, RGCE).</t>
        </is>
      </c>
      <c r="C173" s="13" t="inlineStr">
        <is>
          <t>MX</t>
        </is>
      </c>
      <c r="D173" s="13" t="inlineStr">
        <is>
          <t>Customs</t>
        </is>
      </c>
    </row>
    <row r="174">
      <c r="A174" s="13" t="inlineStr">
        <is>
          <t>Schedule B</t>
        </is>
      </c>
      <c r="B174" s="13" t="inlineStr">
        <is>
          <t>Census Bureau 10-digit export classification. The first 6 digits match the HS, and for most goods the HTSUS number may be reported instead.</t>
        </is>
      </c>
      <c r="C174" s="13" t="inlineStr">
        <is>
          <t>US</t>
        </is>
      </c>
      <c r="D174" s="13" t="inlineStr">
        <is>
          <t>Exports</t>
        </is>
      </c>
    </row>
    <row r="175">
      <c r="A175" s="13" t="inlineStr">
        <is>
          <t>Scrum</t>
        </is>
      </c>
      <c r="B175" s="13" t="inlineStr">
        <is>
          <t>An agile framework (Scrum Guide 2020): one Scrum Team (Product Owner, Scrum Master, Developers), five events (Sprint, Sprint Planning, Daily Scrum, Sprint Review, Sprint Retrospective) and three artifacts (Product Backlog, Sprint Backlog, Increment).</t>
        </is>
      </c>
      <c r="C175" s="13" t="inlineStr">
        <is>
          <t>All</t>
        </is>
      </c>
      <c r="D175" s="13" t="inlineStr">
        <is>
          <t>BSA</t>
        </is>
      </c>
    </row>
    <row r="176">
      <c r="A176" s="13" t="inlineStr">
        <is>
          <t>SDLC (software development life cycle)</t>
        </is>
      </c>
      <c r="B176" s="13" t="inlineStr">
        <is>
          <t>The path a change takes from a need to running in production, supported and eventually retired. Taught here in eight phases: intake and plan, requirements, design, build, test, release, operate and support, retire.</t>
        </is>
      </c>
      <c r="C176" s="13" t="inlineStr">
        <is>
          <t>All</t>
        </is>
      </c>
      <c r="D176" s="13" t="inlineStr">
        <is>
          <t>BSA</t>
        </is>
      </c>
    </row>
    <row r="177">
      <c r="A177" s="13" t="inlineStr">
        <is>
          <t>Section 122</t>
        </is>
      </c>
      <c r="B177" s="13" t="inlineStr">
        <is>
          <t>Trade Act of 1974 provision allowing a temporary import surcharge of up to 15 percent for up to 150 days to address balance-of-payments problems, unless Congress extends it.</t>
        </is>
      </c>
      <c r="C177" s="13" t="inlineStr">
        <is>
          <t>US</t>
        </is>
      </c>
      <c r="D177" s="13" t="inlineStr">
        <is>
          <t>Customs</t>
        </is>
      </c>
    </row>
    <row r="178">
      <c r="A178" s="13" t="inlineStr">
        <is>
          <t>Section 232</t>
        </is>
      </c>
      <c r="B178" s="13" t="inlineStr">
        <is>
          <t>Trade Expansion Act of 1962 provision letting the President adjust imports that threaten US national security; basis for tariffs on steel, aluminum and other goods, implemented in HTSUS Chapter 99.</t>
        </is>
      </c>
      <c r="C178" s="13" t="inlineStr">
        <is>
          <t>US</t>
        </is>
      </c>
      <c r="D178" s="13" t="inlineStr">
        <is>
          <t>Customs</t>
        </is>
      </c>
    </row>
    <row r="179">
      <c r="A179" s="13" t="inlineStr">
        <is>
          <t>Section 301</t>
        </is>
      </c>
      <c r="B179" s="13" t="inlineStr">
        <is>
          <t>Trade Act of 1974 provision letting USTR act against unfair foreign trade practices; basis for additional duties on many products of China. Liability follows country of origin, not country of export.</t>
        </is>
      </c>
      <c r="C179" s="13" t="inlineStr">
        <is>
          <t>US</t>
        </is>
      </c>
      <c r="D179" s="13" t="inlineStr">
        <is>
          <t>Customs</t>
        </is>
      </c>
    </row>
    <row r="180">
      <c r="A180" s="13" t="inlineStr">
        <is>
          <t>Semantic model (Power BI)</t>
        </is>
      </c>
      <c r="B180" s="13" t="inlineStr">
        <is>
          <t>The Power BI item (formerly a dataset) that holds the data, relationships and measures, and refreshes. Many reports can share one, so a change to it, or to the view it reads, reaches them all.</t>
        </is>
      </c>
      <c r="C180" s="13" t="inlineStr">
        <is>
          <t>All</t>
        </is>
      </c>
      <c r="D180" s="13" t="inlineStr">
        <is>
          <t>Data</t>
        </is>
      </c>
    </row>
    <row r="181">
      <c r="A181" s="13" t="inlineStr">
        <is>
          <t>Service account</t>
        </is>
      </c>
      <c r="B181" s="13" t="inlineStr">
        <is>
          <t>An account that is not a person, used by services, scheduled jobs or saved connections. Ours has the team's access; nobody signs in with it and the hires never see its password [COMPANY: confirm the service-account model].</t>
        </is>
      </c>
      <c r="C181" s="13" t="inlineStr">
        <is>
          <t>Internal</t>
        </is>
      </c>
      <c r="D181" s="13" t="inlineStr">
        <is>
          <t>Systems</t>
        </is>
      </c>
    </row>
    <row r="182">
      <c r="A182" s="13" t="inlineStr">
        <is>
          <t>Service principal (Microsoft Entra)</t>
        </is>
      </c>
      <c r="B182" s="13" t="inlineStr">
        <is>
          <t>An application identity in Microsoft Entra ID that runs unattended work, such as a flow. Microsoft prefers it to a shared service account because it is not tied to a user who could leave.</t>
        </is>
      </c>
      <c r="C182" s="13" t="inlineStr">
        <is>
          <t>All</t>
        </is>
      </c>
      <c r="D182" s="13" t="inlineStr">
        <is>
          <t>Systems</t>
        </is>
      </c>
    </row>
    <row r="183">
      <c r="A183" s="13" t="inlineStr">
        <is>
          <t>SIPOC</t>
        </is>
      </c>
      <c r="B183" s="13" t="inlineStr">
        <is>
          <t>Process scoping table listing Suppliers, Inputs, Process (5 to 7 high-level steps), Outputs and Customers. Fill it in before drawing a detailed process map, so the start and end of the process are fixed.</t>
        </is>
      </c>
      <c r="C183" s="13" t="inlineStr">
        <is>
          <t>All</t>
        </is>
      </c>
      <c r="D183" s="13" t="inlineStr">
        <is>
          <t>BSA</t>
        </is>
      </c>
    </row>
    <row r="184">
      <c r="A184" s="13" t="inlineStr">
        <is>
          <t>SIT (system integration testing)</t>
        </is>
      </c>
      <c r="B184" s="13" t="inlineStr">
        <is>
          <t>Testing the interactions between systems, for example a tool's output read by the next tool, or a GTM system with Oracle EBS, the brokers and the warehouse. In a vendor implementation it comes before UAT.</t>
        </is>
      </c>
      <c r="C184" s="13" t="inlineStr">
        <is>
          <t>All</t>
        </is>
      </c>
      <c r="D184" s="13" t="inlineStr">
        <is>
          <t>BSA</t>
        </is>
      </c>
    </row>
    <row r="185">
      <c r="A185" s="13" t="inlineStr">
        <is>
          <t>Smoke test</t>
        </is>
      </c>
      <c r="B185" s="13" t="inlineStr">
        <is>
          <t>A quick check that the main functions work before planned testing starts. Run right after a release, it opens the post-release check.</t>
        </is>
      </c>
      <c r="C185" s="13" t="inlineStr">
        <is>
          <t>All</t>
        </is>
      </c>
      <c r="D185" s="13" t="inlineStr">
        <is>
          <t>BSA</t>
        </is>
      </c>
    </row>
    <row r="186">
      <c r="A186" s="13" t="inlineStr">
        <is>
          <t>SOP (standard operating procedure)</t>
        </is>
      </c>
      <c r="B186" s="13" t="inlineStr">
        <is>
          <t>Step-by-step instructions for a recurring process, with roles, inputs, controls and exceptions, that someone new could follow.</t>
        </is>
      </c>
      <c r="C186" s="13" t="inlineStr">
        <is>
          <t>All</t>
        </is>
      </c>
      <c r="D186" s="13" t="inlineStr">
        <is>
          <t>BSA</t>
        </is>
      </c>
    </row>
    <row r="187">
      <c r="A187" s="13" t="inlineStr">
        <is>
          <t>Special Program Indicator (SPI)</t>
        </is>
      </c>
      <c r="B187" s="13" t="inlineStr">
        <is>
          <t>Code on an entry summary line that claims a preference program such as USMCA; a wrong or missing SPI changes the duty paid.</t>
        </is>
      </c>
      <c r="C187" s="13" t="inlineStr">
        <is>
          <t>US</t>
        </is>
      </c>
      <c r="D187" s="13" t="inlineStr">
        <is>
          <t>Programs</t>
        </is>
      </c>
    </row>
    <row r="188">
      <c r="A188" s="13" t="inlineStr">
        <is>
          <t>Sprint</t>
        </is>
      </c>
      <c r="B188" s="13" t="inlineStr">
        <is>
          <t>In Scrum, a fixed-length period of one month or less that contains all the other events and produces an Increment that meets the Definition of Done.</t>
        </is>
      </c>
      <c r="C188" s="13" t="inlineStr">
        <is>
          <t>All</t>
        </is>
      </c>
      <c r="D188" s="13" t="inlineStr">
        <is>
          <t>BSA</t>
        </is>
      </c>
    </row>
    <row r="189">
      <c r="A189" s="13" t="inlineStr">
        <is>
          <t>SQL</t>
        </is>
      </c>
      <c r="B189" s="13" t="inlineStr">
        <is>
          <t>Structured Query Language for reading and changing data in relational databases; the team uses T-SQL on SQL Server for analysis.</t>
        </is>
      </c>
      <c r="C189" s="13" t="inlineStr">
        <is>
          <t>All</t>
        </is>
      </c>
      <c r="D189" s="13" t="inlineStr">
        <is>
          <t>Data</t>
        </is>
      </c>
    </row>
    <row r="190">
      <c r="A190" s="13" t="inlineStr">
        <is>
          <t>SSMS (SQL Server Management Studio)</t>
        </is>
      </c>
      <c r="B190" s="13" t="inlineStr">
        <is>
          <t>Microsoft's free tool for querying and managing SQL Server. The hires use it with Windows Authentication and their own login to read the team database and to load into the sandbox.</t>
        </is>
      </c>
      <c r="C190" s="13" t="inlineStr">
        <is>
          <t>All</t>
        </is>
      </c>
      <c r="D190" s="13" t="inlineStr">
        <is>
          <t>Data</t>
        </is>
      </c>
    </row>
    <row r="191">
      <c r="A191" s="13" t="inlineStr">
        <is>
          <t>Stakeholder matrix</t>
        </is>
      </c>
      <c r="B191" s="13" t="inlineStr">
        <is>
          <t>A grid placing each stakeholder by influence and interest to decide how to engage them, from involving them early (high, high) to general updates (low, low). Redo it when the work changes.</t>
        </is>
      </c>
      <c r="C191" s="13" t="inlineStr">
        <is>
          <t>All</t>
        </is>
      </c>
      <c r="D191" s="13" t="inlineStr">
        <is>
          <t>BSA</t>
        </is>
      </c>
    </row>
    <row r="192">
      <c r="A192" s="13" t="inlineStr">
        <is>
          <t>Standard cost</t>
        </is>
      </c>
      <c r="B192" s="13" t="inlineStr">
        <is>
          <t>A predetermined per-unit cost used to value inventory and cost of goods sold; differences from actual cost are recorded as variances such as PPV.</t>
        </is>
      </c>
      <c r="C192" s="13" t="inlineStr">
        <is>
          <t>All</t>
        </is>
      </c>
      <c r="D192" s="13" t="inlineStr">
        <is>
          <t>Cost</t>
        </is>
      </c>
    </row>
    <row r="193">
      <c r="A193" s="13" t="inlineStr">
        <is>
          <t>Standard, normal and emergency change</t>
        </is>
      </c>
      <c r="B193" s="13" t="inlineStr">
        <is>
          <t>Change types in the change request template. Standard: low risk, pre-authorized (on the Manager's list). Normal: assessed and approved first. Emergency: stops wrong data now; verbal go-ahead, same-day checker review, template within 1 working day.</t>
        </is>
      </c>
      <c r="C193" s="13" t="inlineStr">
        <is>
          <t>All</t>
        </is>
      </c>
      <c r="D193" s="13" t="inlineStr">
        <is>
          <t>BSA</t>
        </is>
      </c>
    </row>
    <row r="194">
      <c r="A194" s="13" t="inlineStr">
        <is>
          <t>Star schema</t>
        </is>
      </c>
      <c r="B194" s="13" t="inlineStr">
        <is>
          <t>A model with one fact table at a declared grain and dimension tables joined to it one-to-many. Kimball's steps, in order: choose the business process, declare the grain, identify the dimensions, identify the facts.</t>
        </is>
      </c>
      <c r="C194" s="13" t="inlineStr">
        <is>
          <t>All</t>
        </is>
      </c>
      <c r="D194" s="13" t="inlineStr">
        <is>
          <t>Data</t>
        </is>
      </c>
    </row>
    <row r="195">
      <c r="A195" s="13" t="inlineStr">
        <is>
          <t>Substantial transformation</t>
        </is>
      </c>
      <c r="B195" s="13" t="inlineStr">
        <is>
          <t>Test for non-preferential origin: goods originate where they were last transformed into a new article with a different name, character or use. Used for US marking of goods from countries other than Canada and Mexico (goods from Canada and Mexico use the 19 CFR Part 102 tariff-shift rules) and, unless an action's legal text says otherwise, for country-specific additional duties such as Section 301.</t>
        </is>
      </c>
      <c r="C195" s="13" t="inlineStr">
        <is>
          <t>All</t>
        </is>
      </c>
      <c r="D195" s="13" t="inlineStr">
        <is>
          <t>Origin</t>
        </is>
      </c>
    </row>
    <row r="196">
      <c r="A196" s="13" t="inlineStr">
        <is>
          <t>Surtax order (Canada)</t>
        </is>
      </c>
      <c r="B196" s="13" t="inlineStr">
        <is>
          <t>Canadian order imposing additional duties on goods of a specified origin, such as countermeasures on certain US goods; implementation details appear in CBSA customs notices.</t>
        </is>
      </c>
      <c r="C196" s="13" t="inlineStr">
        <is>
          <t>CA</t>
        </is>
      </c>
      <c r="D196" s="13" t="inlineStr">
        <is>
          <t>Customs</t>
        </is>
      </c>
    </row>
    <row r="197">
      <c r="A197" s="13" t="inlineStr">
        <is>
          <t>T-MEC</t>
        </is>
      </c>
      <c r="B197" s="13" t="inlineStr">
        <is>
          <t>Tratado entre México, Estados Unidos y Canadá: Mexico's name for USMCA.</t>
        </is>
      </c>
      <c r="C197" s="13" t="inlineStr">
        <is>
          <t>MX</t>
        </is>
      </c>
      <c r="D197" s="13" t="inlineStr">
        <is>
          <t>Origin</t>
        </is>
      </c>
    </row>
    <row r="198">
      <c r="A198" s="13" t="inlineStr">
        <is>
          <t>Tariff shift</t>
        </is>
      </c>
      <c r="B198" s="13" t="inlineStr">
        <is>
          <t>Rule of origin requiring each non-originating material to be classified in a different HS chapter, heading or subheading than the finished good; also called change in tariff classification.</t>
        </is>
      </c>
      <c r="C198" s="13" t="inlineStr">
        <is>
          <t>All</t>
        </is>
      </c>
      <c r="D198" s="13" t="inlineStr">
        <is>
          <t>Origin</t>
        </is>
      </c>
    </row>
    <row r="199">
      <c r="A199" s="13" t="inlineStr">
        <is>
          <t>Tariff stacking</t>
        </is>
      </c>
      <c r="B199" s="13" t="inlineStr">
        <is>
          <t>How several additional duties apply together to one item, set by each action's legal text and CBP guidance. Research must document it with sources; never assume it.</t>
        </is>
      </c>
      <c r="C199" s="13" t="inlineStr">
        <is>
          <t>US</t>
        </is>
      </c>
      <c r="D199" s="13" t="inlineStr">
        <is>
          <t>Customs</t>
        </is>
      </c>
    </row>
    <row r="200">
      <c r="A200" s="13" t="inlineStr">
        <is>
          <t>Tariff-Impact Brief</t>
        </is>
      </c>
      <c r="B200" s="13" t="inlineStr">
        <is>
          <t>Research's handoff document for a tariff action: legal scope, HTS codes, countries, rates, effective dates, stacking interpretation and sources, with no dollar conclusions.</t>
        </is>
      </c>
      <c r="C200" s="13" t="inlineStr">
        <is>
          <t>Internal</t>
        </is>
      </c>
      <c r="D200" s="13" t="inlineStr">
        <is>
          <t>BSA</t>
        </is>
      </c>
    </row>
    <row r="201">
      <c r="A201" s="13" t="inlineStr">
        <is>
          <t>Tariff-Impact Model</t>
        </is>
      </c>
      <c r="B201" s="13" t="inlineStr">
        <is>
          <t>The shared workbook template where Research enters the WHAT of a tariff action and Standard Cost calculates the landed-cost and margin impact.</t>
        </is>
      </c>
      <c r="C201" s="13" t="inlineStr">
        <is>
          <t>Internal</t>
        </is>
      </c>
      <c r="D201" s="13" t="inlineStr">
        <is>
          <t>BSA</t>
        </is>
      </c>
    </row>
    <row r="202">
      <c r="A202" s="13" t="inlineStr">
        <is>
          <t>TFJA (Tribunal Federal de Justicia Administrativa)</t>
        </is>
      </c>
      <c r="B202" s="13" t="inlineStr">
        <is>
          <t>Mexico's federal administrative court, where importers can challenge customs and tax decisions, for example after an administrative appeal (recurso de revocación).</t>
        </is>
      </c>
      <c r="C202" s="13" t="inlineStr">
        <is>
          <t>MX</t>
        </is>
      </c>
      <c r="D202" s="13" t="inlineStr">
        <is>
          <t>Customs</t>
        </is>
      </c>
    </row>
    <row r="203">
      <c r="A203" s="13" t="inlineStr">
        <is>
          <t>TFTEA (Trade Facilitation and Trade Enforcement Act of 2015)</t>
        </is>
      </c>
      <c r="B203" s="13" t="inlineStr">
        <is>
          <t>US law that, among other changes, modernized duty drawback: 8-digit HTSUS substitution standards, uniform 5-year windows and electronic filing, now in 19 CFR Part 190. Legacy claims followed 19 CFR Part 191.</t>
        </is>
      </c>
      <c r="C203" s="13" t="inlineStr">
        <is>
          <t>US</t>
        </is>
      </c>
      <c r="D203" s="13" t="inlineStr">
        <is>
          <t>Programs</t>
        </is>
      </c>
    </row>
    <row r="204">
      <c r="A204" s="13" t="inlineStr">
        <is>
          <t>TIGIE</t>
        </is>
      </c>
      <c r="B204" s="13" t="inlineStr">
        <is>
          <t>Mexico's tariff schedule (Tarifa de la Ley de los Impuestos Generales de Importación y de Exportación), with 8-digit fracciones arancelarias; changed by decrees published in the DOF.</t>
        </is>
      </c>
      <c r="C204" s="13" t="inlineStr">
        <is>
          <t>MX</t>
        </is>
      </c>
      <c r="D204" s="13" t="inlineStr">
        <is>
          <t>Classification</t>
        </is>
      </c>
    </row>
    <row r="205">
      <c r="A205" s="13" t="inlineStr">
        <is>
          <t>Traceability matrix</t>
        </is>
      </c>
      <c r="B205" s="13" t="inlineStr">
        <is>
          <t>A table linking each requirement back to its source and forward to its story, test and release. Tracing backward finds requirements nobody asked for; forward finds requirements nobody built or tested.</t>
        </is>
      </c>
      <c r="C205" s="13" t="inlineStr">
        <is>
          <t>All</t>
        </is>
      </c>
      <c r="D205" s="13" t="inlineStr">
        <is>
          <t>BSA</t>
        </is>
      </c>
    </row>
    <row r="206">
      <c r="A206" s="13" t="inlineStr">
        <is>
          <t>Transaction value (customs valuation)</t>
        </is>
      </c>
      <c r="B206" s="13" t="inlineStr">
        <is>
          <t>The price actually paid or payable for goods sold for export, plus defined additions such as assists, royalties, certain commissions and packing; the primary valuation method in all three countries.</t>
        </is>
      </c>
      <c r="C206" s="13" t="inlineStr">
        <is>
          <t>All</t>
        </is>
      </c>
      <c r="D206" s="13" t="inlineStr">
        <is>
          <t>Customs</t>
        </is>
      </c>
    </row>
    <row r="207">
      <c r="A207" s="13" t="inlineStr">
        <is>
          <t>Transaction value method (RVC)</t>
        </is>
      </c>
      <c r="B207" s="13" t="inlineStr">
        <is>
          <t>RVC = (transaction value of the good minus value of non-originating materials) divided by transaction value, times 100. Not allowed for some goods, such as many automotive goods.</t>
        </is>
      </c>
      <c r="C207" s="13" t="inlineStr">
        <is>
          <t>All</t>
        </is>
      </c>
      <c r="D207" s="13" t="inlineStr">
        <is>
          <t>Origin</t>
        </is>
      </c>
    </row>
    <row r="208">
      <c r="A208" s="13" t="inlineStr">
        <is>
          <t>UAT (user acceptance testing)</t>
        </is>
      </c>
      <c r="B208" s="13" t="inlineStr">
        <is>
          <t>Testing in which business users check a change against its requirements in a test environment and formally sign off before go-live.</t>
        </is>
      </c>
      <c r="C208" s="13" t="inlineStr">
        <is>
          <t>All</t>
        </is>
      </c>
      <c r="D208" s="13" t="inlineStr">
        <is>
          <t>BSA</t>
        </is>
      </c>
    </row>
    <row r="209">
      <c r="A209" s="13" t="inlineStr">
        <is>
          <t>Unused merchandise drawback</t>
        </is>
      </c>
      <c r="B209" s="13" t="inlineStr">
        <is>
          <t>Drawback when imported goods, or substitutes classified in the same 8-digit HTS subheading, are exported or destroyed without being used in the US (19 U.S.C. 1313(j)). For substitution, an 8-digit line that begins 'Other' requires a 10-digit match; if the 10-digit line also begins 'Other', substitution is not available (direct identification still is).</t>
        </is>
      </c>
      <c r="C209" s="13" t="inlineStr">
        <is>
          <t>US</t>
        </is>
      </c>
      <c r="D209" s="13" t="inlineStr">
        <is>
          <t>Programs</t>
        </is>
      </c>
    </row>
    <row r="210">
      <c r="A210" s="13" t="inlineStr">
        <is>
          <t>User story</t>
        </is>
      </c>
      <c r="B210" s="13" t="inlineStr">
        <is>
          <t>A requirement written from a user's point of view: As a [role], I want [capability] so that [benefit], with acceptance criteria.</t>
        </is>
      </c>
      <c r="C210" s="13" t="inlineStr">
        <is>
          <t>All</t>
        </is>
      </c>
      <c r="D210" s="13" t="inlineStr">
        <is>
          <t>BSA</t>
        </is>
      </c>
    </row>
    <row r="211">
      <c r="A211" s="13" t="inlineStr">
        <is>
          <t>USMCA</t>
        </is>
      </c>
      <c r="B211" s="13" t="inlineStr">
        <is>
          <t>United States-Mexico-Canada Agreement, in force since July 1, 2020, replacing NAFTA. Originating goods with a valid claim get preferential duty. Called CUSMA in Canada and T-MEC in Mexico.</t>
        </is>
      </c>
      <c r="C211" s="13" t="inlineStr">
        <is>
          <t>All</t>
        </is>
      </c>
      <c r="D211" s="13" t="inlineStr">
        <is>
          <t>Origin</t>
        </is>
      </c>
    </row>
    <row r="212">
      <c r="A212" s="13" t="inlineStr">
        <is>
          <t>USPPI (US Principal Party in Interest)</t>
        </is>
      </c>
      <c r="B212" s="13" t="inlineStr">
        <is>
          <t>The US party that receives the primary benefit of an export, usually the US seller; responsible for providing accurate EEI data.</t>
        </is>
      </c>
      <c r="C212" s="13" t="inlineStr">
        <is>
          <t>US</t>
        </is>
      </c>
      <c r="D212" s="13" t="inlineStr">
        <is>
          <t>Exports</t>
        </is>
      </c>
    </row>
    <row r="213">
      <c r="A213" s="13" t="inlineStr">
        <is>
          <t>V-model</t>
        </is>
      </c>
      <c r="B213" s="13" t="inlineStr">
        <is>
          <t>A sequential model pairing each development phase with a test level: business requirements with acceptance testing, system requirements with system testing, architecture with integration testing, detailed design with component (unit) testing.</t>
        </is>
      </c>
      <c r="C213" s="13" t="inlineStr">
        <is>
          <t>All</t>
        </is>
      </c>
      <c r="D213" s="13" t="inlineStr">
        <is>
          <t>BSA</t>
        </is>
      </c>
    </row>
    <row r="214">
      <c r="A214" s="13" t="inlineStr">
        <is>
          <t>Value for duty (Canada)</t>
        </is>
      </c>
      <c r="B214" s="13" t="inlineStr">
        <is>
          <t>Canada's customs value. Under transaction value it excludes transportation and insurance after the place of direct shipment to Canada, giving an FOB-like value.</t>
        </is>
      </c>
      <c r="C214" s="13" t="inlineStr">
        <is>
          <t>CA</t>
        </is>
      </c>
      <c r="D214" s="13" t="inlineStr">
        <is>
          <t>Customs</t>
        </is>
      </c>
    </row>
    <row r="215">
      <c r="A215" s="13" t="inlineStr">
        <is>
          <t>VUCEM</t>
        </is>
      </c>
      <c r="B215" s="13" t="inlineStr">
        <is>
          <t>Ventanilla Única de Comercio Exterior Mexicana: Mexico's former SAT-run single window for foreign-trade procedures, permits and digitized documents. A decree in the DOF of 4 May 2026 replaced it with the VUTCE, run by the ATDT; the trade still often says 'VUCEM'.</t>
        </is>
      </c>
      <c r="C215" s="13" t="inlineStr">
        <is>
          <t>MX</t>
        </is>
      </c>
      <c r="D215" s="13" t="inlineStr">
        <is>
          <t>Customs</t>
        </is>
      </c>
    </row>
    <row r="216">
      <c r="A216" s="13" t="inlineStr">
        <is>
          <t>VUTCE (Ventanilla Única de Trámites de Comercio Exterior)</t>
        </is>
      </c>
      <c r="B216" s="13" t="inlineStr">
        <is>
          <t>Mexico's foreign-trade single window since the decree in the DOF of 4 May 2026, run by the Agencia de Transformación Digital y Telecomunicaciones (ATDT) instead of SAT; the single channel for procedures with the Secretaría de Economía, SAT, ANAM and other agencies. It replaced VUCEM.</t>
        </is>
      </c>
      <c r="C216" s="13" t="inlineStr">
        <is>
          <t>MX</t>
        </is>
      </c>
      <c r="D216" s="13" t="inlineStr">
        <is>
          <t>Customs</t>
        </is>
      </c>
    </row>
    <row r="217">
      <c r="A217" s="13" t="inlineStr">
        <is>
          <t>Workspace role (Power BI)</t>
        </is>
      </c>
      <c r="B217" s="13" t="inlineStr">
        <is>
          <t>Your permission in a Power BI workspace: Admin, Member, Contributor or Viewer (the highest from all your groups). Before day 60 the hires are Viewers in production and Contributors only in a personal or dev workspace.</t>
        </is>
      </c>
      <c r="C217" s="13" t="inlineStr">
        <is>
          <t>All</t>
        </is>
      </c>
      <c r="D217" s="13" t="inlineStr">
        <is>
          <t>Data</t>
        </is>
      </c>
    </row>
    <row r="218">
      <c r="A218" s="13" t="inlineStr">
        <is>
          <t>z-score</t>
        </is>
      </c>
      <c r="B218" s="13" t="inlineStr">
        <is>
          <t>Standard deviations from the mean: z = (value - mean) / sample standard deviation. Exercise 11 flags |z| &gt; 3. Like any outlier rule, it marks values to investigate, not to delete.</t>
        </is>
      </c>
      <c r="C218" s="13" t="inlineStr">
        <is>
          <t>All</t>
        </is>
      </c>
      <c r="D218" s="13" t="inlineStr">
        <is>
          <t>Data</t>
        </is>
      </c>
    </row>
  </sheetData>
  <autoFilter ref="A4:D2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2026-10-17T11:55:53Z</dcterms:created>
  <dcterms:modified xmlns:dcterms="http://purl.org/dc/terms/" xmlns:xsi="http://www.w3.org/2001/XMLSchema-instance" xsi:type="dcterms:W3CDTF">2026-10-17T11:55:54Z</dcterms:modified>
</cp:coreProperties>
</file>