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kills - Hire A" sheetId="3" state="visible" r:id="rId3"/>
    <sheet xmlns:r="http://schemas.openxmlformats.org/officeDocument/2006/relationships" name="Skills - Hire B" sheetId="4" state="visible" r:id="rId4"/>
    <sheet xmlns:r="http://schemas.openxmlformats.org/officeDocument/2006/relationships" name="Knowledge - Hire A" sheetId="5" state="visible" r:id="rId5"/>
    <sheet xmlns:r="http://schemas.openxmlformats.org/officeDocument/2006/relationships" name="Knowledge - Hire B" sheetId="6" state="visible" r:id="rId6"/>
    <sheet xmlns:r="http://schemas.openxmlformats.org/officeDocument/2006/relationships" name="Tool Inventory" sheetId="7" state="visible" r:id="rId7"/>
    <sheet xmlns:r="http://schemas.openxmlformats.org/officeDocument/2006/relationships" name="Glossary" sheetId="8" state="visible" r:id="rId8"/>
  </sheets>
  <definedNames>
    <definedName name="ProgramStart">'Start Here'!$B$4</definedName>
    <definedName name="_xlnm._FilterDatabase" localSheetId="2" hidden="1">'Skills - Hire A'!$A$4:$M$63</definedName>
    <definedName name="_xlnm._FilterDatabase" localSheetId="3" hidden="1">'Skills - Hire B'!$A$4:$M$63</definedName>
    <definedName name="_xlnm._FilterDatabase" localSheetId="4" hidden="1">'Knowledge - Hire A'!$A$4:$O$100</definedName>
    <definedName name="_xlnm._FilterDatabase" localSheetId="5" hidden="1">'Knowledge - Hire B'!$A$4:$O$100</definedName>
    <definedName name="_xlnm._FilterDatabase" localSheetId="6" hidden="1">'Tool Inventory'!$A$4:$Q$19</definedName>
    <definedName name="_xlnm._FilterDatabase" localSheetId="7" hidden="1">'Glossary'!$A$4:$D$152</definedName>
  </definedNames>
  <calcPr calcId="124519" fullCalcOnLoad="1"/>
</workbook>
</file>

<file path=xl/styles.xml><?xml version="1.0" encoding="utf-8"?>
<styleSheet xmlns="http://schemas.openxmlformats.org/spreadsheetml/2006/main">
  <numFmts count="4">
    <numFmt numFmtId="164" formatCode="yyyy-mm-dd"/>
    <numFmt numFmtId="165" formatCode="ddd mmm d, yyyy"/>
    <numFmt numFmtId="166" formatCode="mmm d"/>
    <numFmt numFmtId="167" formatCode="0.0"/>
  </numFmts>
  <fonts count="6">
    <font>
      <name val="Calibri"/>
      <family val="2"/>
      <color theme="1"/>
      <sz val="11"/>
      <scheme val="minor"/>
    </font>
    <font>
      <name val="Calibri"/>
      <b val="1"/>
      <color rgb="001F3864"/>
      <sz val="16"/>
    </font>
    <font>
      <name val="Calibri"/>
      <i val="1"/>
      <color rgb="00595959"/>
    </font>
    <font>
      <name val="Calibri"/>
      <b val="1"/>
      <color rgb="001F3864"/>
      <sz val="12"/>
    </font>
    <font>
      <name val="Calibri"/>
      <b val="1"/>
      <color rgb="00FFFFFF"/>
    </font>
    <font>
      <name val="Calibri"/>
      <sz val="10"/>
    </font>
  </fonts>
  <fills count="4">
    <fill>
      <patternFill/>
    </fill>
    <fill>
      <patternFill patternType="gray125"/>
    </fill>
    <fill>
      <patternFill patternType="solid">
        <fgColor rgb="00FFF2CC"/>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165" fontId="0" fillId="2" borderId="0" pivotButton="0" quotePrefix="0" xfId="0"/>
    <xf numFmtId="165" fontId="0" fillId="0" borderId="0" pivotButton="0" quotePrefix="0" xfId="0"/>
    <xf numFmtId="0" fontId="3" fillId="0" borderId="0" pivotButton="0" quotePrefix="0" xfId="0"/>
    <xf numFmtId="0" fontId="0" fillId="0" borderId="0" applyAlignment="1" pivotButton="0" quotePrefix="0" xfId="0">
      <alignment horizontal="center"/>
    </xf>
    <xf numFmtId="0" fontId="0" fillId="0" borderId="0" applyAlignment="1" pivotButton="0" quotePrefix="0" xfId="0">
      <alignment vertical="top" wrapText="1"/>
    </xf>
    <xf numFmtId="0" fontId="4" fillId="3" borderId="1" pivotButton="0" quotePrefix="0" xfId="0"/>
    <xf numFmtId="0" fontId="0" fillId="0" borderId="1" pivotButton="0" quotePrefix="0" xfId="0"/>
    <xf numFmtId="9" fontId="0" fillId="0" borderId="1" pivotButton="0" quotePrefix="0" xfId="0"/>
    <xf numFmtId="167" fontId="0" fillId="0" borderId="1" pivotButton="0" quotePrefix="0" xfId="0"/>
    <xf numFmtId="0" fontId="4"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xf numFmtId="166" fontId="5" fillId="0" borderId="1" applyAlignment="1" pivotButton="0" quotePrefix="0" xfId="0">
      <alignment vertical="top" wrapText="1"/>
    </xf>
    <xf numFmtId="166" fontId="5" fillId="2"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4" customWidth="1" min="1" max="1"/>
    <col width="110" customWidth="1" min="2" max="2"/>
  </cols>
  <sheetData>
    <row r="1">
      <c r="A1" s="1" t="inlineStr">
        <is>
          <t>BSA Onboarding Trackers</t>
        </is>
      </c>
    </row>
    <row r="2">
      <c r="A2" s="2" t="inlineStr">
        <is>
          <t>Skills, knowledge, tool inventory and glossary for Hire A (Research) and Hire B (Standard Cost)</t>
        </is>
      </c>
    </row>
    <row r="4">
      <c r="A4" t="inlineStr">
        <is>
          <t>Program start (Day 1)</t>
        </is>
      </c>
      <c r="B4" s="3" t="n">
        <v>46314</v>
      </c>
    </row>
    <row r="5">
      <c r="A5" t="inlineStr">
        <is>
          <t>Day 30 review</t>
        </is>
      </c>
      <c r="B5" s="4" t="n">
        <v>46344</v>
      </c>
    </row>
    <row r="6">
      <c r="A6" t="inlineStr">
        <is>
          <t>Day 60 review</t>
        </is>
      </c>
      <c r="B6" s="4" t="n">
        <v>46374</v>
      </c>
    </row>
    <row r="7">
      <c r="A7" t="inlineStr">
        <is>
          <t>Day 90 review</t>
        </is>
      </c>
      <c r="B7" s="4" t="n">
        <v>46402</v>
      </c>
    </row>
    <row r="9">
      <c r="A9" s="5" t="inlineStr">
        <is>
          <t>Proficiency scale</t>
        </is>
      </c>
    </row>
    <row r="10">
      <c r="A10" s="6" t="n">
        <v>0</v>
      </c>
      <c r="B10" t="inlineStr">
        <is>
          <t>Not yet exposed</t>
        </is>
      </c>
    </row>
    <row r="11">
      <c r="A11" s="6" t="n">
        <v>1</v>
      </c>
      <c r="B11" t="inlineStr">
        <is>
          <t>Aware: can explain the basics</t>
        </is>
      </c>
    </row>
    <row r="12">
      <c r="A12" s="6" t="n">
        <v>2</v>
      </c>
      <c r="B12" t="inlineStr">
        <is>
          <t>Guided: does it with help</t>
        </is>
      </c>
    </row>
    <row r="13">
      <c r="A13" s="6" t="n">
        <v>3</v>
      </c>
      <c r="B13" t="inlineStr">
        <is>
          <t>Independent: does it alone; work is reviewed</t>
        </is>
      </c>
    </row>
    <row r="14">
      <c r="A14" s="6" t="n">
        <v>4</v>
      </c>
      <c r="B14" t="inlineStr">
        <is>
          <t>Owns/teaches: runs it, improves it, can train others</t>
        </is>
      </c>
    </row>
    <row r="16">
      <c r="A16" s="5" t="inlineStr">
        <is>
          <t>How to use</t>
        </is>
      </c>
    </row>
    <row r="17" ht="30" customHeight="1">
      <c r="A17" t="inlineStr">
        <is>
          <t>•</t>
        </is>
      </c>
      <c r="B17" s="7" t="inlineStr">
        <is>
          <t>Yellow cells are inputs. Everything else is reference data or formulas.</t>
        </is>
      </c>
    </row>
    <row r="18" ht="30" customHeight="1">
      <c r="A18" t="inlineStr">
        <is>
          <t>•</t>
        </is>
      </c>
      <c r="B18" s="7" t="inlineStr">
        <is>
          <t>Skills tabs: the hire updates 'Current self-rating' every Friday. At each milestone review the trainer enters the agreed rating in 'Rating @Dxx'. Green = at or above target, amber = one below, red = two or more below.</t>
        </is>
      </c>
    </row>
    <row r="19" ht="30" customHeight="1">
      <c r="A19" t="inlineStr">
        <is>
          <t>•</t>
        </is>
      </c>
      <c r="B19" s="7" t="inlineStr">
        <is>
          <t>Knowledge tabs: the hire updates Status, Date covered and Confidence as topics are taught. A Status cell turns red when its target week has passed and the topic is not yet Covered.</t>
        </is>
      </c>
    </row>
    <row r="20" ht="30" customHeight="1">
      <c r="A20" t="inlineStr">
        <is>
          <t>•</t>
        </is>
      </c>
      <c r="B20" s="7" t="inlineStr">
        <is>
          <t>Tool Inventory: the hires fill this in during week 2 (split the tools between them). It becomes the team's first catalog of custom tools.</t>
        </is>
      </c>
    </row>
    <row r="21" ht="30" customHeight="1">
      <c r="A21" t="inlineStr">
        <is>
          <t>•</t>
        </is>
      </c>
      <c r="B21" s="7" t="inlineStr">
        <is>
          <t>Dashboard: rolls up % of skills at target per milestone. Review it in the weekly 1:1.</t>
        </is>
      </c>
    </row>
    <row r="22" ht="30" customHeight="1">
      <c r="A22" t="inlineStr">
        <is>
          <t>•</t>
        </is>
      </c>
      <c r="B22" s="7" t="inlineStr">
        <is>
          <t>Generic-only: replace [COMPANY: ...] placeholders on company systems, not in the source repo.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4" customWidth="1" min="6" max="6"/>
  </cols>
  <sheetData>
    <row r="1">
      <c r="A1" s="1" t="inlineStr">
        <is>
          <t>Dashboard</t>
        </is>
      </c>
    </row>
    <row r="2">
      <c r="A2" s="2" t="inlineStr">
        <is>
          <t>Formulas only. Ratings come from the Skills tabs; status from the Knowledge tabs.</t>
        </is>
      </c>
    </row>
    <row r="4">
      <c r="A4" s="5" t="inlineStr">
        <is>
          <t>Skills at or above target (skills with target &gt; 0)</t>
        </is>
      </c>
    </row>
    <row r="5">
      <c r="A5" s="8" t="inlineStr">
        <is>
          <t>Hire</t>
        </is>
      </c>
      <c r="B5" s="8" t="inlineStr">
        <is>
          <t>Milestone</t>
        </is>
      </c>
      <c r="C5" s="8" t="inlineStr">
        <is>
          <t>Skills with target</t>
        </is>
      </c>
      <c r="D5" s="8" t="inlineStr">
        <is>
          <t>Rated</t>
        </is>
      </c>
      <c r="E5" s="8" t="inlineStr">
        <is>
          <t>At target</t>
        </is>
      </c>
      <c r="F5" s="8" t="inlineStr">
        <is>
          <t>% at target</t>
        </is>
      </c>
    </row>
    <row r="6">
      <c r="A6" s="9" t="inlineStr">
        <is>
          <t>Hire A</t>
        </is>
      </c>
      <c r="B6" s="9" t="inlineStr">
        <is>
          <t>Day 30</t>
        </is>
      </c>
      <c r="C6" s="9">
        <f>COUNTIF('Skills - Hire A'!$F$5:$F$63,"&gt;0")</f>
        <v/>
      </c>
      <c r="D6" s="9">
        <f>COUNT('Skills - Hire A'!$G$5:$G$63)</f>
        <v/>
      </c>
      <c r="E6" s="9">
        <f>SUMPRODUCT(('Skills - Hire A'!$G$5:$G$63&lt;&gt;"")*('Skills - Hire A'!$F$5:$F$63&gt;0)*('Skills - Hire A'!$G$5:$G$63&gt;='Skills - Hire A'!$F$5:$F$63))</f>
        <v/>
      </c>
      <c r="F6" s="10">
        <f>IF(D6=0,"",E6/C6)</f>
        <v/>
      </c>
    </row>
    <row r="7">
      <c r="A7" s="9" t="inlineStr">
        <is>
          <t>Hire A</t>
        </is>
      </c>
      <c r="B7" s="9" t="inlineStr">
        <is>
          <t>Day 60</t>
        </is>
      </c>
      <c r="C7" s="9">
        <f>COUNTIF('Skills - Hire A'!$H$5:$H$63,"&gt;0")</f>
        <v/>
      </c>
      <c r="D7" s="9">
        <f>COUNT('Skills - Hire A'!$I$5:$I$63)</f>
        <v/>
      </c>
      <c r="E7" s="9">
        <f>SUMPRODUCT(('Skills - Hire A'!$I$5:$I$63&lt;&gt;"")*('Skills - Hire A'!$H$5:$H$63&gt;0)*('Skills - Hire A'!$I$5:$I$63&gt;='Skills - Hire A'!$H$5:$H$63))</f>
        <v/>
      </c>
      <c r="F7" s="10">
        <f>IF(D7=0,"",E7/C7)</f>
        <v/>
      </c>
    </row>
    <row r="8">
      <c r="A8" s="9" t="inlineStr">
        <is>
          <t>Hire A</t>
        </is>
      </c>
      <c r="B8" s="9" t="inlineStr">
        <is>
          <t>Day 90</t>
        </is>
      </c>
      <c r="C8" s="9">
        <f>COUNTIF('Skills - Hire A'!$J$5:$J$63,"&gt;0")</f>
        <v/>
      </c>
      <c r="D8" s="9">
        <f>COUNT('Skills - Hire A'!$K$5:$K$63)</f>
        <v/>
      </c>
      <c r="E8" s="9">
        <f>SUMPRODUCT(('Skills - Hire A'!$K$5:$K$63&lt;&gt;"")*('Skills - Hire A'!$J$5:$J$63&gt;0)*('Skills - Hire A'!$K$5:$K$63&gt;='Skills - Hire A'!$J$5:$J$63))</f>
        <v/>
      </c>
      <c r="F8" s="10">
        <f>IF(D8=0,"",E8/C8)</f>
        <v/>
      </c>
    </row>
    <row r="9">
      <c r="A9" s="9" t="inlineStr">
        <is>
          <t>Hire B</t>
        </is>
      </c>
      <c r="B9" s="9" t="inlineStr">
        <is>
          <t>Day 30</t>
        </is>
      </c>
      <c r="C9" s="9">
        <f>COUNTIF('Skills - Hire B'!$F$5:$F$63,"&gt;0")</f>
        <v/>
      </c>
      <c r="D9" s="9">
        <f>COUNT('Skills - Hire B'!$G$5:$G$63)</f>
        <v/>
      </c>
      <c r="E9" s="9">
        <f>SUMPRODUCT(('Skills - Hire B'!$G$5:$G$63&lt;&gt;"")*('Skills - Hire B'!$F$5:$F$63&gt;0)*('Skills - Hire B'!$G$5:$G$63&gt;='Skills - Hire B'!$F$5:$F$63))</f>
        <v/>
      </c>
      <c r="F9" s="10">
        <f>IF(D9=0,"",E9/C9)</f>
        <v/>
      </c>
    </row>
    <row r="10">
      <c r="A10" s="9" t="inlineStr">
        <is>
          <t>Hire B</t>
        </is>
      </c>
      <c r="B10" s="9" t="inlineStr">
        <is>
          <t>Day 60</t>
        </is>
      </c>
      <c r="C10" s="9">
        <f>COUNTIF('Skills - Hire B'!$H$5:$H$63,"&gt;0")</f>
        <v/>
      </c>
      <c r="D10" s="9">
        <f>COUNT('Skills - Hire B'!$I$5:$I$63)</f>
        <v/>
      </c>
      <c r="E10" s="9">
        <f>SUMPRODUCT(('Skills - Hire B'!$I$5:$I$63&lt;&gt;"")*('Skills - Hire B'!$H$5:$H$63&gt;0)*('Skills - Hire B'!$I$5:$I$63&gt;='Skills - Hire B'!$H$5:$H$63))</f>
        <v/>
      </c>
      <c r="F10" s="10">
        <f>IF(D10=0,"",E10/C10)</f>
        <v/>
      </c>
    </row>
    <row r="11">
      <c r="A11" s="9" t="inlineStr">
        <is>
          <t>Hire B</t>
        </is>
      </c>
      <c r="B11" s="9" t="inlineStr">
        <is>
          <t>Day 90</t>
        </is>
      </c>
      <c r="C11" s="9">
        <f>COUNTIF('Skills - Hire B'!$J$5:$J$63,"&gt;0")</f>
        <v/>
      </c>
      <c r="D11" s="9">
        <f>COUNT('Skills - Hire B'!$K$5:$K$63)</f>
        <v/>
      </c>
      <c r="E11" s="9">
        <f>SUMPRODUCT(('Skills - Hire B'!$K$5:$K$63&lt;&gt;"")*('Skills - Hire B'!$J$5:$J$63&gt;0)*('Skills - Hire B'!$K$5:$K$63&gt;='Skills - Hire B'!$J$5:$J$63))</f>
        <v/>
      </c>
      <c r="F11" s="10">
        <f>IF(D11=0,"",E11/C11)</f>
        <v/>
      </c>
    </row>
    <row r="13">
      <c r="A13" s="5" t="inlineStr">
        <is>
          <t>Average current self-rating vs Day 90 target, by module</t>
        </is>
      </c>
    </row>
    <row r="14">
      <c r="A14" s="8" t="inlineStr">
        <is>
          <t>Module</t>
        </is>
      </c>
      <c r="B14" s="8" t="inlineStr">
        <is>
          <t>Hire A self-rating</t>
        </is>
      </c>
      <c r="C14" s="8" t="inlineStr">
        <is>
          <t>Hire A D90 target</t>
        </is>
      </c>
      <c r="D14" s="8" t="inlineStr">
        <is>
          <t>Hire B self-rating</t>
        </is>
      </c>
      <c r="E14" s="8" t="inlineStr">
        <is>
          <t>Hire B D90 target</t>
        </is>
      </c>
    </row>
    <row r="15">
      <c r="A15" s="9" t="inlineStr">
        <is>
          <t>M0</t>
        </is>
      </c>
      <c r="B15" s="11">
        <f>IFERROR(AVERAGEIFS('Skills - Hire A'!$L$5:$L$63,'Skills - Hire A'!$B$5:$B$63,A15),"")</f>
        <v/>
      </c>
      <c r="C15" s="11">
        <f>IFERROR(AVERAGEIFS('Skills - Hire A'!$J$5:$J$63,'Skills - Hire A'!$B$5:$B$63,A15),"")</f>
        <v/>
      </c>
      <c r="D15" s="11">
        <f>IFERROR(AVERAGEIFS('Skills - Hire B'!$L$5:$L$63,'Skills - Hire B'!$B$5:$B$63,A15),"")</f>
        <v/>
      </c>
      <c r="E15" s="11">
        <f>IFERROR(AVERAGEIFS('Skills - Hire B'!$J$5:$J$63,'Skills - Hire B'!$B$5:$B$63,A15),"")</f>
        <v/>
      </c>
    </row>
    <row r="16">
      <c r="A16" s="9" t="inlineStr">
        <is>
          <t>M1</t>
        </is>
      </c>
      <c r="B16" s="11">
        <f>IFERROR(AVERAGEIFS('Skills - Hire A'!$L$5:$L$63,'Skills - Hire A'!$B$5:$B$63,A16),"")</f>
        <v/>
      </c>
      <c r="C16" s="11">
        <f>IFERROR(AVERAGEIFS('Skills - Hire A'!$J$5:$J$63,'Skills - Hire A'!$B$5:$B$63,A16),"")</f>
        <v/>
      </c>
      <c r="D16" s="11">
        <f>IFERROR(AVERAGEIFS('Skills - Hire B'!$L$5:$L$63,'Skills - Hire B'!$B$5:$B$63,A16),"")</f>
        <v/>
      </c>
      <c r="E16" s="11">
        <f>IFERROR(AVERAGEIFS('Skills - Hire B'!$J$5:$J$63,'Skills - Hire B'!$B$5:$B$63,A16),"")</f>
        <v/>
      </c>
    </row>
    <row r="17">
      <c r="A17" s="9" t="inlineStr">
        <is>
          <t>M2</t>
        </is>
      </c>
      <c r="B17" s="11">
        <f>IFERROR(AVERAGEIFS('Skills - Hire A'!$L$5:$L$63,'Skills - Hire A'!$B$5:$B$63,A17),"")</f>
        <v/>
      </c>
      <c r="C17" s="11">
        <f>IFERROR(AVERAGEIFS('Skills - Hire A'!$J$5:$J$63,'Skills - Hire A'!$B$5:$B$63,A17),"")</f>
        <v/>
      </c>
      <c r="D17" s="11">
        <f>IFERROR(AVERAGEIFS('Skills - Hire B'!$L$5:$L$63,'Skills - Hire B'!$B$5:$B$63,A17),"")</f>
        <v/>
      </c>
      <c r="E17" s="11">
        <f>IFERROR(AVERAGEIFS('Skills - Hire B'!$J$5:$J$63,'Skills - Hire B'!$B$5:$B$63,A17),"")</f>
        <v/>
      </c>
    </row>
    <row r="18">
      <c r="A18" s="9" t="inlineStr">
        <is>
          <t>M3</t>
        </is>
      </c>
      <c r="B18" s="11">
        <f>IFERROR(AVERAGEIFS('Skills - Hire A'!$L$5:$L$63,'Skills - Hire A'!$B$5:$B$63,A18),"")</f>
        <v/>
      </c>
      <c r="C18" s="11">
        <f>IFERROR(AVERAGEIFS('Skills - Hire A'!$J$5:$J$63,'Skills - Hire A'!$B$5:$B$63,A18),"")</f>
        <v/>
      </c>
      <c r="D18" s="11">
        <f>IFERROR(AVERAGEIFS('Skills - Hire B'!$L$5:$L$63,'Skills - Hire B'!$B$5:$B$63,A18),"")</f>
        <v/>
      </c>
      <c r="E18" s="11">
        <f>IFERROR(AVERAGEIFS('Skills - Hire B'!$J$5:$J$63,'Skills - Hire B'!$B$5:$B$63,A18),"")</f>
        <v/>
      </c>
    </row>
    <row r="19">
      <c r="A19" s="9" t="inlineStr">
        <is>
          <t>M4</t>
        </is>
      </c>
      <c r="B19" s="11">
        <f>IFERROR(AVERAGEIFS('Skills - Hire A'!$L$5:$L$63,'Skills - Hire A'!$B$5:$B$63,A19),"")</f>
        <v/>
      </c>
      <c r="C19" s="11">
        <f>IFERROR(AVERAGEIFS('Skills - Hire A'!$J$5:$J$63,'Skills - Hire A'!$B$5:$B$63,A19),"")</f>
        <v/>
      </c>
      <c r="D19" s="11">
        <f>IFERROR(AVERAGEIFS('Skills - Hire B'!$L$5:$L$63,'Skills - Hire B'!$B$5:$B$63,A19),"")</f>
        <v/>
      </c>
      <c r="E19" s="11">
        <f>IFERROR(AVERAGEIFS('Skills - Hire B'!$J$5:$J$63,'Skills - Hire B'!$B$5:$B$63,A19),"")</f>
        <v/>
      </c>
    </row>
    <row r="20">
      <c r="A20" s="9" t="inlineStr">
        <is>
          <t>M5R</t>
        </is>
      </c>
      <c r="B20" s="11">
        <f>IFERROR(AVERAGEIFS('Skills - Hire A'!$L$5:$L$63,'Skills - Hire A'!$B$5:$B$63,A20),"")</f>
        <v/>
      </c>
      <c r="C20" s="11">
        <f>IFERROR(AVERAGEIFS('Skills - Hire A'!$J$5:$J$63,'Skills - Hire A'!$B$5:$B$63,A20),"")</f>
        <v/>
      </c>
      <c r="D20" s="11">
        <f>IFERROR(AVERAGEIFS('Skills - Hire B'!$L$5:$L$63,'Skills - Hire B'!$B$5:$B$63,A20),"")</f>
        <v/>
      </c>
      <c r="E20" s="11">
        <f>IFERROR(AVERAGEIFS('Skills - Hire B'!$J$5:$J$63,'Skills - Hire B'!$B$5:$B$63,A20),"")</f>
        <v/>
      </c>
    </row>
    <row r="21">
      <c r="A21" s="9" t="inlineStr">
        <is>
          <t>M5C</t>
        </is>
      </c>
      <c r="B21" s="11">
        <f>IFERROR(AVERAGEIFS('Skills - Hire A'!$L$5:$L$63,'Skills - Hire A'!$B$5:$B$63,A21),"")</f>
        <v/>
      </c>
      <c r="C21" s="11">
        <f>IFERROR(AVERAGEIFS('Skills - Hire A'!$J$5:$J$63,'Skills - Hire A'!$B$5:$B$63,A21),"")</f>
        <v/>
      </c>
      <c r="D21" s="11">
        <f>IFERROR(AVERAGEIFS('Skills - Hire B'!$L$5:$L$63,'Skills - Hire B'!$B$5:$B$63,A21),"")</f>
        <v/>
      </c>
      <c r="E21" s="11">
        <f>IFERROR(AVERAGEIFS('Skills - Hire B'!$J$5:$J$63,'Skills - Hire B'!$B$5:$B$63,A21),"")</f>
        <v/>
      </c>
    </row>
    <row r="22">
      <c r="A22" s="9" t="inlineStr">
        <is>
          <t>M6</t>
        </is>
      </c>
      <c r="B22" s="11">
        <f>IFERROR(AVERAGEIFS('Skills - Hire A'!$L$5:$L$63,'Skills - Hire A'!$B$5:$B$63,A22),"")</f>
        <v/>
      </c>
      <c r="C22" s="11">
        <f>IFERROR(AVERAGEIFS('Skills - Hire A'!$J$5:$J$63,'Skills - Hire A'!$B$5:$B$63,A22),"")</f>
        <v/>
      </c>
      <c r="D22" s="11">
        <f>IFERROR(AVERAGEIFS('Skills - Hire B'!$L$5:$L$63,'Skills - Hire B'!$B$5:$B$63,A22),"")</f>
        <v/>
      </c>
      <c r="E22" s="11">
        <f>IFERROR(AVERAGEIFS('Skills - Hire B'!$J$5:$J$63,'Skills - Hire B'!$B$5:$B$63,A22),"")</f>
        <v/>
      </c>
    </row>
    <row r="23">
      <c r="A23" s="9" t="inlineStr">
        <is>
          <t>M7</t>
        </is>
      </c>
      <c r="B23" s="11">
        <f>IFERROR(AVERAGEIFS('Skills - Hire A'!$L$5:$L$63,'Skills - Hire A'!$B$5:$B$63,A23),"")</f>
        <v/>
      </c>
      <c r="C23" s="11">
        <f>IFERROR(AVERAGEIFS('Skills - Hire A'!$J$5:$J$63,'Skills - Hire A'!$B$5:$B$63,A23),"")</f>
        <v/>
      </c>
      <c r="D23" s="11">
        <f>IFERROR(AVERAGEIFS('Skills - Hire B'!$L$5:$L$63,'Skills - Hire B'!$B$5:$B$63,A23),"")</f>
        <v/>
      </c>
      <c r="E23" s="11">
        <f>IFERROR(AVERAGEIFS('Skills - Hire B'!$J$5:$J$63,'Skills - Hire B'!$B$5:$B$63,A23),"")</f>
        <v/>
      </c>
    </row>
    <row r="24">
      <c r="A24" s="9" t="inlineStr">
        <is>
          <t>M8</t>
        </is>
      </c>
      <c r="B24" s="11">
        <f>IFERROR(AVERAGEIFS('Skills - Hire A'!$L$5:$L$63,'Skills - Hire A'!$B$5:$B$63,A24),"")</f>
        <v/>
      </c>
      <c r="C24" s="11">
        <f>IFERROR(AVERAGEIFS('Skills - Hire A'!$J$5:$J$63,'Skills - Hire A'!$B$5:$B$63,A24),"")</f>
        <v/>
      </c>
      <c r="D24" s="11">
        <f>IFERROR(AVERAGEIFS('Skills - Hire B'!$L$5:$L$63,'Skills - Hire B'!$B$5:$B$63,A24),"")</f>
        <v/>
      </c>
      <c r="E24" s="11">
        <f>IFERROR(AVERAGEIFS('Skills - Hire B'!$J$5:$J$63,'Skills - Hire B'!$B$5:$B$63,A24),"")</f>
        <v/>
      </c>
    </row>
    <row r="25">
      <c r="A25" s="9" t="inlineStr">
        <is>
          <t>M9</t>
        </is>
      </c>
      <c r="B25" s="11">
        <f>IFERROR(AVERAGEIFS('Skills - Hire A'!$L$5:$L$63,'Skills - Hire A'!$B$5:$B$63,A25),"")</f>
        <v/>
      </c>
      <c r="C25" s="11">
        <f>IFERROR(AVERAGEIFS('Skills - Hire A'!$J$5:$J$63,'Skills - Hire A'!$B$5:$B$63,A25),"")</f>
        <v/>
      </c>
      <c r="D25" s="11">
        <f>IFERROR(AVERAGEIFS('Skills - Hire B'!$L$5:$L$63,'Skills - Hire B'!$B$5:$B$63,A25),"")</f>
        <v/>
      </c>
      <c r="E25" s="11">
        <f>IFERROR(AVERAGEIFS('Skills - Hire B'!$J$5:$J$63,'Skills - Hire B'!$B$5:$B$63,A25),"")</f>
        <v/>
      </c>
    </row>
    <row r="26">
      <c r="A26" s="9" t="inlineStr">
        <is>
          <t>M10</t>
        </is>
      </c>
      <c r="B26" s="11">
        <f>IFERROR(AVERAGEIFS('Skills - Hire A'!$L$5:$L$63,'Skills - Hire A'!$B$5:$B$63,A26),"")</f>
        <v/>
      </c>
      <c r="C26" s="11">
        <f>IFERROR(AVERAGEIFS('Skills - Hire A'!$J$5:$J$63,'Skills - Hire A'!$B$5:$B$63,A26),"")</f>
        <v/>
      </c>
      <c r="D26" s="11">
        <f>IFERROR(AVERAGEIFS('Skills - Hire B'!$L$5:$L$63,'Skills - Hire B'!$B$5:$B$63,A26),"")</f>
        <v/>
      </c>
      <c r="E26" s="11">
        <f>IFERROR(AVERAGEIFS('Skills - Hire B'!$J$5:$J$63,'Skills - Hire B'!$B$5:$B$63,A26),"")</f>
        <v/>
      </c>
    </row>
    <row r="28">
      <c r="A28" s="5" t="inlineStr">
        <is>
          <t>Knowledge topics by status</t>
        </is>
      </c>
    </row>
    <row r="29">
      <c r="A29" s="8" t="inlineStr">
        <is>
          <t>Hire</t>
        </is>
      </c>
      <c r="B29" s="8" t="inlineStr">
        <is>
          <t>Not started</t>
        </is>
      </c>
      <c r="C29" s="8" t="inlineStr">
        <is>
          <t>In progress</t>
        </is>
      </c>
      <c r="D29" s="8" t="inlineStr">
        <is>
          <t>Covered</t>
        </is>
      </c>
      <c r="E29" s="8" t="inlineStr">
        <is>
          <t>Teach-back done</t>
        </is>
      </c>
      <c r="F29" s="8" t="inlineStr">
        <is>
          <t>Overdue</t>
        </is>
      </c>
    </row>
    <row r="30">
      <c r="A30" s="9" t="inlineStr">
        <is>
          <t>Hire A</t>
        </is>
      </c>
      <c r="B30" s="9">
        <f>COUNTIF('Knowledge - Hire A'!$J$5:$J$100,"Not started")</f>
        <v/>
      </c>
      <c r="C30" s="9">
        <f>COUNTIF('Knowledge - Hire A'!$J$5:$J$100,"In progress")</f>
        <v/>
      </c>
      <c r="D30" s="9">
        <f>COUNTIF('Knowledge - Hire A'!$J$5:$J$100,"Covered")</f>
        <v/>
      </c>
      <c r="E30" s="9">
        <f>COUNTIF('Knowledge - Hire A'!$J$5:$J$100,"Teach-back done")</f>
        <v/>
      </c>
      <c r="F30" s="9">
        <f>SUMPRODUCT((TODAY()&gt;'Knowledge - Hire A'!$I$5:$I$100+4)*('Knowledge - Hire A'!$J$5:$J$100&lt;&gt;"Covered")*('Knowledge - Hire A'!$J$5:$J$100&lt;&gt;"Teach-back done"))</f>
        <v/>
      </c>
    </row>
    <row r="31">
      <c r="A31" s="9" t="inlineStr">
        <is>
          <t>Hire B</t>
        </is>
      </c>
      <c r="B31" s="9">
        <f>COUNTIF('Knowledge - Hire B'!$J$5:$J$100,"Not started")</f>
        <v/>
      </c>
      <c r="C31" s="9">
        <f>COUNTIF('Knowledge - Hire B'!$J$5:$J$100,"In progress")</f>
        <v/>
      </c>
      <c r="D31" s="9">
        <f>COUNTIF('Knowledge - Hire B'!$J$5:$J$100,"Covered")</f>
        <v/>
      </c>
      <c r="E31" s="9">
        <f>COUNTIF('Knowledge - Hire B'!$J$5:$J$100,"Teach-back done")</f>
        <v/>
      </c>
      <c r="F31" s="9">
        <f>SUMPRODUCT((TODAY()&gt;'Knowledge - Hire B'!$I$5:$I$100+4)*('Knowledge - Hire B'!$J$5:$J$100&lt;&gt;"Covered")*('Knowledge - Hire B'!$J$5:$J$100&lt;&gt;"Teach-back done"))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A (Research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Monday sets a week plan around the 1:1-agreed top 3, blocks self-study, Anki and documentation time as in docs/05-time-management.md, and flags any slip to the Manager by Wednesday.</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2</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3</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3</v>
      </c>
      <c r="I14" s="14" t="n"/>
      <c r="J14" s="13" t="n">
        <v>3</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2</v>
      </c>
      <c r="G16" s="14" t="n"/>
      <c r="H16" s="13" t="n">
        <v>3</v>
      </c>
      <c r="I16" s="14" t="n"/>
      <c r="J16" s="13" t="n">
        <v>3</v>
      </c>
      <c r="K16" s="14" t="n"/>
      <c r="L16" s="14" t="n"/>
      <c r="M16" s="14" t="n"/>
    </row>
    <row r="17">
      <c r="A17" s="13" t="inlineStr">
        <is>
          <t>S-M1-06</t>
        </is>
      </c>
      <c r="B17" s="13" t="inlineStr">
        <is>
          <t>M1</t>
        </is>
      </c>
      <c r="C17" s="13" t="inlineStr">
        <is>
          <t>Origin &amp; programs</t>
        </is>
      </c>
      <c r="D17" s="13" t="inlineStr">
        <is>
          <t>Explain Mexico IMMEX, Anexo 24 and Anexo 31</t>
        </is>
      </c>
      <c r="E17" s="13" t="inlineStr">
        <is>
          <t>Explains what an IMMEX temporary import defers, what Anexo 24 inventory control and Anexo 31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[COMPANY: Oracle EBS or Fusion] cost data.</t>
        </is>
      </c>
      <c r="F23" s="13" t="n">
        <v>2</v>
      </c>
      <c r="G23" s="14" t="n"/>
      <c r="H23" s="13" t="n">
        <v>2</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2</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2</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2</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S-M4-01</t>
        </is>
      </c>
      <c r="B30" s="13" t="inlineStr">
        <is>
          <t>M4</t>
        </is>
      </c>
      <c r="C30" s="13" t="inlineStr">
        <is>
          <t>BSA craft</t>
        </is>
      </c>
      <c r="D30" s="13" t="inlineStr">
        <is>
          <t>Run intake and scope a request</t>
        </is>
      </c>
      <c r="E30" s="13" t="inlineStr">
        <is>
          <t>Runs an intake conversation, completes docs/templates/bsa/01-intake-request.md, and creates a Jira item with problem, impact, scope and acceptance criteria that the requester confirms.</t>
        </is>
      </c>
      <c r="F30" s="13" t="n">
        <v>2</v>
      </c>
      <c r="G30" s="14" t="n"/>
      <c r="H30" s="13" t="n">
        <v>3</v>
      </c>
      <c r="I30" s="14" t="n"/>
      <c r="J30" s="13" t="n">
        <v>3</v>
      </c>
      <c r="K30" s="14" t="n"/>
      <c r="L30" s="14" t="n"/>
      <c r="M30" s="14" t="n"/>
    </row>
    <row r="31">
      <c r="A31" s="13" t="inlineStr">
        <is>
          <t>S-M4-02</t>
        </is>
      </c>
      <c r="B31" s="13" t="inlineStr">
        <is>
          <t>M4</t>
        </is>
      </c>
      <c r="C31" s="13" t="inlineStr">
        <is>
          <t>BSA craft</t>
        </is>
      </c>
      <c r="D31" s="13" t="inlineStr">
        <is>
          <t>Write testable requirements and user stories</t>
        </is>
      </c>
      <c r="E31" s="13" t="inlineStr">
        <is>
          <t>Writes requirements and user stories with acceptance criteria and MoSCoW priority (docs/templates/bsa/02-requirements.md and 07-jira-epic-story.md) that a tester could test without asking questions.</t>
        </is>
      </c>
      <c r="F31" s="13" t="n">
        <v>1</v>
      </c>
      <c r="G31" s="14" t="n"/>
      <c r="H31" s="13" t="n">
        <v>2</v>
      </c>
      <c r="I31" s="14" t="n"/>
      <c r="J31" s="13" t="n">
        <v>3</v>
      </c>
      <c r="K31" s="14" t="n"/>
      <c r="L31" s="14" t="n"/>
      <c r="M31" s="14" t="n"/>
    </row>
    <row r="32">
      <c r="A32" s="13" t="inlineStr">
        <is>
          <t>S-M4-03</t>
        </is>
      </c>
      <c r="B32" s="13" t="inlineStr">
        <is>
          <t>M4</t>
        </is>
      </c>
      <c r="C32" s="13" t="inlineStr">
        <is>
          <t>BSA craft</t>
        </is>
      </c>
      <c r="D32" s="13" t="inlineStr">
        <is>
          <t>Document an as-is process</t>
        </is>
      </c>
      <c r="E32" s="13" t="inlineStr">
        <is>
          <t>Documents an as-is process with steps, roles, systems, inputs, outputs, controls and pain points in docs/templates/bsa/03-process-map-as-is-to-be.md, and the process owner confirms it is accurate.</t>
        </is>
      </c>
      <c r="F32" s="13" t="n">
        <v>1</v>
      </c>
      <c r="G32" s="14" t="n"/>
      <c r="H32" s="13" t="n">
        <v>2</v>
      </c>
      <c r="I32" s="14" t="n"/>
      <c r="J32" s="13" t="n">
        <v>3</v>
      </c>
      <c r="K32" s="14" t="n"/>
      <c r="L32" s="14" t="n"/>
      <c r="M32" s="14" t="n"/>
    </row>
    <row r="33">
      <c r="A33" s="13" t="inlineStr">
        <is>
          <t>S-M4-04</t>
        </is>
      </c>
      <c r="B33" s="13" t="inlineStr">
        <is>
          <t>M4</t>
        </is>
      </c>
      <c r="C33" s="13" t="inlineStr">
        <is>
          <t>BSA craft</t>
        </is>
      </c>
      <c r="D33" s="13" t="inlineStr">
        <is>
          <t>Write a data mapping spec</t>
        </is>
      </c>
      <c r="E33" s="13" t="inlineStr">
        <is>
          <t>Maps each source field to its target with type, rules, transformations and data-quality notes in docs/templates/bsa/04-data-mapping-spec.md, and the reviewer finds no unmapped required field.</t>
        </is>
      </c>
      <c r="F33" s="13" t="n">
        <v>1</v>
      </c>
      <c r="G33" s="14" t="n"/>
      <c r="H33" s="13" t="n">
        <v>2</v>
      </c>
      <c r="I33" s="14" t="n"/>
      <c r="J33" s="13" t="n">
        <v>3</v>
      </c>
      <c r="K33" s="14" t="n"/>
      <c r="L33" s="14" t="n"/>
      <c r="M33" s="14" t="n"/>
    </row>
    <row r="34">
      <c r="A34" s="13" t="inlineStr">
        <is>
          <t>S-M4-05</t>
        </is>
      </c>
      <c r="B34" s="13" t="inlineStr">
        <is>
          <t>M4</t>
        </is>
      </c>
      <c r="C34" s="13" t="inlineStr">
        <is>
          <t>BSA craft</t>
        </is>
      </c>
      <c r="D34" s="13" t="inlineStr">
        <is>
          <t>Plan and run UAT</t>
        </is>
      </c>
      <c r="E34" s="13" t="inlineStr">
        <is>
          <t>Writes UAT cases with expected results traced to requirements (docs/templates/bsa/05-uat-test-plan.md), runs them, logs defects with reproduction steps, and records business sign-off.</t>
        </is>
      </c>
      <c r="F34" s="13" t="n">
        <v>0</v>
      </c>
      <c r="G34" s="14" t="n"/>
      <c r="H34" s="13" t="n">
        <v>1</v>
      </c>
      <c r="I34" s="14" t="n"/>
      <c r="J34" s="13" t="n">
        <v>2</v>
      </c>
      <c r="K34" s="14" t="n"/>
      <c r="L34" s="14" t="n"/>
      <c r="M34" s="14" t="n"/>
    </row>
    <row r="35">
      <c r="A35" s="13" t="inlineStr">
        <is>
          <t>S-M4-06</t>
        </is>
      </c>
      <c r="B35" s="13" t="inlineStr">
        <is>
          <t>M4</t>
        </is>
      </c>
      <c r="C35" s="13" t="inlineStr">
        <is>
          <t>BSA craft</t>
        </is>
      </c>
      <c r="D35" s="13" t="inlineStr">
        <is>
          <t>Take a change through change control</t>
        </is>
      </c>
      <c r="E35" s="13" t="inlineStr">
        <is>
          <t>Raises a change request with impact, test evidence, rollback plan and checker review (docs/templates/bsa/06-change-request.md) before anything moves to production.</t>
        </is>
      </c>
      <c r="F35" s="13" t="n">
        <v>0</v>
      </c>
      <c r="G35" s="14" t="n"/>
      <c r="H35" s="13" t="n">
        <v>2</v>
      </c>
      <c r="I35" s="14" t="n"/>
      <c r="J35" s="13" t="n">
        <v>3</v>
      </c>
      <c r="K35" s="14" t="n"/>
      <c r="L35" s="14" t="n"/>
      <c r="M35" s="14" t="n"/>
    </row>
    <row r="36">
      <c r="A36" s="13" t="inlineStr">
        <is>
          <t>S-M5R-01</t>
        </is>
      </c>
      <c r="B36" s="13" t="inlineStr">
        <is>
          <t>M5R</t>
        </is>
      </c>
      <c r="C36" s="13" t="inlineStr">
        <is>
          <t>Research</t>
        </is>
      </c>
      <c r="D36" s="13" t="inlineStr">
        <is>
          <t>Find and read primary sources</t>
        </is>
      </c>
      <c r="E36" s="13" t="inlineStr">
        <is>
          <t>Within 60 minutes finds and reads the controlling sources for a new action (Federal Register notice and annexes, proclamation or executive order, CBP CSMS, HTSUS Chapter 99, CBSA customs notices, DOF) and monitors them for changes.</t>
        </is>
      </c>
      <c r="F36" s="13" t="n">
        <v>2</v>
      </c>
      <c r="G36" s="14" t="n"/>
      <c r="H36" s="13" t="n">
        <v>3</v>
      </c>
      <c r="I36" s="14" t="n"/>
      <c r="J36" s="13" t="n">
        <v>3</v>
      </c>
      <c r="K36" s="14" t="n"/>
      <c r="L36" s="14" t="n"/>
      <c r="M36" s="14" t="n"/>
    </row>
    <row r="37">
      <c r="A37" s="13" t="inlineStr">
        <is>
          <t>S-M5R-02</t>
        </is>
      </c>
      <c r="B37" s="13" t="inlineStr">
        <is>
          <t>M5R</t>
        </is>
      </c>
      <c r="C37" s="13" t="inlineStr">
        <is>
          <t>Research</t>
        </is>
      </c>
      <c r="D37" s="13" t="inlineStr">
        <is>
          <t>Determine the legal scope of a tariff action</t>
        </is>
      </c>
      <c r="E37" s="13" t="inlineStr">
        <is>
          <t>States affected HTS codes, countries of origin, rates, effective and end dates, exclusions and in-transit rules with a citation for each, and matches the HTS list to our item master.</t>
        </is>
      </c>
      <c r="F37" s="13" t="n">
        <v>2</v>
      </c>
      <c r="G37" s="14" t="n"/>
      <c r="H37" s="13" t="n">
        <v>3</v>
      </c>
      <c r="I37" s="14" t="n"/>
      <c r="J37" s="13" t="n">
        <v>3</v>
      </c>
      <c r="K37" s="14" t="n"/>
      <c r="L37" s="14" t="n"/>
      <c r="M37" s="14" t="n"/>
    </row>
    <row r="38">
      <c r="A38" s="13" t="inlineStr">
        <is>
          <t>S-M5R-03</t>
        </is>
      </c>
      <c r="B38" s="13" t="inlineStr">
        <is>
          <t>M5R</t>
        </is>
      </c>
      <c r="C38" s="13" t="inlineStr">
        <is>
          <t>Research</t>
        </is>
      </c>
      <c r="D38" s="13" t="inlineStr">
        <is>
          <t>Interpret stacking and exclusions</t>
        </is>
      </c>
      <c r="E38" s="13" t="inlineStr">
        <is>
          <t>Works out which Chapter 99 provisions and other measures apply together to an item and how they interact with USMCA claims, and writes the interpretation with sources for checker review.</t>
        </is>
      </c>
      <c r="F38" s="13" t="n">
        <v>1</v>
      </c>
      <c r="G38" s="14" t="n"/>
      <c r="H38" s="13" t="n">
        <v>2</v>
      </c>
      <c r="I38" s="14" t="n"/>
      <c r="J38" s="13" t="n">
        <v>3</v>
      </c>
      <c r="K38" s="14" t="n"/>
      <c r="L38" s="14" t="n"/>
      <c r="M38" s="14" t="n"/>
    </row>
    <row r="39">
      <c r="A39" s="13" t="inlineStr">
        <is>
          <t>S-M5R-04</t>
        </is>
      </c>
      <c r="B39" s="13" t="inlineStr">
        <is>
          <t>M5R</t>
        </is>
      </c>
      <c r="C39" s="13" t="inlineStr">
        <is>
          <t>Research</t>
        </is>
      </c>
      <c r="D39" s="13" t="inlineStr">
        <is>
          <t>Write a Tariff-Impact Brief</t>
        </is>
      </c>
      <c r="E39" s="13" t="inlineStr">
        <is>
          <t>Completes docs/templates/domain/tariff-impact-brief.md with a primary source for every claim, open questions flagged and no dollar conclusions, and the checker finds no material errors.</t>
        </is>
      </c>
      <c r="F39" s="13" t="n">
        <v>2</v>
      </c>
      <c r="G39" s="14" t="n"/>
      <c r="H39" s="13" t="n">
        <v>3</v>
      </c>
      <c r="I39" s="14" t="n"/>
      <c r="J39" s="13" t="n">
        <v>3</v>
      </c>
      <c r="K39" s="14" t="n"/>
      <c r="L39" s="14" t="n"/>
      <c r="M39" s="14" t="n"/>
    </row>
    <row r="40">
      <c r="A40" s="13" t="inlineStr">
        <is>
          <t>S-M5R-05</t>
        </is>
      </c>
      <c r="B40" s="13" t="inlineStr">
        <is>
          <t>M5R</t>
        </is>
      </c>
      <c r="C40" s="13" t="inlineStr">
        <is>
          <t>Research</t>
        </is>
      </c>
      <c r="D40" s="13" t="inlineStr">
        <is>
          <t>Enter the Research inputs in the Tariff-Impact Model</t>
        </is>
      </c>
      <c r="E40" s="13" t="inlineStr">
        <is>
          <t>Enters the WHAT inputs (HTS, countries, rates, dates, stacking rules, sources) in the shared Tariff-Impact Model and hands off to Standard Cost with no more than one clarification round.</t>
        </is>
      </c>
      <c r="F40" s="13" t="n">
        <v>1</v>
      </c>
      <c r="G40" s="14" t="n"/>
      <c r="H40" s="13" t="n">
        <v>3</v>
      </c>
      <c r="I40" s="14" t="n"/>
      <c r="J40" s="13" t="n">
        <v>3</v>
      </c>
      <c r="K40" s="14" t="n"/>
      <c r="L40" s="14" t="n"/>
      <c r="M40" s="14" t="n"/>
    </row>
    <row r="41">
      <c r="A41" s="13" t="inlineStr">
        <is>
          <t>S-M5R-06</t>
        </is>
      </c>
      <c r="B41" s="13" t="inlineStr">
        <is>
          <t>M5R</t>
        </is>
      </c>
      <c r="C41" s="13" t="inlineStr">
        <is>
          <t>Research</t>
        </is>
      </c>
      <c r="D41" s="13" t="inlineStr">
        <is>
          <t>Run an ad-hoc investigation</t>
        </is>
      </c>
      <c r="E41" s="13" t="inlineStr">
        <is>
          <t>Frames the question, gathers sources and data, states the finding and a recommendation in a short write-up, and closes the Jira item after review with no material errors.</t>
        </is>
      </c>
      <c r="F41" s="13" t="n">
        <v>1</v>
      </c>
      <c r="G41" s="14" t="n"/>
      <c r="H41" s="13" t="n">
        <v>2</v>
      </c>
      <c r="I41" s="14" t="n"/>
      <c r="J41" s="13" t="n">
        <v>3</v>
      </c>
      <c r="K41" s="14" t="n"/>
      <c r="L41" s="14" t="n"/>
      <c r="M41" s="14" t="n"/>
    </row>
    <row r="42">
      <c r="A42" s="13" t="inlineStr">
        <is>
          <t>S-M5R-07</t>
        </is>
      </c>
      <c r="B42" s="13" t="inlineStr">
        <is>
          <t>M5R</t>
        </is>
      </c>
      <c r="C42" s="13" t="inlineStr">
        <is>
          <t>Research</t>
        </is>
      </c>
      <c r="D42" s="13" t="inlineStr">
        <is>
          <t>Run the Research cycle end to end under maker-checker</t>
        </is>
      </c>
      <c r="E42" s="13" t="inlineStr">
        <is>
          <t>Takes a live tariff action from Jira intake through brief, model inputs, handoff to Standard Cost and business communication as maker, with a documented checker sign-off before release.</t>
        </is>
      </c>
      <c r="F42" s="13" t="n">
        <v>1</v>
      </c>
      <c r="G42" s="14" t="n"/>
      <c r="H42" s="13" t="n">
        <v>2</v>
      </c>
      <c r="I42" s="14" t="n"/>
      <c r="J42" s="13" t="n">
        <v>3</v>
      </c>
      <c r="K42" s="14" t="n"/>
      <c r="L42" s="14" t="n"/>
      <c r="M42" s="14" t="n"/>
    </row>
    <row r="43">
      <c r="A43" s="13" t="inlineStr">
        <is>
          <t>S-M5C-01</t>
        </is>
      </c>
      <c r="B43" s="13" t="inlineStr">
        <is>
          <t>M5C</t>
        </is>
      </c>
      <c r="C43" s="13" t="inlineStr">
        <is>
          <t>Standard cost</t>
        </is>
      </c>
      <c r="D43" s="13" t="inlineStr">
        <is>
          <t>Explain standard costing and Oracle cost elements</t>
        </is>
      </c>
      <c r="E43" s="13" t="inlineStr">
        <is>
          <t>Explains how standard cost values inventory and drives PPV and margin, which cost elements hold price, freight, duty and fees in [COMPANY: Oracle EBS or Fusion], and when standards are changed.</t>
        </is>
      </c>
      <c r="F43" s="13" t="n">
        <v>0</v>
      </c>
      <c r="G43" s="14" t="n"/>
      <c r="H43" s="13" t="n">
        <v>1</v>
      </c>
      <c r="I43" s="14" t="n"/>
      <c r="J43" s="13" t="n">
        <v>1</v>
      </c>
      <c r="K43" s="14" t="n"/>
      <c r="L43" s="14" t="n"/>
      <c r="M43" s="14" t="n"/>
    </row>
    <row r="44">
      <c r="A44" s="13" t="inlineStr">
        <is>
          <t>S-M5C-02</t>
        </is>
      </c>
      <c r="B44" s="13" t="inlineStr">
        <is>
          <t>M5C</t>
        </is>
      </c>
      <c r="C44" s="13" t="inlineStr">
        <is>
          <t>Standard cost</t>
        </is>
      </c>
      <c r="D44" s="13" t="inlineStr">
        <is>
          <t>Build item landed cost</t>
        </is>
      </c>
      <c r="E44" s="13" t="inlineStr">
        <is>
          <t>Rebuilds an item's landed cost from source data (price, freight, insurance, duty, MPF and HMF, brokerage, inland freight, [COMPANY: other components]) and matches the current standard within [COMPANY: tolerance] or explains each difference.</t>
        </is>
      </c>
      <c r="F44" s="13" t="n">
        <v>0</v>
      </c>
      <c r="G44" s="14" t="n"/>
      <c r="H44" s="13" t="n">
        <v>1</v>
      </c>
      <c r="I44" s="14" t="n"/>
      <c r="J44" s="13" t="n">
        <v>1</v>
      </c>
      <c r="K44" s="14" t="n"/>
      <c r="L44" s="14" t="n"/>
      <c r="M44" s="14" t="n"/>
    </row>
    <row r="45">
      <c r="A45" s="13" t="inlineStr">
        <is>
          <t>S-M5C-03</t>
        </is>
      </c>
      <c r="B45" s="13" t="inlineStr">
        <is>
          <t>M5C</t>
        </is>
      </c>
      <c r="C45" s="13" t="inlineStr">
        <is>
          <t>Standard cost</t>
        </is>
      </c>
      <c r="D45" s="13" t="inlineStr">
        <is>
          <t>Query item cost and cost-element data</t>
        </is>
      </c>
      <c r="E45" s="13" t="inlineStr">
        <is>
          <t>Without help, pulls item standard cost and cost-element history from [COMPANY: warehouse cost tables or Oracle extract] and reconciles a sample item's total to Oracle.</t>
        </is>
      </c>
      <c r="F45" s="13" t="n">
        <v>0</v>
      </c>
      <c r="G45" s="14" t="n"/>
      <c r="H45" s="13" t="n">
        <v>1</v>
      </c>
      <c r="I45" s="14" t="n"/>
      <c r="J45" s="13" t="n">
        <v>1</v>
      </c>
      <c r="K45" s="14" t="n"/>
      <c r="L45" s="14" t="n"/>
      <c r="M45" s="14" t="n"/>
    </row>
    <row r="46">
      <c r="A46" s="13" t="inlineStr">
        <is>
          <t>S-M5C-04</t>
        </is>
      </c>
      <c r="B46" s="13" t="inlineStr">
        <is>
          <t>M5C</t>
        </is>
      </c>
      <c r="C46" s="13" t="inlineStr">
        <is>
          <t>Standard cost</t>
        </is>
      </c>
      <c r="D46" s="13" t="inlineStr">
        <is>
          <t>Model tariff impact on landed cost and margin</t>
        </is>
      </c>
      <c r="E46" s="13" t="inlineStr">
        <is>
          <t>Using a Tariff-Impact Brief, applies its rates and stacking to the in-scope items' duty base in the shared model, calculates landed-cost and margin impact on a stated volume basis, and passes checker review.</t>
        </is>
      </c>
      <c r="F46" s="13" t="n">
        <v>0</v>
      </c>
      <c r="G46" s="14" t="n"/>
      <c r="H46" s="13" t="n">
        <v>1</v>
      </c>
      <c r="I46" s="14" t="n"/>
      <c r="J46" s="13" t="n">
        <v>1</v>
      </c>
      <c r="K46" s="14" t="n"/>
      <c r="L46" s="14" t="n"/>
      <c r="M46" s="14" t="n"/>
    </row>
    <row r="47">
      <c r="A47" s="13" t="inlineStr">
        <is>
          <t>S-M5C-05</t>
        </is>
      </c>
      <c r="B47" s="13" t="inlineStr">
        <is>
          <t>M5C</t>
        </is>
      </c>
      <c r="C47" s="13" t="inlineStr">
        <is>
          <t>Standard cost</t>
        </is>
      </c>
      <c r="D47" s="13" t="inlineStr">
        <is>
          <t>Run the standard cost update cycle with Finance</t>
        </is>
      </c>
      <c r="E47" s="13" t="inlineStr">
        <is>
          <t>Follows docs/templates/domain/standard-cost-update-checklist.md to prepare and tie out the duty and landed-cost input file, gets Finance and checker sign-off before any Oracle load, and reconciles after the update.</t>
        </is>
      </c>
      <c r="F47" s="13" t="n">
        <v>0</v>
      </c>
      <c r="G47" s="14" t="n"/>
      <c r="H47" s="13" t="n">
        <v>0</v>
      </c>
      <c r="I47" s="14" t="n"/>
      <c r="J47" s="13" t="n">
        <v>1</v>
      </c>
      <c r="K47" s="14" t="n"/>
      <c r="L47" s="14" t="n"/>
      <c r="M47" s="14" t="n"/>
    </row>
    <row r="48">
      <c r="A48" s="13" t="inlineStr">
        <is>
          <t>S-M5C-06</t>
        </is>
      </c>
      <c r="B48" s="13" t="inlineStr">
        <is>
          <t>M5C</t>
        </is>
      </c>
      <c r="C48" s="13" t="inlineStr">
        <is>
          <t>Standard cost</t>
        </is>
      </c>
      <c r="D48" s="13" t="inlineStr">
        <is>
          <t>Analyze purchase price variance (PPV)</t>
        </is>
      </c>
      <c r="E48" s="13" t="inlineStr">
        <is>
          <t>For a closed period, explains the top 10 PPV items by driver (vendor price, duty or tariff, freight, FX, other) and ties total PPV to [COMPANY: Finance PPV report or GL account] within [COMPANY: tolerance].</t>
        </is>
      </c>
      <c r="F48" s="13" t="n">
        <v>0</v>
      </c>
      <c r="G48" s="14" t="n"/>
      <c r="H48" s="13" t="n">
        <v>0</v>
      </c>
      <c r="I48" s="14" t="n"/>
      <c r="J48" s="13" t="n">
        <v>1</v>
      </c>
      <c r="K48" s="14" t="n"/>
      <c r="L48" s="14" t="n"/>
      <c r="M48" s="14" t="n"/>
    </row>
    <row r="49">
      <c r="A49" s="13" t="inlineStr">
        <is>
          <t>S-M5C-07</t>
        </is>
      </c>
      <c r="B49" s="13" t="inlineStr">
        <is>
          <t>M5C</t>
        </is>
      </c>
      <c r="C49" s="13" t="inlineStr">
        <is>
          <t>Standard cost</t>
        </is>
      </c>
      <c r="D49" s="13" t="inlineStr">
        <is>
          <t>Explain how trade outcomes change item cost</t>
        </is>
      </c>
      <c r="E49" s="13" t="inlineStr">
        <is>
          <t>Explains how a USMCA claim, a classification or valuation change, or a new tariff flows into duty, landed cost and margin, including the cost effect of a denied USMCA claim.</t>
        </is>
      </c>
      <c r="F49" s="13" t="n">
        <v>1</v>
      </c>
      <c r="G49" s="14" t="n"/>
      <c r="H49" s="13" t="n">
        <v>1</v>
      </c>
      <c r="I49" s="14" t="n"/>
      <c r="J49" s="13" t="n">
        <v>1</v>
      </c>
      <c r="K49" s="14" t="n"/>
      <c r="L49" s="14" t="n"/>
      <c r="M49" s="14" t="n"/>
    </row>
    <row r="50">
      <c r="A50" s="13" t="inlineStr">
        <is>
          <t>S-M6-01</t>
        </is>
      </c>
      <c r="B50" s="13" t="inlineStr">
        <is>
          <t>M6</t>
        </is>
      </c>
      <c r="C50" s="13" t="inlineStr">
        <is>
          <t>Tools</t>
        </is>
      </c>
      <c r="D50" s="13" t="inlineStr">
        <is>
          <t>Inventory a custom tool</t>
        </is>
      </c>
      <c r="E50" s="13" t="inlineStr">
        <is>
          <t>Completes a Tool Inventory row (purpose, users, stack, location, data sources, run frequency, knowledge holder, risk, e2open impact) from a walkthrough or the tool itself, and the Manager confirms it is accurate.</t>
        </is>
      </c>
      <c r="F50" s="13" t="n">
        <v>2</v>
      </c>
      <c r="G50" s="14" t="n"/>
      <c r="H50" s="13" t="n">
        <v>3</v>
      </c>
      <c r="I50" s="14" t="n"/>
      <c r="J50" s="13" t="n">
        <v>3</v>
      </c>
      <c r="K50" s="14" t="n"/>
      <c r="L50" s="14" t="n"/>
      <c r="M50" s="14" t="n"/>
    </row>
    <row r="51">
      <c r="A51" s="13" t="inlineStr">
        <is>
          <t>S-M6-02</t>
        </is>
      </c>
      <c r="B51" s="13" t="inlineStr">
        <is>
          <t>M6</t>
        </is>
      </c>
      <c r="C51" s="13" t="inlineStr">
        <is>
          <t>Tools</t>
        </is>
      </c>
      <c r="D51" s="13" t="inlineStr">
        <is>
          <t>Run and support the owned tool</t>
        </is>
      </c>
      <c r="E51" s="13" t="inlineStr">
        <is>
          <t>Runs the owned tool on schedule without help, recovers from its known failure modes, and is the named first point of contact in the Tool Inventory and OneNote.</t>
        </is>
      </c>
      <c r="F51" s="13" t="n">
        <v>1</v>
      </c>
      <c r="G51" s="14" t="n"/>
      <c r="H51" s="13" t="n">
        <v>3</v>
      </c>
      <c r="I51" s="14" t="n"/>
      <c r="J51" s="13" t="n">
        <v>4</v>
      </c>
      <c r="K51" s="14" t="n"/>
      <c r="L51" s="14" t="n"/>
      <c r="M51" s="14" t="n"/>
    </row>
    <row r="52">
      <c r="A52" s="13" t="inlineStr">
        <is>
          <t>S-M6-03</t>
        </is>
      </c>
      <c r="B52" s="13" t="inlineStr">
        <is>
          <t>M6</t>
        </is>
      </c>
      <c r="C52" s="13" t="inlineStr">
        <is>
          <t>Tools</t>
        </is>
      </c>
      <c r="D52" s="13" t="inlineStr">
        <is>
          <t>Document the owned tool</t>
        </is>
      </c>
      <c r="E52" s="13" t="inlineStr">
        <is>
          <t>Publishes a tool doc (docs/templates/knowledge/tool-doc.md) covering purpose, inputs, outputs, logic, dependencies, hard-coded values, backup location and e2open disposition that the Manager could follow alone.</t>
        </is>
      </c>
      <c r="F52" s="13" t="n">
        <v>1</v>
      </c>
      <c r="G52" s="14" t="n"/>
      <c r="H52" s="13" t="n">
        <v>3</v>
      </c>
      <c r="I52" s="14" t="n"/>
      <c r="J52" s="13" t="n">
        <v>3</v>
      </c>
      <c r="K52" s="14" t="n"/>
      <c r="L52" s="14" t="n"/>
      <c r="M52" s="14" t="n"/>
    </row>
    <row r="53">
      <c r="A53" s="13" t="inlineStr">
        <is>
          <t>S-M6-04</t>
        </is>
      </c>
      <c r="B53" s="13" t="inlineStr">
        <is>
          <t>M6</t>
        </is>
      </c>
      <c r="C53" s="13" t="inlineStr">
        <is>
          <t>Tools</t>
        </is>
      </c>
      <c r="D53" s="13" t="inlineStr">
        <is>
          <t>Troubleshoot and change the owned tool</t>
        </is>
      </c>
      <c r="E53" s="13" t="inlineStr">
        <is>
          <t>Reads the tool's Python, VBA, Access or Power Automate logic to find the cause of an issue, and makes or triages a fix through a change request with a test and the Manager as checker.</t>
        </is>
      </c>
      <c r="F53" s="13" t="n">
        <v>0</v>
      </c>
      <c r="G53" s="14" t="n"/>
      <c r="H53" s="13" t="n">
        <v>2</v>
      </c>
      <c r="I53" s="14" t="n"/>
      <c r="J53" s="13" t="n">
        <v>3</v>
      </c>
      <c r="K53" s="14" t="n"/>
      <c r="L53" s="14" t="n"/>
      <c r="M53" s="14" t="n"/>
    </row>
    <row r="54">
      <c r="A54" s="13" t="inlineStr">
        <is>
          <t>S-M6-05</t>
        </is>
      </c>
      <c r="B54" s="13" t="inlineStr">
        <is>
          <t>M6</t>
        </is>
      </c>
      <c r="C54" s="13" t="inlineStr">
        <is>
          <t>Tools</t>
        </is>
      </c>
      <c r="D54" s="13" t="inlineStr">
        <is>
          <t>Learn a second custom tool</t>
        </is>
      </c>
      <c r="E54" s="13" t="inlineStr">
        <is>
          <t>Runs a second tool from its tool doc, corrects gaps in that doc, and can stand in as backup for the other hire's owned tool.</t>
        </is>
      </c>
      <c r="F54" s="13" t="n">
        <v>0</v>
      </c>
      <c r="G54" s="14" t="n"/>
      <c r="H54" s="13" t="n">
        <v>1</v>
      </c>
      <c r="I54" s="14" t="n"/>
      <c r="J54" s="13" t="n">
        <v>2</v>
      </c>
      <c r="K54" s="14" t="n"/>
      <c r="L54" s="14" t="n"/>
      <c r="M54" s="14" t="n"/>
    </row>
    <row r="55">
      <c r="A55" s="13" t="inlineStr">
        <is>
          <t>S-M7-01</t>
        </is>
      </c>
      <c r="B55" s="13" t="inlineStr">
        <is>
          <t>M7</t>
        </is>
      </c>
      <c r="C55" s="13" t="inlineStr">
        <is>
          <t>Exports</t>
        </is>
      </c>
      <c r="D55" s="13" t="inlineStr">
        <is>
          <t>Explain the US export compliance framework</t>
        </is>
      </c>
      <c r="E55" s="13" t="inlineStr">
        <is>
          <t>Explains EAR jurisdiction and classification (ECCN or EAR99), why license determinations stay with the Senior, EEI filing in AES under the FTR, Schedule B and the USPPI role, and restricted party screening at awareness level.</t>
        </is>
      </c>
      <c r="F55" s="13" t="n">
        <v>0</v>
      </c>
      <c r="G55" s="14" t="n"/>
      <c r="H55" s="13" t="n">
        <v>1</v>
      </c>
      <c r="I55" s="14" t="n"/>
      <c r="J55" s="13" t="n">
        <v>2</v>
      </c>
      <c r="K55" s="14" t="n"/>
      <c r="L55" s="14" t="n"/>
      <c r="M55" s="14" t="n"/>
    </row>
    <row r="56">
      <c r="A56" s="13" t="inlineStr">
        <is>
          <t>S-M7-02</t>
        </is>
      </c>
      <c r="B56" s="13" t="inlineStr">
        <is>
          <t>M7</t>
        </is>
      </c>
      <c r="C56" s="13" t="inlineStr">
        <is>
          <t>Exports</t>
        </is>
      </c>
      <c r="D56" s="13" t="inlineStr">
        <is>
          <t>Complete an exports backlog item</t>
        </is>
      </c>
      <c r="E56" s="13" t="inlineStr">
        <is>
          <t>Completes a low-risk exports item (data correction, master-data update, reconciliation or documentation) as maker with the Senior as checker, and adds the steps to the exports SOP draft.</t>
        </is>
      </c>
      <c r="F56" s="13" t="n">
        <v>0</v>
      </c>
      <c r="G56" s="14" t="n"/>
      <c r="H56" s="13" t="n">
        <v>1</v>
      </c>
      <c r="I56" s="14" t="n"/>
      <c r="J56" s="13" t="n">
        <v>2</v>
      </c>
      <c r="K56" s="14" t="n"/>
      <c r="L56" s="14" t="n"/>
      <c r="M56" s="14" t="n"/>
    </row>
    <row r="57">
      <c r="A57" s="13" t="inlineStr">
        <is>
          <t>S-M7-03</t>
        </is>
      </c>
      <c r="B57" s="13" t="inlineStr">
        <is>
          <t>M7</t>
        </is>
      </c>
      <c r="C57" s="13" t="inlineStr">
        <is>
          <t>Exports</t>
        </is>
      </c>
      <c r="D57" s="13" t="inlineStr">
        <is>
          <t>Check export data quality</t>
        </is>
      </c>
      <c r="E57" s="13" t="inlineStr">
        <is>
          <t>Profiles export records for missing or invalid Schedule B, ECCN or EAR99, country, value or USPPI data, and logs each issue with evidence and a proposed fix.</t>
        </is>
      </c>
      <c r="F57" s="13" t="n">
        <v>0</v>
      </c>
      <c r="G57" s="14" t="n"/>
      <c r="H57" s="13" t="n">
        <v>1</v>
      </c>
      <c r="I57" s="14" t="n"/>
      <c r="J57" s="13" t="n">
        <v>2</v>
      </c>
      <c r="K57" s="14" t="n"/>
      <c r="L57" s="14" t="n"/>
      <c r="M57" s="14" t="n"/>
    </row>
    <row r="58">
      <c r="A58" s="13" t="inlineStr">
        <is>
          <t>S-M8-01</t>
        </is>
      </c>
      <c r="B58" s="13" t="inlineStr">
        <is>
          <t>M8</t>
        </is>
      </c>
      <c r="C58" s="13" t="inlineStr">
        <is>
          <t>Reporting</t>
        </is>
      </c>
      <c r="D58" s="13" t="inlineStr">
        <is>
          <t>Explain the report inventory</t>
        </is>
      </c>
      <c r="E58" s="13" t="inlineStr">
        <is>
          <t>For each report in the Senior's inventory, states its source, refresh schedule, consumers and known issues, and who to tell when it breaks.</t>
        </is>
      </c>
      <c r="F58" s="13" t="n">
        <v>0</v>
      </c>
      <c r="G58" s="14" t="n"/>
      <c r="H58" s="13" t="n">
        <v>0</v>
      </c>
      <c r="I58" s="14" t="n"/>
      <c r="J58" s="13" t="n">
        <v>1</v>
      </c>
      <c r="K58" s="14" t="n"/>
      <c r="L58" s="14" t="n"/>
      <c r="M58" s="14" t="n"/>
    </row>
    <row r="59">
      <c r="A59" s="13" t="inlineStr">
        <is>
          <t>S-M8-02</t>
        </is>
      </c>
      <c r="B59" s="13" t="inlineStr">
        <is>
          <t>M8</t>
        </is>
      </c>
      <c r="C59" s="13" t="inlineStr">
        <is>
          <t>Reporting</t>
        </is>
      </c>
      <c r="D59" s="13" t="inlineStr">
        <is>
          <t>Complete a reporting backlog item</t>
        </is>
      </c>
      <c r="E59" s="13" t="inlineStr">
        <is>
          <t>Delivers a Power BI fix, new measure or warehouse view change as maker, compares before-and-after totals, and demos it to the Senior for checker sign-off.</t>
        </is>
      </c>
      <c r="F59" s="13" t="n">
        <v>0</v>
      </c>
      <c r="G59" s="14" t="n"/>
      <c r="H59" s="13" t="n">
        <v>0</v>
      </c>
      <c r="I59" s="14" t="n"/>
      <c r="J59" s="13" t="n">
        <v>1</v>
      </c>
      <c r="K59" s="14" t="n"/>
      <c r="L59" s="14" t="n"/>
      <c r="M59" s="14" t="n"/>
    </row>
    <row r="60">
      <c r="A60" s="13" t="inlineStr">
        <is>
          <t>S-M9-01</t>
        </is>
      </c>
      <c r="B60" s="13" t="inlineStr">
        <is>
          <t>M9</t>
        </is>
      </c>
      <c r="C60" s="13" t="inlineStr">
        <is>
          <t>Drawback</t>
        </is>
      </c>
      <c r="D60" s="13" t="inlineStr">
        <is>
          <t>Explain US duty drawback</t>
        </is>
      </c>
      <c r="E60" s="13" t="inlineStr">
        <is>
          <t>Explains the main drawback types under 19 CFR Part 190 (manufacturing, unused merchandise, rejected merchandise) and which import, export and inventory records a claim relies on.</t>
        </is>
      </c>
      <c r="F60" s="13" t="n">
        <v>0</v>
      </c>
      <c r="G60" s="14" t="n"/>
      <c r="H60" s="13" t="n">
        <v>0</v>
      </c>
      <c r="I60" s="14" t="n"/>
      <c r="J60" s="13" t="n">
        <v>1</v>
      </c>
      <c r="K60" s="14" t="n"/>
      <c r="L60" s="14" t="n"/>
      <c r="M60" s="14" t="n"/>
    </row>
    <row r="61">
      <c r="A61" s="13" t="inlineStr">
        <is>
          <t>S-M9-02</t>
        </is>
      </c>
      <c r="B61" s="13" t="inlineStr">
        <is>
          <t>M9</t>
        </is>
      </c>
      <c r="C61" s="13" t="inlineStr">
        <is>
          <t>Drawback</t>
        </is>
      </c>
      <c r="D61" s="13" t="inlineStr">
        <is>
          <t>Protect drawback data in our processes</t>
        </is>
      </c>
      <c r="E61" s="13" t="inlineStr">
        <is>
          <t>Names the import and export data fields drawback depends on, explains why USMCA limits drawback on goods exported to Canada or Mexico, and flags process or system changes that could break a claim.</t>
        </is>
      </c>
      <c r="F61" s="13" t="n">
        <v>0</v>
      </c>
      <c r="G61" s="14" t="n"/>
      <c r="H61" s="13" t="n">
        <v>0</v>
      </c>
      <c r="I61" s="14" t="n"/>
      <c r="J61" s="13" t="n">
        <v>1</v>
      </c>
      <c r="K61" s="14" t="n"/>
      <c r="L61" s="14" t="n"/>
      <c r="M61" s="14" t="n"/>
    </row>
    <row r="62">
      <c r="A62" s="13" t="inlineStr">
        <is>
          <t>S-M10-01</t>
        </is>
      </c>
      <c r="B62" s="13" t="inlineStr">
        <is>
          <t>M10</t>
        </is>
      </c>
      <c r="C62" s="13" t="inlineStr">
        <is>
          <t>e2open</t>
        </is>
      </c>
      <c r="D62" s="13" t="inlineStr">
        <is>
          <t>Work as a core BSA on the e2open project</t>
        </is>
      </c>
      <c r="E62" s="13" t="inlineStr">
        <is>
          <t>Explains the project's scope, timeline and BSA deliverables, attends sessions with prepared drafts and questions, and keeps own project items current in Jira.</t>
        </is>
      </c>
      <c r="F62" s="13" t="n">
        <v>0</v>
      </c>
      <c r="G62" s="14" t="n"/>
      <c r="H62" s="13" t="n">
        <v>1</v>
      </c>
      <c r="I62" s="14" t="n"/>
      <c r="J62" s="13" t="n">
        <v>2</v>
      </c>
      <c r="K62" s="14" t="n"/>
      <c r="L62" s="14" t="n"/>
      <c r="M62" s="14" t="n"/>
    </row>
    <row r="63">
      <c r="A63" s="13" t="inlineStr">
        <is>
          <t>S-M10-02</t>
        </is>
      </c>
      <c r="B63" s="13" t="inlineStr">
        <is>
          <t>M10</t>
        </is>
      </c>
      <c r="C63" s="13" t="inlineStr">
        <is>
          <t>e2open</t>
        </is>
      </c>
      <c r="D63" s="13" t="inlineStr">
        <is>
          <t>Map own process data to e2open</t>
        </is>
      </c>
      <c r="E63" s="13" t="inlineStr">
        <is>
          <t>Maps each source field for own process (AS400, Excel, Oracle, external) to its e2open concept, logs data-quality issues, and lists cleansing candidates for Manager and Senior review.</t>
        </is>
      </c>
      <c r="F63" s="13" t="n">
        <v>0</v>
      </c>
      <c r="G63" s="14" t="n"/>
      <c r="H63" s="13" t="n">
        <v>1</v>
      </c>
      <c r="I63" s="14" t="n"/>
      <c r="J63" s="13" t="n">
        <v>2</v>
      </c>
      <c r="K63" s="14" t="n"/>
      <c r="L63" s="14" t="n"/>
      <c r="M63" s="14" t="n"/>
    </row>
  </sheetData>
  <autoFilter ref="A4:M63"/>
  <conditionalFormatting sqref="G5:G63">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63">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63">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63">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63" showDropDown="0" showInputMessage="1" showErrorMessage="0" allowBlank="1" prompt="Enter 0-4" type="list">
      <formula1>"0,1,2,3,4"</formula1>
    </dataValidation>
    <dataValidation sqref="I5:I63" showDropDown="0" showInputMessage="1" showErrorMessage="0" allowBlank="1" prompt="Enter 0-4" type="list">
      <formula1>"0,1,2,3,4"</formula1>
    </dataValidation>
    <dataValidation sqref="K5:K63" showDropDown="0" showInputMessage="1" showErrorMessage="0" allowBlank="1" prompt="Enter 0-4" type="list">
      <formula1>"0,1,2,3,4"</formula1>
    </dataValidation>
    <dataValidation sqref="L5:L63" showDropDown="0" showInputMessage="1" showErrorMessage="0" allowBlank="1" prompt="Enter 0-4" type="list">
      <formula1>"0,1,2,3,4"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B (Standard Cost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Monday sets a week plan around the 1:1-agreed top 3, blocks self-study, Anki and documentation time as in docs/05-time-management.md, and flags any slip to the Manager by Wednesday.</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3</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2</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2</v>
      </c>
      <c r="I14" s="14" t="n"/>
      <c r="J14" s="13" t="n">
        <v>2</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1</v>
      </c>
      <c r="G16" s="14" t="n"/>
      <c r="H16" s="13" t="n">
        <v>2</v>
      </c>
      <c r="I16" s="14" t="n"/>
      <c r="J16" s="13" t="n">
        <v>2</v>
      </c>
      <c r="K16" s="14" t="n"/>
      <c r="L16" s="14" t="n"/>
      <c r="M16" s="14" t="n"/>
    </row>
    <row r="17">
      <c r="A17" s="13" t="inlineStr">
        <is>
          <t>S-M1-06</t>
        </is>
      </c>
      <c r="B17" s="13" t="inlineStr">
        <is>
          <t>M1</t>
        </is>
      </c>
      <c r="C17" s="13" t="inlineStr">
        <is>
          <t>Origin &amp; programs</t>
        </is>
      </c>
      <c r="D17" s="13" t="inlineStr">
        <is>
          <t>Explain Mexico IMMEX, Anexo 24 and Anexo 31</t>
        </is>
      </c>
      <c r="E17" s="13" t="inlineStr">
        <is>
          <t>Explains what an IMMEX temporary import defers, what Anexo 24 inventory control and Anexo 31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[COMPANY: Oracle EBS or Fusion] cost data.</t>
        </is>
      </c>
      <c r="F23" s="13" t="n">
        <v>2</v>
      </c>
      <c r="G23" s="14" t="n"/>
      <c r="H23" s="13" t="n">
        <v>3</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3</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3</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3</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S-M4-01</t>
        </is>
      </c>
      <c r="B30" s="13" t="inlineStr">
        <is>
          <t>M4</t>
        </is>
      </c>
      <c r="C30" s="13" t="inlineStr">
        <is>
          <t>BSA craft</t>
        </is>
      </c>
      <c r="D30" s="13" t="inlineStr">
        <is>
          <t>Run intake and scope a request</t>
        </is>
      </c>
      <c r="E30" s="13" t="inlineStr">
        <is>
          <t>Runs an intake conversation, completes docs/templates/bsa/01-intake-request.md, and creates a Jira item with problem, impact, scope and acceptance criteria that the requester confirms.</t>
        </is>
      </c>
      <c r="F30" s="13" t="n">
        <v>2</v>
      </c>
      <c r="G30" s="14" t="n"/>
      <c r="H30" s="13" t="n">
        <v>3</v>
      </c>
      <c r="I30" s="14" t="n"/>
      <c r="J30" s="13" t="n">
        <v>3</v>
      </c>
      <c r="K30" s="14" t="n"/>
      <c r="L30" s="14" t="n"/>
      <c r="M30" s="14" t="n"/>
    </row>
    <row r="31">
      <c r="A31" s="13" t="inlineStr">
        <is>
          <t>S-M4-02</t>
        </is>
      </c>
      <c r="B31" s="13" t="inlineStr">
        <is>
          <t>M4</t>
        </is>
      </c>
      <c r="C31" s="13" t="inlineStr">
        <is>
          <t>BSA craft</t>
        </is>
      </c>
      <c r="D31" s="13" t="inlineStr">
        <is>
          <t>Write testable requirements and user stories</t>
        </is>
      </c>
      <c r="E31" s="13" t="inlineStr">
        <is>
          <t>Writes requirements and user stories with acceptance criteria and MoSCoW priority (docs/templates/bsa/02-requirements.md and 07-jira-epic-story.md) that a tester could test without asking questions.</t>
        </is>
      </c>
      <c r="F31" s="13" t="n">
        <v>1</v>
      </c>
      <c r="G31" s="14" t="n"/>
      <c r="H31" s="13" t="n">
        <v>2</v>
      </c>
      <c r="I31" s="14" t="n"/>
      <c r="J31" s="13" t="n">
        <v>3</v>
      </c>
      <c r="K31" s="14" t="n"/>
      <c r="L31" s="14" t="n"/>
      <c r="M31" s="14" t="n"/>
    </row>
    <row r="32">
      <c r="A32" s="13" t="inlineStr">
        <is>
          <t>S-M4-03</t>
        </is>
      </c>
      <c r="B32" s="13" t="inlineStr">
        <is>
          <t>M4</t>
        </is>
      </c>
      <c r="C32" s="13" t="inlineStr">
        <is>
          <t>BSA craft</t>
        </is>
      </c>
      <c r="D32" s="13" t="inlineStr">
        <is>
          <t>Document an as-is process</t>
        </is>
      </c>
      <c r="E32" s="13" t="inlineStr">
        <is>
          <t>Documents an as-is process with steps, roles, systems, inputs, outputs, controls and pain points in docs/templates/bsa/03-process-map-as-is-to-be.md, and the process owner confirms it is accurate.</t>
        </is>
      </c>
      <c r="F32" s="13" t="n">
        <v>1</v>
      </c>
      <c r="G32" s="14" t="n"/>
      <c r="H32" s="13" t="n">
        <v>2</v>
      </c>
      <c r="I32" s="14" t="n"/>
      <c r="J32" s="13" t="n">
        <v>3</v>
      </c>
      <c r="K32" s="14" t="n"/>
      <c r="L32" s="14" t="n"/>
      <c r="M32" s="14" t="n"/>
    </row>
    <row r="33">
      <c r="A33" s="13" t="inlineStr">
        <is>
          <t>S-M4-04</t>
        </is>
      </c>
      <c r="B33" s="13" t="inlineStr">
        <is>
          <t>M4</t>
        </is>
      </c>
      <c r="C33" s="13" t="inlineStr">
        <is>
          <t>BSA craft</t>
        </is>
      </c>
      <c r="D33" s="13" t="inlineStr">
        <is>
          <t>Write a data mapping spec</t>
        </is>
      </c>
      <c r="E33" s="13" t="inlineStr">
        <is>
          <t>Maps each source field to its target with type, rules, transformations and data-quality notes in docs/templates/bsa/04-data-mapping-spec.md, and the reviewer finds no unmapped required field.</t>
        </is>
      </c>
      <c r="F33" s="13" t="n">
        <v>1</v>
      </c>
      <c r="G33" s="14" t="n"/>
      <c r="H33" s="13" t="n">
        <v>2</v>
      </c>
      <c r="I33" s="14" t="n"/>
      <c r="J33" s="13" t="n">
        <v>3</v>
      </c>
      <c r="K33" s="14" t="n"/>
      <c r="L33" s="14" t="n"/>
      <c r="M33" s="14" t="n"/>
    </row>
    <row r="34">
      <c r="A34" s="13" t="inlineStr">
        <is>
          <t>S-M4-05</t>
        </is>
      </c>
      <c r="B34" s="13" t="inlineStr">
        <is>
          <t>M4</t>
        </is>
      </c>
      <c r="C34" s="13" t="inlineStr">
        <is>
          <t>BSA craft</t>
        </is>
      </c>
      <c r="D34" s="13" t="inlineStr">
        <is>
          <t>Plan and run UAT</t>
        </is>
      </c>
      <c r="E34" s="13" t="inlineStr">
        <is>
          <t>Writes UAT cases with expected results traced to requirements (docs/templates/bsa/05-uat-test-plan.md), runs them, logs defects with reproduction steps, and records business sign-off.</t>
        </is>
      </c>
      <c r="F34" s="13" t="n">
        <v>0</v>
      </c>
      <c r="G34" s="14" t="n"/>
      <c r="H34" s="13" t="n">
        <v>1</v>
      </c>
      <c r="I34" s="14" t="n"/>
      <c r="J34" s="13" t="n">
        <v>2</v>
      </c>
      <c r="K34" s="14" t="n"/>
      <c r="L34" s="14" t="n"/>
      <c r="M34" s="14" t="n"/>
    </row>
    <row r="35">
      <c r="A35" s="13" t="inlineStr">
        <is>
          <t>S-M4-06</t>
        </is>
      </c>
      <c r="B35" s="13" t="inlineStr">
        <is>
          <t>M4</t>
        </is>
      </c>
      <c r="C35" s="13" t="inlineStr">
        <is>
          <t>BSA craft</t>
        </is>
      </c>
      <c r="D35" s="13" t="inlineStr">
        <is>
          <t>Take a change through change control</t>
        </is>
      </c>
      <c r="E35" s="13" t="inlineStr">
        <is>
          <t>Raises a change request with impact, test evidence, rollback plan and checker review (docs/templates/bsa/06-change-request.md) before anything moves to production.</t>
        </is>
      </c>
      <c r="F35" s="13" t="n">
        <v>0</v>
      </c>
      <c r="G35" s="14" t="n"/>
      <c r="H35" s="13" t="n">
        <v>2</v>
      </c>
      <c r="I35" s="14" t="n"/>
      <c r="J35" s="13" t="n">
        <v>3</v>
      </c>
      <c r="K35" s="14" t="n"/>
      <c r="L35" s="14" t="n"/>
      <c r="M35" s="14" t="n"/>
    </row>
    <row r="36">
      <c r="A36" s="13" t="inlineStr">
        <is>
          <t>S-M5R-01</t>
        </is>
      </c>
      <c r="B36" s="13" t="inlineStr">
        <is>
          <t>M5R</t>
        </is>
      </c>
      <c r="C36" s="13" t="inlineStr">
        <is>
          <t>Research</t>
        </is>
      </c>
      <c r="D36" s="13" t="inlineStr">
        <is>
          <t>Find and read primary sources</t>
        </is>
      </c>
      <c r="E36" s="13" t="inlineStr">
        <is>
          <t>Within 60 minutes finds and reads the controlling sources for a new action (Federal Register notice and annexes, proclamation or executive order, CBP CSMS, HTSUS Chapter 99, CBSA customs notices, DOF) and monitors them for changes.</t>
        </is>
      </c>
      <c r="F36" s="13" t="n">
        <v>1</v>
      </c>
      <c r="G36" s="14" t="n"/>
      <c r="H36" s="13" t="n">
        <v>1</v>
      </c>
      <c r="I36" s="14" t="n"/>
      <c r="J36" s="13" t="n">
        <v>1</v>
      </c>
      <c r="K36" s="14" t="n"/>
      <c r="L36" s="14" t="n"/>
      <c r="M36" s="14" t="n"/>
    </row>
    <row r="37">
      <c r="A37" s="13" t="inlineStr">
        <is>
          <t>S-M5R-02</t>
        </is>
      </c>
      <c r="B37" s="13" t="inlineStr">
        <is>
          <t>M5R</t>
        </is>
      </c>
      <c r="C37" s="13" t="inlineStr">
        <is>
          <t>Research</t>
        </is>
      </c>
      <c r="D37" s="13" t="inlineStr">
        <is>
          <t>Determine the legal scope of a tariff action</t>
        </is>
      </c>
      <c r="E37" s="13" t="inlineStr">
        <is>
          <t>States affected HTS codes, countries of origin, rates, effective and end dates, exclusions and in-transit rules with a citation for each, and matches the HTS list to our item master.</t>
        </is>
      </c>
      <c r="F37" s="13" t="n">
        <v>0</v>
      </c>
      <c r="G37" s="14" t="n"/>
      <c r="H37" s="13" t="n">
        <v>1</v>
      </c>
      <c r="I37" s="14" t="n"/>
      <c r="J37" s="13" t="n">
        <v>1</v>
      </c>
      <c r="K37" s="14" t="n"/>
      <c r="L37" s="14" t="n"/>
      <c r="M37" s="14" t="n"/>
    </row>
    <row r="38">
      <c r="A38" s="13" t="inlineStr">
        <is>
          <t>S-M5R-03</t>
        </is>
      </c>
      <c r="B38" s="13" t="inlineStr">
        <is>
          <t>M5R</t>
        </is>
      </c>
      <c r="C38" s="13" t="inlineStr">
        <is>
          <t>Research</t>
        </is>
      </c>
      <c r="D38" s="13" t="inlineStr">
        <is>
          <t>Interpret stacking and exclusions</t>
        </is>
      </c>
      <c r="E38" s="13" t="inlineStr">
        <is>
          <t>Works out which Chapter 99 provisions and other measures apply together to an item and how they interact with USMCA claims, and writes the interpretation with sources for checker review.</t>
        </is>
      </c>
      <c r="F38" s="13" t="n">
        <v>0</v>
      </c>
      <c r="G38" s="14" t="n"/>
      <c r="H38" s="13" t="n">
        <v>1</v>
      </c>
      <c r="I38" s="14" t="n"/>
      <c r="J38" s="13" t="n">
        <v>1</v>
      </c>
      <c r="K38" s="14" t="n"/>
      <c r="L38" s="14" t="n"/>
      <c r="M38" s="14" t="n"/>
    </row>
    <row r="39">
      <c r="A39" s="13" t="inlineStr">
        <is>
          <t>S-M5R-04</t>
        </is>
      </c>
      <c r="B39" s="13" t="inlineStr">
        <is>
          <t>M5R</t>
        </is>
      </c>
      <c r="C39" s="13" t="inlineStr">
        <is>
          <t>Research</t>
        </is>
      </c>
      <c r="D39" s="13" t="inlineStr">
        <is>
          <t>Write a Tariff-Impact Brief</t>
        </is>
      </c>
      <c r="E39" s="13" t="inlineStr">
        <is>
          <t>Completes docs/templates/domain/tariff-impact-brief.md with a primary source for every claim, open questions flagged and no dollar conclusions, and the checker finds no material errors.</t>
        </is>
      </c>
      <c r="F39" s="13" t="n">
        <v>0</v>
      </c>
      <c r="G39" s="14" t="n"/>
      <c r="H39" s="13" t="n">
        <v>1</v>
      </c>
      <c r="I39" s="14" t="n"/>
      <c r="J39" s="13" t="n">
        <v>1</v>
      </c>
      <c r="K39" s="14" t="n"/>
      <c r="L39" s="14" t="n"/>
      <c r="M39" s="14" t="n"/>
    </row>
    <row r="40">
      <c r="A40" s="13" t="inlineStr">
        <is>
          <t>S-M5R-05</t>
        </is>
      </c>
      <c r="B40" s="13" t="inlineStr">
        <is>
          <t>M5R</t>
        </is>
      </c>
      <c r="C40" s="13" t="inlineStr">
        <is>
          <t>Research</t>
        </is>
      </c>
      <c r="D40" s="13" t="inlineStr">
        <is>
          <t>Enter the Research inputs in the Tariff-Impact Model</t>
        </is>
      </c>
      <c r="E40" s="13" t="inlineStr">
        <is>
          <t>Enters the WHAT inputs (HTS, countries, rates, dates, stacking rules, sources) in the shared Tariff-Impact Model and hands off to Standard Cost with no more than one clarification round.</t>
        </is>
      </c>
      <c r="F40" s="13" t="n">
        <v>0</v>
      </c>
      <c r="G40" s="14" t="n"/>
      <c r="H40" s="13" t="n">
        <v>1</v>
      </c>
      <c r="I40" s="14" t="n"/>
      <c r="J40" s="13" t="n">
        <v>1</v>
      </c>
      <c r="K40" s="14" t="n"/>
      <c r="L40" s="14" t="n"/>
      <c r="M40" s="14" t="n"/>
    </row>
    <row r="41">
      <c r="A41" s="13" t="inlineStr">
        <is>
          <t>S-M5R-06</t>
        </is>
      </c>
      <c r="B41" s="13" t="inlineStr">
        <is>
          <t>M5R</t>
        </is>
      </c>
      <c r="C41" s="13" t="inlineStr">
        <is>
          <t>Research</t>
        </is>
      </c>
      <c r="D41" s="13" t="inlineStr">
        <is>
          <t>Run an ad-hoc investigation</t>
        </is>
      </c>
      <c r="E41" s="13" t="inlineStr">
        <is>
          <t>Frames the question, gathers sources and data, states the finding and a recommendation in a short write-up, and closes the Jira item after review with no material errors.</t>
        </is>
      </c>
      <c r="F41" s="13" t="n">
        <v>0</v>
      </c>
      <c r="G41" s="14" t="n"/>
      <c r="H41" s="13" t="n">
        <v>1</v>
      </c>
      <c r="I41" s="14" t="n"/>
      <c r="J41" s="13" t="n">
        <v>1</v>
      </c>
      <c r="K41" s="14" t="n"/>
      <c r="L41" s="14" t="n"/>
      <c r="M41" s="14" t="n"/>
    </row>
    <row r="42">
      <c r="A42" s="13" t="inlineStr">
        <is>
          <t>S-M5R-07</t>
        </is>
      </c>
      <c r="B42" s="13" t="inlineStr">
        <is>
          <t>M5R</t>
        </is>
      </c>
      <c r="C42" s="13" t="inlineStr">
        <is>
          <t>Research</t>
        </is>
      </c>
      <c r="D42" s="13" t="inlineStr">
        <is>
          <t>Run the Research cycle end to end under maker-checker</t>
        </is>
      </c>
      <c r="E42" s="13" t="inlineStr">
        <is>
          <t>Takes a live tariff action from Jira intake through brief, model inputs, handoff to Standard Cost and business communication as maker, with a documented checker sign-off before release.</t>
        </is>
      </c>
      <c r="F42" s="13" t="n">
        <v>0</v>
      </c>
      <c r="G42" s="14" t="n"/>
      <c r="H42" s="13" t="n">
        <v>1</v>
      </c>
      <c r="I42" s="14" t="n"/>
      <c r="J42" s="13" t="n">
        <v>1</v>
      </c>
      <c r="K42" s="14" t="n"/>
      <c r="L42" s="14" t="n"/>
      <c r="M42" s="14" t="n"/>
    </row>
    <row r="43">
      <c r="A43" s="13" t="inlineStr">
        <is>
          <t>S-M5C-01</t>
        </is>
      </c>
      <c r="B43" s="13" t="inlineStr">
        <is>
          <t>M5C</t>
        </is>
      </c>
      <c r="C43" s="13" t="inlineStr">
        <is>
          <t>Standard cost</t>
        </is>
      </c>
      <c r="D43" s="13" t="inlineStr">
        <is>
          <t>Explain standard costing and Oracle cost elements</t>
        </is>
      </c>
      <c r="E43" s="13" t="inlineStr">
        <is>
          <t>Explains how standard cost values inventory and drives PPV and margin, which cost elements hold price, freight, duty and fees in [COMPANY: Oracle EBS or Fusion], and when standards are changed.</t>
        </is>
      </c>
      <c r="F43" s="13" t="n">
        <v>2</v>
      </c>
      <c r="G43" s="14" t="n"/>
      <c r="H43" s="13" t="n">
        <v>3</v>
      </c>
      <c r="I43" s="14" t="n"/>
      <c r="J43" s="13" t="n">
        <v>3</v>
      </c>
      <c r="K43" s="14" t="n"/>
      <c r="L43" s="14" t="n"/>
      <c r="M43" s="14" t="n"/>
    </row>
    <row r="44">
      <c r="A44" s="13" t="inlineStr">
        <is>
          <t>S-M5C-02</t>
        </is>
      </c>
      <c r="B44" s="13" t="inlineStr">
        <is>
          <t>M5C</t>
        </is>
      </c>
      <c r="C44" s="13" t="inlineStr">
        <is>
          <t>Standard cost</t>
        </is>
      </c>
      <c r="D44" s="13" t="inlineStr">
        <is>
          <t>Build item landed cost</t>
        </is>
      </c>
      <c r="E44" s="13" t="inlineStr">
        <is>
          <t>Rebuilds an item's landed cost from source data (price, freight, insurance, duty, MPF and HMF, brokerage, inland freight, [COMPANY: other components]) and matches the current standard within [COMPANY: tolerance] or explains each difference.</t>
        </is>
      </c>
      <c r="F44" s="13" t="n">
        <v>2</v>
      </c>
      <c r="G44" s="14" t="n"/>
      <c r="H44" s="13" t="n">
        <v>3</v>
      </c>
      <c r="I44" s="14" t="n"/>
      <c r="J44" s="13" t="n">
        <v>3</v>
      </c>
      <c r="K44" s="14" t="n"/>
      <c r="L44" s="14" t="n"/>
      <c r="M44" s="14" t="n"/>
    </row>
    <row r="45">
      <c r="A45" s="13" t="inlineStr">
        <is>
          <t>S-M5C-03</t>
        </is>
      </c>
      <c r="B45" s="13" t="inlineStr">
        <is>
          <t>M5C</t>
        </is>
      </c>
      <c r="C45" s="13" t="inlineStr">
        <is>
          <t>Standard cost</t>
        </is>
      </c>
      <c r="D45" s="13" t="inlineStr">
        <is>
          <t>Query item cost and cost-element data</t>
        </is>
      </c>
      <c r="E45" s="13" t="inlineStr">
        <is>
          <t>Without help, pulls item standard cost and cost-element history from [COMPANY: warehouse cost tables or Oracle extract] and reconciles a sample item's total to Oracle.</t>
        </is>
      </c>
      <c r="F45" s="13" t="n">
        <v>3</v>
      </c>
      <c r="G45" s="14" t="n"/>
      <c r="H45" s="13" t="n">
        <v>3</v>
      </c>
      <c r="I45" s="14" t="n"/>
      <c r="J45" s="13" t="n">
        <v>3</v>
      </c>
      <c r="K45" s="14" t="n"/>
      <c r="L45" s="14" t="n"/>
      <c r="M45" s="14" t="n"/>
    </row>
    <row r="46">
      <c r="A46" s="13" t="inlineStr">
        <is>
          <t>S-M5C-04</t>
        </is>
      </c>
      <c r="B46" s="13" t="inlineStr">
        <is>
          <t>M5C</t>
        </is>
      </c>
      <c r="C46" s="13" t="inlineStr">
        <is>
          <t>Standard cost</t>
        </is>
      </c>
      <c r="D46" s="13" t="inlineStr">
        <is>
          <t>Model tariff impact on landed cost and margin</t>
        </is>
      </c>
      <c r="E46" s="13" t="inlineStr">
        <is>
          <t>Using a Tariff-Impact Brief, applies its rates and stacking to the in-scope items' duty base in the shared model, calculates landed-cost and margin impact on a stated volume basis, and passes checker review.</t>
        </is>
      </c>
      <c r="F46" s="13" t="n">
        <v>1</v>
      </c>
      <c r="G46" s="14" t="n"/>
      <c r="H46" s="13" t="n">
        <v>3</v>
      </c>
      <c r="I46" s="14" t="n"/>
      <c r="J46" s="13" t="n">
        <v>3</v>
      </c>
      <c r="K46" s="14" t="n"/>
      <c r="L46" s="14" t="n"/>
      <c r="M46" s="14" t="n"/>
    </row>
    <row r="47">
      <c r="A47" s="13" t="inlineStr">
        <is>
          <t>S-M5C-05</t>
        </is>
      </c>
      <c r="B47" s="13" t="inlineStr">
        <is>
          <t>M5C</t>
        </is>
      </c>
      <c r="C47" s="13" t="inlineStr">
        <is>
          <t>Standard cost</t>
        </is>
      </c>
      <c r="D47" s="13" t="inlineStr">
        <is>
          <t>Run the standard cost update cycle with Finance</t>
        </is>
      </c>
      <c r="E47" s="13" t="inlineStr">
        <is>
          <t>Follows docs/templates/domain/standard-cost-update-checklist.md to prepare and tie out the duty and landed-cost input file, gets Finance and checker sign-off before any Oracle load, and reconciles after the update.</t>
        </is>
      </c>
      <c r="F47" s="13" t="n">
        <v>1</v>
      </c>
      <c r="G47" s="14" t="n"/>
      <c r="H47" s="13" t="n">
        <v>2</v>
      </c>
      <c r="I47" s="14" t="n"/>
      <c r="J47" s="13" t="n">
        <v>3</v>
      </c>
      <c r="K47" s="14" t="n"/>
      <c r="L47" s="14" t="n"/>
      <c r="M47" s="14" t="n"/>
    </row>
    <row r="48">
      <c r="A48" s="13" t="inlineStr">
        <is>
          <t>S-M5C-06</t>
        </is>
      </c>
      <c r="B48" s="13" t="inlineStr">
        <is>
          <t>M5C</t>
        </is>
      </c>
      <c r="C48" s="13" t="inlineStr">
        <is>
          <t>Standard cost</t>
        </is>
      </c>
      <c r="D48" s="13" t="inlineStr">
        <is>
          <t>Analyze purchase price variance (PPV)</t>
        </is>
      </c>
      <c r="E48" s="13" t="inlineStr">
        <is>
          <t>For a closed period, explains the top 10 PPV items by driver (vendor price, duty or tariff, freight, FX, other) and ties total PPV to [COMPANY: Finance PPV report or GL account] within [COMPANY: tolerance].</t>
        </is>
      </c>
      <c r="F48" s="13" t="n">
        <v>2</v>
      </c>
      <c r="G48" s="14" t="n"/>
      <c r="H48" s="13" t="n">
        <v>3</v>
      </c>
      <c r="I48" s="14" t="n"/>
      <c r="J48" s="13" t="n">
        <v>3</v>
      </c>
      <c r="K48" s="14" t="n"/>
      <c r="L48" s="14" t="n"/>
      <c r="M48" s="14" t="n"/>
    </row>
    <row r="49">
      <c r="A49" s="13" t="inlineStr">
        <is>
          <t>S-M5C-07</t>
        </is>
      </c>
      <c r="B49" s="13" t="inlineStr">
        <is>
          <t>M5C</t>
        </is>
      </c>
      <c r="C49" s="13" t="inlineStr">
        <is>
          <t>Standard cost</t>
        </is>
      </c>
      <c r="D49" s="13" t="inlineStr">
        <is>
          <t>Explain how trade outcomes change item cost</t>
        </is>
      </c>
      <c r="E49" s="13" t="inlineStr">
        <is>
          <t>Explains how a USMCA claim, a classification or valuation change, or a new tariff flows into duty, landed cost and margin, including the cost effect of a denied USMCA claim.</t>
        </is>
      </c>
      <c r="F49" s="13" t="n">
        <v>2</v>
      </c>
      <c r="G49" s="14" t="n"/>
      <c r="H49" s="13" t="n">
        <v>3</v>
      </c>
      <c r="I49" s="14" t="n"/>
      <c r="J49" s="13" t="n">
        <v>3</v>
      </c>
      <c r="K49" s="14" t="n"/>
      <c r="L49" s="14" t="n"/>
      <c r="M49" s="14" t="n"/>
    </row>
    <row r="50">
      <c r="A50" s="13" t="inlineStr">
        <is>
          <t>S-M6-01</t>
        </is>
      </c>
      <c r="B50" s="13" t="inlineStr">
        <is>
          <t>M6</t>
        </is>
      </c>
      <c r="C50" s="13" t="inlineStr">
        <is>
          <t>Tools</t>
        </is>
      </c>
      <c r="D50" s="13" t="inlineStr">
        <is>
          <t>Inventory a custom tool</t>
        </is>
      </c>
      <c r="E50" s="13" t="inlineStr">
        <is>
          <t>Completes a Tool Inventory row (purpose, users, stack, location, data sources, run frequency, knowledge holder, risk, e2open impact) from a walkthrough or the tool itself, and the Manager confirms it is accurate.</t>
        </is>
      </c>
      <c r="F50" s="13" t="n">
        <v>2</v>
      </c>
      <c r="G50" s="14" t="n"/>
      <c r="H50" s="13" t="n">
        <v>3</v>
      </c>
      <c r="I50" s="14" t="n"/>
      <c r="J50" s="13" t="n">
        <v>3</v>
      </c>
      <c r="K50" s="14" t="n"/>
      <c r="L50" s="14" t="n"/>
      <c r="M50" s="14" t="n"/>
    </row>
    <row r="51">
      <c r="A51" s="13" t="inlineStr">
        <is>
          <t>S-M6-02</t>
        </is>
      </c>
      <c r="B51" s="13" t="inlineStr">
        <is>
          <t>M6</t>
        </is>
      </c>
      <c r="C51" s="13" t="inlineStr">
        <is>
          <t>Tools</t>
        </is>
      </c>
      <c r="D51" s="13" t="inlineStr">
        <is>
          <t>Run and support the owned tool</t>
        </is>
      </c>
      <c r="E51" s="13" t="inlineStr">
        <is>
          <t>Runs the owned tool on schedule without help, recovers from its known failure modes, and is the named first point of contact in the Tool Inventory and OneNote.</t>
        </is>
      </c>
      <c r="F51" s="13" t="n">
        <v>1</v>
      </c>
      <c r="G51" s="14" t="n"/>
      <c r="H51" s="13" t="n">
        <v>3</v>
      </c>
      <c r="I51" s="14" t="n"/>
      <c r="J51" s="13" t="n">
        <v>4</v>
      </c>
      <c r="K51" s="14" t="n"/>
      <c r="L51" s="14" t="n"/>
      <c r="M51" s="14" t="n"/>
    </row>
    <row r="52">
      <c r="A52" s="13" t="inlineStr">
        <is>
          <t>S-M6-03</t>
        </is>
      </c>
      <c r="B52" s="13" t="inlineStr">
        <is>
          <t>M6</t>
        </is>
      </c>
      <c r="C52" s="13" t="inlineStr">
        <is>
          <t>Tools</t>
        </is>
      </c>
      <c r="D52" s="13" t="inlineStr">
        <is>
          <t>Document the owned tool</t>
        </is>
      </c>
      <c r="E52" s="13" t="inlineStr">
        <is>
          <t>Publishes a tool doc (docs/templates/knowledge/tool-doc.md) covering purpose, inputs, outputs, logic, dependencies, hard-coded values, backup location and e2open disposition that the Manager could follow alone.</t>
        </is>
      </c>
      <c r="F52" s="13" t="n">
        <v>1</v>
      </c>
      <c r="G52" s="14" t="n"/>
      <c r="H52" s="13" t="n">
        <v>3</v>
      </c>
      <c r="I52" s="14" t="n"/>
      <c r="J52" s="13" t="n">
        <v>3</v>
      </c>
      <c r="K52" s="14" t="n"/>
      <c r="L52" s="14" t="n"/>
      <c r="M52" s="14" t="n"/>
    </row>
    <row r="53">
      <c r="A53" s="13" t="inlineStr">
        <is>
          <t>S-M6-04</t>
        </is>
      </c>
      <c r="B53" s="13" t="inlineStr">
        <is>
          <t>M6</t>
        </is>
      </c>
      <c r="C53" s="13" t="inlineStr">
        <is>
          <t>Tools</t>
        </is>
      </c>
      <c r="D53" s="13" t="inlineStr">
        <is>
          <t>Troubleshoot and change the owned tool</t>
        </is>
      </c>
      <c r="E53" s="13" t="inlineStr">
        <is>
          <t>Reads the tool's Python, VBA, Access or Power Automate logic to find the cause of an issue, and makes or triages a fix through a change request with a test and the Manager as checker.</t>
        </is>
      </c>
      <c r="F53" s="13" t="n">
        <v>0</v>
      </c>
      <c r="G53" s="14" t="n"/>
      <c r="H53" s="13" t="n">
        <v>2</v>
      </c>
      <c r="I53" s="14" t="n"/>
      <c r="J53" s="13" t="n">
        <v>3</v>
      </c>
      <c r="K53" s="14" t="n"/>
      <c r="L53" s="14" t="n"/>
      <c r="M53" s="14" t="n"/>
    </row>
    <row r="54">
      <c r="A54" s="13" t="inlineStr">
        <is>
          <t>S-M6-05</t>
        </is>
      </c>
      <c r="B54" s="13" t="inlineStr">
        <is>
          <t>M6</t>
        </is>
      </c>
      <c r="C54" s="13" t="inlineStr">
        <is>
          <t>Tools</t>
        </is>
      </c>
      <c r="D54" s="13" t="inlineStr">
        <is>
          <t>Learn a second custom tool</t>
        </is>
      </c>
      <c r="E54" s="13" t="inlineStr">
        <is>
          <t>Runs a second tool from its tool doc, corrects gaps in that doc, and can stand in as backup for the other hire's owned tool.</t>
        </is>
      </c>
      <c r="F54" s="13" t="n">
        <v>0</v>
      </c>
      <c r="G54" s="14" t="n"/>
      <c r="H54" s="13" t="n">
        <v>1</v>
      </c>
      <c r="I54" s="14" t="n"/>
      <c r="J54" s="13" t="n">
        <v>2</v>
      </c>
      <c r="K54" s="14" t="n"/>
      <c r="L54" s="14" t="n"/>
      <c r="M54" s="14" t="n"/>
    </row>
    <row r="55">
      <c r="A55" s="13" t="inlineStr">
        <is>
          <t>S-M7-01</t>
        </is>
      </c>
      <c r="B55" s="13" t="inlineStr">
        <is>
          <t>M7</t>
        </is>
      </c>
      <c r="C55" s="13" t="inlineStr">
        <is>
          <t>Exports</t>
        </is>
      </c>
      <c r="D55" s="13" t="inlineStr">
        <is>
          <t>Explain the US export compliance framework</t>
        </is>
      </c>
      <c r="E55" s="13" t="inlineStr">
        <is>
          <t>Explains EAR jurisdiction and classification (ECCN or EAR99), why license determinations stay with the Senior, EEI filing in AES under the FTR, Schedule B and the USPPI role, and restricted party screening at awareness level.</t>
        </is>
      </c>
      <c r="F55" s="13" t="n">
        <v>0</v>
      </c>
      <c r="G55" s="14" t="n"/>
      <c r="H55" s="13" t="n">
        <v>1</v>
      </c>
      <c r="I55" s="14" t="n"/>
      <c r="J55" s="13" t="n">
        <v>2</v>
      </c>
      <c r="K55" s="14" t="n"/>
      <c r="L55" s="14" t="n"/>
      <c r="M55" s="14" t="n"/>
    </row>
    <row r="56">
      <c r="A56" s="13" t="inlineStr">
        <is>
          <t>S-M7-02</t>
        </is>
      </c>
      <c r="B56" s="13" t="inlineStr">
        <is>
          <t>M7</t>
        </is>
      </c>
      <c r="C56" s="13" t="inlineStr">
        <is>
          <t>Exports</t>
        </is>
      </c>
      <c r="D56" s="13" t="inlineStr">
        <is>
          <t>Complete an exports backlog item</t>
        </is>
      </c>
      <c r="E56" s="13" t="inlineStr">
        <is>
          <t>Completes a low-risk exports item (data correction, master-data update, reconciliation or documentation) as maker with the Senior as checker, and adds the steps to the exports SOP draft.</t>
        </is>
      </c>
      <c r="F56" s="13" t="n">
        <v>0</v>
      </c>
      <c r="G56" s="14" t="n"/>
      <c r="H56" s="13" t="n">
        <v>1</v>
      </c>
      <c r="I56" s="14" t="n"/>
      <c r="J56" s="13" t="n">
        <v>2</v>
      </c>
      <c r="K56" s="14" t="n"/>
      <c r="L56" s="14" t="n"/>
      <c r="M56" s="14" t="n"/>
    </row>
    <row r="57">
      <c r="A57" s="13" t="inlineStr">
        <is>
          <t>S-M7-03</t>
        </is>
      </c>
      <c r="B57" s="13" t="inlineStr">
        <is>
          <t>M7</t>
        </is>
      </c>
      <c r="C57" s="13" t="inlineStr">
        <is>
          <t>Exports</t>
        </is>
      </c>
      <c r="D57" s="13" t="inlineStr">
        <is>
          <t>Check export data quality</t>
        </is>
      </c>
      <c r="E57" s="13" t="inlineStr">
        <is>
          <t>Profiles export records for missing or invalid Schedule B, ECCN or EAR99, country, value or USPPI data, and logs each issue with evidence and a proposed fix.</t>
        </is>
      </c>
      <c r="F57" s="13" t="n">
        <v>0</v>
      </c>
      <c r="G57" s="14" t="n"/>
      <c r="H57" s="13" t="n">
        <v>1</v>
      </c>
      <c r="I57" s="14" t="n"/>
      <c r="J57" s="13" t="n">
        <v>2</v>
      </c>
      <c r="K57" s="14" t="n"/>
      <c r="L57" s="14" t="n"/>
      <c r="M57" s="14" t="n"/>
    </row>
    <row r="58">
      <c r="A58" s="13" t="inlineStr">
        <is>
          <t>S-M8-01</t>
        </is>
      </c>
      <c r="B58" s="13" t="inlineStr">
        <is>
          <t>M8</t>
        </is>
      </c>
      <c r="C58" s="13" t="inlineStr">
        <is>
          <t>Reporting</t>
        </is>
      </c>
      <c r="D58" s="13" t="inlineStr">
        <is>
          <t>Explain the report inventory</t>
        </is>
      </c>
      <c r="E58" s="13" t="inlineStr">
        <is>
          <t>For each report in the Senior's inventory, states its source, refresh schedule, consumers and known issues, and who to tell when it breaks.</t>
        </is>
      </c>
      <c r="F58" s="13" t="n">
        <v>0</v>
      </c>
      <c r="G58" s="14" t="n"/>
      <c r="H58" s="13" t="n">
        <v>0</v>
      </c>
      <c r="I58" s="14" t="n"/>
      <c r="J58" s="13" t="n">
        <v>1</v>
      </c>
      <c r="K58" s="14" t="n"/>
      <c r="L58" s="14" t="n"/>
      <c r="M58" s="14" t="n"/>
    </row>
    <row r="59">
      <c r="A59" s="13" t="inlineStr">
        <is>
          <t>S-M8-02</t>
        </is>
      </c>
      <c r="B59" s="13" t="inlineStr">
        <is>
          <t>M8</t>
        </is>
      </c>
      <c r="C59" s="13" t="inlineStr">
        <is>
          <t>Reporting</t>
        </is>
      </c>
      <c r="D59" s="13" t="inlineStr">
        <is>
          <t>Complete a reporting backlog item</t>
        </is>
      </c>
      <c r="E59" s="13" t="inlineStr">
        <is>
          <t>Delivers a Power BI fix, new measure or warehouse view change as maker, compares before-and-after totals, and demos it to the Senior for checker sign-off.</t>
        </is>
      </c>
      <c r="F59" s="13" t="n">
        <v>0</v>
      </c>
      <c r="G59" s="14" t="n"/>
      <c r="H59" s="13" t="n">
        <v>0</v>
      </c>
      <c r="I59" s="14" t="n"/>
      <c r="J59" s="13" t="n">
        <v>1</v>
      </c>
      <c r="K59" s="14" t="n"/>
      <c r="L59" s="14" t="n"/>
      <c r="M59" s="14" t="n"/>
    </row>
    <row r="60">
      <c r="A60" s="13" t="inlineStr">
        <is>
          <t>S-M9-01</t>
        </is>
      </c>
      <c r="B60" s="13" t="inlineStr">
        <is>
          <t>M9</t>
        </is>
      </c>
      <c r="C60" s="13" t="inlineStr">
        <is>
          <t>Drawback</t>
        </is>
      </c>
      <c r="D60" s="13" t="inlineStr">
        <is>
          <t>Explain US duty drawback</t>
        </is>
      </c>
      <c r="E60" s="13" t="inlineStr">
        <is>
          <t>Explains the main drawback types under 19 CFR Part 190 (manufacturing, unused merchandise, rejected merchandise) and which import, export and inventory records a claim relies on.</t>
        </is>
      </c>
      <c r="F60" s="13" t="n">
        <v>0</v>
      </c>
      <c r="G60" s="14" t="n"/>
      <c r="H60" s="13" t="n">
        <v>0</v>
      </c>
      <c r="I60" s="14" t="n"/>
      <c r="J60" s="13" t="n">
        <v>1</v>
      </c>
      <c r="K60" s="14" t="n"/>
      <c r="L60" s="14" t="n"/>
      <c r="M60" s="14" t="n"/>
    </row>
    <row r="61">
      <c r="A61" s="13" t="inlineStr">
        <is>
          <t>S-M9-02</t>
        </is>
      </c>
      <c r="B61" s="13" t="inlineStr">
        <is>
          <t>M9</t>
        </is>
      </c>
      <c r="C61" s="13" t="inlineStr">
        <is>
          <t>Drawback</t>
        </is>
      </c>
      <c r="D61" s="13" t="inlineStr">
        <is>
          <t>Protect drawback data in our processes</t>
        </is>
      </c>
      <c r="E61" s="13" t="inlineStr">
        <is>
          <t>Names the import and export data fields drawback depends on, explains why USMCA limits drawback on goods exported to Canada or Mexico, and flags process or system changes that could break a claim.</t>
        </is>
      </c>
      <c r="F61" s="13" t="n">
        <v>0</v>
      </c>
      <c r="G61" s="14" t="n"/>
      <c r="H61" s="13" t="n">
        <v>0</v>
      </c>
      <c r="I61" s="14" t="n"/>
      <c r="J61" s="13" t="n">
        <v>1</v>
      </c>
      <c r="K61" s="14" t="n"/>
      <c r="L61" s="14" t="n"/>
      <c r="M61" s="14" t="n"/>
    </row>
    <row r="62">
      <c r="A62" s="13" t="inlineStr">
        <is>
          <t>S-M10-01</t>
        </is>
      </c>
      <c r="B62" s="13" t="inlineStr">
        <is>
          <t>M10</t>
        </is>
      </c>
      <c r="C62" s="13" t="inlineStr">
        <is>
          <t>e2open</t>
        </is>
      </c>
      <c r="D62" s="13" t="inlineStr">
        <is>
          <t>Work as a core BSA on the e2open project</t>
        </is>
      </c>
      <c r="E62" s="13" t="inlineStr">
        <is>
          <t>Explains the project's scope, timeline and BSA deliverables, attends sessions with prepared drafts and questions, and keeps own project items current in Jira.</t>
        </is>
      </c>
      <c r="F62" s="13" t="n">
        <v>0</v>
      </c>
      <c r="G62" s="14" t="n"/>
      <c r="H62" s="13" t="n">
        <v>1</v>
      </c>
      <c r="I62" s="14" t="n"/>
      <c r="J62" s="13" t="n">
        <v>2</v>
      </c>
      <c r="K62" s="14" t="n"/>
      <c r="L62" s="14" t="n"/>
      <c r="M62" s="14" t="n"/>
    </row>
    <row r="63">
      <c r="A63" s="13" t="inlineStr">
        <is>
          <t>S-M10-02</t>
        </is>
      </c>
      <c r="B63" s="13" t="inlineStr">
        <is>
          <t>M10</t>
        </is>
      </c>
      <c r="C63" s="13" t="inlineStr">
        <is>
          <t>e2open</t>
        </is>
      </c>
      <c r="D63" s="13" t="inlineStr">
        <is>
          <t>Map own process data to e2open</t>
        </is>
      </c>
      <c r="E63" s="13" t="inlineStr">
        <is>
          <t>Maps each source field for own process (AS400, Excel, Oracle, external) to its e2open concept, logs data-quality issues, and lists cleansing candidates for Manager and Senior review.</t>
        </is>
      </c>
      <c r="F63" s="13" t="n">
        <v>0</v>
      </c>
      <c r="G63" s="14" t="n"/>
      <c r="H63" s="13" t="n">
        <v>1</v>
      </c>
      <c r="I63" s="14" t="n"/>
      <c r="J63" s="13" t="n">
        <v>2</v>
      </c>
      <c r="K63" s="14" t="n"/>
      <c r="L63" s="14" t="n"/>
      <c r="M63" s="14" t="n"/>
    </row>
  </sheetData>
  <autoFilter ref="A4:M63"/>
  <conditionalFormatting sqref="G5:G63">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63">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63">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63">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63" showDropDown="0" showInputMessage="1" showErrorMessage="0" allowBlank="1" prompt="Enter 0-4" type="list">
      <formula1>"0,1,2,3,4"</formula1>
    </dataValidation>
    <dataValidation sqref="I5:I63" showDropDown="0" showInputMessage="1" showErrorMessage="0" allowBlank="1" prompt="Enter 0-4" type="list">
      <formula1>"0,1,2,3,4"</formula1>
    </dataValidation>
    <dataValidation sqref="K5:K63" showDropDown="0" showInputMessage="1" showErrorMessage="0" allowBlank="1" prompt="Enter 0-4" type="list">
      <formula1>"0,1,2,3,4"</formula1>
    </dataValidation>
    <dataValidation sqref="L5:L63" showDropDown="0" showInputMessage="1" showErrorMessage="0" allowBlank="1" prompt="Enter 0-4" type="list">
      <formula1>"0,1,2,3,4"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0"/>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A (Research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about 6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take the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and record who they are, what they need from the team and how tariff and cost news reaches them today.</t>
        </is>
      </c>
      <c r="F12" s="13" t="inlineStr">
        <is>
          <t>Shadow</t>
        </is>
      </c>
      <c r="G12" s="13" t="inlineStr">
        <is>
          <t>[COMPANY: stakeholder list]</t>
        </is>
      </c>
      <c r="H12" s="13" t="n">
        <v>2</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Senior</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IEEPA and HTSUS Chapter 99</t>
        </is>
      </c>
      <c r="E28" s="13" t="inlineStr">
        <is>
          <t>Explain the legal basis of each type of action, who administers it, and how it appears on an entry line.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4</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31</t>
        </is>
      </c>
      <c r="E31" s="13" t="inlineStr">
        <is>
          <t>Explain what IMMEX allows, its obligations, and what Anexo 24 and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31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or Fusion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Manager</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5</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Senior</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Senior</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K-M4-01</t>
        </is>
      </c>
      <c r="B49" s="13" t="inlineStr">
        <is>
          <t>M4</t>
        </is>
      </c>
      <c r="C49" s="13" t="inlineStr">
        <is>
          <t>Core</t>
        </is>
      </c>
      <c r="D49" s="13" t="inlineStr">
        <is>
          <t>Intake and elicitation: framing the problem and its impact</t>
        </is>
      </c>
      <c r="E49" s="13" t="inlineStr">
        <is>
          <t>Run an intake conversation and complete the intake template before any work starts.</t>
        </is>
      </c>
      <c r="F49" s="13" t="inlineStr">
        <is>
          <t>Manager</t>
        </is>
      </c>
      <c r="G49" s="13" t="inlineStr">
        <is>
          <t>docs/templates/bsa/01-intake-request.md</t>
        </is>
      </c>
      <c r="H49" s="13" t="n">
        <v>3</v>
      </c>
      <c r="I49" s="15">
        <f>ProgramStart+(H49-1)*7</f>
        <v/>
      </c>
      <c r="J49" s="14" t="inlineStr">
        <is>
          <t>Not started</t>
        </is>
      </c>
      <c r="K49" s="16" t="n"/>
      <c r="L49" s="14" t="n"/>
      <c r="M49" s="14" t="n"/>
      <c r="N49" s="13" t="inlineStr">
        <is>
          <t>What must be known about a request before it becomes a Jira item?</t>
        </is>
      </c>
      <c r="O49" s="14" t="n"/>
    </row>
    <row r="50">
      <c r="A50" s="13" t="inlineStr">
        <is>
          <t>K-M4-02</t>
        </is>
      </c>
      <c r="B50" s="13" t="inlineStr">
        <is>
          <t>M4</t>
        </is>
      </c>
      <c r="C50" s="13" t="inlineStr">
        <is>
          <t>Core</t>
        </is>
      </c>
      <c r="D50" s="13" t="inlineStr">
        <is>
          <t>Requirements, user stories, epics, acceptance criteria and MoSCoW</t>
        </is>
      </c>
      <c r="E50" s="13" t="inlineStr">
        <is>
          <t>Write testable requirements and stories with priorities and acceptance criteria that meet the team's definition of done.</t>
        </is>
      </c>
      <c r="F50" s="13" t="inlineStr">
        <is>
          <t>Manager</t>
        </is>
      </c>
      <c r="G50" s="13" t="inlineStr">
        <is>
          <t>docs/templates/bsa/02-requirements.md</t>
        </is>
      </c>
      <c r="H50" s="13" t="n">
        <v>3</v>
      </c>
      <c r="I50" s="15">
        <f>ProgramStart+(H50-1)*7</f>
        <v/>
      </c>
      <c r="J50" s="14" t="inlineStr">
        <is>
          <t>Not started</t>
        </is>
      </c>
      <c r="K50" s="16" t="n"/>
      <c r="L50" s="14" t="n"/>
      <c r="M50" s="14" t="n"/>
      <c r="N50" s="13" t="inlineStr">
        <is>
          <t>How would you rewrite 'the report should be fast' as a testable requirement with acceptance criteria?</t>
        </is>
      </c>
      <c r="O50" s="14" t="n"/>
    </row>
    <row r="51">
      <c r="A51" s="13" t="inlineStr">
        <is>
          <t>K-M4-03</t>
        </is>
      </c>
      <c r="B51" s="13" t="inlineStr">
        <is>
          <t>M4</t>
        </is>
      </c>
      <c r="C51" s="13" t="inlineStr">
        <is>
          <t>Core</t>
        </is>
      </c>
      <c r="D51" s="13" t="inlineStr">
        <is>
          <t>Process mapping: as-is and to-be, swimlanes, controls, pain points</t>
        </is>
      </c>
      <c r="E51" s="13" t="inlineStr">
        <is>
          <t>Map a shadowed process as-is, including workarounds, controls and hand-offs.</t>
        </is>
      </c>
      <c r="F51" s="13" t="inlineStr">
        <is>
          <t>Manager</t>
        </is>
      </c>
      <c r="G51" s="13" t="inlineStr">
        <is>
          <t>docs/templates/bsa/03-process-map-as-is-to-be.md</t>
        </is>
      </c>
      <c r="H51" s="13" t="n">
        <v>4</v>
      </c>
      <c r="I51" s="15">
        <f>ProgramStart+(H51-1)*7</f>
        <v/>
      </c>
      <c r="J51" s="14" t="inlineStr">
        <is>
          <t>Not started</t>
        </is>
      </c>
      <c r="K51" s="16" t="n"/>
      <c r="L51" s="14" t="n"/>
      <c r="M51" s="14" t="n"/>
      <c r="N51" s="13" t="inlineStr">
        <is>
          <t>Why do you map the as-is process, workarounds included, before designing the to-be?</t>
        </is>
      </c>
      <c r="O51" s="14" t="n"/>
    </row>
    <row r="52">
      <c r="A52" s="13" t="inlineStr">
        <is>
          <t>K-M4-04</t>
        </is>
      </c>
      <c r="B52" s="13" t="inlineStr">
        <is>
          <t>M4</t>
        </is>
      </c>
      <c r="C52" s="13" t="inlineStr">
        <is>
          <t>Core</t>
        </is>
      </c>
      <c r="D52" s="13" t="inlineStr">
        <is>
          <t>Writing an SOP from a shadowed process</t>
        </is>
      </c>
      <c r="E52" s="13" t="inlineStr">
        <is>
          <t>Turn shadowing notes into an SOP draft that another person could follow alone.</t>
        </is>
      </c>
      <c r="F52" s="13" t="inlineStr">
        <is>
          <t>Self-study</t>
        </is>
      </c>
      <c r="G52" s="13" t="inlineStr">
        <is>
          <t>docs/templates/knowledge/process-sop.md</t>
        </is>
      </c>
      <c r="H52" s="13" t="n">
        <v>4</v>
      </c>
      <c r="I52" s="15">
        <f>ProgramStart+(H52-1)*7</f>
        <v/>
      </c>
      <c r="J52" s="14" t="inlineStr">
        <is>
          <t>Not started</t>
        </is>
      </c>
      <c r="K52" s="16" t="n"/>
      <c r="L52" s="14" t="n"/>
      <c r="M52" s="14" t="n"/>
      <c r="N52" s="13" t="inlineStr">
        <is>
          <t>What makes an SOP step testable by someone who has never done the process?</t>
        </is>
      </c>
      <c r="O52" s="14" t="n"/>
    </row>
    <row r="53">
      <c r="A53" s="13" t="inlineStr">
        <is>
          <t>K-M4-05</t>
        </is>
      </c>
      <c r="B53" s="13" t="inlineStr">
        <is>
          <t>M4</t>
        </is>
      </c>
      <c r="C53" s="13" t="inlineStr">
        <is>
          <t>Core</t>
        </is>
      </c>
      <c r="D53" s="13" t="inlineStr">
        <is>
          <t>Data mapping specification</t>
        </is>
      </c>
      <c r="E53" s="13" t="inlineStr">
        <is>
          <t>Map source fields to a target with transformation rules, defaults and data-quality notes.</t>
        </is>
      </c>
      <c r="F53" s="13" t="inlineStr">
        <is>
          <t>Manager</t>
        </is>
      </c>
      <c r="G53" s="13" t="inlineStr">
        <is>
          <t>docs/templates/bsa/04-data-mapping-spec.md</t>
        </is>
      </c>
      <c r="H53" s="13" t="n">
        <v>7</v>
      </c>
      <c r="I53" s="15">
        <f>ProgramStart+(H53-1)*7</f>
        <v/>
      </c>
      <c r="J53" s="14" t="inlineStr">
        <is>
          <t>Not started</t>
        </is>
      </c>
      <c r="K53" s="16" t="n"/>
      <c r="L53" s="14" t="n"/>
      <c r="M53" s="14" t="n"/>
      <c r="N53" s="13" t="inlineStr">
        <is>
          <t>What do you record for a source field that has no target, or no reliable value?</t>
        </is>
      </c>
      <c r="O53" s="14" t="n"/>
    </row>
    <row r="54">
      <c r="A54" s="13" t="inlineStr">
        <is>
          <t>K-M4-06</t>
        </is>
      </c>
      <c r="B54" s="13" t="inlineStr">
        <is>
          <t>M4</t>
        </is>
      </c>
      <c r="C54" s="13" t="inlineStr">
        <is>
          <t>Core</t>
        </is>
      </c>
      <c r="D54" s="13" t="inlineStr">
        <is>
          <t>UAT planning and execution</t>
        </is>
      </c>
      <c r="E54" s="13" t="inlineStr">
        <is>
          <t>Write test cases from requirements, run them, and log defects that a developer can reproduce.</t>
        </is>
      </c>
      <c r="F54" s="13" t="inlineStr">
        <is>
          <t>Manager</t>
        </is>
      </c>
      <c r="G54" s="13" t="inlineStr">
        <is>
          <t>docs/templates/bsa/05-uat-test-plan.md</t>
        </is>
      </c>
      <c r="H54" s="13" t="n">
        <v>7</v>
      </c>
      <c r="I54" s="15">
        <f>ProgramStart+(H54-1)*7</f>
        <v/>
      </c>
      <c r="J54" s="14" t="inlineStr">
        <is>
          <t>Not started</t>
        </is>
      </c>
      <c r="K54" s="16" t="n"/>
      <c r="L54" s="14" t="n"/>
      <c r="M54" s="14" t="n"/>
      <c r="N54" s="13" t="inlineStr">
        <is>
          <t>What is the difference between a failed test case and a defect, and what goes in a good defect report?</t>
        </is>
      </c>
      <c r="O54" s="14" t="n"/>
    </row>
    <row r="55">
      <c r="A55" s="13" t="inlineStr">
        <is>
          <t>K-M4-07</t>
        </is>
      </c>
      <c r="B55" s="13" t="inlineStr">
        <is>
          <t>M4</t>
        </is>
      </c>
      <c r="C55" s="13" t="inlineStr">
        <is>
          <t>Core</t>
        </is>
      </c>
      <c r="D55" s="13" t="inlineStr">
        <is>
          <t>Change control and change requests</t>
        </is>
      </c>
      <c r="E55" s="13" t="inlineStr">
        <is>
          <t>Take a change through a change request with test evidence, rollback plan and checker review.</t>
        </is>
      </c>
      <c r="F55" s="13" t="inlineStr">
        <is>
          <t>Manager</t>
        </is>
      </c>
      <c r="G55" s="13" t="inlineStr">
        <is>
          <t>docs/templates/bsa/06-change-request.md</t>
        </is>
      </c>
      <c r="H55" s="13" t="n">
        <v>8</v>
      </c>
      <c r="I55" s="15">
        <f>ProgramStart+(H55-1)*7</f>
        <v/>
      </c>
      <c r="J55" s="14" t="inlineStr">
        <is>
          <t>Not started</t>
        </is>
      </c>
      <c r="K55" s="16" t="n"/>
      <c r="L55" s="14" t="n"/>
      <c r="M55" s="14" t="n"/>
      <c r="N55" s="13" t="inlineStr">
        <is>
          <t>Why does a tool change need a rollback plan even when the change is small?</t>
        </is>
      </c>
      <c r="O55" s="14" t="n"/>
    </row>
    <row r="56">
      <c r="A56" s="13" t="inlineStr">
        <is>
          <t>K-M5R-01</t>
        </is>
      </c>
      <c r="B56" s="13" t="inlineStr">
        <is>
          <t>M5R</t>
        </is>
      </c>
      <c r="C56" s="13" t="inlineStr">
        <is>
          <t>Primary</t>
        </is>
      </c>
      <c r="D56" s="13" t="inlineStr">
        <is>
          <t>Research method: intake, sources, scope, brief, model, handoff, communication</t>
        </is>
      </c>
      <c r="E56" s="13" t="inlineStr">
        <is>
          <t>Describe each step of the Research cycle, its output, and where maker-checker review happens.</t>
        </is>
      </c>
      <c r="F56" s="13" t="inlineStr">
        <is>
          <t>Manager</t>
        </is>
      </c>
      <c r="G56" s="13" t="inlineStr">
        <is>
          <t>docs/templates/domain/tariff-impact-brief.md</t>
        </is>
      </c>
      <c r="H56" s="13" t="n">
        <v>3</v>
      </c>
      <c r="I56" s="15">
        <f>ProgramStart+(H56-1)*7</f>
        <v/>
      </c>
      <c r="J56" s="14" t="inlineStr">
        <is>
          <t>Not started</t>
        </is>
      </c>
      <c r="K56" s="16" t="n"/>
      <c r="L56" s="14" t="n"/>
      <c r="M56" s="14" t="n"/>
      <c r="N56" s="13" t="inlineStr">
        <is>
          <t>At which step does Research hand off to Standard Cost, and what must the handoff contain?</t>
        </is>
      </c>
      <c r="O56" s="14" t="n"/>
    </row>
    <row r="57">
      <c r="A57" s="13" t="inlineStr">
        <is>
          <t>K-M5R-02</t>
        </is>
      </c>
      <c r="B57" s="13" t="inlineStr">
        <is>
          <t>M5R</t>
        </is>
      </c>
      <c r="C57" s="13" t="inlineStr">
        <is>
          <t>Primary</t>
        </is>
      </c>
      <c r="D57" s="13" t="inlineStr">
        <is>
          <t>Reading a Federal Register notice, proclamation or executive order and its annex</t>
        </is>
      </c>
      <c r="E57" s="13" t="inlineStr">
        <is>
          <t>Extract scope, HTS list, rates, effective date and exclusions from the legal text.</t>
        </is>
      </c>
      <c r="F57" s="13" t="inlineStr">
        <is>
          <t>Senior</t>
        </is>
      </c>
      <c r="G57" s="13" t="inlineStr">
        <is>
          <t>https://www.federalregister.gov/</t>
        </is>
      </c>
      <c r="H57" s="13" t="n">
        <v>3</v>
      </c>
      <c r="I57" s="15">
        <f>ProgramStart+(H57-1)*7</f>
        <v/>
      </c>
      <c r="J57" s="14" t="inlineStr">
        <is>
          <t>Not started</t>
        </is>
      </c>
      <c r="K57" s="16" t="n"/>
      <c r="L57" s="14" t="n"/>
      <c r="M57" s="14" t="n"/>
      <c r="N57" s="13" t="inlineStr">
        <is>
          <t>Where in a tariff document do you find the HTS changes and the effective date, and why does the annex control over a summary?</t>
        </is>
      </c>
      <c r="O57" s="14" t="n"/>
    </row>
    <row r="58">
      <c r="A58" s="13" t="inlineStr">
        <is>
          <t>K-M5R-03</t>
        </is>
      </c>
      <c r="B58" s="13" t="inlineStr">
        <is>
          <t>M5R</t>
        </is>
      </c>
      <c r="C58" s="13" t="inlineStr">
        <is>
          <t>Primary</t>
        </is>
      </c>
      <c r="D58" s="13" t="inlineStr">
        <is>
          <t>CBP CSMS messages and implementation guidance</t>
        </is>
      </c>
      <c r="E58" s="13" t="inlineStr">
        <is>
          <t>Find the CSMS message that implements an action and reconcile it with the legal text.</t>
        </is>
      </c>
      <c r="F58" s="13" t="inlineStr">
        <is>
          <t>Self-study</t>
        </is>
      </c>
      <c r="G58" s="13" t="inlineStr">
        <is>
          <t>https://www.cbp.gov/trade/automated/cargo-systems-messaging-service</t>
        </is>
      </c>
      <c r="H58" s="13" t="n">
        <v>3</v>
      </c>
      <c r="I58" s="15">
        <f>ProgramStart+(H58-1)*7</f>
        <v/>
      </c>
      <c r="J58" s="14" t="inlineStr">
        <is>
          <t>Not started</t>
        </is>
      </c>
      <c r="K58" s="16" t="n"/>
      <c r="L58" s="14" t="n"/>
      <c r="M58" s="14" t="n"/>
      <c r="N58" s="13" t="inlineStr">
        <is>
          <t>If a CSMS message and the Federal Register text seem to disagree, which controls and what do you do next?</t>
        </is>
      </c>
      <c r="O58" s="14" t="n"/>
    </row>
    <row r="59">
      <c r="A59" s="13" t="inlineStr">
        <is>
          <t>K-M5R-04</t>
        </is>
      </c>
      <c r="B59" s="13" t="inlineStr">
        <is>
          <t>M5R</t>
        </is>
      </c>
      <c r="C59" s="13" t="inlineStr">
        <is>
          <t>Primary</t>
        </is>
      </c>
      <c r="D59" s="13" t="inlineStr">
        <is>
          <t>HTSUS Chapter 99 structure and additional-duty headings</t>
        </is>
      </c>
      <c r="E59" s="13" t="inlineStr">
        <is>
          <t>Find the Chapter 99 heading for an action, its rate, and the US notes that define its scope.</t>
        </is>
      </c>
      <c r="F59" s="13" t="inlineStr">
        <is>
          <t>Senior</t>
        </is>
      </c>
      <c r="G59" s="13" t="inlineStr">
        <is>
          <t>https://hts.usitc.gov/</t>
        </is>
      </c>
      <c r="H59" s="13" t="n">
        <v>3</v>
      </c>
      <c r="I59" s="15">
        <f>ProgramStart+(H59-1)*7</f>
        <v/>
      </c>
      <c r="J59" s="14" t="inlineStr">
        <is>
          <t>Not started</t>
        </is>
      </c>
      <c r="K59" s="16" t="n"/>
      <c r="L59" s="14" t="n"/>
      <c r="M59" s="14" t="n"/>
      <c r="N59" s="13" t="inlineStr">
        <is>
          <t>Where do you find the product scope of a Chapter 99 additional duty: in the heading text or in the subchapter's US notes?</t>
        </is>
      </c>
      <c r="O59" s="14" t="n"/>
    </row>
    <row r="60">
      <c r="A60" s="13" t="inlineStr">
        <is>
          <t>K-M5R-05</t>
        </is>
      </c>
      <c r="B60" s="13" t="inlineStr">
        <is>
          <t>M5R</t>
        </is>
      </c>
      <c r="C60" s="13" t="inlineStr">
        <is>
          <t>Primary</t>
        </is>
      </c>
      <c r="D60" s="13" t="inlineStr">
        <is>
          <t>Tariff-Impact Brief outline for a recent action</t>
        </is>
      </c>
      <c r="E60" s="13" t="inlineStr">
        <is>
          <t>Produce a brief outline listing affected HTS codes, countries, rate, effective date and a primary source for each.</t>
        </is>
      </c>
      <c r="F60" s="13" t="inlineStr">
        <is>
          <t>Manager</t>
        </is>
      </c>
      <c r="G60" s="13" t="inlineStr">
        <is>
          <t>docs/templates/domain/tariff-impact-brief.md</t>
        </is>
      </c>
      <c r="H60" s="13" t="n">
        <v>4</v>
      </c>
      <c r="I60" s="15">
        <f>ProgramStart+(H60-1)*7</f>
        <v/>
      </c>
      <c r="J60" s="14" t="inlineStr">
        <is>
          <t>Not started</t>
        </is>
      </c>
      <c r="K60" s="16" t="n"/>
      <c r="L60" s="14" t="n"/>
      <c r="M60" s="14" t="n"/>
      <c r="N60" s="13" t="inlineStr">
        <is>
          <t>Which statements in your outline do not yet have a primary source?</t>
        </is>
      </c>
      <c r="O60" s="14" t="n"/>
    </row>
    <row r="61">
      <c r="A61" s="13" t="inlineStr">
        <is>
          <t>K-M5R-06</t>
        </is>
      </c>
      <c r="B61" s="13" t="inlineStr">
        <is>
          <t>M5R</t>
        </is>
      </c>
      <c r="C61" s="13" t="inlineStr">
        <is>
          <t>Primary</t>
        </is>
      </c>
      <c r="D61" s="13" t="inlineStr">
        <is>
          <t>Stacking rules, exclusions and in-transit provisions</t>
        </is>
      </c>
      <c r="E61" s="13" t="inlineStr">
        <is>
          <t>Determine which measures apply together to an item and how exclusions and USMCA claims interact.</t>
        </is>
      </c>
      <c r="F61" s="13" t="inlineStr">
        <is>
          <t>Senior</t>
        </is>
      </c>
      <c r="G61" s="13" t="inlineStr">
        <is>
          <t>docs/primers/current-tariff-landscape.md</t>
        </is>
      </c>
      <c r="H61" s="13" t="n">
        <v>5</v>
      </c>
      <c r="I61" s="15">
        <f>ProgramStart+(H61-1)*7</f>
        <v/>
      </c>
      <c r="J61" s="14" t="inlineStr">
        <is>
          <t>Not started</t>
        </is>
      </c>
      <c r="K61" s="16" t="n"/>
      <c r="L61" s="14" t="n"/>
      <c r="M61" s="14" t="n"/>
      <c r="N61" s="13" t="inlineStr">
        <is>
          <t>For an item hit by two actions, where do you find whether the duties stack or one excludes the other?</t>
        </is>
      </c>
      <c r="O61" s="14" t="n"/>
    </row>
    <row r="62">
      <c r="A62" s="13" t="inlineStr">
        <is>
          <t>K-M5R-07</t>
        </is>
      </c>
      <c r="B62" s="13" t="inlineStr">
        <is>
          <t>M5R</t>
        </is>
      </c>
      <c r="C62" s="13" t="inlineStr">
        <is>
          <t>Primary</t>
        </is>
      </c>
      <c r="D62" s="13" t="inlineStr">
        <is>
          <t>Canada tariff actions: surtax orders and CBSA customs notices</t>
        </is>
      </c>
      <c r="E62" s="13" t="inlineStr">
        <is>
          <t>Find and read a Canadian surtax order and its customs notice, including in-transit and remission provisions.</t>
        </is>
      </c>
      <c r="F62" s="13" t="inlineStr">
        <is>
          <t>Self-study</t>
        </is>
      </c>
      <c r="G62" s="13" t="inlineStr">
        <is>
          <t>https://www.cbsa-asfc.gc.ca/publications/cn-ad/menu-eng.html</t>
        </is>
      </c>
      <c r="H62" s="13" t="n">
        <v>5</v>
      </c>
      <c r="I62" s="15">
        <f>ProgramStart+(H62-1)*7</f>
        <v/>
      </c>
      <c r="J62" s="14" t="inlineStr">
        <is>
          <t>Not started</t>
        </is>
      </c>
      <c r="K62" s="16" t="n"/>
      <c r="L62" s="14" t="n"/>
      <c r="M62" s="14" t="n"/>
      <c r="N62" s="13" t="inlineStr">
        <is>
          <t>Where does the CBSA publish how a new surtax is applied, and what decides whether our goods are affected?</t>
        </is>
      </c>
      <c r="O62" s="14" t="n"/>
    </row>
    <row r="63">
      <c r="A63" s="13" t="inlineStr">
        <is>
          <t>K-M5R-08</t>
        </is>
      </c>
      <c r="B63" s="13" t="inlineStr">
        <is>
          <t>M5R</t>
        </is>
      </c>
      <c r="C63" s="13" t="inlineStr">
        <is>
          <t>Primary</t>
        </is>
      </c>
      <c r="D63" s="13" t="inlineStr">
        <is>
          <t>Mexico tariff actions: DOF decrees modifying the TIGIE</t>
        </is>
      </c>
      <c r="E63" s="13" t="inlineStr">
        <is>
          <t>Find a DOF decree that changes TIGIE rates and list the affected fracciones and effective date.</t>
        </is>
      </c>
      <c r="F63" s="13" t="inlineStr">
        <is>
          <t>Self-study</t>
        </is>
      </c>
      <c r="G63" s="13" t="inlineStr">
        <is>
          <t>https://dof.gob.mx/</t>
        </is>
      </c>
      <c r="H63" s="13" t="n">
        <v>5</v>
      </c>
      <c r="I63" s="15">
        <f>ProgramStart+(H63-1)*7</f>
        <v/>
      </c>
      <c r="J63" s="14" t="inlineStr">
        <is>
          <t>Not started</t>
        </is>
      </c>
      <c r="K63" s="16" t="n"/>
      <c r="L63" s="14" t="n"/>
      <c r="M63" s="14" t="n"/>
      <c r="N63" s="13" t="inlineStr">
        <is>
          <t>Where is a Mexican tariff change legally published, and how do you confirm its effective date?</t>
        </is>
      </c>
      <c r="O63" s="14" t="n"/>
    </row>
    <row r="64">
      <c r="A64" s="13" t="inlineStr">
        <is>
          <t>K-M5R-09</t>
        </is>
      </c>
      <c r="B64" s="13" t="inlineStr">
        <is>
          <t>M5R</t>
        </is>
      </c>
      <c r="C64" s="13" t="inlineStr">
        <is>
          <t>Primary</t>
        </is>
      </c>
      <c r="D64" s="13" t="inlineStr">
        <is>
          <t>Scripting HTS list comparisons (action annex vs item master)</t>
        </is>
      </c>
      <c r="E64" s="13" t="inlineStr">
        <is>
          <t>Automate the comparison of an action's HTS list with our item master; a reviewer checks the output before anyone uses it.</t>
        </is>
      </c>
      <c r="F64" s="13" t="inlineStr">
        <is>
          <t>Self-study</t>
        </is>
      </c>
      <c r="G64" s="13" t="inlineStr">
        <is>
          <t>[COMPANY: approved scripting environment and item master extract]</t>
        </is>
      </c>
      <c r="H64" s="13" t="n">
        <v>5</v>
      </c>
      <c r="I64" s="15">
        <f>ProgramStart+(H64-1)*7</f>
        <v/>
      </c>
      <c r="J64" s="14" t="inlineStr">
        <is>
          <t>Not started</t>
        </is>
      </c>
      <c r="K64" s="16" t="n"/>
      <c r="L64" s="14" t="n"/>
      <c r="M64" s="14" t="n"/>
      <c r="N64" s="13" t="inlineStr">
        <is>
          <t>How do you match an annex that lists 8-digit HTS numbers against an item master that holds 10-digit numbers?</t>
        </is>
      </c>
      <c r="O64" s="14" t="n"/>
    </row>
    <row r="65">
      <c r="A65" s="13" t="inlineStr">
        <is>
          <t>K-M5R-10</t>
        </is>
      </c>
      <c r="B65" s="13" t="inlineStr">
        <is>
          <t>M5R</t>
        </is>
      </c>
      <c r="C65" s="13" t="inlineStr">
        <is>
          <t>Primary</t>
        </is>
      </c>
      <c r="D65" s="13" t="inlineStr">
        <is>
          <t>Tariff-Impact Model: Research (WHAT) inputs, handoff and business communication</t>
        </is>
      </c>
      <c r="E65" s="13" t="inlineStr">
        <is>
          <t>Fill in the WHAT inputs of the shared model, hand off to Standard Cost, and draft the business notice without dollar conclusions.</t>
        </is>
      </c>
      <c r="F65" s="13" t="inlineStr">
        <is>
          <t>Manager</t>
        </is>
      </c>
      <c r="G65" s="13" t="inlineStr">
        <is>
          <t>docs/templates/domain/tariff-impact-model-guide.md</t>
        </is>
      </c>
      <c r="H65" s="13" t="n">
        <v>7</v>
      </c>
      <c r="I65" s="15">
        <f>ProgramStart+(H65-1)*7</f>
        <v/>
      </c>
      <c r="J65" s="14" t="inlineStr">
        <is>
          <t>Not started</t>
        </is>
      </c>
      <c r="K65" s="16" t="n"/>
      <c r="L65" s="14" t="n"/>
      <c r="M65" s="14" t="n"/>
      <c r="N65" s="13" t="inlineStr">
        <is>
          <t>Which model inputs are yours, which are Standard Cost's, and what tells you the handoff is complete?</t>
        </is>
      </c>
      <c r="O65" s="14" t="n"/>
    </row>
    <row r="66">
      <c r="A66" s="13" t="inlineStr">
        <is>
          <t>K-M5R-11</t>
        </is>
      </c>
      <c r="B66" s="13" t="inlineStr">
        <is>
          <t>M5R</t>
        </is>
      </c>
      <c r="C66" s="13" t="inlineStr">
        <is>
          <t>Primary</t>
        </is>
      </c>
      <c r="D66" s="13" t="inlineStr">
        <is>
          <t>Ad-hoc investigations: framing, evidence, finding, recommendation</t>
        </is>
      </c>
      <c r="E66" s="13" t="inlineStr">
        <is>
          <t>Run one investigation end to end and write it up for review.</t>
        </is>
      </c>
      <c r="F66" s="13" t="inlineStr">
        <is>
          <t>Manager</t>
        </is>
      </c>
      <c r="G66" s="13" t="inlineStr">
        <is>
          <t>[COMPANY: past investigation examples]</t>
        </is>
      </c>
      <c r="H66" s="13" t="n">
        <v>8</v>
      </c>
      <c r="I66" s="15">
        <f>ProgramStart+(H66-1)*7</f>
        <v/>
      </c>
      <c r="J66" s="14" t="inlineStr">
        <is>
          <t>Not started</t>
        </is>
      </c>
      <c r="K66" s="16" t="n"/>
      <c r="L66" s="14" t="n"/>
      <c r="M66" s="14" t="n"/>
      <c r="N66" s="13" t="inlineStr">
        <is>
          <t>What is the question, what evidence would change your answer, and who needs the finding?</t>
        </is>
      </c>
      <c r="O66" s="14" t="n"/>
    </row>
    <row r="67">
      <c r="A67" s="13" t="inlineStr">
        <is>
          <t>K-M5C-01</t>
        </is>
      </c>
      <c r="B67" s="13" t="inlineStr">
        <is>
          <t>M5C</t>
        </is>
      </c>
      <c r="C67" s="13" t="inlineStr">
        <is>
          <t>Awareness</t>
        </is>
      </c>
      <c r="D67" s="13" t="inlineStr">
        <is>
          <t>Standard costing fundamentals and Oracle cost elements</t>
        </is>
      </c>
      <c r="E67" s="13" t="inlineStr">
        <is>
          <t>Explain what a standard cost is, why it is used, how variances arise, and how [COMPANY: Oracle EBS or Fusion] structures item cost.</t>
        </is>
      </c>
      <c r="F67" s="13" t="inlineStr">
        <is>
          <t>Manager</t>
        </is>
      </c>
      <c r="G67" s="13" t="inlineStr">
        <is>
          <t>[COMPANY: std cost SOP or Finance costing policy]</t>
        </is>
      </c>
      <c r="H67" s="13" t="n">
        <v>3</v>
      </c>
      <c r="I67" s="15">
        <f>ProgramStart+(H67-1)*7</f>
        <v/>
      </c>
      <c r="J67" s="14" t="inlineStr">
        <is>
          <t>Not started</t>
        </is>
      </c>
      <c r="K67" s="16" t="n"/>
      <c r="L67" s="14" t="n"/>
      <c r="M67" s="14" t="n"/>
      <c r="N67" s="13" t="inlineStr">
        <is>
          <t>Why does a business value inventory at standard instead of actual, and where is the difference recorded?</t>
        </is>
      </c>
      <c r="O67" s="14" t="n"/>
    </row>
    <row r="68">
      <c r="A68" s="13" t="inlineStr">
        <is>
          <t>K-M5C-02</t>
        </is>
      </c>
      <c r="B68" s="13" t="inlineStr">
        <is>
          <t>M5C</t>
        </is>
      </c>
      <c r="C68" s="13" t="inlineStr">
        <is>
          <t>Awareness</t>
        </is>
      </c>
      <c r="D68" s="13" t="inlineStr">
        <is>
          <t>Item cost and cost-element data in the warehouse or Oracle extract</t>
        </is>
      </c>
      <c r="E68" s="13" t="inlineStr">
        <is>
          <t>Query item standard cost by cost element for a list of items. Hire B: start in W1-W2 using time saved on the business overview.</t>
        </is>
      </c>
      <c r="F68" s="13" t="inlineStr">
        <is>
          <t>Self-study</t>
        </is>
      </c>
      <c r="G68" s="13" t="inlineStr">
        <is>
          <t>[COMPANY: warehouse cost tables or Oracle extract]</t>
        </is>
      </c>
      <c r="H68" s="13" t="n">
        <v>3</v>
      </c>
      <c r="I68" s="15">
        <f>ProgramStart+(H68-1)*7</f>
        <v/>
      </c>
      <c r="J68" s="14" t="inlineStr">
        <is>
          <t>Not started</t>
        </is>
      </c>
      <c r="K68" s="16" t="n"/>
      <c r="L68" s="14" t="n"/>
      <c r="M68" s="14" t="n"/>
      <c r="N68" s="13" t="inlineStr">
        <is>
          <t>Which cost element holds duty for our imported items, and how do you check one item's total against Oracle?</t>
        </is>
      </c>
      <c r="O68" s="14" t="n"/>
    </row>
    <row r="69">
      <c r="A69" s="13" t="inlineStr">
        <is>
          <t>K-M5C-03</t>
        </is>
      </c>
      <c r="B69" s="13" t="inlineStr">
        <is>
          <t>M5C</t>
        </is>
      </c>
      <c r="C69" s="13" t="inlineStr">
        <is>
          <t>Awareness</t>
        </is>
      </c>
      <c r="D69" s="13" t="inlineStr">
        <is>
          <t>Landed-cost components and their data sources</t>
        </is>
      </c>
      <c r="E69" s="13" t="inlineStr">
        <is>
          <t>Name each component (price, freight, insurance, duty, MPF and HMF, brokerage, inland freight, [COMPANY: other components]) and where its data comes from.</t>
        </is>
      </c>
      <c r="F69" s="13" t="inlineStr">
        <is>
          <t>Manager</t>
        </is>
      </c>
      <c r="G69" s="13" t="inlineStr">
        <is>
          <t>docs/templates/domain/standard-cost-update-checklist.md</t>
        </is>
      </c>
      <c r="H69" s="13" t="n">
        <v>3</v>
      </c>
      <c r="I69" s="15">
        <f>ProgramStart+(H69-1)*7</f>
        <v/>
      </c>
      <c r="J69" s="14" t="inlineStr">
        <is>
          <t>Not started</t>
        </is>
      </c>
      <c r="K69" s="16" t="n"/>
      <c r="L69" s="14" t="n"/>
      <c r="M69" s="14" t="n"/>
      <c r="N69" s="13" t="inlineStr">
        <is>
          <t>Which landed-cost components come from broker entry data, and which from freight invoices or rate tables?</t>
        </is>
      </c>
      <c r="O69" s="14" t="n"/>
    </row>
    <row r="70">
      <c r="A70" s="13" t="inlineStr">
        <is>
          <t>K-M5C-04</t>
        </is>
      </c>
      <c r="B70" s="13" t="inlineStr">
        <is>
          <t>M5C</t>
        </is>
      </c>
      <c r="C70" s="13" t="inlineStr">
        <is>
          <t>Awareness</t>
        </is>
      </c>
      <c r="D70" s="13" t="inlineStr">
        <is>
          <t>Cost-update calendar and Finance roles</t>
        </is>
      </c>
      <c r="E70" s="13" t="inlineStr">
        <is>
          <t>Know when cost updates happen, who does what in Finance, and which sign-offs are required.</t>
        </is>
      </c>
      <c r="F70" s="13" t="inlineStr">
        <is>
          <t>Shadow</t>
        </is>
      </c>
      <c r="G70" s="13" t="inlineStr">
        <is>
          <t>[COMPANY: cost update calendar and Finance cost accounting contact]</t>
        </is>
      </c>
      <c r="H70" s="13" t="n">
        <v>4</v>
      </c>
      <c r="I70" s="15">
        <f>ProgramStart+(H70-1)*7</f>
        <v/>
      </c>
      <c r="J70" s="14" t="inlineStr">
        <is>
          <t>Not started</t>
        </is>
      </c>
      <c r="K70" s="16" t="n"/>
      <c r="L70" s="14" t="n"/>
      <c r="M70" s="14" t="n"/>
      <c r="N70" s="13" t="inlineStr">
        <is>
          <t>When is the next cost update, and who in Finance signs off before anything loads to Oracle?</t>
        </is>
      </c>
      <c r="O70" s="14" t="n"/>
    </row>
    <row r="71">
      <c r="A71" s="13" t="inlineStr">
        <is>
          <t>K-M5C-05</t>
        </is>
      </c>
      <c r="B71" s="13" t="inlineStr">
        <is>
          <t>M5C</t>
        </is>
      </c>
      <c r="C71" s="13" t="inlineStr">
        <is>
          <t>Awareness</t>
        </is>
      </c>
      <c r="D71" s="13" t="inlineStr">
        <is>
          <t>Rebuilding landed cost for sample items</t>
        </is>
      </c>
      <c r="E71" s="13" t="inlineStr">
        <is>
          <t>Rebuild landed cost for 5 items from source data and explain each difference from the current standard.</t>
        </is>
      </c>
      <c r="F71" s="13" t="inlineStr">
        <is>
          <t>Manager</t>
        </is>
      </c>
      <c r="G71" s="13" t="inlineStr">
        <is>
          <t>docs/templates/domain/standard-cost-update-checklist.md</t>
        </is>
      </c>
      <c r="H71" s="13" t="n">
        <v>4</v>
      </c>
      <c r="I71" s="15">
        <f>ProgramStart+(H71-1)*7</f>
        <v/>
      </c>
      <c r="J71" s="14" t="inlineStr">
        <is>
          <t>Not started</t>
        </is>
      </c>
      <c r="K71" s="16" t="n"/>
      <c r="L71" s="14" t="n"/>
      <c r="M71" s="14" t="n"/>
      <c r="N71" s="13" t="inlineStr">
        <is>
          <t>Your rebuilt landed cost is above standard for an item; what are the first three things you check?</t>
        </is>
      </c>
      <c r="O71" s="14" t="n"/>
    </row>
    <row r="72">
      <c r="A72" s="13" t="inlineStr">
        <is>
          <t>K-M5C-06</t>
        </is>
      </c>
      <c r="B72" s="13" t="inlineStr">
        <is>
          <t>M5C</t>
        </is>
      </c>
      <c r="C72" s="13" t="inlineStr">
        <is>
          <t>Awareness</t>
        </is>
      </c>
      <c r="D72" s="13" t="inlineStr">
        <is>
          <t>Standard cost update cycle step by step</t>
        </is>
      </c>
      <c r="E72" s="13" t="inlineStr">
        <is>
          <t>Walk through the full cycle with the checklist, including controls, sign-offs and the post-update reconciliation.</t>
        </is>
      </c>
      <c r="F72" s="13" t="inlineStr">
        <is>
          <t>Manager</t>
        </is>
      </c>
      <c r="G72" s="13" t="inlineStr">
        <is>
          <t>docs/templates/domain/standard-cost-update-checklist.md</t>
        </is>
      </c>
      <c r="H72" s="13" t="n">
        <v>5</v>
      </c>
      <c r="I72" s="15">
        <f>ProgramStart+(H72-1)*7</f>
        <v/>
      </c>
      <c r="J72" s="14" t="inlineStr">
        <is>
          <t>Not started</t>
        </is>
      </c>
      <c r="K72" s="16" t="n"/>
      <c r="L72" s="14" t="n"/>
      <c r="M72" s="14" t="n"/>
      <c r="N72" s="13" t="inlineStr">
        <is>
          <t>Which steps in the cycle are maker-checker control points, and what evidence does each one leave?</t>
        </is>
      </c>
      <c r="O72" s="14" t="n"/>
    </row>
    <row r="73">
      <c r="A73" s="13" t="inlineStr">
        <is>
          <t>K-M5C-07</t>
        </is>
      </c>
      <c r="B73" s="13" t="inlineStr">
        <is>
          <t>M5C</t>
        </is>
      </c>
      <c r="C73" s="13" t="inlineStr">
        <is>
          <t>Awareness</t>
        </is>
      </c>
      <c r="D73" s="13" t="inlineStr">
        <is>
          <t>Inventory revaluation and GL impact of a standard cost change</t>
        </is>
      </c>
      <c r="E73" s="13" t="inlineStr">
        <is>
          <t>Explain how changing a standard revalues on-hand inventory and where the adjustment posts.</t>
        </is>
      </c>
      <c r="F73" s="13" t="inlineStr">
        <is>
          <t>Shadow</t>
        </is>
      </c>
      <c r="G73" s="13" t="inlineStr">
        <is>
          <t>[COMPANY: Finance cost accounting contact]</t>
        </is>
      </c>
      <c r="H73" s="13" t="n">
        <v>7</v>
      </c>
      <c r="I73" s="15">
        <f>ProgramStart+(H73-1)*7</f>
        <v/>
      </c>
      <c r="J73" s="14" t="inlineStr">
        <is>
          <t>Not started</t>
        </is>
      </c>
      <c r="K73" s="16" t="n"/>
      <c r="L73" s="14" t="n"/>
      <c r="M73" s="14" t="n"/>
      <c r="N73" s="13" t="inlineStr">
        <is>
          <t>If duty in an item's standard rises, what happens to on-hand inventory value at the update, and who needs to know?</t>
        </is>
      </c>
      <c r="O73" s="14" t="n"/>
    </row>
    <row r="74">
      <c r="A74" s="13" t="inlineStr">
        <is>
          <t>K-M5C-08</t>
        </is>
      </c>
      <c r="B74" s="13" t="inlineStr">
        <is>
          <t>M5C</t>
        </is>
      </c>
      <c r="C74" s="13" t="inlineStr">
        <is>
          <t>Awareness</t>
        </is>
      </c>
      <c r="D74" s="13" t="inlineStr">
        <is>
          <t>Purchase price variance (PPV): definition, drivers, tie-out</t>
        </is>
      </c>
      <c r="E74" s="13" t="inlineStr">
        <is>
          <t>Analyze PPV for a closed period by driver and tie the total to Finance.</t>
        </is>
      </c>
      <c r="F74" s="13" t="inlineStr">
        <is>
          <t>Shadow</t>
        </is>
      </c>
      <c r="G74" s="13" t="inlineStr">
        <is>
          <t>[COMPANY: Finance PPV report or GL account]</t>
        </is>
      </c>
      <c r="H74" s="13" t="n">
        <v>7</v>
      </c>
      <c r="I74" s="15">
        <f>ProgramStart+(H74-1)*7</f>
        <v/>
      </c>
      <c r="J74" s="14" t="inlineStr">
        <is>
          <t>Not started</t>
        </is>
      </c>
      <c r="K74" s="16" t="n"/>
      <c r="L74" s="14" t="n"/>
      <c r="M74" s="14" t="n"/>
      <c r="N74" s="13" t="inlineStr">
        <is>
          <t>Which PPV drivers can the trade team explain, and which belong to purchasing?</t>
        </is>
      </c>
      <c r="O74" s="14" t="n"/>
    </row>
    <row r="75">
      <c r="A75" s="13" t="inlineStr">
        <is>
          <t>K-M5C-09</t>
        </is>
      </c>
      <c r="B75" s="13" t="inlineStr">
        <is>
          <t>M5C</t>
        </is>
      </c>
      <c r="C75" s="13" t="inlineStr">
        <is>
          <t>Awareness</t>
        </is>
      </c>
      <c r="D75" s="13" t="inlineStr">
        <is>
          <t>Tariff $ impact modeling with the shared model</t>
        </is>
      </c>
      <c r="E75" s="13" t="inlineStr">
        <is>
          <t>Calculate landed-cost and margin impact from a Tariff-Impact Brief without re-interpreting its legal scope.</t>
        </is>
      </c>
      <c r="F75" s="13" t="inlineStr">
        <is>
          <t>Manager</t>
        </is>
      </c>
      <c r="G75" s="13" t="inlineStr">
        <is>
          <t>docs/templates/domain/tariff-impact-model-guide.md</t>
        </is>
      </c>
      <c r="H75" s="13" t="n">
        <v>7</v>
      </c>
      <c r="I75" s="15">
        <f>ProgramStart+(H75-1)*7</f>
        <v/>
      </c>
      <c r="J75" s="14" t="inlineStr">
        <is>
          <t>Not started</t>
        </is>
      </c>
      <c r="K75" s="16" t="n"/>
      <c r="L75" s="14" t="n"/>
      <c r="M75" s="14" t="n"/>
      <c r="N75" s="13" t="inlineStr">
        <is>
          <t>You disagree with the brief's stacking interpretation; what do you do instead of changing the model?</t>
        </is>
      </c>
      <c r="O75" s="14" t="n"/>
    </row>
    <row r="76">
      <c r="A76" s="13" t="inlineStr">
        <is>
          <t>K-M5C-10</t>
        </is>
      </c>
      <c r="B76" s="13" t="inlineStr">
        <is>
          <t>M5C</t>
        </is>
      </c>
      <c r="C76" s="13" t="inlineStr">
        <is>
          <t>Awareness</t>
        </is>
      </c>
      <c r="D76" s="13" t="inlineStr">
        <is>
          <t>Actual vs standard duty: using broker entry data to explain duty variance</t>
        </is>
      </c>
      <c r="E76" s="13" t="inlineStr">
        <is>
          <t>Compare duty actually paid per entry line with the duty in standard cost and explain the gap.</t>
        </is>
      </c>
      <c r="F76" s="13" t="inlineStr">
        <is>
          <t>Senior</t>
        </is>
      </c>
      <c r="G76" s="13" t="inlineStr">
        <is>
          <t>[COMPANY: broker entry data report]</t>
        </is>
      </c>
      <c r="H76" s="13" t="n">
        <v>8</v>
      </c>
      <c r="I76" s="15">
        <f>ProgramStart+(H76-1)*7</f>
        <v/>
      </c>
      <c r="J76" s="14" t="inlineStr">
        <is>
          <t>Not started</t>
        </is>
      </c>
      <c r="K76" s="16" t="n"/>
      <c r="L76" s="14" t="n"/>
      <c r="M76" s="14" t="n"/>
      <c r="N76" s="13" t="inlineStr">
        <is>
          <t>What are three reasons duty paid on an entry can differ from the duty in standard cost?</t>
        </is>
      </c>
      <c r="O76" s="14" t="n"/>
    </row>
    <row r="77">
      <c r="A77" s="13" t="inlineStr">
        <is>
          <t>K-M6-01</t>
        </is>
      </c>
      <c r="B77" s="13" t="inlineStr">
        <is>
          <t>M6</t>
        </is>
      </c>
      <c r="C77" s="13" t="inlineStr">
        <is>
          <t>Core</t>
        </is>
      </c>
      <c r="D77" s="13" t="inlineStr">
        <is>
          <t>Custom tool landscape and the Tool Inventory</t>
        </is>
      </c>
      <c r="E77" s="13" t="inlineStr">
        <is>
          <t>Fill in Tool Inventory rows for your assigned tools from the Manager's kickoff and your own reading.</t>
        </is>
      </c>
      <c r="F77" s="13" t="inlineStr">
        <is>
          <t>Manager</t>
        </is>
      </c>
      <c r="G77" s="13" t="inlineStr">
        <is>
          <t>docs/templates/knowledge/tool-doc.md</t>
        </is>
      </c>
      <c r="H77" s="13" t="n">
        <v>2</v>
      </c>
      <c r="I77" s="15">
        <f>ProgramStart+(H77-1)*7</f>
        <v/>
      </c>
      <c r="J77" s="14" t="inlineStr">
        <is>
          <t>Not started</t>
        </is>
      </c>
      <c r="K77" s="16" t="n"/>
      <c r="L77" s="14" t="n"/>
      <c r="M77" s="14" t="n"/>
      <c r="N77" s="13" t="inlineStr">
        <is>
          <t>Which of your assigned tools has the highest risk if it breaks, and why?</t>
        </is>
      </c>
      <c r="O77" s="14" t="n"/>
    </row>
    <row r="78">
      <c r="A78" s="13" t="inlineStr">
        <is>
          <t>K-M6-02</t>
        </is>
      </c>
      <c r="B78" s="13" t="inlineStr">
        <is>
          <t>M6</t>
        </is>
      </c>
      <c r="C78" s="13" t="inlineStr">
        <is>
          <t>Core</t>
        </is>
      </c>
      <c r="D78" s="13" t="inlineStr">
        <is>
          <t>Writing a tool doc</t>
        </is>
      </c>
      <c r="E78" s="13" t="inlineStr">
        <is>
          <t>Document a tool so that someone else can run it alone.</t>
        </is>
      </c>
      <c r="F78" s="13" t="inlineStr">
        <is>
          <t>Self-study</t>
        </is>
      </c>
      <c r="G78" s="13" t="inlineStr">
        <is>
          <t>docs/templates/knowledge/tool-doc.md</t>
        </is>
      </c>
      <c r="H78" s="13" t="n">
        <v>3</v>
      </c>
      <c r="I78" s="15">
        <f>ProgramStart+(H78-1)*7</f>
        <v/>
      </c>
      <c r="J78" s="14" t="inlineStr">
        <is>
          <t>Not started</t>
        </is>
      </c>
      <c r="K78" s="16" t="n"/>
      <c r="L78" s="14" t="n"/>
      <c r="M78" s="14" t="n"/>
      <c r="N78" s="13" t="inlineStr">
        <is>
          <t>What must a tool doc include for someone to run the tool while you are out?</t>
        </is>
      </c>
      <c r="O78" s="14" t="n"/>
    </row>
    <row r="79">
      <c r="A79" s="13" t="inlineStr">
        <is>
          <t>K-M6-03</t>
        </is>
      </c>
      <c r="B79" s="13" t="inlineStr">
        <is>
          <t>M6</t>
        </is>
      </c>
      <c r="C79" s="13" t="inlineStr">
        <is>
          <t>Core</t>
        </is>
      </c>
      <c r="D79" s="13" t="inlineStr">
        <is>
          <t>Candidate tool walkthrough: reading its code, flows and dependencies</t>
        </is>
      </c>
      <c r="E79" s="13" t="inlineStr">
        <is>
          <t>Walk through the candidate tool with the Manager and read its Python, VBA, Access or Power Automate logic, including whose credentials it runs under.</t>
        </is>
      </c>
      <c r="F79" s="13" t="inlineStr">
        <is>
          <t>Manager</t>
        </is>
      </c>
      <c r="G79" s="13" t="inlineStr">
        <is>
          <t>[COMPANY: tool closest to Research] or [COMPANY: name of std-cost tool]</t>
        </is>
      </c>
      <c r="H79" s="13" t="n">
        <v>4</v>
      </c>
      <c r="I79" s="15">
        <f>ProgramStart+(H79-1)*7</f>
        <v/>
      </c>
      <c r="J79" s="14" t="inlineStr">
        <is>
          <t>Not started</t>
        </is>
      </c>
      <c r="K79" s="16" t="n"/>
      <c r="L79" s="14" t="n"/>
      <c r="M79" s="14" t="n"/>
      <c r="N79" s="13" t="inlineStr">
        <is>
          <t>Where does the tool read its inputs, and what hard-coded values (rates, paths, dates, credentials) does it contain?</t>
        </is>
      </c>
      <c r="O79" s="14" t="n"/>
    </row>
    <row r="80">
      <c r="A80" s="13" t="inlineStr">
        <is>
          <t>K-M6-04</t>
        </is>
      </c>
      <c r="B80" s="13" t="inlineStr">
        <is>
          <t>M6</t>
        </is>
      </c>
      <c r="C80" s="13" t="inlineStr">
        <is>
          <t>Core</t>
        </is>
      </c>
      <c r="D80" s="13" t="inlineStr">
        <is>
          <t>Running the owned tool: schedule, failure modes, recovery</t>
        </is>
      </c>
      <c r="E80" s="13" t="inlineStr">
        <is>
          <t>Run the owned tool with the Manager and write down its failure modes and recovery steps.</t>
        </is>
      </c>
      <c r="F80" s="13" t="inlineStr">
        <is>
          <t>Manager</t>
        </is>
      </c>
      <c r="G80" s="13" t="inlineStr">
        <is>
          <t>[COMPANY: owned tool run instructions]</t>
        </is>
      </c>
      <c r="H80" s="13" t="n">
        <v>6</v>
      </c>
      <c r="I80" s="15">
        <f>ProgramStart+(H80-1)*7</f>
        <v/>
      </c>
      <c r="J80" s="14" t="inlineStr">
        <is>
          <t>Not started</t>
        </is>
      </c>
      <c r="K80" s="16" t="n"/>
      <c r="L80" s="14" t="n"/>
      <c r="M80" s="14" t="n"/>
      <c r="N80" s="13" t="inlineStr">
        <is>
          <t>What are the two most likely ways the tool fails, and how do you recover from each?</t>
        </is>
      </c>
      <c r="O80" s="14" t="n"/>
    </row>
    <row r="81">
      <c r="A81" s="13" t="inlineStr">
        <is>
          <t>K-M6-05</t>
        </is>
      </c>
      <c r="B81" s="13" t="inlineStr">
        <is>
          <t>M6</t>
        </is>
      </c>
      <c r="C81" s="13" t="inlineStr">
        <is>
          <t>Core</t>
        </is>
      </c>
      <c r="D81" s="13" t="inlineStr">
        <is>
          <t>First change to the owned tool through a change request</t>
        </is>
      </c>
      <c r="E81" s="13" t="inlineStr">
        <is>
          <t>Make or triage a change with test evidence and the Manager as checker.</t>
        </is>
      </c>
      <c r="F81" s="13" t="inlineStr">
        <is>
          <t>Manager</t>
        </is>
      </c>
      <c r="G81" s="13" t="inlineStr">
        <is>
          <t>docs/templates/bsa/06-change-request.md</t>
        </is>
      </c>
      <c r="H81" s="13" t="n">
        <v>8</v>
      </c>
      <c r="I81" s="15">
        <f>ProgramStart+(H81-1)*7</f>
        <v/>
      </c>
      <c r="J81" s="14" t="inlineStr">
        <is>
          <t>Not started</t>
        </is>
      </c>
      <c r="K81" s="16" t="n"/>
      <c r="L81" s="14" t="n"/>
      <c r="M81" s="14" t="n"/>
      <c r="N81" s="13" t="inlineStr">
        <is>
          <t>What test proves your change works and did not break anything else?</t>
        </is>
      </c>
      <c r="O81" s="14" t="n"/>
    </row>
    <row r="82">
      <c r="A82" s="13" t="inlineStr">
        <is>
          <t>K-M6-06</t>
        </is>
      </c>
      <c r="B82" s="13" t="inlineStr">
        <is>
          <t>M6</t>
        </is>
      </c>
      <c r="C82" s="13" t="inlineStr">
        <is>
          <t>Core</t>
        </is>
      </c>
      <c r="D82" s="13" t="inlineStr">
        <is>
          <t>e2open disposition note for the owned tool</t>
        </is>
      </c>
      <c r="E82" s="13" t="inlineStr">
        <is>
          <t>Recommend replace, interface, retire or keep for the owned tool, with reasons.</t>
        </is>
      </c>
      <c r="F82" s="13" t="inlineStr">
        <is>
          <t>Manager</t>
        </is>
      </c>
      <c r="G82" s="13" t="inlineStr">
        <is>
          <t>docs/primers/trade-systems-gtm-e2open-primer.md</t>
        </is>
      </c>
      <c r="H82" s="13" t="n">
        <v>9</v>
      </c>
      <c r="I82" s="15">
        <f>ProgramStart+(H82-1)*7</f>
        <v/>
      </c>
      <c r="J82" s="14" t="inlineStr">
        <is>
          <t>Not started</t>
        </is>
      </c>
      <c r="K82" s="16" t="n"/>
      <c r="L82" s="14" t="n"/>
      <c r="M82" s="14" t="n"/>
      <c r="N82" s="13" t="inlineStr">
        <is>
          <t>Which functions of your tool will e2open cover, and what is left over?</t>
        </is>
      </c>
      <c r="O82" s="14" t="n"/>
    </row>
    <row r="83">
      <c r="A83" s="13" t="inlineStr">
        <is>
          <t>K-M6-07</t>
        </is>
      </c>
      <c r="B83" s="13" t="inlineStr">
        <is>
          <t>M6</t>
        </is>
      </c>
      <c r="C83" s="13" t="inlineStr">
        <is>
          <t>Core</t>
        </is>
      </c>
      <c r="D83" s="13" t="inlineStr">
        <is>
          <t>Second custom tool</t>
        </is>
      </c>
      <c r="E83" s="13" t="inlineStr">
        <is>
          <t>Run a second tool from its doc and fix the gaps you find in that doc.</t>
        </is>
      </c>
      <c r="F83" s="13" t="inlineStr">
        <is>
          <t>Self-study</t>
        </is>
      </c>
      <c r="G83" s="13" t="inlineStr">
        <is>
          <t>docs/templates/knowledge/tool-doc.md</t>
        </is>
      </c>
      <c r="H83" s="13" t="n">
        <v>12</v>
      </c>
      <c r="I83" s="15">
        <f>ProgramStart+(H83-1)*7</f>
        <v/>
      </c>
      <c r="J83" s="14" t="inlineStr">
        <is>
          <t>Not started</t>
        </is>
      </c>
      <c r="K83" s="16" t="n"/>
      <c r="L83" s="14" t="n"/>
      <c r="M83" s="14" t="n"/>
      <c r="N83" s="13" t="inlineStr">
        <is>
          <t>Could you run the second tool tomorrow if its owner were out, and what is missing from its doc?</t>
        </is>
      </c>
      <c r="O83" s="14" t="n"/>
    </row>
    <row r="84">
      <c r="A84" s="13" t="inlineStr">
        <is>
          <t>K-M7-01</t>
        </is>
      </c>
      <c r="B84" s="13" t="inlineStr">
        <is>
          <t>M7</t>
        </is>
      </c>
      <c r="C84" s="13" t="inlineStr">
        <is>
          <t>Core</t>
        </is>
      </c>
      <c r="D84" s="13" t="inlineStr">
        <is>
          <t>Export compliance framework: EAR, BIS, jurisdiction, CCL, ECCN and EAR99</t>
        </is>
      </c>
      <c r="E84" s="13" t="inlineStr">
        <is>
          <t>Explain how an item's export classification is determined and why license determinations stay with the Senior.</t>
        </is>
      </c>
      <c r="F84" s="13" t="inlineStr">
        <is>
          <t>Senior</t>
        </is>
      </c>
      <c r="G84" s="13" t="inlineStr">
        <is>
          <t>https://www.bis.gov/regulations/ear</t>
        </is>
      </c>
      <c r="H84" s="13" t="n">
        <v>6</v>
      </c>
      <c r="I84" s="15">
        <f>ProgramStart+(H84-1)*7</f>
        <v/>
      </c>
      <c r="J84" s="14" t="inlineStr">
        <is>
          <t>Not started</t>
        </is>
      </c>
      <c r="K84" s="16" t="n"/>
      <c r="L84" s="14" t="n"/>
      <c r="M84" s="14" t="n"/>
      <c r="N84" s="13" t="inlineStr">
        <is>
          <t>What does EAR99 mean, and in which three situations might an EAR99 item still need a license?</t>
        </is>
      </c>
      <c r="O84" s="14" t="n"/>
    </row>
    <row r="85">
      <c r="A85" s="13" t="inlineStr">
        <is>
          <t>K-M7-02</t>
        </is>
      </c>
      <c r="B85" s="13" t="inlineStr">
        <is>
          <t>M7</t>
        </is>
      </c>
      <c r="C85" s="13" t="inlineStr">
        <is>
          <t>Core</t>
        </is>
      </c>
      <c r="D85" s="13" t="inlineStr">
        <is>
          <t>EEI filing in AES under the FTR, USPPI and routed exports</t>
        </is>
      </c>
      <c r="E85" s="13" t="inlineStr">
        <is>
          <t>Explain when EEI is required, who files it, and what the ITN proves.</t>
        </is>
      </c>
      <c r="F85" s="13" t="inlineStr">
        <is>
          <t>Senior</t>
        </is>
      </c>
      <c r="G85" s="13" t="inlineStr">
        <is>
          <t>https://www.census.gov/foreign-trade/aes/index.html</t>
        </is>
      </c>
      <c r="H85" s="13" t="n">
        <v>6</v>
      </c>
      <c r="I85" s="15">
        <f>ProgramStart+(H85-1)*7</f>
        <v/>
      </c>
      <c r="J85" s="14" t="inlineStr">
        <is>
          <t>Not started</t>
        </is>
      </c>
      <c r="K85" s="16" t="n"/>
      <c r="L85" s="14" t="n"/>
      <c r="M85" s="14" t="n"/>
      <c r="N85" s="13" t="inlineStr">
        <is>
          <t>Who is the USPPI on our exports, and who is responsible for the accuracy of the EEI data?</t>
        </is>
      </c>
      <c r="O85" s="14" t="n"/>
    </row>
    <row r="86">
      <c r="A86" s="13" t="inlineStr">
        <is>
          <t>K-M7-03</t>
        </is>
      </c>
      <c r="B86" s="13" t="inlineStr">
        <is>
          <t>M7</t>
        </is>
      </c>
      <c r="C86" s="13" t="inlineStr">
        <is>
          <t>Core</t>
        </is>
      </c>
      <c r="D86" s="13" t="inlineStr">
        <is>
          <t>The team's exports process and backlog handoff</t>
        </is>
      </c>
      <c r="E86" s="13" t="inlineStr">
        <is>
          <t>Know the exports process, its Jira label, and which items you may take as maker.</t>
        </is>
      </c>
      <c r="F86" s="13" t="inlineStr">
        <is>
          <t>Shadow</t>
        </is>
      </c>
      <c r="G86" s="13" t="inlineStr">
        <is>
          <t>[COMPANY: Jira label for exports transition]</t>
        </is>
      </c>
      <c r="H86" s="13" t="n">
        <v>6</v>
      </c>
      <c r="I86" s="15">
        <f>ProgramStart+(H86-1)*7</f>
        <v/>
      </c>
      <c r="J86" s="14" t="inlineStr">
        <is>
          <t>Not started</t>
        </is>
      </c>
      <c r="K86" s="16" t="n"/>
      <c r="L86" s="14" t="n"/>
      <c r="M86" s="14" t="n"/>
      <c r="N86" s="13" t="inlineStr">
        <is>
          <t>Which exports items may you take as maker, and which stay with the Senior?</t>
        </is>
      </c>
      <c r="O86" s="14" t="n"/>
    </row>
    <row r="87">
      <c r="A87" s="13" t="inlineStr">
        <is>
          <t>K-M7-04</t>
        </is>
      </c>
      <c r="B87" s="13" t="inlineStr">
        <is>
          <t>M7</t>
        </is>
      </c>
      <c r="C87" s="13" t="inlineStr">
        <is>
          <t>Core</t>
        </is>
      </c>
      <c r="D87" s="13" t="inlineStr">
        <is>
          <t>Schedule B classification</t>
        </is>
      </c>
      <c r="E87" s="13" t="inlineStr">
        <is>
          <t>Find the Schedule B number for an item and explain how it relates to the HTSUS.</t>
        </is>
      </c>
      <c r="F87" s="13" t="inlineStr">
        <is>
          <t>Self-study</t>
        </is>
      </c>
      <c r="G87" s="13" t="inlineStr">
        <is>
          <t>https://www.census.gov/scheduleb</t>
        </is>
      </c>
      <c r="H87" s="13" t="n">
        <v>7</v>
      </c>
      <c r="I87" s="15">
        <f>ProgramStart+(H87-1)*7</f>
        <v/>
      </c>
      <c r="J87" s="14" t="inlineStr">
        <is>
          <t>Not started</t>
        </is>
      </c>
      <c r="K87" s="16" t="n"/>
      <c r="L87" s="14" t="n"/>
      <c r="M87" s="14" t="n"/>
      <c r="N87" s="13" t="inlineStr">
        <is>
          <t>For most goods, may you report the HTSUS number instead of the Schedule B number in EEI, and what are the first 6 digits based on?</t>
        </is>
      </c>
      <c r="O87" s="14" t="n"/>
    </row>
    <row r="88">
      <c r="A88" s="13" t="inlineStr">
        <is>
          <t>K-M7-05</t>
        </is>
      </c>
      <c r="B88" s="13" t="inlineStr">
        <is>
          <t>M7</t>
        </is>
      </c>
      <c r="C88" s="13" t="inlineStr">
        <is>
          <t>Core</t>
        </is>
      </c>
      <c r="D88" s="13" t="inlineStr">
        <is>
          <t>Restricted party screening (awareness)</t>
        </is>
      </c>
      <c r="E88" s="13" t="inlineStr">
        <is>
          <t>Explain what screening is, which lists it covers, and how to escalate a possible match.</t>
        </is>
      </c>
      <c r="F88" s="13" t="inlineStr">
        <is>
          <t>Self-study</t>
        </is>
      </c>
      <c r="G88" s="13" t="inlineStr">
        <is>
          <t>https://www.trade.gov/consolidated-screening-list</t>
        </is>
      </c>
      <c r="H88" s="13" t="n">
        <v>7</v>
      </c>
      <c r="I88" s="15">
        <f>ProgramStart+(H88-1)*7</f>
        <v/>
      </c>
      <c r="J88" s="14" t="inlineStr">
        <is>
          <t>Not started</t>
        </is>
      </c>
      <c r="K88" s="16" t="n"/>
      <c r="L88" s="14" t="n"/>
      <c r="M88" s="14" t="n"/>
      <c r="N88" s="13" t="inlineStr">
        <is>
          <t>What do you do if a customer name partially matches an entry on the Consolidated Screening List?</t>
        </is>
      </c>
      <c r="O88" s="14" t="n"/>
    </row>
    <row r="89">
      <c r="A89" s="13" t="inlineStr">
        <is>
          <t>K-M7-06</t>
        </is>
      </c>
      <c r="B89" s="13" t="inlineStr">
        <is>
          <t>M7</t>
        </is>
      </c>
      <c r="C89" s="13" t="inlineStr">
        <is>
          <t>Core</t>
        </is>
      </c>
      <c r="D89" s="13" t="inlineStr">
        <is>
          <t>Export data quality checks</t>
        </is>
      </c>
      <c r="E89" s="13" t="inlineStr">
        <is>
          <t>Profile export records and log data-quality issues with evidence and a proposed fix.</t>
        </is>
      </c>
      <c r="F89" s="13" t="inlineStr">
        <is>
          <t>Senior</t>
        </is>
      </c>
      <c r="G89" s="13" t="inlineStr">
        <is>
          <t>[COMPANY: export data extract]</t>
        </is>
      </c>
      <c r="H89" s="13" t="n">
        <v>8</v>
      </c>
      <c r="I89" s="15">
        <f>ProgramStart+(H89-1)*7</f>
        <v/>
      </c>
      <c r="J89" s="14" t="inlineStr">
        <is>
          <t>Not started</t>
        </is>
      </c>
      <c r="K89" s="16" t="n"/>
      <c r="L89" s="14" t="n"/>
      <c r="M89" s="14" t="n"/>
      <c r="N89" s="13" t="inlineStr">
        <is>
          <t>Which export fields would you check first for missing or invalid values, and why?</t>
        </is>
      </c>
      <c r="O89" s="14" t="n"/>
    </row>
    <row r="90">
      <c r="A90" s="13" t="inlineStr">
        <is>
          <t>K-M8-01</t>
        </is>
      </c>
      <c r="B90" s="13" t="inlineStr">
        <is>
          <t>M8</t>
        </is>
      </c>
      <c r="C90" s="13" t="inlineStr">
        <is>
          <t>Core</t>
        </is>
      </c>
      <c r="D90" s="13" t="inlineStr">
        <is>
          <t>Report inventory: sources, refresh, consumers, known issues</t>
        </is>
      </c>
      <c r="E90" s="13" t="inlineStr">
        <is>
          <t>Explain each report in the Senior's inventory and how the business uses it.</t>
        </is>
      </c>
      <c r="F90" s="13" t="inlineStr">
        <is>
          <t>Senior</t>
        </is>
      </c>
      <c r="G90" s="13" t="inlineStr">
        <is>
          <t>[COMPANY: report inventory]</t>
        </is>
      </c>
      <c r="H90" s="13" t="n">
        <v>10</v>
      </c>
      <c r="I90" s="15">
        <f>ProgramStart+(H90-1)*7</f>
        <v/>
      </c>
      <c r="J90" s="14" t="inlineStr">
        <is>
          <t>Not started</t>
        </is>
      </c>
      <c r="K90" s="16" t="n"/>
      <c r="L90" s="14" t="n"/>
      <c r="M90" s="14" t="n"/>
      <c r="N90" s="13" t="inlineStr">
        <is>
          <t>Which reports would the business notice first if the warehouse refresh failed overnight?</t>
        </is>
      </c>
      <c r="O90" s="14" t="n"/>
    </row>
    <row r="91">
      <c r="A91" s="13" t="inlineStr">
        <is>
          <t>K-M8-02</t>
        </is>
      </c>
      <c r="B91" s="13" t="inlineStr">
        <is>
          <t>M8</t>
        </is>
      </c>
      <c r="C91" s="13" t="inlineStr">
        <is>
          <t>Core</t>
        </is>
      </c>
      <c r="D91" s="13" t="inlineStr">
        <is>
          <t>Delivering a reporting backlog item: change, validate, demo</t>
        </is>
      </c>
      <c r="E91" s="13" t="inlineStr">
        <is>
          <t>Make a report change, prove it with before-and-after totals, and demo it to the Senior.</t>
        </is>
      </c>
      <c r="F91" s="13" t="inlineStr">
        <is>
          <t>Senior</t>
        </is>
      </c>
      <c r="G91" s="13" t="inlineStr">
        <is>
          <t>[COMPANY: report backlog in Jira]</t>
        </is>
      </c>
      <c r="H91" s="13" t="n">
        <v>12</v>
      </c>
      <c r="I91" s="15">
        <f>ProgramStart+(H91-1)*7</f>
        <v/>
      </c>
      <c r="J91" s="14" t="inlineStr">
        <is>
          <t>Not started</t>
        </is>
      </c>
      <c r="K91" s="16" t="n"/>
      <c r="L91" s="14" t="n"/>
      <c r="M91" s="14" t="n"/>
      <c r="N91" s="13" t="inlineStr">
        <is>
          <t>How do you prove a new measure is correct before the business sees it?</t>
        </is>
      </c>
      <c r="O91" s="14" t="n"/>
    </row>
    <row r="92">
      <c r="A92" s="13" t="inlineStr">
        <is>
          <t>K-M9-01</t>
        </is>
      </c>
      <c r="B92" s="13" t="inlineStr">
        <is>
          <t>M9</t>
        </is>
      </c>
      <c r="C92" s="13" t="inlineStr">
        <is>
          <t>Core</t>
        </is>
      </c>
      <c r="D92" s="13" t="inlineStr">
        <is>
          <t>Drawback types under 19 CFR Part 190</t>
        </is>
      </c>
      <c r="E92" s="13" t="inlineStr">
        <is>
          <t>Explain manufacturing, unused merchandise and rejected merchandise drawback and how substitution works.</t>
        </is>
      </c>
      <c r="F92" s="13" t="inlineStr">
        <is>
          <t>Senior</t>
        </is>
      </c>
      <c r="G92" s="13" t="inlineStr">
        <is>
          <t>https://www.ecfr.gov/current/title-19/chapter-I/part-190</t>
        </is>
      </c>
      <c r="H92" s="13" t="n">
        <v>11</v>
      </c>
      <c r="I92" s="15">
        <f>ProgramStart+(H92-1)*7</f>
        <v/>
      </c>
      <c r="J92" s="14" t="inlineStr">
        <is>
          <t>Not started</t>
        </is>
      </c>
      <c r="K92" s="16" t="n"/>
      <c r="L92" s="14" t="n"/>
      <c r="M92" s="14" t="n"/>
      <c r="N92" s="13" t="inlineStr">
        <is>
          <t>What is the difference between unused merchandise drawback and manufacturing drawback?</t>
        </is>
      </c>
      <c r="O92" s="14" t="n"/>
    </row>
    <row r="93">
      <c r="A93" s="13" t="inlineStr">
        <is>
          <t>K-M9-02</t>
        </is>
      </c>
      <c r="B93" s="13" t="inlineStr">
        <is>
          <t>M9</t>
        </is>
      </c>
      <c r="C93" s="13" t="inlineStr">
        <is>
          <t>Core</t>
        </is>
      </c>
      <c r="D93" s="13" t="inlineStr">
        <is>
          <t>Records a drawback claim relies on, and USMCA limits</t>
        </is>
      </c>
      <c r="E93" s="13" t="inlineStr">
        <is>
          <t>List the import, export and inventory records drawback needs, and explain why USMCA restricts drawback on exports to Canada or Mexico.</t>
        </is>
      </c>
      <c r="F93" s="13" t="inlineStr">
        <is>
          <t>Senior</t>
        </is>
      </c>
      <c r="G93" s="13" t="inlineStr">
        <is>
          <t>https://www.ecfr.gov/current/title-19/chapter-I/part-182/subpart-E</t>
        </is>
      </c>
      <c r="H93" s="13" t="n">
        <v>11</v>
      </c>
      <c r="I93" s="15">
        <f>ProgramStart+(H93-1)*7</f>
        <v/>
      </c>
      <c r="J93" s="14" t="inlineStr">
        <is>
          <t>Not started</t>
        </is>
      </c>
      <c r="K93" s="16" t="n"/>
      <c r="L93" s="14" t="n"/>
      <c r="M93" s="14" t="n"/>
      <c r="N93" s="13" t="inlineStr">
        <is>
          <t>Why do our export records matter for drawback, and what does USMCA Article 2.5 change?</t>
        </is>
      </c>
      <c r="O93" s="14" t="n"/>
    </row>
    <row r="94">
      <c r="A94" s="13" t="inlineStr">
        <is>
          <t>K-M9-03</t>
        </is>
      </c>
      <c r="B94" s="13" t="inlineStr">
        <is>
          <t>M9</t>
        </is>
      </c>
      <c r="C94" s="13" t="inlineStr">
        <is>
          <t>Core</t>
        </is>
      </c>
      <c r="D94" s="13" t="inlineStr">
        <is>
          <t>Drawback data preparation shadow</t>
        </is>
      </c>
      <c r="E94" s="13" t="inlineStr">
        <is>
          <t>Shadow the Senior preparing or reviewing drawback data, then write the 1-page note on what data drawback needs.</t>
        </is>
      </c>
      <c r="F94" s="13" t="inlineStr">
        <is>
          <t>Shadow</t>
        </is>
      </c>
      <c r="G94" s="13" t="inlineStr">
        <is>
          <t>https://www.cbp.gov/trade/programs-administration/entry-summary/drawback-overview</t>
        </is>
      </c>
      <c r="H94" s="13" t="n">
        <v>12</v>
      </c>
      <c r="I94" s="15">
        <f>ProgramStart+(H94-1)*7</f>
        <v/>
      </c>
      <c r="J94" s="14" t="inlineStr">
        <is>
          <t>Not started</t>
        </is>
      </c>
      <c r="K94" s="16" t="n"/>
      <c r="L94" s="14" t="n"/>
      <c r="M94" s="14" t="n"/>
      <c r="N94" s="13" t="inlineStr">
        <is>
          <t>Which fields in our data would break a drawback claim if they were wrong?</t>
        </is>
      </c>
      <c r="O94" s="14" t="n"/>
    </row>
    <row r="95">
      <c r="A95" s="13" t="inlineStr">
        <is>
          <t>K-M10-01</t>
        </is>
      </c>
      <c r="B95" s="13" t="inlineStr">
        <is>
          <t>M10</t>
        </is>
      </c>
      <c r="C95" s="13" t="inlineStr">
        <is>
          <t>Core</t>
        </is>
      </c>
      <c r="D95" s="13" t="inlineStr">
        <is>
          <t>e2open project scope, timeline and BSA roles</t>
        </is>
      </c>
      <c r="E95" s="13" t="inlineStr">
        <is>
          <t>Explain the project's scope and your deliverables (as-is docs, data mapping and cleansing, then UAT).</t>
        </is>
      </c>
      <c r="F95" s="13" t="inlineStr">
        <is>
          <t>Manager</t>
        </is>
      </c>
      <c r="G95" s="13" t="inlineStr">
        <is>
          <t>[COMPANY: e2open project charter]</t>
        </is>
      </c>
      <c r="H95" s="13" t="n">
        <v>9</v>
      </c>
      <c r="I95" s="15">
        <f>ProgramStart+(H95-1)*7</f>
        <v/>
      </c>
      <c r="J95" s="14" t="inlineStr">
        <is>
          <t>Not started</t>
        </is>
      </c>
      <c r="K95" s="16" t="n"/>
      <c r="L95" s="14" t="n"/>
      <c r="M95" s="14" t="n"/>
      <c r="N95" s="13" t="inlineStr">
        <is>
          <t>What are your deliverables on the e2open project before UAT starts?</t>
        </is>
      </c>
      <c r="O95" s="14" t="n"/>
    </row>
    <row r="96">
      <c r="A96" s="13" t="inlineStr">
        <is>
          <t>K-M10-02</t>
        </is>
      </c>
      <c r="B96" s="13" t="inlineStr">
        <is>
          <t>M10</t>
        </is>
      </c>
      <c r="C96" s="13" t="inlineStr">
        <is>
          <t>Core</t>
        </is>
      </c>
      <c r="D96" s="13" t="inlineStr">
        <is>
          <t>GTM data domains vs today's AS400 and warehouse data</t>
        </is>
      </c>
      <c r="E96" s="13" t="inlineStr">
        <is>
          <t>Map product and classification, parties, trade agreements and origin, compliance and landed-cost data to today's sources.</t>
        </is>
      </c>
      <c r="F96" s="13" t="inlineStr">
        <is>
          <t>Senior</t>
        </is>
      </c>
      <c r="G96" s="13" t="inlineStr">
        <is>
          <t>docs/primers/trade-systems-gtm-e2open-primer.md</t>
        </is>
      </c>
      <c r="H96" s="13" t="n">
        <v>9</v>
      </c>
      <c r="I96" s="15">
        <f>ProgramStart+(H96-1)*7</f>
        <v/>
      </c>
      <c r="J96" s="14" t="inlineStr">
        <is>
          <t>Not started</t>
        </is>
      </c>
      <c r="K96" s="16" t="n"/>
      <c r="L96" s="14" t="n"/>
      <c r="M96" s="14" t="n"/>
      <c r="N96" s="13" t="inlineStr">
        <is>
          <t>For your process, which GTM data domain is hardest to source today, and why?</t>
        </is>
      </c>
      <c r="O96" s="14" t="n"/>
    </row>
    <row r="97">
      <c r="A97" s="13" t="inlineStr">
        <is>
          <t>K-M10-03</t>
        </is>
      </c>
      <c r="B97" s="13" t="inlineStr">
        <is>
          <t>M10</t>
        </is>
      </c>
      <c r="C97" s="13" t="inlineStr">
        <is>
          <t>Core</t>
        </is>
      </c>
      <c r="D97" s="13" t="inlineStr">
        <is>
          <t>As-is process doc for own process</t>
        </is>
      </c>
      <c r="E97" s="13" t="inlineStr">
        <is>
          <t>Draft the as-is doc for Research or Standard Cost from the template during the holiday weeks.</t>
        </is>
      </c>
      <c r="F97" s="13" t="inlineStr">
        <is>
          <t>Manager</t>
        </is>
      </c>
      <c r="G97" s="13" t="inlineStr">
        <is>
          <t>docs/templates/bsa/03-process-map-as-is-to-be.md</t>
        </is>
      </c>
      <c r="H97" s="13" t="n">
        <v>10</v>
      </c>
      <c r="I97" s="15">
        <f>ProgramStart+(H97-1)*7</f>
        <v/>
      </c>
      <c r="J97" s="14" t="inlineStr">
        <is>
          <t>Not started</t>
        </is>
      </c>
      <c r="K97" s="16" t="n"/>
      <c r="L97" s="14" t="n"/>
      <c r="M97" s="14" t="n"/>
      <c r="N97" s="13" t="inlineStr">
        <is>
          <t>Which steps of your process are manual workarounds that e2open might remove?</t>
        </is>
      </c>
      <c r="O97" s="14" t="n"/>
    </row>
    <row r="98">
      <c r="A98" s="13" t="inlineStr">
        <is>
          <t>K-M10-04</t>
        </is>
      </c>
      <c r="B98" s="13" t="inlineStr">
        <is>
          <t>M10</t>
        </is>
      </c>
      <c r="C98" s="13" t="inlineStr">
        <is>
          <t>Core</t>
        </is>
      </c>
      <c r="D98" s="13" t="inlineStr">
        <is>
          <t>Data map, profiling and data-quality log for own process</t>
        </is>
      </c>
      <c r="E98" s="13" t="inlineStr">
        <is>
          <t>Map own-process source fields to e2open concepts, profile the data, and log data-quality issues and cleansing candidates.</t>
        </is>
      </c>
      <c r="F98" s="13" t="inlineStr">
        <is>
          <t>Manager</t>
        </is>
      </c>
      <c r="G98" s="13" t="inlineStr">
        <is>
          <t>docs/templates/bsa/04-data-mapping-spec.md</t>
        </is>
      </c>
      <c r="H98" s="13" t="n">
        <v>11</v>
      </c>
      <c r="I98" s="15">
        <f>ProgramStart+(H98-1)*7</f>
        <v/>
      </c>
      <c r="J98" s="14" t="inlineStr">
        <is>
          <t>Not started</t>
        </is>
      </c>
      <c r="K98" s="16" t="n"/>
      <c r="L98" s="14" t="n"/>
      <c r="M98" s="14" t="n"/>
      <c r="N98" s="13" t="inlineStr">
        <is>
          <t>Which source fields have no clear e2open target, and who decides what happens to them?</t>
        </is>
      </c>
      <c r="O98" s="14" t="n"/>
    </row>
    <row r="99">
      <c r="A99" s="13" t="inlineStr">
        <is>
          <t>K-M10-05</t>
        </is>
      </c>
      <c r="B99" s="13" t="inlineStr">
        <is>
          <t>M10</t>
        </is>
      </c>
      <c r="C99" s="13" t="inlineStr">
        <is>
          <t>Core</t>
        </is>
      </c>
      <c r="D99" s="13" t="inlineStr">
        <is>
          <t>e2open kickoff: vendor methodology, environments, deliverables</t>
        </is>
      </c>
      <c r="E99" s="13" t="inlineStr">
        <is>
          <t>Capture project scope, timeline, your role and open questions from the kickoff in OneNote.</t>
        </is>
      </c>
      <c r="F99" s="13" t="inlineStr">
        <is>
          <t>Vendor</t>
        </is>
      </c>
      <c r="G99" s="13" t="inlineStr">
        <is>
          <t>[COMPANY: e2open kickoff materials]</t>
        </is>
      </c>
      <c r="H99" s="13" t="n">
        <v>12</v>
      </c>
      <c r="I99" s="15">
        <f>ProgramStart+(H99-1)*7</f>
        <v/>
      </c>
      <c r="J99" s="14" t="inlineStr">
        <is>
          <t>Not started</t>
        </is>
      </c>
      <c r="K99" s="16" t="n"/>
      <c r="L99" s="14" t="n"/>
      <c r="M99" s="14" t="n"/>
      <c r="N99" s="13" t="inlineStr">
        <is>
          <t>What did the vendor say happens between data mapping and UAT, and when?</t>
        </is>
      </c>
      <c r="O99" s="14" t="n"/>
    </row>
    <row r="100">
      <c r="A100" s="13" t="inlineStr">
        <is>
          <t>K-M10-06</t>
        </is>
      </c>
      <c r="B100" s="13" t="inlineStr">
        <is>
          <t>M10</t>
        </is>
      </c>
      <c r="C100" s="13" t="inlineStr">
        <is>
          <t>Core</t>
        </is>
      </c>
      <c r="D100" s="13" t="inlineStr">
        <is>
          <t>UAT in a vendor project: scripts, environments, defect triage</t>
        </is>
      </c>
      <c r="E100" s="13" t="inlineStr">
        <is>
          <t>Explain how UAT will run on e2open and how defects are triaged between the team and the vendor.</t>
        </is>
      </c>
      <c r="F100" s="13" t="inlineStr">
        <is>
          <t>Vendor</t>
        </is>
      </c>
      <c r="G100" s="13" t="inlineStr">
        <is>
          <t>docs/templates/bsa/05-uat-test-plan.md</t>
        </is>
      </c>
      <c r="H100" s="13" t="n">
        <v>13</v>
      </c>
      <c r="I100" s="15">
        <f>ProgramStart+(H100-1)*7</f>
        <v/>
      </c>
      <c r="J100" s="14" t="inlineStr">
        <is>
          <t>Not started</t>
        </is>
      </c>
      <c r="K100" s="16" t="n"/>
      <c r="L100" s="14" t="n"/>
      <c r="M100" s="14" t="n"/>
      <c r="N100" s="13" t="inlineStr">
        <is>
          <t>Who triages a UAT defect on e2open, and how do you tell a defect from a configuration question?</t>
        </is>
      </c>
      <c r="O100" s="14" t="n"/>
    </row>
  </sheetData>
  <autoFilter ref="A4:O100"/>
  <conditionalFormatting sqref="J5:J100">
    <cfRule type="expression" priority="1" dxfId="2">
      <formula>AND(TODAY()&gt;$I5+4,$J5&lt;&gt;"Covered",$J5&lt;&gt;"Teach-back done")</formula>
    </cfRule>
    <cfRule type="expression" priority="2" dxfId="0">
      <formula>$J5="Teach-back done"</formula>
    </cfRule>
  </conditionalFormatting>
  <dataValidations count="3">
    <dataValidation sqref="J5:J100" showDropDown="0" showInputMessage="0" showErrorMessage="0" allowBlank="1" type="list">
      <formula1>"Not started,In progress,Covered,Teach-back done"</formula1>
    </dataValidation>
    <dataValidation sqref="L5:L100" showDropDown="0" showInputMessage="1" showErrorMessage="0" allowBlank="1" prompt="1 = lost, 5 = could teach it" type="list">
      <formula1>"1,2,3,4,5"</formula1>
    </dataValidation>
    <dataValidation sqref="M5:M100"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00"/>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B (Standard Cost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about 6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take the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and record who they are, what they need from the team and how tariff and cost news reaches them today.</t>
        </is>
      </c>
      <c r="F12" s="13" t="inlineStr">
        <is>
          <t>Shadow</t>
        </is>
      </c>
      <c r="G12" s="13" t="inlineStr">
        <is>
          <t>[COMPANY: stakeholder list]</t>
        </is>
      </c>
      <c r="H12" s="13" t="n">
        <v>2</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Senior</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IEEPA and HTSUS Chapter 99</t>
        </is>
      </c>
      <c r="E28" s="13" t="inlineStr">
        <is>
          <t>Explain the legal basis of each type of action, who administers it, and how it appears on an entry line.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4</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31</t>
        </is>
      </c>
      <c r="E31" s="13" t="inlineStr">
        <is>
          <t>Explain what IMMEX allows, its obligations, and what Anexo 24 and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31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or Fusion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Manager</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5</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Senior</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Senior</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K-M4-01</t>
        </is>
      </c>
      <c r="B49" s="13" t="inlineStr">
        <is>
          <t>M4</t>
        </is>
      </c>
      <c r="C49" s="13" t="inlineStr">
        <is>
          <t>Core</t>
        </is>
      </c>
      <c r="D49" s="13" t="inlineStr">
        <is>
          <t>Intake and elicitation: framing the problem and its impact</t>
        </is>
      </c>
      <c r="E49" s="13" t="inlineStr">
        <is>
          <t>Run an intake conversation and complete the intake template before any work starts.</t>
        </is>
      </c>
      <c r="F49" s="13" t="inlineStr">
        <is>
          <t>Manager</t>
        </is>
      </c>
      <c r="G49" s="13" t="inlineStr">
        <is>
          <t>docs/templates/bsa/01-intake-request.md</t>
        </is>
      </c>
      <c r="H49" s="13" t="n">
        <v>3</v>
      </c>
      <c r="I49" s="15">
        <f>ProgramStart+(H49-1)*7</f>
        <v/>
      </c>
      <c r="J49" s="14" t="inlineStr">
        <is>
          <t>Not started</t>
        </is>
      </c>
      <c r="K49" s="16" t="n"/>
      <c r="L49" s="14" t="n"/>
      <c r="M49" s="14" t="n"/>
      <c r="N49" s="13" t="inlineStr">
        <is>
          <t>What must be known about a request before it becomes a Jira item?</t>
        </is>
      </c>
      <c r="O49" s="14" t="n"/>
    </row>
    <row r="50">
      <c r="A50" s="13" t="inlineStr">
        <is>
          <t>K-M4-02</t>
        </is>
      </c>
      <c r="B50" s="13" t="inlineStr">
        <is>
          <t>M4</t>
        </is>
      </c>
      <c r="C50" s="13" t="inlineStr">
        <is>
          <t>Core</t>
        </is>
      </c>
      <c r="D50" s="13" t="inlineStr">
        <is>
          <t>Requirements, user stories, epics, acceptance criteria and MoSCoW</t>
        </is>
      </c>
      <c r="E50" s="13" t="inlineStr">
        <is>
          <t>Write testable requirements and stories with priorities and acceptance criteria that meet the team's definition of done.</t>
        </is>
      </c>
      <c r="F50" s="13" t="inlineStr">
        <is>
          <t>Manager</t>
        </is>
      </c>
      <c r="G50" s="13" t="inlineStr">
        <is>
          <t>docs/templates/bsa/02-requirements.md</t>
        </is>
      </c>
      <c r="H50" s="13" t="n">
        <v>3</v>
      </c>
      <c r="I50" s="15">
        <f>ProgramStart+(H50-1)*7</f>
        <v/>
      </c>
      <c r="J50" s="14" t="inlineStr">
        <is>
          <t>Not started</t>
        </is>
      </c>
      <c r="K50" s="16" t="n"/>
      <c r="L50" s="14" t="n"/>
      <c r="M50" s="14" t="n"/>
      <c r="N50" s="13" t="inlineStr">
        <is>
          <t>How would you rewrite 'the report should be fast' as a testable requirement with acceptance criteria?</t>
        </is>
      </c>
      <c r="O50" s="14" t="n"/>
    </row>
    <row r="51">
      <c r="A51" s="13" t="inlineStr">
        <is>
          <t>K-M4-03</t>
        </is>
      </c>
      <c r="B51" s="13" t="inlineStr">
        <is>
          <t>M4</t>
        </is>
      </c>
      <c r="C51" s="13" t="inlineStr">
        <is>
          <t>Core</t>
        </is>
      </c>
      <c r="D51" s="13" t="inlineStr">
        <is>
          <t>Process mapping: as-is and to-be, swimlanes, controls, pain points</t>
        </is>
      </c>
      <c r="E51" s="13" t="inlineStr">
        <is>
          <t>Map a shadowed process as-is, including workarounds, controls and hand-offs.</t>
        </is>
      </c>
      <c r="F51" s="13" t="inlineStr">
        <is>
          <t>Manager</t>
        </is>
      </c>
      <c r="G51" s="13" t="inlineStr">
        <is>
          <t>docs/templates/bsa/03-process-map-as-is-to-be.md</t>
        </is>
      </c>
      <c r="H51" s="13" t="n">
        <v>4</v>
      </c>
      <c r="I51" s="15">
        <f>ProgramStart+(H51-1)*7</f>
        <v/>
      </c>
      <c r="J51" s="14" t="inlineStr">
        <is>
          <t>Not started</t>
        </is>
      </c>
      <c r="K51" s="16" t="n"/>
      <c r="L51" s="14" t="n"/>
      <c r="M51" s="14" t="n"/>
      <c r="N51" s="13" t="inlineStr">
        <is>
          <t>Why do you map the as-is process, workarounds included, before designing the to-be?</t>
        </is>
      </c>
      <c r="O51" s="14" t="n"/>
    </row>
    <row r="52">
      <c r="A52" s="13" t="inlineStr">
        <is>
          <t>K-M4-04</t>
        </is>
      </c>
      <c r="B52" s="13" t="inlineStr">
        <is>
          <t>M4</t>
        </is>
      </c>
      <c r="C52" s="13" t="inlineStr">
        <is>
          <t>Core</t>
        </is>
      </c>
      <c r="D52" s="13" t="inlineStr">
        <is>
          <t>Writing an SOP from a shadowed process</t>
        </is>
      </c>
      <c r="E52" s="13" t="inlineStr">
        <is>
          <t>Turn shadowing notes into an SOP draft that another person could follow alone.</t>
        </is>
      </c>
      <c r="F52" s="13" t="inlineStr">
        <is>
          <t>Self-study</t>
        </is>
      </c>
      <c r="G52" s="13" t="inlineStr">
        <is>
          <t>docs/templates/knowledge/process-sop.md</t>
        </is>
      </c>
      <c r="H52" s="13" t="n">
        <v>4</v>
      </c>
      <c r="I52" s="15">
        <f>ProgramStart+(H52-1)*7</f>
        <v/>
      </c>
      <c r="J52" s="14" t="inlineStr">
        <is>
          <t>Not started</t>
        </is>
      </c>
      <c r="K52" s="16" t="n"/>
      <c r="L52" s="14" t="n"/>
      <c r="M52" s="14" t="n"/>
      <c r="N52" s="13" t="inlineStr">
        <is>
          <t>What makes an SOP step testable by someone who has never done the process?</t>
        </is>
      </c>
      <c r="O52" s="14" t="n"/>
    </row>
    <row r="53">
      <c r="A53" s="13" t="inlineStr">
        <is>
          <t>K-M4-05</t>
        </is>
      </c>
      <c r="B53" s="13" t="inlineStr">
        <is>
          <t>M4</t>
        </is>
      </c>
      <c r="C53" s="13" t="inlineStr">
        <is>
          <t>Core</t>
        </is>
      </c>
      <c r="D53" s="13" t="inlineStr">
        <is>
          <t>Data mapping specification</t>
        </is>
      </c>
      <c r="E53" s="13" t="inlineStr">
        <is>
          <t>Map source fields to a target with transformation rules, defaults and data-quality notes.</t>
        </is>
      </c>
      <c r="F53" s="13" t="inlineStr">
        <is>
          <t>Manager</t>
        </is>
      </c>
      <c r="G53" s="13" t="inlineStr">
        <is>
          <t>docs/templates/bsa/04-data-mapping-spec.md</t>
        </is>
      </c>
      <c r="H53" s="13" t="n">
        <v>7</v>
      </c>
      <c r="I53" s="15">
        <f>ProgramStart+(H53-1)*7</f>
        <v/>
      </c>
      <c r="J53" s="14" t="inlineStr">
        <is>
          <t>Not started</t>
        </is>
      </c>
      <c r="K53" s="16" t="n"/>
      <c r="L53" s="14" t="n"/>
      <c r="M53" s="14" t="n"/>
      <c r="N53" s="13" t="inlineStr">
        <is>
          <t>What do you record for a source field that has no target, or no reliable value?</t>
        </is>
      </c>
      <c r="O53" s="14" t="n"/>
    </row>
    <row r="54">
      <c r="A54" s="13" t="inlineStr">
        <is>
          <t>K-M4-06</t>
        </is>
      </c>
      <c r="B54" s="13" t="inlineStr">
        <is>
          <t>M4</t>
        </is>
      </c>
      <c r="C54" s="13" t="inlineStr">
        <is>
          <t>Core</t>
        </is>
      </c>
      <c r="D54" s="13" t="inlineStr">
        <is>
          <t>UAT planning and execution</t>
        </is>
      </c>
      <c r="E54" s="13" t="inlineStr">
        <is>
          <t>Write test cases from requirements, run them, and log defects that a developer can reproduce.</t>
        </is>
      </c>
      <c r="F54" s="13" t="inlineStr">
        <is>
          <t>Manager</t>
        </is>
      </c>
      <c r="G54" s="13" t="inlineStr">
        <is>
          <t>docs/templates/bsa/05-uat-test-plan.md</t>
        </is>
      </c>
      <c r="H54" s="13" t="n">
        <v>7</v>
      </c>
      <c r="I54" s="15">
        <f>ProgramStart+(H54-1)*7</f>
        <v/>
      </c>
      <c r="J54" s="14" t="inlineStr">
        <is>
          <t>Not started</t>
        </is>
      </c>
      <c r="K54" s="16" t="n"/>
      <c r="L54" s="14" t="n"/>
      <c r="M54" s="14" t="n"/>
      <c r="N54" s="13" t="inlineStr">
        <is>
          <t>What is the difference between a failed test case and a defect, and what goes in a good defect report?</t>
        </is>
      </c>
      <c r="O54" s="14" t="n"/>
    </row>
    <row r="55">
      <c r="A55" s="13" t="inlineStr">
        <is>
          <t>K-M4-07</t>
        </is>
      </c>
      <c r="B55" s="13" t="inlineStr">
        <is>
          <t>M4</t>
        </is>
      </c>
      <c r="C55" s="13" t="inlineStr">
        <is>
          <t>Core</t>
        </is>
      </c>
      <c r="D55" s="13" t="inlineStr">
        <is>
          <t>Change control and change requests</t>
        </is>
      </c>
      <c r="E55" s="13" t="inlineStr">
        <is>
          <t>Take a change through a change request with test evidence, rollback plan and checker review.</t>
        </is>
      </c>
      <c r="F55" s="13" t="inlineStr">
        <is>
          <t>Manager</t>
        </is>
      </c>
      <c r="G55" s="13" t="inlineStr">
        <is>
          <t>docs/templates/bsa/06-change-request.md</t>
        </is>
      </c>
      <c r="H55" s="13" t="n">
        <v>8</v>
      </c>
      <c r="I55" s="15">
        <f>ProgramStart+(H55-1)*7</f>
        <v/>
      </c>
      <c r="J55" s="14" t="inlineStr">
        <is>
          <t>Not started</t>
        </is>
      </c>
      <c r="K55" s="16" t="n"/>
      <c r="L55" s="14" t="n"/>
      <c r="M55" s="14" t="n"/>
      <c r="N55" s="13" t="inlineStr">
        <is>
          <t>Why does a tool change need a rollback plan even when the change is small?</t>
        </is>
      </c>
      <c r="O55" s="14" t="n"/>
    </row>
    <row r="56">
      <c r="A56" s="13" t="inlineStr">
        <is>
          <t>K-M5R-01</t>
        </is>
      </c>
      <c r="B56" s="13" t="inlineStr">
        <is>
          <t>M5R</t>
        </is>
      </c>
      <c r="C56" s="13" t="inlineStr">
        <is>
          <t>Awareness</t>
        </is>
      </c>
      <c r="D56" s="13" t="inlineStr">
        <is>
          <t>Research method: intake, sources, scope, brief, model, handoff, communication</t>
        </is>
      </c>
      <c r="E56" s="13" t="inlineStr">
        <is>
          <t>Describe each step of the Research cycle, its output, and where maker-checker review happens.</t>
        </is>
      </c>
      <c r="F56" s="13" t="inlineStr">
        <is>
          <t>Manager</t>
        </is>
      </c>
      <c r="G56" s="13" t="inlineStr">
        <is>
          <t>docs/templates/domain/tariff-impact-brief.md</t>
        </is>
      </c>
      <c r="H56" s="13" t="n">
        <v>3</v>
      </c>
      <c r="I56" s="15">
        <f>ProgramStart+(H56-1)*7</f>
        <v/>
      </c>
      <c r="J56" s="14" t="inlineStr">
        <is>
          <t>Not started</t>
        </is>
      </c>
      <c r="K56" s="16" t="n"/>
      <c r="L56" s="14" t="n"/>
      <c r="M56" s="14" t="n"/>
      <c r="N56" s="13" t="inlineStr">
        <is>
          <t>At which step does Research hand off to Standard Cost, and what must the handoff contain?</t>
        </is>
      </c>
      <c r="O56" s="14" t="n"/>
    </row>
    <row r="57">
      <c r="A57" s="13" t="inlineStr">
        <is>
          <t>K-M5R-02</t>
        </is>
      </c>
      <c r="B57" s="13" t="inlineStr">
        <is>
          <t>M5R</t>
        </is>
      </c>
      <c r="C57" s="13" t="inlineStr">
        <is>
          <t>Awareness</t>
        </is>
      </c>
      <c r="D57" s="13" t="inlineStr">
        <is>
          <t>Reading a Federal Register notice, proclamation or executive order and its annex</t>
        </is>
      </c>
      <c r="E57" s="13" t="inlineStr">
        <is>
          <t>Extract scope, HTS list, rates, effective date and exclusions from the legal text.</t>
        </is>
      </c>
      <c r="F57" s="13" t="inlineStr">
        <is>
          <t>Senior</t>
        </is>
      </c>
      <c r="G57" s="13" t="inlineStr">
        <is>
          <t>https://www.federalregister.gov/</t>
        </is>
      </c>
      <c r="H57" s="13" t="n">
        <v>3</v>
      </c>
      <c r="I57" s="15">
        <f>ProgramStart+(H57-1)*7</f>
        <v/>
      </c>
      <c r="J57" s="14" t="inlineStr">
        <is>
          <t>Not started</t>
        </is>
      </c>
      <c r="K57" s="16" t="n"/>
      <c r="L57" s="14" t="n"/>
      <c r="M57" s="14" t="n"/>
      <c r="N57" s="13" t="inlineStr">
        <is>
          <t>Where in a tariff document do you find the HTS changes and the effective date, and why does the annex control over a summary?</t>
        </is>
      </c>
      <c r="O57" s="14" t="n"/>
    </row>
    <row r="58">
      <c r="A58" s="13" t="inlineStr">
        <is>
          <t>K-M5R-03</t>
        </is>
      </c>
      <c r="B58" s="13" t="inlineStr">
        <is>
          <t>M5R</t>
        </is>
      </c>
      <c r="C58" s="13" t="inlineStr">
        <is>
          <t>Awareness</t>
        </is>
      </c>
      <c r="D58" s="13" t="inlineStr">
        <is>
          <t>CBP CSMS messages and implementation guidance</t>
        </is>
      </c>
      <c r="E58" s="13" t="inlineStr">
        <is>
          <t>Find the CSMS message that implements an action and reconcile it with the legal text.</t>
        </is>
      </c>
      <c r="F58" s="13" t="inlineStr">
        <is>
          <t>Self-study</t>
        </is>
      </c>
      <c r="G58" s="13" t="inlineStr">
        <is>
          <t>https://www.cbp.gov/trade/automated/cargo-systems-messaging-service</t>
        </is>
      </c>
      <c r="H58" s="13" t="n">
        <v>3</v>
      </c>
      <c r="I58" s="15">
        <f>ProgramStart+(H58-1)*7</f>
        <v/>
      </c>
      <c r="J58" s="14" t="inlineStr">
        <is>
          <t>Not started</t>
        </is>
      </c>
      <c r="K58" s="16" t="n"/>
      <c r="L58" s="14" t="n"/>
      <c r="M58" s="14" t="n"/>
      <c r="N58" s="13" t="inlineStr">
        <is>
          <t>If a CSMS message and the Federal Register text seem to disagree, which controls and what do you do next?</t>
        </is>
      </c>
      <c r="O58" s="14" t="n"/>
    </row>
    <row r="59">
      <c r="A59" s="13" t="inlineStr">
        <is>
          <t>K-M5R-04</t>
        </is>
      </c>
      <c r="B59" s="13" t="inlineStr">
        <is>
          <t>M5R</t>
        </is>
      </c>
      <c r="C59" s="13" t="inlineStr">
        <is>
          <t>Awareness</t>
        </is>
      </c>
      <c r="D59" s="13" t="inlineStr">
        <is>
          <t>HTSUS Chapter 99 structure and additional-duty headings</t>
        </is>
      </c>
      <c r="E59" s="13" t="inlineStr">
        <is>
          <t>Find the Chapter 99 heading for an action, its rate, and the US notes that define its scope.</t>
        </is>
      </c>
      <c r="F59" s="13" t="inlineStr">
        <is>
          <t>Senior</t>
        </is>
      </c>
      <c r="G59" s="13" t="inlineStr">
        <is>
          <t>https://hts.usitc.gov/</t>
        </is>
      </c>
      <c r="H59" s="13" t="n">
        <v>3</v>
      </c>
      <c r="I59" s="15">
        <f>ProgramStart+(H59-1)*7</f>
        <v/>
      </c>
      <c r="J59" s="14" t="inlineStr">
        <is>
          <t>Not started</t>
        </is>
      </c>
      <c r="K59" s="16" t="n"/>
      <c r="L59" s="14" t="n"/>
      <c r="M59" s="14" t="n"/>
      <c r="N59" s="13" t="inlineStr">
        <is>
          <t>Where do you find the product scope of a Chapter 99 additional duty: in the heading text or in the subchapter's US notes?</t>
        </is>
      </c>
      <c r="O59" s="14" t="n"/>
    </row>
    <row r="60">
      <c r="A60" s="13" t="inlineStr">
        <is>
          <t>K-M5R-05</t>
        </is>
      </c>
      <c r="B60" s="13" t="inlineStr">
        <is>
          <t>M5R</t>
        </is>
      </c>
      <c r="C60" s="13" t="inlineStr">
        <is>
          <t>Awareness</t>
        </is>
      </c>
      <c r="D60" s="13" t="inlineStr">
        <is>
          <t>Tariff-Impact Brief outline for a recent action</t>
        </is>
      </c>
      <c r="E60" s="13" t="inlineStr">
        <is>
          <t>Produce a brief outline listing affected HTS codes, countries, rate, effective date and a primary source for each.</t>
        </is>
      </c>
      <c r="F60" s="13" t="inlineStr">
        <is>
          <t>Manager</t>
        </is>
      </c>
      <c r="G60" s="13" t="inlineStr">
        <is>
          <t>docs/templates/domain/tariff-impact-brief.md</t>
        </is>
      </c>
      <c r="H60" s="13" t="n">
        <v>4</v>
      </c>
      <c r="I60" s="15">
        <f>ProgramStart+(H60-1)*7</f>
        <v/>
      </c>
      <c r="J60" s="14" t="inlineStr">
        <is>
          <t>Not started</t>
        </is>
      </c>
      <c r="K60" s="16" t="n"/>
      <c r="L60" s="14" t="n"/>
      <c r="M60" s="14" t="n"/>
      <c r="N60" s="13" t="inlineStr">
        <is>
          <t>Which statements in your outline do not yet have a primary source?</t>
        </is>
      </c>
      <c r="O60" s="14" t="n"/>
    </row>
    <row r="61">
      <c r="A61" s="13" t="inlineStr">
        <is>
          <t>K-M5R-06</t>
        </is>
      </c>
      <c r="B61" s="13" t="inlineStr">
        <is>
          <t>M5R</t>
        </is>
      </c>
      <c r="C61" s="13" t="inlineStr">
        <is>
          <t>Awareness</t>
        </is>
      </c>
      <c r="D61" s="13" t="inlineStr">
        <is>
          <t>Stacking rules, exclusions and in-transit provisions</t>
        </is>
      </c>
      <c r="E61" s="13" t="inlineStr">
        <is>
          <t>Determine which measures apply together to an item and how exclusions and USMCA claims interact.</t>
        </is>
      </c>
      <c r="F61" s="13" t="inlineStr">
        <is>
          <t>Senior</t>
        </is>
      </c>
      <c r="G61" s="13" t="inlineStr">
        <is>
          <t>docs/primers/current-tariff-landscape.md</t>
        </is>
      </c>
      <c r="H61" s="13" t="n">
        <v>5</v>
      </c>
      <c r="I61" s="15">
        <f>ProgramStart+(H61-1)*7</f>
        <v/>
      </c>
      <c r="J61" s="14" t="inlineStr">
        <is>
          <t>Not started</t>
        </is>
      </c>
      <c r="K61" s="16" t="n"/>
      <c r="L61" s="14" t="n"/>
      <c r="M61" s="14" t="n"/>
      <c r="N61" s="13" t="inlineStr">
        <is>
          <t>For an item hit by two actions, where do you find whether the duties stack or one excludes the other?</t>
        </is>
      </c>
      <c r="O61" s="14" t="n"/>
    </row>
    <row r="62">
      <c r="A62" s="13" t="inlineStr">
        <is>
          <t>K-M5R-07</t>
        </is>
      </c>
      <c r="B62" s="13" t="inlineStr">
        <is>
          <t>M5R</t>
        </is>
      </c>
      <c r="C62" s="13" t="inlineStr">
        <is>
          <t>Awareness</t>
        </is>
      </c>
      <c r="D62" s="13" t="inlineStr">
        <is>
          <t>Canada tariff actions: surtax orders and CBSA customs notices</t>
        </is>
      </c>
      <c r="E62" s="13" t="inlineStr">
        <is>
          <t>Find and read a Canadian surtax order and its customs notice, including in-transit and remission provisions.</t>
        </is>
      </c>
      <c r="F62" s="13" t="inlineStr">
        <is>
          <t>Self-study</t>
        </is>
      </c>
      <c r="G62" s="13" t="inlineStr">
        <is>
          <t>https://www.cbsa-asfc.gc.ca/publications/cn-ad/menu-eng.html</t>
        </is>
      </c>
      <c r="H62" s="13" t="n">
        <v>5</v>
      </c>
      <c r="I62" s="15">
        <f>ProgramStart+(H62-1)*7</f>
        <v/>
      </c>
      <c r="J62" s="14" t="inlineStr">
        <is>
          <t>Not started</t>
        </is>
      </c>
      <c r="K62" s="16" t="n"/>
      <c r="L62" s="14" t="n"/>
      <c r="M62" s="14" t="n"/>
      <c r="N62" s="13" t="inlineStr">
        <is>
          <t>Where does the CBSA publish how a new surtax is applied, and what decides whether our goods are affected?</t>
        </is>
      </c>
      <c r="O62" s="14" t="n"/>
    </row>
    <row r="63">
      <c r="A63" s="13" t="inlineStr">
        <is>
          <t>K-M5R-08</t>
        </is>
      </c>
      <c r="B63" s="13" t="inlineStr">
        <is>
          <t>M5R</t>
        </is>
      </c>
      <c r="C63" s="13" t="inlineStr">
        <is>
          <t>Awareness</t>
        </is>
      </c>
      <c r="D63" s="13" t="inlineStr">
        <is>
          <t>Mexico tariff actions: DOF decrees modifying the TIGIE</t>
        </is>
      </c>
      <c r="E63" s="13" t="inlineStr">
        <is>
          <t>Find a DOF decree that changes TIGIE rates and list the affected fracciones and effective date.</t>
        </is>
      </c>
      <c r="F63" s="13" t="inlineStr">
        <is>
          <t>Self-study</t>
        </is>
      </c>
      <c r="G63" s="13" t="inlineStr">
        <is>
          <t>https://dof.gob.mx/</t>
        </is>
      </c>
      <c r="H63" s="13" t="n">
        <v>5</v>
      </c>
      <c r="I63" s="15">
        <f>ProgramStart+(H63-1)*7</f>
        <v/>
      </c>
      <c r="J63" s="14" t="inlineStr">
        <is>
          <t>Not started</t>
        </is>
      </c>
      <c r="K63" s="16" t="n"/>
      <c r="L63" s="14" t="n"/>
      <c r="M63" s="14" t="n"/>
      <c r="N63" s="13" t="inlineStr">
        <is>
          <t>Where is a Mexican tariff change legally published, and how do you confirm its effective date?</t>
        </is>
      </c>
      <c r="O63" s="14" t="n"/>
    </row>
    <row r="64">
      <c r="A64" s="13" t="inlineStr">
        <is>
          <t>K-M5R-09</t>
        </is>
      </c>
      <c r="B64" s="13" t="inlineStr">
        <is>
          <t>M5R</t>
        </is>
      </c>
      <c r="C64" s="13" t="inlineStr">
        <is>
          <t>Awareness</t>
        </is>
      </c>
      <c r="D64" s="13" t="inlineStr">
        <is>
          <t>Scripting HTS list comparisons (action annex vs item master)</t>
        </is>
      </c>
      <c r="E64" s="13" t="inlineStr">
        <is>
          <t>Automate the comparison of an action's HTS list with our item master; a reviewer checks the output before anyone uses it.</t>
        </is>
      </c>
      <c r="F64" s="13" t="inlineStr">
        <is>
          <t>Self-study</t>
        </is>
      </c>
      <c r="G64" s="13" t="inlineStr">
        <is>
          <t>[COMPANY: approved scripting environment and item master extract]</t>
        </is>
      </c>
      <c r="H64" s="13" t="n">
        <v>5</v>
      </c>
      <c r="I64" s="15">
        <f>ProgramStart+(H64-1)*7</f>
        <v/>
      </c>
      <c r="J64" s="14" t="inlineStr">
        <is>
          <t>Not started</t>
        </is>
      </c>
      <c r="K64" s="16" t="n"/>
      <c r="L64" s="14" t="n"/>
      <c r="M64" s="14" t="n"/>
      <c r="N64" s="13" t="inlineStr">
        <is>
          <t>How do you match an annex that lists 8-digit HTS numbers against an item master that holds 10-digit numbers?</t>
        </is>
      </c>
      <c r="O64" s="14" t="n"/>
    </row>
    <row r="65">
      <c r="A65" s="13" t="inlineStr">
        <is>
          <t>K-M5R-10</t>
        </is>
      </c>
      <c r="B65" s="13" t="inlineStr">
        <is>
          <t>M5R</t>
        </is>
      </c>
      <c r="C65" s="13" t="inlineStr">
        <is>
          <t>Awareness</t>
        </is>
      </c>
      <c r="D65" s="13" t="inlineStr">
        <is>
          <t>Tariff-Impact Model: Research (WHAT) inputs, handoff and business communication</t>
        </is>
      </c>
      <c r="E65" s="13" t="inlineStr">
        <is>
          <t>Fill in the WHAT inputs of the shared model, hand off to Standard Cost, and draft the business notice without dollar conclusions.</t>
        </is>
      </c>
      <c r="F65" s="13" t="inlineStr">
        <is>
          <t>Manager</t>
        </is>
      </c>
      <c r="G65" s="13" t="inlineStr">
        <is>
          <t>docs/templates/domain/tariff-impact-model-guide.md</t>
        </is>
      </c>
      <c r="H65" s="13" t="n">
        <v>7</v>
      </c>
      <c r="I65" s="15">
        <f>ProgramStart+(H65-1)*7</f>
        <v/>
      </c>
      <c r="J65" s="14" t="inlineStr">
        <is>
          <t>Not started</t>
        </is>
      </c>
      <c r="K65" s="16" t="n"/>
      <c r="L65" s="14" t="n"/>
      <c r="M65" s="14" t="n"/>
      <c r="N65" s="13" t="inlineStr">
        <is>
          <t>Which model inputs are yours, which are Standard Cost's, and what tells you the handoff is complete?</t>
        </is>
      </c>
      <c r="O65" s="14" t="n"/>
    </row>
    <row r="66">
      <c r="A66" s="13" t="inlineStr">
        <is>
          <t>K-M5R-11</t>
        </is>
      </c>
      <c r="B66" s="13" t="inlineStr">
        <is>
          <t>M5R</t>
        </is>
      </c>
      <c r="C66" s="13" t="inlineStr">
        <is>
          <t>Awareness</t>
        </is>
      </c>
      <c r="D66" s="13" t="inlineStr">
        <is>
          <t>Ad-hoc investigations: framing, evidence, finding, recommendation</t>
        </is>
      </c>
      <c r="E66" s="13" t="inlineStr">
        <is>
          <t>Run one investigation end to end and write it up for review.</t>
        </is>
      </c>
      <c r="F66" s="13" t="inlineStr">
        <is>
          <t>Manager</t>
        </is>
      </c>
      <c r="G66" s="13" t="inlineStr">
        <is>
          <t>[COMPANY: past investigation examples]</t>
        </is>
      </c>
      <c r="H66" s="13" t="n">
        <v>8</v>
      </c>
      <c r="I66" s="15">
        <f>ProgramStart+(H66-1)*7</f>
        <v/>
      </c>
      <c r="J66" s="14" t="inlineStr">
        <is>
          <t>Not started</t>
        </is>
      </c>
      <c r="K66" s="16" t="n"/>
      <c r="L66" s="14" t="n"/>
      <c r="M66" s="14" t="n"/>
      <c r="N66" s="13" t="inlineStr">
        <is>
          <t>What is the question, what evidence would change your answer, and who needs the finding?</t>
        </is>
      </c>
      <c r="O66" s="14" t="n"/>
    </row>
    <row r="67">
      <c r="A67" s="13" t="inlineStr">
        <is>
          <t>K-M5C-01</t>
        </is>
      </c>
      <c r="B67" s="13" t="inlineStr">
        <is>
          <t>M5C</t>
        </is>
      </c>
      <c r="C67" s="13" t="inlineStr">
        <is>
          <t>Primary</t>
        </is>
      </c>
      <c r="D67" s="13" t="inlineStr">
        <is>
          <t>Standard costing fundamentals and Oracle cost elements</t>
        </is>
      </c>
      <c r="E67" s="13" t="inlineStr">
        <is>
          <t>Explain what a standard cost is, why it is used, how variances arise, and how [COMPANY: Oracle EBS or Fusion] structures item cost.</t>
        </is>
      </c>
      <c r="F67" s="13" t="inlineStr">
        <is>
          <t>Manager</t>
        </is>
      </c>
      <c r="G67" s="13" t="inlineStr">
        <is>
          <t>[COMPANY: std cost SOP or Finance costing policy]</t>
        </is>
      </c>
      <c r="H67" s="13" t="n">
        <v>3</v>
      </c>
      <c r="I67" s="15">
        <f>ProgramStart+(H67-1)*7</f>
        <v/>
      </c>
      <c r="J67" s="14" t="inlineStr">
        <is>
          <t>Not started</t>
        </is>
      </c>
      <c r="K67" s="16" t="n"/>
      <c r="L67" s="14" t="n"/>
      <c r="M67" s="14" t="n"/>
      <c r="N67" s="13" t="inlineStr">
        <is>
          <t>Why does a business value inventory at standard instead of actual, and where is the difference recorded?</t>
        </is>
      </c>
      <c r="O67" s="14" t="n"/>
    </row>
    <row r="68">
      <c r="A68" s="13" t="inlineStr">
        <is>
          <t>K-M5C-02</t>
        </is>
      </c>
      <c r="B68" s="13" t="inlineStr">
        <is>
          <t>M5C</t>
        </is>
      </c>
      <c r="C68" s="13" t="inlineStr">
        <is>
          <t>Primary</t>
        </is>
      </c>
      <c r="D68" s="13" t="inlineStr">
        <is>
          <t>Item cost and cost-element data in the warehouse or Oracle extract</t>
        </is>
      </c>
      <c r="E68" s="13" t="inlineStr">
        <is>
          <t>Query item standard cost by cost element for a list of items. Hire B: start in W1-W2 using time saved on the business overview.</t>
        </is>
      </c>
      <c r="F68" s="13" t="inlineStr">
        <is>
          <t>Self-study</t>
        </is>
      </c>
      <c r="G68" s="13" t="inlineStr">
        <is>
          <t>[COMPANY: warehouse cost tables or Oracle extract]</t>
        </is>
      </c>
      <c r="H68" s="13" t="n">
        <v>3</v>
      </c>
      <c r="I68" s="15">
        <f>ProgramStart+(H68-1)*7</f>
        <v/>
      </c>
      <c r="J68" s="14" t="inlineStr">
        <is>
          <t>Not started</t>
        </is>
      </c>
      <c r="K68" s="16" t="n"/>
      <c r="L68" s="14" t="n"/>
      <c r="M68" s="14" t="n"/>
      <c r="N68" s="13" t="inlineStr">
        <is>
          <t>Which cost element holds duty for our imported items, and how do you check one item's total against Oracle?</t>
        </is>
      </c>
      <c r="O68" s="14" t="n"/>
    </row>
    <row r="69">
      <c r="A69" s="13" t="inlineStr">
        <is>
          <t>K-M5C-03</t>
        </is>
      </c>
      <c r="B69" s="13" t="inlineStr">
        <is>
          <t>M5C</t>
        </is>
      </c>
      <c r="C69" s="13" t="inlineStr">
        <is>
          <t>Primary</t>
        </is>
      </c>
      <c r="D69" s="13" t="inlineStr">
        <is>
          <t>Landed-cost components and their data sources</t>
        </is>
      </c>
      <c r="E69" s="13" t="inlineStr">
        <is>
          <t>Name each component (price, freight, insurance, duty, MPF and HMF, brokerage, inland freight, [COMPANY: other components]) and where its data comes from.</t>
        </is>
      </c>
      <c r="F69" s="13" t="inlineStr">
        <is>
          <t>Manager</t>
        </is>
      </c>
      <c r="G69" s="13" t="inlineStr">
        <is>
          <t>docs/templates/domain/standard-cost-update-checklist.md</t>
        </is>
      </c>
      <c r="H69" s="13" t="n">
        <v>3</v>
      </c>
      <c r="I69" s="15">
        <f>ProgramStart+(H69-1)*7</f>
        <v/>
      </c>
      <c r="J69" s="14" t="inlineStr">
        <is>
          <t>Not started</t>
        </is>
      </c>
      <c r="K69" s="16" t="n"/>
      <c r="L69" s="14" t="n"/>
      <c r="M69" s="14" t="n"/>
      <c r="N69" s="13" t="inlineStr">
        <is>
          <t>Which landed-cost components come from broker entry data, and which from freight invoices or rate tables?</t>
        </is>
      </c>
      <c r="O69" s="14" t="n"/>
    </row>
    <row r="70">
      <c r="A70" s="13" t="inlineStr">
        <is>
          <t>K-M5C-04</t>
        </is>
      </c>
      <c r="B70" s="13" t="inlineStr">
        <is>
          <t>M5C</t>
        </is>
      </c>
      <c r="C70" s="13" t="inlineStr">
        <is>
          <t>Primary</t>
        </is>
      </c>
      <c r="D70" s="13" t="inlineStr">
        <is>
          <t>Cost-update calendar and Finance roles</t>
        </is>
      </c>
      <c r="E70" s="13" t="inlineStr">
        <is>
          <t>Know when cost updates happen, who does what in Finance, and which sign-offs are required.</t>
        </is>
      </c>
      <c r="F70" s="13" t="inlineStr">
        <is>
          <t>Shadow</t>
        </is>
      </c>
      <c r="G70" s="13" t="inlineStr">
        <is>
          <t>[COMPANY: cost update calendar and Finance cost accounting contact]</t>
        </is>
      </c>
      <c r="H70" s="13" t="n">
        <v>4</v>
      </c>
      <c r="I70" s="15">
        <f>ProgramStart+(H70-1)*7</f>
        <v/>
      </c>
      <c r="J70" s="14" t="inlineStr">
        <is>
          <t>Not started</t>
        </is>
      </c>
      <c r="K70" s="16" t="n"/>
      <c r="L70" s="14" t="n"/>
      <c r="M70" s="14" t="n"/>
      <c r="N70" s="13" t="inlineStr">
        <is>
          <t>When is the next cost update, and who in Finance signs off before anything loads to Oracle?</t>
        </is>
      </c>
      <c r="O70" s="14" t="n"/>
    </row>
    <row r="71">
      <c r="A71" s="13" t="inlineStr">
        <is>
          <t>K-M5C-05</t>
        </is>
      </c>
      <c r="B71" s="13" t="inlineStr">
        <is>
          <t>M5C</t>
        </is>
      </c>
      <c r="C71" s="13" t="inlineStr">
        <is>
          <t>Primary</t>
        </is>
      </c>
      <c r="D71" s="13" t="inlineStr">
        <is>
          <t>Rebuilding landed cost for sample items</t>
        </is>
      </c>
      <c r="E71" s="13" t="inlineStr">
        <is>
          <t>Rebuild landed cost for 5 items from source data and explain each difference from the current standard.</t>
        </is>
      </c>
      <c r="F71" s="13" t="inlineStr">
        <is>
          <t>Manager</t>
        </is>
      </c>
      <c r="G71" s="13" t="inlineStr">
        <is>
          <t>docs/templates/domain/standard-cost-update-checklist.md</t>
        </is>
      </c>
      <c r="H71" s="13" t="n">
        <v>4</v>
      </c>
      <c r="I71" s="15">
        <f>ProgramStart+(H71-1)*7</f>
        <v/>
      </c>
      <c r="J71" s="14" t="inlineStr">
        <is>
          <t>Not started</t>
        </is>
      </c>
      <c r="K71" s="16" t="n"/>
      <c r="L71" s="14" t="n"/>
      <c r="M71" s="14" t="n"/>
      <c r="N71" s="13" t="inlineStr">
        <is>
          <t>Your rebuilt landed cost is above standard for an item; what are the first three things you check?</t>
        </is>
      </c>
      <c r="O71" s="14" t="n"/>
    </row>
    <row r="72">
      <c r="A72" s="13" t="inlineStr">
        <is>
          <t>K-M5C-06</t>
        </is>
      </c>
      <c r="B72" s="13" t="inlineStr">
        <is>
          <t>M5C</t>
        </is>
      </c>
      <c r="C72" s="13" t="inlineStr">
        <is>
          <t>Primary</t>
        </is>
      </c>
      <c r="D72" s="13" t="inlineStr">
        <is>
          <t>Standard cost update cycle step by step</t>
        </is>
      </c>
      <c r="E72" s="13" t="inlineStr">
        <is>
          <t>Walk through the full cycle with the checklist, including controls, sign-offs and the post-update reconciliation.</t>
        </is>
      </c>
      <c r="F72" s="13" t="inlineStr">
        <is>
          <t>Manager</t>
        </is>
      </c>
      <c r="G72" s="13" t="inlineStr">
        <is>
          <t>docs/templates/domain/standard-cost-update-checklist.md</t>
        </is>
      </c>
      <c r="H72" s="13" t="n">
        <v>5</v>
      </c>
      <c r="I72" s="15">
        <f>ProgramStart+(H72-1)*7</f>
        <v/>
      </c>
      <c r="J72" s="14" t="inlineStr">
        <is>
          <t>Not started</t>
        </is>
      </c>
      <c r="K72" s="16" t="n"/>
      <c r="L72" s="14" t="n"/>
      <c r="M72" s="14" t="n"/>
      <c r="N72" s="13" t="inlineStr">
        <is>
          <t>Which steps in the cycle are maker-checker control points, and what evidence does each one leave?</t>
        </is>
      </c>
      <c r="O72" s="14" t="n"/>
    </row>
    <row r="73">
      <c r="A73" s="13" t="inlineStr">
        <is>
          <t>K-M5C-07</t>
        </is>
      </c>
      <c r="B73" s="13" t="inlineStr">
        <is>
          <t>M5C</t>
        </is>
      </c>
      <c r="C73" s="13" t="inlineStr">
        <is>
          <t>Primary</t>
        </is>
      </c>
      <c r="D73" s="13" t="inlineStr">
        <is>
          <t>Inventory revaluation and GL impact of a standard cost change</t>
        </is>
      </c>
      <c r="E73" s="13" t="inlineStr">
        <is>
          <t>Explain how changing a standard revalues on-hand inventory and where the adjustment posts.</t>
        </is>
      </c>
      <c r="F73" s="13" t="inlineStr">
        <is>
          <t>Shadow</t>
        </is>
      </c>
      <c r="G73" s="13" t="inlineStr">
        <is>
          <t>[COMPANY: Finance cost accounting contact]</t>
        </is>
      </c>
      <c r="H73" s="13" t="n">
        <v>7</v>
      </c>
      <c r="I73" s="15">
        <f>ProgramStart+(H73-1)*7</f>
        <v/>
      </c>
      <c r="J73" s="14" t="inlineStr">
        <is>
          <t>Not started</t>
        </is>
      </c>
      <c r="K73" s="16" t="n"/>
      <c r="L73" s="14" t="n"/>
      <c r="M73" s="14" t="n"/>
      <c r="N73" s="13" t="inlineStr">
        <is>
          <t>If duty in an item's standard rises, what happens to on-hand inventory value at the update, and who needs to know?</t>
        </is>
      </c>
      <c r="O73" s="14" t="n"/>
    </row>
    <row r="74">
      <c r="A74" s="13" t="inlineStr">
        <is>
          <t>K-M5C-08</t>
        </is>
      </c>
      <c r="B74" s="13" t="inlineStr">
        <is>
          <t>M5C</t>
        </is>
      </c>
      <c r="C74" s="13" t="inlineStr">
        <is>
          <t>Primary</t>
        </is>
      </c>
      <c r="D74" s="13" t="inlineStr">
        <is>
          <t>Purchase price variance (PPV): definition, drivers, tie-out</t>
        </is>
      </c>
      <c r="E74" s="13" t="inlineStr">
        <is>
          <t>Analyze PPV for a closed period by driver and tie the total to Finance.</t>
        </is>
      </c>
      <c r="F74" s="13" t="inlineStr">
        <is>
          <t>Shadow</t>
        </is>
      </c>
      <c r="G74" s="13" t="inlineStr">
        <is>
          <t>[COMPANY: Finance PPV report or GL account]</t>
        </is>
      </c>
      <c r="H74" s="13" t="n">
        <v>7</v>
      </c>
      <c r="I74" s="15">
        <f>ProgramStart+(H74-1)*7</f>
        <v/>
      </c>
      <c r="J74" s="14" t="inlineStr">
        <is>
          <t>Not started</t>
        </is>
      </c>
      <c r="K74" s="16" t="n"/>
      <c r="L74" s="14" t="n"/>
      <c r="M74" s="14" t="n"/>
      <c r="N74" s="13" t="inlineStr">
        <is>
          <t>Which PPV drivers can the trade team explain, and which belong to purchasing?</t>
        </is>
      </c>
      <c r="O74" s="14" t="n"/>
    </row>
    <row r="75">
      <c r="A75" s="13" t="inlineStr">
        <is>
          <t>K-M5C-09</t>
        </is>
      </c>
      <c r="B75" s="13" t="inlineStr">
        <is>
          <t>M5C</t>
        </is>
      </c>
      <c r="C75" s="13" t="inlineStr">
        <is>
          <t>Primary</t>
        </is>
      </c>
      <c r="D75" s="13" t="inlineStr">
        <is>
          <t>Tariff $ impact modeling with the shared model</t>
        </is>
      </c>
      <c r="E75" s="13" t="inlineStr">
        <is>
          <t>Calculate landed-cost and margin impact from a Tariff-Impact Brief without re-interpreting its legal scope.</t>
        </is>
      </c>
      <c r="F75" s="13" t="inlineStr">
        <is>
          <t>Manager</t>
        </is>
      </c>
      <c r="G75" s="13" t="inlineStr">
        <is>
          <t>docs/templates/domain/tariff-impact-model-guide.md</t>
        </is>
      </c>
      <c r="H75" s="13" t="n">
        <v>7</v>
      </c>
      <c r="I75" s="15">
        <f>ProgramStart+(H75-1)*7</f>
        <v/>
      </c>
      <c r="J75" s="14" t="inlineStr">
        <is>
          <t>Not started</t>
        </is>
      </c>
      <c r="K75" s="16" t="n"/>
      <c r="L75" s="14" t="n"/>
      <c r="M75" s="14" t="n"/>
      <c r="N75" s="13" t="inlineStr">
        <is>
          <t>You disagree with the brief's stacking interpretation; what do you do instead of changing the model?</t>
        </is>
      </c>
      <c r="O75" s="14" t="n"/>
    </row>
    <row r="76">
      <c r="A76" s="13" t="inlineStr">
        <is>
          <t>K-M5C-10</t>
        </is>
      </c>
      <c r="B76" s="13" t="inlineStr">
        <is>
          <t>M5C</t>
        </is>
      </c>
      <c r="C76" s="13" t="inlineStr">
        <is>
          <t>Primary</t>
        </is>
      </c>
      <c r="D76" s="13" t="inlineStr">
        <is>
          <t>Actual vs standard duty: using broker entry data to explain duty variance</t>
        </is>
      </c>
      <c r="E76" s="13" t="inlineStr">
        <is>
          <t>Compare duty actually paid per entry line with the duty in standard cost and explain the gap.</t>
        </is>
      </c>
      <c r="F76" s="13" t="inlineStr">
        <is>
          <t>Senior</t>
        </is>
      </c>
      <c r="G76" s="13" t="inlineStr">
        <is>
          <t>[COMPANY: broker entry data report]</t>
        </is>
      </c>
      <c r="H76" s="13" t="n">
        <v>8</v>
      </c>
      <c r="I76" s="15">
        <f>ProgramStart+(H76-1)*7</f>
        <v/>
      </c>
      <c r="J76" s="14" t="inlineStr">
        <is>
          <t>Not started</t>
        </is>
      </c>
      <c r="K76" s="16" t="n"/>
      <c r="L76" s="14" t="n"/>
      <c r="M76" s="14" t="n"/>
      <c r="N76" s="13" t="inlineStr">
        <is>
          <t>What are three reasons duty paid on an entry can differ from the duty in standard cost?</t>
        </is>
      </c>
      <c r="O76" s="14" t="n"/>
    </row>
    <row r="77">
      <c r="A77" s="13" t="inlineStr">
        <is>
          <t>K-M6-01</t>
        </is>
      </c>
      <c r="B77" s="13" t="inlineStr">
        <is>
          <t>M6</t>
        </is>
      </c>
      <c r="C77" s="13" t="inlineStr">
        <is>
          <t>Core</t>
        </is>
      </c>
      <c r="D77" s="13" t="inlineStr">
        <is>
          <t>Custom tool landscape and the Tool Inventory</t>
        </is>
      </c>
      <c r="E77" s="13" t="inlineStr">
        <is>
          <t>Fill in Tool Inventory rows for your assigned tools from the Manager's kickoff and your own reading.</t>
        </is>
      </c>
      <c r="F77" s="13" t="inlineStr">
        <is>
          <t>Manager</t>
        </is>
      </c>
      <c r="G77" s="13" t="inlineStr">
        <is>
          <t>docs/templates/knowledge/tool-doc.md</t>
        </is>
      </c>
      <c r="H77" s="13" t="n">
        <v>2</v>
      </c>
      <c r="I77" s="15">
        <f>ProgramStart+(H77-1)*7</f>
        <v/>
      </c>
      <c r="J77" s="14" t="inlineStr">
        <is>
          <t>Not started</t>
        </is>
      </c>
      <c r="K77" s="16" t="n"/>
      <c r="L77" s="14" t="n"/>
      <c r="M77" s="14" t="n"/>
      <c r="N77" s="13" t="inlineStr">
        <is>
          <t>Which of your assigned tools has the highest risk if it breaks, and why?</t>
        </is>
      </c>
      <c r="O77" s="14" t="n"/>
    </row>
    <row r="78">
      <c r="A78" s="13" t="inlineStr">
        <is>
          <t>K-M6-02</t>
        </is>
      </c>
      <c r="B78" s="13" t="inlineStr">
        <is>
          <t>M6</t>
        </is>
      </c>
      <c r="C78" s="13" t="inlineStr">
        <is>
          <t>Core</t>
        </is>
      </c>
      <c r="D78" s="13" t="inlineStr">
        <is>
          <t>Writing a tool doc</t>
        </is>
      </c>
      <c r="E78" s="13" t="inlineStr">
        <is>
          <t>Document a tool so that someone else can run it alone.</t>
        </is>
      </c>
      <c r="F78" s="13" t="inlineStr">
        <is>
          <t>Self-study</t>
        </is>
      </c>
      <c r="G78" s="13" t="inlineStr">
        <is>
          <t>docs/templates/knowledge/tool-doc.md</t>
        </is>
      </c>
      <c r="H78" s="13" t="n">
        <v>3</v>
      </c>
      <c r="I78" s="15">
        <f>ProgramStart+(H78-1)*7</f>
        <v/>
      </c>
      <c r="J78" s="14" t="inlineStr">
        <is>
          <t>Not started</t>
        </is>
      </c>
      <c r="K78" s="16" t="n"/>
      <c r="L78" s="14" t="n"/>
      <c r="M78" s="14" t="n"/>
      <c r="N78" s="13" t="inlineStr">
        <is>
          <t>What must a tool doc include for someone to run the tool while you are out?</t>
        </is>
      </c>
      <c r="O78" s="14" t="n"/>
    </row>
    <row r="79">
      <c r="A79" s="13" t="inlineStr">
        <is>
          <t>K-M6-03</t>
        </is>
      </c>
      <c r="B79" s="13" t="inlineStr">
        <is>
          <t>M6</t>
        </is>
      </c>
      <c r="C79" s="13" t="inlineStr">
        <is>
          <t>Core</t>
        </is>
      </c>
      <c r="D79" s="13" t="inlineStr">
        <is>
          <t>Candidate tool walkthrough: reading its code, flows and dependencies</t>
        </is>
      </c>
      <c r="E79" s="13" t="inlineStr">
        <is>
          <t>Walk through the candidate tool with the Manager and read its Python, VBA, Access or Power Automate logic, including whose credentials it runs under.</t>
        </is>
      </c>
      <c r="F79" s="13" t="inlineStr">
        <is>
          <t>Manager</t>
        </is>
      </c>
      <c r="G79" s="13" t="inlineStr">
        <is>
          <t>[COMPANY: tool closest to Research] or [COMPANY: name of std-cost tool]</t>
        </is>
      </c>
      <c r="H79" s="13" t="n">
        <v>4</v>
      </c>
      <c r="I79" s="15">
        <f>ProgramStart+(H79-1)*7</f>
        <v/>
      </c>
      <c r="J79" s="14" t="inlineStr">
        <is>
          <t>Not started</t>
        </is>
      </c>
      <c r="K79" s="16" t="n"/>
      <c r="L79" s="14" t="n"/>
      <c r="M79" s="14" t="n"/>
      <c r="N79" s="13" t="inlineStr">
        <is>
          <t>Where does the tool read its inputs, and what hard-coded values (rates, paths, dates, credentials) does it contain?</t>
        </is>
      </c>
      <c r="O79" s="14" t="n"/>
    </row>
    <row r="80">
      <c r="A80" s="13" t="inlineStr">
        <is>
          <t>K-M6-04</t>
        </is>
      </c>
      <c r="B80" s="13" t="inlineStr">
        <is>
          <t>M6</t>
        </is>
      </c>
      <c r="C80" s="13" t="inlineStr">
        <is>
          <t>Core</t>
        </is>
      </c>
      <c r="D80" s="13" t="inlineStr">
        <is>
          <t>Running the owned tool: schedule, failure modes, recovery</t>
        </is>
      </c>
      <c r="E80" s="13" t="inlineStr">
        <is>
          <t>Run the owned tool with the Manager and write down its failure modes and recovery steps.</t>
        </is>
      </c>
      <c r="F80" s="13" t="inlineStr">
        <is>
          <t>Manager</t>
        </is>
      </c>
      <c r="G80" s="13" t="inlineStr">
        <is>
          <t>[COMPANY: owned tool run instructions]</t>
        </is>
      </c>
      <c r="H80" s="13" t="n">
        <v>6</v>
      </c>
      <c r="I80" s="15">
        <f>ProgramStart+(H80-1)*7</f>
        <v/>
      </c>
      <c r="J80" s="14" t="inlineStr">
        <is>
          <t>Not started</t>
        </is>
      </c>
      <c r="K80" s="16" t="n"/>
      <c r="L80" s="14" t="n"/>
      <c r="M80" s="14" t="n"/>
      <c r="N80" s="13" t="inlineStr">
        <is>
          <t>What are the two most likely ways the tool fails, and how do you recover from each?</t>
        </is>
      </c>
      <c r="O80" s="14" t="n"/>
    </row>
    <row r="81">
      <c r="A81" s="13" t="inlineStr">
        <is>
          <t>K-M6-05</t>
        </is>
      </c>
      <c r="B81" s="13" t="inlineStr">
        <is>
          <t>M6</t>
        </is>
      </c>
      <c r="C81" s="13" t="inlineStr">
        <is>
          <t>Core</t>
        </is>
      </c>
      <c r="D81" s="13" t="inlineStr">
        <is>
          <t>First change to the owned tool through a change request</t>
        </is>
      </c>
      <c r="E81" s="13" t="inlineStr">
        <is>
          <t>Make or triage a change with test evidence and the Manager as checker.</t>
        </is>
      </c>
      <c r="F81" s="13" t="inlineStr">
        <is>
          <t>Manager</t>
        </is>
      </c>
      <c r="G81" s="13" t="inlineStr">
        <is>
          <t>docs/templates/bsa/06-change-request.md</t>
        </is>
      </c>
      <c r="H81" s="13" t="n">
        <v>8</v>
      </c>
      <c r="I81" s="15">
        <f>ProgramStart+(H81-1)*7</f>
        <v/>
      </c>
      <c r="J81" s="14" t="inlineStr">
        <is>
          <t>Not started</t>
        </is>
      </c>
      <c r="K81" s="16" t="n"/>
      <c r="L81" s="14" t="n"/>
      <c r="M81" s="14" t="n"/>
      <c r="N81" s="13" t="inlineStr">
        <is>
          <t>What test proves your change works and did not break anything else?</t>
        </is>
      </c>
      <c r="O81" s="14" t="n"/>
    </row>
    <row r="82">
      <c r="A82" s="13" t="inlineStr">
        <is>
          <t>K-M6-06</t>
        </is>
      </c>
      <c r="B82" s="13" t="inlineStr">
        <is>
          <t>M6</t>
        </is>
      </c>
      <c r="C82" s="13" t="inlineStr">
        <is>
          <t>Core</t>
        </is>
      </c>
      <c r="D82" s="13" t="inlineStr">
        <is>
          <t>e2open disposition note for the owned tool</t>
        </is>
      </c>
      <c r="E82" s="13" t="inlineStr">
        <is>
          <t>Recommend replace, interface, retire or keep for the owned tool, with reasons.</t>
        </is>
      </c>
      <c r="F82" s="13" t="inlineStr">
        <is>
          <t>Manager</t>
        </is>
      </c>
      <c r="G82" s="13" t="inlineStr">
        <is>
          <t>docs/primers/trade-systems-gtm-e2open-primer.md</t>
        </is>
      </c>
      <c r="H82" s="13" t="n">
        <v>9</v>
      </c>
      <c r="I82" s="15">
        <f>ProgramStart+(H82-1)*7</f>
        <v/>
      </c>
      <c r="J82" s="14" t="inlineStr">
        <is>
          <t>Not started</t>
        </is>
      </c>
      <c r="K82" s="16" t="n"/>
      <c r="L82" s="14" t="n"/>
      <c r="M82" s="14" t="n"/>
      <c r="N82" s="13" t="inlineStr">
        <is>
          <t>Which functions of your tool will e2open cover, and what is left over?</t>
        </is>
      </c>
      <c r="O82" s="14" t="n"/>
    </row>
    <row r="83">
      <c r="A83" s="13" t="inlineStr">
        <is>
          <t>K-M6-07</t>
        </is>
      </c>
      <c r="B83" s="13" t="inlineStr">
        <is>
          <t>M6</t>
        </is>
      </c>
      <c r="C83" s="13" t="inlineStr">
        <is>
          <t>Core</t>
        </is>
      </c>
      <c r="D83" s="13" t="inlineStr">
        <is>
          <t>Second custom tool</t>
        </is>
      </c>
      <c r="E83" s="13" t="inlineStr">
        <is>
          <t>Run a second tool from its doc and fix the gaps you find in that doc.</t>
        </is>
      </c>
      <c r="F83" s="13" t="inlineStr">
        <is>
          <t>Self-study</t>
        </is>
      </c>
      <c r="G83" s="13" t="inlineStr">
        <is>
          <t>docs/templates/knowledge/tool-doc.md</t>
        </is>
      </c>
      <c r="H83" s="13" t="n">
        <v>12</v>
      </c>
      <c r="I83" s="15">
        <f>ProgramStart+(H83-1)*7</f>
        <v/>
      </c>
      <c r="J83" s="14" t="inlineStr">
        <is>
          <t>Not started</t>
        </is>
      </c>
      <c r="K83" s="16" t="n"/>
      <c r="L83" s="14" t="n"/>
      <c r="M83" s="14" t="n"/>
      <c r="N83" s="13" t="inlineStr">
        <is>
          <t>Could you run the second tool tomorrow if its owner were out, and what is missing from its doc?</t>
        </is>
      </c>
      <c r="O83" s="14" t="n"/>
    </row>
    <row r="84">
      <c r="A84" s="13" t="inlineStr">
        <is>
          <t>K-M7-01</t>
        </is>
      </c>
      <c r="B84" s="13" t="inlineStr">
        <is>
          <t>M7</t>
        </is>
      </c>
      <c r="C84" s="13" t="inlineStr">
        <is>
          <t>Core</t>
        </is>
      </c>
      <c r="D84" s="13" t="inlineStr">
        <is>
          <t>Export compliance framework: EAR, BIS, jurisdiction, CCL, ECCN and EAR99</t>
        </is>
      </c>
      <c r="E84" s="13" t="inlineStr">
        <is>
          <t>Explain how an item's export classification is determined and why license determinations stay with the Senior.</t>
        </is>
      </c>
      <c r="F84" s="13" t="inlineStr">
        <is>
          <t>Senior</t>
        </is>
      </c>
      <c r="G84" s="13" t="inlineStr">
        <is>
          <t>https://www.bis.gov/regulations/ear</t>
        </is>
      </c>
      <c r="H84" s="13" t="n">
        <v>6</v>
      </c>
      <c r="I84" s="15">
        <f>ProgramStart+(H84-1)*7</f>
        <v/>
      </c>
      <c r="J84" s="14" t="inlineStr">
        <is>
          <t>Not started</t>
        </is>
      </c>
      <c r="K84" s="16" t="n"/>
      <c r="L84" s="14" t="n"/>
      <c r="M84" s="14" t="n"/>
      <c r="N84" s="13" t="inlineStr">
        <is>
          <t>What does EAR99 mean, and in which three situations might an EAR99 item still need a license?</t>
        </is>
      </c>
      <c r="O84" s="14" t="n"/>
    </row>
    <row r="85">
      <c r="A85" s="13" t="inlineStr">
        <is>
          <t>K-M7-02</t>
        </is>
      </c>
      <c r="B85" s="13" t="inlineStr">
        <is>
          <t>M7</t>
        </is>
      </c>
      <c r="C85" s="13" t="inlineStr">
        <is>
          <t>Core</t>
        </is>
      </c>
      <c r="D85" s="13" t="inlineStr">
        <is>
          <t>EEI filing in AES under the FTR, USPPI and routed exports</t>
        </is>
      </c>
      <c r="E85" s="13" t="inlineStr">
        <is>
          <t>Explain when EEI is required, who files it, and what the ITN proves.</t>
        </is>
      </c>
      <c r="F85" s="13" t="inlineStr">
        <is>
          <t>Senior</t>
        </is>
      </c>
      <c r="G85" s="13" t="inlineStr">
        <is>
          <t>https://www.census.gov/foreign-trade/aes/index.html</t>
        </is>
      </c>
      <c r="H85" s="13" t="n">
        <v>6</v>
      </c>
      <c r="I85" s="15">
        <f>ProgramStart+(H85-1)*7</f>
        <v/>
      </c>
      <c r="J85" s="14" t="inlineStr">
        <is>
          <t>Not started</t>
        </is>
      </c>
      <c r="K85" s="16" t="n"/>
      <c r="L85" s="14" t="n"/>
      <c r="M85" s="14" t="n"/>
      <c r="N85" s="13" t="inlineStr">
        <is>
          <t>Who is the USPPI on our exports, and who is responsible for the accuracy of the EEI data?</t>
        </is>
      </c>
      <c r="O85" s="14" t="n"/>
    </row>
    <row r="86">
      <c r="A86" s="13" t="inlineStr">
        <is>
          <t>K-M7-03</t>
        </is>
      </c>
      <c r="B86" s="13" t="inlineStr">
        <is>
          <t>M7</t>
        </is>
      </c>
      <c r="C86" s="13" t="inlineStr">
        <is>
          <t>Core</t>
        </is>
      </c>
      <c r="D86" s="13" t="inlineStr">
        <is>
          <t>The team's exports process and backlog handoff</t>
        </is>
      </c>
      <c r="E86" s="13" t="inlineStr">
        <is>
          <t>Know the exports process, its Jira label, and which items you may take as maker.</t>
        </is>
      </c>
      <c r="F86" s="13" t="inlineStr">
        <is>
          <t>Shadow</t>
        </is>
      </c>
      <c r="G86" s="13" t="inlineStr">
        <is>
          <t>[COMPANY: Jira label for exports transition]</t>
        </is>
      </c>
      <c r="H86" s="13" t="n">
        <v>6</v>
      </c>
      <c r="I86" s="15">
        <f>ProgramStart+(H86-1)*7</f>
        <v/>
      </c>
      <c r="J86" s="14" t="inlineStr">
        <is>
          <t>Not started</t>
        </is>
      </c>
      <c r="K86" s="16" t="n"/>
      <c r="L86" s="14" t="n"/>
      <c r="M86" s="14" t="n"/>
      <c r="N86" s="13" t="inlineStr">
        <is>
          <t>Which exports items may you take as maker, and which stay with the Senior?</t>
        </is>
      </c>
      <c r="O86" s="14" t="n"/>
    </row>
    <row r="87">
      <c r="A87" s="13" t="inlineStr">
        <is>
          <t>K-M7-04</t>
        </is>
      </c>
      <c r="B87" s="13" t="inlineStr">
        <is>
          <t>M7</t>
        </is>
      </c>
      <c r="C87" s="13" t="inlineStr">
        <is>
          <t>Core</t>
        </is>
      </c>
      <c r="D87" s="13" t="inlineStr">
        <is>
          <t>Schedule B classification</t>
        </is>
      </c>
      <c r="E87" s="13" t="inlineStr">
        <is>
          <t>Find the Schedule B number for an item and explain how it relates to the HTSUS.</t>
        </is>
      </c>
      <c r="F87" s="13" t="inlineStr">
        <is>
          <t>Self-study</t>
        </is>
      </c>
      <c r="G87" s="13" t="inlineStr">
        <is>
          <t>https://www.census.gov/scheduleb</t>
        </is>
      </c>
      <c r="H87" s="13" t="n">
        <v>7</v>
      </c>
      <c r="I87" s="15">
        <f>ProgramStart+(H87-1)*7</f>
        <v/>
      </c>
      <c r="J87" s="14" t="inlineStr">
        <is>
          <t>Not started</t>
        </is>
      </c>
      <c r="K87" s="16" t="n"/>
      <c r="L87" s="14" t="n"/>
      <c r="M87" s="14" t="n"/>
      <c r="N87" s="13" t="inlineStr">
        <is>
          <t>For most goods, may you report the HTSUS number instead of the Schedule B number in EEI, and what are the first 6 digits based on?</t>
        </is>
      </c>
      <c r="O87" s="14" t="n"/>
    </row>
    <row r="88">
      <c r="A88" s="13" t="inlineStr">
        <is>
          <t>K-M7-05</t>
        </is>
      </c>
      <c r="B88" s="13" t="inlineStr">
        <is>
          <t>M7</t>
        </is>
      </c>
      <c r="C88" s="13" t="inlineStr">
        <is>
          <t>Core</t>
        </is>
      </c>
      <c r="D88" s="13" t="inlineStr">
        <is>
          <t>Restricted party screening (awareness)</t>
        </is>
      </c>
      <c r="E88" s="13" t="inlineStr">
        <is>
          <t>Explain what screening is, which lists it covers, and how to escalate a possible match.</t>
        </is>
      </c>
      <c r="F88" s="13" t="inlineStr">
        <is>
          <t>Self-study</t>
        </is>
      </c>
      <c r="G88" s="13" t="inlineStr">
        <is>
          <t>https://www.trade.gov/consolidated-screening-list</t>
        </is>
      </c>
      <c r="H88" s="13" t="n">
        <v>7</v>
      </c>
      <c r="I88" s="15">
        <f>ProgramStart+(H88-1)*7</f>
        <v/>
      </c>
      <c r="J88" s="14" t="inlineStr">
        <is>
          <t>Not started</t>
        </is>
      </c>
      <c r="K88" s="16" t="n"/>
      <c r="L88" s="14" t="n"/>
      <c r="M88" s="14" t="n"/>
      <c r="N88" s="13" t="inlineStr">
        <is>
          <t>What do you do if a customer name partially matches an entry on the Consolidated Screening List?</t>
        </is>
      </c>
      <c r="O88" s="14" t="n"/>
    </row>
    <row r="89">
      <c r="A89" s="13" t="inlineStr">
        <is>
          <t>K-M7-06</t>
        </is>
      </c>
      <c r="B89" s="13" t="inlineStr">
        <is>
          <t>M7</t>
        </is>
      </c>
      <c r="C89" s="13" t="inlineStr">
        <is>
          <t>Core</t>
        </is>
      </c>
      <c r="D89" s="13" t="inlineStr">
        <is>
          <t>Export data quality checks</t>
        </is>
      </c>
      <c r="E89" s="13" t="inlineStr">
        <is>
          <t>Profile export records and log data-quality issues with evidence and a proposed fix.</t>
        </is>
      </c>
      <c r="F89" s="13" t="inlineStr">
        <is>
          <t>Senior</t>
        </is>
      </c>
      <c r="G89" s="13" t="inlineStr">
        <is>
          <t>[COMPANY: export data extract]</t>
        </is>
      </c>
      <c r="H89" s="13" t="n">
        <v>8</v>
      </c>
      <c r="I89" s="15">
        <f>ProgramStart+(H89-1)*7</f>
        <v/>
      </c>
      <c r="J89" s="14" t="inlineStr">
        <is>
          <t>Not started</t>
        </is>
      </c>
      <c r="K89" s="16" t="n"/>
      <c r="L89" s="14" t="n"/>
      <c r="M89" s="14" t="n"/>
      <c r="N89" s="13" t="inlineStr">
        <is>
          <t>Which export fields would you check first for missing or invalid values, and why?</t>
        </is>
      </c>
      <c r="O89" s="14" t="n"/>
    </row>
    <row r="90">
      <c r="A90" s="13" t="inlineStr">
        <is>
          <t>K-M8-01</t>
        </is>
      </c>
      <c r="B90" s="13" t="inlineStr">
        <is>
          <t>M8</t>
        </is>
      </c>
      <c r="C90" s="13" t="inlineStr">
        <is>
          <t>Core</t>
        </is>
      </c>
      <c r="D90" s="13" t="inlineStr">
        <is>
          <t>Report inventory: sources, refresh, consumers, known issues</t>
        </is>
      </c>
      <c r="E90" s="13" t="inlineStr">
        <is>
          <t>Explain each report in the Senior's inventory and how the business uses it.</t>
        </is>
      </c>
      <c r="F90" s="13" t="inlineStr">
        <is>
          <t>Senior</t>
        </is>
      </c>
      <c r="G90" s="13" t="inlineStr">
        <is>
          <t>[COMPANY: report inventory]</t>
        </is>
      </c>
      <c r="H90" s="13" t="n">
        <v>10</v>
      </c>
      <c r="I90" s="15">
        <f>ProgramStart+(H90-1)*7</f>
        <v/>
      </c>
      <c r="J90" s="14" t="inlineStr">
        <is>
          <t>Not started</t>
        </is>
      </c>
      <c r="K90" s="16" t="n"/>
      <c r="L90" s="14" t="n"/>
      <c r="M90" s="14" t="n"/>
      <c r="N90" s="13" t="inlineStr">
        <is>
          <t>Which reports would the business notice first if the warehouse refresh failed overnight?</t>
        </is>
      </c>
      <c r="O90" s="14" t="n"/>
    </row>
    <row r="91">
      <c r="A91" s="13" t="inlineStr">
        <is>
          <t>K-M8-02</t>
        </is>
      </c>
      <c r="B91" s="13" t="inlineStr">
        <is>
          <t>M8</t>
        </is>
      </c>
      <c r="C91" s="13" t="inlineStr">
        <is>
          <t>Core</t>
        </is>
      </c>
      <c r="D91" s="13" t="inlineStr">
        <is>
          <t>Delivering a reporting backlog item: change, validate, demo</t>
        </is>
      </c>
      <c r="E91" s="13" t="inlineStr">
        <is>
          <t>Make a report change, prove it with before-and-after totals, and demo it to the Senior.</t>
        </is>
      </c>
      <c r="F91" s="13" t="inlineStr">
        <is>
          <t>Senior</t>
        </is>
      </c>
      <c r="G91" s="13" t="inlineStr">
        <is>
          <t>[COMPANY: report backlog in Jira]</t>
        </is>
      </c>
      <c r="H91" s="13" t="n">
        <v>12</v>
      </c>
      <c r="I91" s="15">
        <f>ProgramStart+(H91-1)*7</f>
        <v/>
      </c>
      <c r="J91" s="14" t="inlineStr">
        <is>
          <t>Not started</t>
        </is>
      </c>
      <c r="K91" s="16" t="n"/>
      <c r="L91" s="14" t="n"/>
      <c r="M91" s="14" t="n"/>
      <c r="N91" s="13" t="inlineStr">
        <is>
          <t>How do you prove a new measure is correct before the business sees it?</t>
        </is>
      </c>
      <c r="O91" s="14" t="n"/>
    </row>
    <row r="92">
      <c r="A92" s="13" t="inlineStr">
        <is>
          <t>K-M9-01</t>
        </is>
      </c>
      <c r="B92" s="13" t="inlineStr">
        <is>
          <t>M9</t>
        </is>
      </c>
      <c r="C92" s="13" t="inlineStr">
        <is>
          <t>Core</t>
        </is>
      </c>
      <c r="D92" s="13" t="inlineStr">
        <is>
          <t>Drawback types under 19 CFR Part 190</t>
        </is>
      </c>
      <c r="E92" s="13" t="inlineStr">
        <is>
          <t>Explain manufacturing, unused merchandise and rejected merchandise drawback and how substitution works.</t>
        </is>
      </c>
      <c r="F92" s="13" t="inlineStr">
        <is>
          <t>Senior</t>
        </is>
      </c>
      <c r="G92" s="13" t="inlineStr">
        <is>
          <t>https://www.ecfr.gov/current/title-19/chapter-I/part-190</t>
        </is>
      </c>
      <c r="H92" s="13" t="n">
        <v>11</v>
      </c>
      <c r="I92" s="15">
        <f>ProgramStart+(H92-1)*7</f>
        <v/>
      </c>
      <c r="J92" s="14" t="inlineStr">
        <is>
          <t>Not started</t>
        </is>
      </c>
      <c r="K92" s="16" t="n"/>
      <c r="L92" s="14" t="n"/>
      <c r="M92" s="14" t="n"/>
      <c r="N92" s="13" t="inlineStr">
        <is>
          <t>What is the difference between unused merchandise drawback and manufacturing drawback?</t>
        </is>
      </c>
      <c r="O92" s="14" t="n"/>
    </row>
    <row r="93">
      <c r="A93" s="13" t="inlineStr">
        <is>
          <t>K-M9-02</t>
        </is>
      </c>
      <c r="B93" s="13" t="inlineStr">
        <is>
          <t>M9</t>
        </is>
      </c>
      <c r="C93" s="13" t="inlineStr">
        <is>
          <t>Core</t>
        </is>
      </c>
      <c r="D93" s="13" t="inlineStr">
        <is>
          <t>Records a drawback claim relies on, and USMCA limits</t>
        </is>
      </c>
      <c r="E93" s="13" t="inlineStr">
        <is>
          <t>List the import, export and inventory records drawback needs, and explain why USMCA restricts drawback on exports to Canada or Mexico.</t>
        </is>
      </c>
      <c r="F93" s="13" t="inlineStr">
        <is>
          <t>Senior</t>
        </is>
      </c>
      <c r="G93" s="13" t="inlineStr">
        <is>
          <t>https://www.ecfr.gov/current/title-19/chapter-I/part-182/subpart-E</t>
        </is>
      </c>
      <c r="H93" s="13" t="n">
        <v>11</v>
      </c>
      <c r="I93" s="15">
        <f>ProgramStart+(H93-1)*7</f>
        <v/>
      </c>
      <c r="J93" s="14" t="inlineStr">
        <is>
          <t>Not started</t>
        </is>
      </c>
      <c r="K93" s="16" t="n"/>
      <c r="L93" s="14" t="n"/>
      <c r="M93" s="14" t="n"/>
      <c r="N93" s="13" t="inlineStr">
        <is>
          <t>Why do our export records matter for drawback, and what does USMCA Article 2.5 change?</t>
        </is>
      </c>
      <c r="O93" s="14" t="n"/>
    </row>
    <row r="94">
      <c r="A94" s="13" t="inlineStr">
        <is>
          <t>K-M9-03</t>
        </is>
      </c>
      <c r="B94" s="13" t="inlineStr">
        <is>
          <t>M9</t>
        </is>
      </c>
      <c r="C94" s="13" t="inlineStr">
        <is>
          <t>Core</t>
        </is>
      </c>
      <c r="D94" s="13" t="inlineStr">
        <is>
          <t>Drawback data preparation shadow</t>
        </is>
      </c>
      <c r="E94" s="13" t="inlineStr">
        <is>
          <t>Shadow the Senior preparing or reviewing drawback data, then write the 1-page note on what data drawback needs.</t>
        </is>
      </c>
      <c r="F94" s="13" t="inlineStr">
        <is>
          <t>Shadow</t>
        </is>
      </c>
      <c r="G94" s="13" t="inlineStr">
        <is>
          <t>https://www.cbp.gov/trade/programs-administration/entry-summary/drawback-overview</t>
        </is>
      </c>
      <c r="H94" s="13" t="n">
        <v>12</v>
      </c>
      <c r="I94" s="15">
        <f>ProgramStart+(H94-1)*7</f>
        <v/>
      </c>
      <c r="J94" s="14" t="inlineStr">
        <is>
          <t>Not started</t>
        </is>
      </c>
      <c r="K94" s="16" t="n"/>
      <c r="L94" s="14" t="n"/>
      <c r="M94" s="14" t="n"/>
      <c r="N94" s="13" t="inlineStr">
        <is>
          <t>Which fields in our data would break a drawback claim if they were wrong?</t>
        </is>
      </c>
      <c r="O94" s="14" t="n"/>
    </row>
    <row r="95">
      <c r="A95" s="13" t="inlineStr">
        <is>
          <t>K-M10-01</t>
        </is>
      </c>
      <c r="B95" s="13" t="inlineStr">
        <is>
          <t>M10</t>
        </is>
      </c>
      <c r="C95" s="13" t="inlineStr">
        <is>
          <t>Core</t>
        </is>
      </c>
      <c r="D95" s="13" t="inlineStr">
        <is>
          <t>e2open project scope, timeline and BSA roles</t>
        </is>
      </c>
      <c r="E95" s="13" t="inlineStr">
        <is>
          <t>Explain the project's scope and your deliverables (as-is docs, data mapping and cleansing, then UAT).</t>
        </is>
      </c>
      <c r="F95" s="13" t="inlineStr">
        <is>
          <t>Manager</t>
        </is>
      </c>
      <c r="G95" s="13" t="inlineStr">
        <is>
          <t>[COMPANY: e2open project charter]</t>
        </is>
      </c>
      <c r="H95" s="13" t="n">
        <v>9</v>
      </c>
      <c r="I95" s="15">
        <f>ProgramStart+(H95-1)*7</f>
        <v/>
      </c>
      <c r="J95" s="14" t="inlineStr">
        <is>
          <t>Not started</t>
        </is>
      </c>
      <c r="K95" s="16" t="n"/>
      <c r="L95" s="14" t="n"/>
      <c r="M95" s="14" t="n"/>
      <c r="N95" s="13" t="inlineStr">
        <is>
          <t>What are your deliverables on the e2open project before UAT starts?</t>
        </is>
      </c>
      <c r="O95" s="14" t="n"/>
    </row>
    <row r="96">
      <c r="A96" s="13" t="inlineStr">
        <is>
          <t>K-M10-02</t>
        </is>
      </c>
      <c r="B96" s="13" t="inlineStr">
        <is>
          <t>M10</t>
        </is>
      </c>
      <c r="C96" s="13" t="inlineStr">
        <is>
          <t>Core</t>
        </is>
      </c>
      <c r="D96" s="13" t="inlineStr">
        <is>
          <t>GTM data domains vs today's AS400 and warehouse data</t>
        </is>
      </c>
      <c r="E96" s="13" t="inlineStr">
        <is>
          <t>Map product and classification, parties, trade agreements and origin, compliance and landed-cost data to today's sources.</t>
        </is>
      </c>
      <c r="F96" s="13" t="inlineStr">
        <is>
          <t>Senior</t>
        </is>
      </c>
      <c r="G96" s="13" t="inlineStr">
        <is>
          <t>docs/primers/trade-systems-gtm-e2open-primer.md</t>
        </is>
      </c>
      <c r="H96" s="13" t="n">
        <v>9</v>
      </c>
      <c r="I96" s="15">
        <f>ProgramStart+(H96-1)*7</f>
        <v/>
      </c>
      <c r="J96" s="14" t="inlineStr">
        <is>
          <t>Not started</t>
        </is>
      </c>
      <c r="K96" s="16" t="n"/>
      <c r="L96" s="14" t="n"/>
      <c r="M96" s="14" t="n"/>
      <c r="N96" s="13" t="inlineStr">
        <is>
          <t>For your process, which GTM data domain is hardest to source today, and why?</t>
        </is>
      </c>
      <c r="O96" s="14" t="n"/>
    </row>
    <row r="97">
      <c r="A97" s="13" t="inlineStr">
        <is>
          <t>K-M10-03</t>
        </is>
      </c>
      <c r="B97" s="13" t="inlineStr">
        <is>
          <t>M10</t>
        </is>
      </c>
      <c r="C97" s="13" t="inlineStr">
        <is>
          <t>Core</t>
        </is>
      </c>
      <c r="D97" s="13" t="inlineStr">
        <is>
          <t>As-is process doc for own process</t>
        </is>
      </c>
      <c r="E97" s="13" t="inlineStr">
        <is>
          <t>Draft the as-is doc for Research or Standard Cost from the template during the holiday weeks.</t>
        </is>
      </c>
      <c r="F97" s="13" t="inlineStr">
        <is>
          <t>Manager</t>
        </is>
      </c>
      <c r="G97" s="13" t="inlineStr">
        <is>
          <t>docs/templates/bsa/03-process-map-as-is-to-be.md</t>
        </is>
      </c>
      <c r="H97" s="13" t="n">
        <v>10</v>
      </c>
      <c r="I97" s="15">
        <f>ProgramStart+(H97-1)*7</f>
        <v/>
      </c>
      <c r="J97" s="14" t="inlineStr">
        <is>
          <t>Not started</t>
        </is>
      </c>
      <c r="K97" s="16" t="n"/>
      <c r="L97" s="14" t="n"/>
      <c r="M97" s="14" t="n"/>
      <c r="N97" s="13" t="inlineStr">
        <is>
          <t>Which steps of your process are manual workarounds that e2open might remove?</t>
        </is>
      </c>
      <c r="O97" s="14" t="n"/>
    </row>
    <row r="98">
      <c r="A98" s="13" t="inlineStr">
        <is>
          <t>K-M10-04</t>
        </is>
      </c>
      <c r="B98" s="13" t="inlineStr">
        <is>
          <t>M10</t>
        </is>
      </c>
      <c r="C98" s="13" t="inlineStr">
        <is>
          <t>Core</t>
        </is>
      </c>
      <c r="D98" s="13" t="inlineStr">
        <is>
          <t>Data map, profiling and data-quality log for own process</t>
        </is>
      </c>
      <c r="E98" s="13" t="inlineStr">
        <is>
          <t>Map own-process source fields to e2open concepts, profile the data, and log data-quality issues and cleansing candidates.</t>
        </is>
      </c>
      <c r="F98" s="13" t="inlineStr">
        <is>
          <t>Manager</t>
        </is>
      </c>
      <c r="G98" s="13" t="inlineStr">
        <is>
          <t>docs/templates/bsa/04-data-mapping-spec.md</t>
        </is>
      </c>
      <c r="H98" s="13" t="n">
        <v>11</v>
      </c>
      <c r="I98" s="15">
        <f>ProgramStart+(H98-1)*7</f>
        <v/>
      </c>
      <c r="J98" s="14" t="inlineStr">
        <is>
          <t>Not started</t>
        </is>
      </c>
      <c r="K98" s="16" t="n"/>
      <c r="L98" s="14" t="n"/>
      <c r="M98" s="14" t="n"/>
      <c r="N98" s="13" t="inlineStr">
        <is>
          <t>Which source fields have no clear e2open target, and who decides what happens to them?</t>
        </is>
      </c>
      <c r="O98" s="14" t="n"/>
    </row>
    <row r="99">
      <c r="A99" s="13" t="inlineStr">
        <is>
          <t>K-M10-05</t>
        </is>
      </c>
      <c r="B99" s="13" t="inlineStr">
        <is>
          <t>M10</t>
        </is>
      </c>
      <c r="C99" s="13" t="inlineStr">
        <is>
          <t>Core</t>
        </is>
      </c>
      <c r="D99" s="13" t="inlineStr">
        <is>
          <t>e2open kickoff: vendor methodology, environments, deliverables</t>
        </is>
      </c>
      <c r="E99" s="13" t="inlineStr">
        <is>
          <t>Capture project scope, timeline, your role and open questions from the kickoff in OneNote.</t>
        </is>
      </c>
      <c r="F99" s="13" t="inlineStr">
        <is>
          <t>Vendor</t>
        </is>
      </c>
      <c r="G99" s="13" t="inlineStr">
        <is>
          <t>[COMPANY: e2open kickoff materials]</t>
        </is>
      </c>
      <c r="H99" s="13" t="n">
        <v>12</v>
      </c>
      <c r="I99" s="15">
        <f>ProgramStart+(H99-1)*7</f>
        <v/>
      </c>
      <c r="J99" s="14" t="inlineStr">
        <is>
          <t>Not started</t>
        </is>
      </c>
      <c r="K99" s="16" t="n"/>
      <c r="L99" s="14" t="n"/>
      <c r="M99" s="14" t="n"/>
      <c r="N99" s="13" t="inlineStr">
        <is>
          <t>What did the vendor say happens between data mapping and UAT, and when?</t>
        </is>
      </c>
      <c r="O99" s="14" t="n"/>
    </row>
    <row r="100">
      <c r="A100" s="13" t="inlineStr">
        <is>
          <t>K-M10-06</t>
        </is>
      </c>
      <c r="B100" s="13" t="inlineStr">
        <is>
          <t>M10</t>
        </is>
      </c>
      <c r="C100" s="13" t="inlineStr">
        <is>
          <t>Core</t>
        </is>
      </c>
      <c r="D100" s="13" t="inlineStr">
        <is>
          <t>UAT in a vendor project: scripts, environments, defect triage</t>
        </is>
      </c>
      <c r="E100" s="13" t="inlineStr">
        <is>
          <t>Explain how UAT will run on e2open and how defects are triaged between the team and the vendor.</t>
        </is>
      </c>
      <c r="F100" s="13" t="inlineStr">
        <is>
          <t>Vendor</t>
        </is>
      </c>
      <c r="G100" s="13" t="inlineStr">
        <is>
          <t>docs/templates/bsa/05-uat-test-plan.md</t>
        </is>
      </c>
      <c r="H100" s="13" t="n">
        <v>13</v>
      </c>
      <c r="I100" s="15">
        <f>ProgramStart+(H100-1)*7</f>
        <v/>
      </c>
      <c r="J100" s="14" t="inlineStr">
        <is>
          <t>Not started</t>
        </is>
      </c>
      <c r="K100" s="16" t="n"/>
      <c r="L100" s="14" t="n"/>
      <c r="M100" s="14" t="n"/>
      <c r="N100" s="13" t="inlineStr">
        <is>
          <t>Who triages a UAT defect on e2open, and how do you tell a defect from a configuration question?</t>
        </is>
      </c>
      <c r="O100" s="14" t="n"/>
    </row>
  </sheetData>
  <autoFilter ref="A4:O100"/>
  <conditionalFormatting sqref="J5:J100">
    <cfRule type="expression" priority="1" dxfId="2">
      <formula>AND(TODAY()&gt;$I5+4,$J5&lt;&gt;"Covered",$J5&lt;&gt;"Teach-back done")</formula>
    </cfRule>
    <cfRule type="expression" priority="2" dxfId="0">
      <formula>$J5="Teach-back done"</formula>
    </cfRule>
  </conditionalFormatting>
  <dataValidations count="3">
    <dataValidation sqref="J5:J100" showDropDown="0" showInputMessage="0" showErrorMessage="0" allowBlank="1" type="list">
      <formula1>"Not started,In progress,Covered,Teach-back done"</formula1>
    </dataValidation>
    <dataValidation sqref="L5:L100" showDropDown="0" showInputMessage="1" showErrorMessage="0" allowBlank="1" prompt="1 = lost, 5 = could teach it" type="list">
      <formula1>"1,2,3,4,5"</formula1>
    </dataValidation>
    <dataValidation sqref="M5:M100"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34" customWidth="1" min="3" max="3"/>
    <col width="18" customWidth="1" min="4" max="4"/>
    <col width="14" customWidth="1" min="5" max="5"/>
    <col width="26" customWidth="1" min="6" max="6"/>
    <col width="22" customWidth="1" min="7" max="7"/>
    <col width="12" customWidth="1" min="8" max="8"/>
    <col width="18" customWidth="1" min="9" max="9"/>
    <col width="14" customWidth="1" min="10" max="10"/>
    <col width="13" customWidth="1" min="11" max="11"/>
    <col width="28" customWidth="1" min="12" max="12"/>
    <col width="12" customWidth="1" min="13" max="13"/>
    <col width="13" customWidth="1" min="14" max="14"/>
    <col width="13" customWidth="1" min="15" max="15"/>
    <col width="24" customWidth="1" min="16" max="16"/>
    <col width="12" customWidth="1" min="17" max="17"/>
  </cols>
  <sheetData>
    <row r="1">
      <c r="A1" s="1" t="inlineStr">
        <is>
          <t>Custom tool inventory</t>
        </is>
      </c>
    </row>
    <row r="2">
      <c r="A2" s="2" t="inlineStr">
        <is>
          <t>Built by the hires in week 2. One row per tool; one tool doc per row (docs/templates/knowledge/tool-doc.md).</t>
        </is>
      </c>
    </row>
    <row r="4">
      <c r="A4" s="12" t="inlineStr">
        <is>
          <t>Tool ID</t>
        </is>
      </c>
      <c r="B4" s="12" t="inlineStr">
        <is>
          <t>Tool name</t>
        </is>
      </c>
      <c r="C4" s="12" t="inlineStr">
        <is>
          <t>Purpose / process supported</t>
        </is>
      </c>
      <c r="D4" s="12" t="inlineStr">
        <is>
          <t>Business users</t>
        </is>
      </c>
      <c r="E4" s="12" t="inlineStr">
        <is>
          <t>Stack</t>
        </is>
      </c>
      <c r="F4" s="12" t="inlineStr">
        <is>
          <t>Where code / file lives</t>
        </is>
      </c>
      <c r="G4" s="12" t="inlineStr">
        <is>
          <t>Data sources</t>
        </is>
      </c>
      <c r="H4" s="12" t="inlineStr">
        <is>
          <t>Run frequency</t>
        </is>
      </c>
      <c r="I4" s="12" t="inlineStr">
        <is>
          <t>Knowledge holder today</t>
        </is>
      </c>
      <c r="J4" s="12" t="inlineStr">
        <is>
          <t>Backup</t>
        </is>
      </c>
      <c r="K4" s="12" t="inlineStr">
        <is>
          <t>Documentation</t>
        </is>
      </c>
      <c r="L4" s="12" t="inlineStr">
        <is>
          <t>Known issues</t>
        </is>
      </c>
      <c r="M4" s="12" t="inlineStr">
        <is>
          <t>Risk if it breaks</t>
        </is>
      </c>
      <c r="N4" s="12" t="inlineStr">
        <is>
          <t>e2open impact</t>
        </is>
      </c>
      <c r="O4" s="12" t="inlineStr">
        <is>
          <t>Assigned learner</t>
        </is>
      </c>
      <c r="P4" s="12" t="inlineStr">
        <is>
          <t>Tool doc link</t>
        </is>
      </c>
      <c r="Q4" s="12" t="inlineStr">
        <is>
          <t>Target doc date</t>
        </is>
      </c>
    </row>
    <row r="5">
      <c r="A5" s="13" t="inlineStr">
        <is>
          <t>T-01</t>
        </is>
      </c>
      <c r="B5" s="14" t="inlineStr">
        <is>
          <t>[COMPANY: tool 1]</t>
        </is>
      </c>
      <c r="C5" s="14" t="n"/>
      <c r="D5" s="14" t="n"/>
      <c r="E5" s="14" t="n"/>
      <c r="F5" s="14" t="n"/>
      <c r="G5" s="14" t="n"/>
      <c r="H5" s="14" t="n"/>
      <c r="I5" s="14" t="n"/>
      <c r="J5" s="14" t="n"/>
      <c r="K5" s="14" t="n"/>
      <c r="L5" s="14" t="n"/>
      <c r="M5" s="14" t="n"/>
      <c r="N5" s="14" t="n"/>
      <c r="O5" s="14" t="n"/>
      <c r="P5" s="14" t="n"/>
      <c r="Q5" s="16" t="n"/>
    </row>
    <row r="6">
      <c r="A6" s="13" t="inlineStr">
        <is>
          <t>T-02</t>
        </is>
      </c>
      <c r="B6" s="14" t="inlineStr">
        <is>
          <t>[COMPANY: tool 2]</t>
        </is>
      </c>
      <c r="C6" s="14" t="n"/>
      <c r="D6" s="14" t="n"/>
      <c r="E6" s="14" t="n"/>
      <c r="F6" s="14" t="n"/>
      <c r="G6" s="14" t="n"/>
      <c r="H6" s="14" t="n"/>
      <c r="I6" s="14" t="n"/>
      <c r="J6" s="14" t="n"/>
      <c r="K6" s="14" t="n"/>
      <c r="L6" s="14" t="n"/>
      <c r="M6" s="14" t="n"/>
      <c r="N6" s="14" t="n"/>
      <c r="O6" s="14" t="n"/>
      <c r="P6" s="14" t="n"/>
      <c r="Q6" s="16" t="n"/>
    </row>
    <row r="7">
      <c r="A7" s="13" t="inlineStr">
        <is>
          <t>T-03</t>
        </is>
      </c>
      <c r="B7" s="14" t="inlineStr">
        <is>
          <t>[COMPANY: tool 3]</t>
        </is>
      </c>
      <c r="C7" s="14" t="n"/>
      <c r="D7" s="14" t="n"/>
      <c r="E7" s="14" t="n"/>
      <c r="F7" s="14" t="n"/>
      <c r="G7" s="14" t="n"/>
      <c r="H7" s="14" t="n"/>
      <c r="I7" s="14" t="n"/>
      <c r="J7" s="14" t="n"/>
      <c r="K7" s="14" t="n"/>
      <c r="L7" s="14" t="n"/>
      <c r="M7" s="14" t="n"/>
      <c r="N7" s="14" t="n"/>
      <c r="O7" s="14" t="n"/>
      <c r="P7" s="14" t="n"/>
      <c r="Q7" s="16" t="n"/>
    </row>
    <row r="8">
      <c r="A8" s="13" t="inlineStr">
        <is>
          <t>T-04</t>
        </is>
      </c>
      <c r="B8" s="14" t="inlineStr">
        <is>
          <t>[COMPANY: tool 4]</t>
        </is>
      </c>
      <c r="C8" s="14" t="n"/>
      <c r="D8" s="14" t="n"/>
      <c r="E8" s="14" t="n"/>
      <c r="F8" s="14" t="n"/>
      <c r="G8" s="14" t="n"/>
      <c r="H8" s="14" t="n"/>
      <c r="I8" s="14" t="n"/>
      <c r="J8" s="14" t="n"/>
      <c r="K8" s="14" t="n"/>
      <c r="L8" s="14" t="n"/>
      <c r="M8" s="14" t="n"/>
      <c r="N8" s="14" t="n"/>
      <c r="O8" s="14" t="n"/>
      <c r="P8" s="14" t="n"/>
      <c r="Q8" s="16" t="n"/>
    </row>
    <row r="9">
      <c r="A9" s="13" t="inlineStr">
        <is>
          <t>T-05</t>
        </is>
      </c>
      <c r="B9" s="14" t="inlineStr">
        <is>
          <t>[COMPANY: tool 5]</t>
        </is>
      </c>
      <c r="C9" s="14" t="n"/>
      <c r="D9" s="14" t="n"/>
      <c r="E9" s="14" t="n"/>
      <c r="F9" s="14" t="n"/>
      <c r="G9" s="14" t="n"/>
      <c r="H9" s="14" t="n"/>
      <c r="I9" s="14" t="n"/>
      <c r="J9" s="14" t="n"/>
      <c r="K9" s="14" t="n"/>
      <c r="L9" s="14" t="n"/>
      <c r="M9" s="14" t="n"/>
      <c r="N9" s="14" t="n"/>
      <c r="O9" s="14" t="n"/>
      <c r="P9" s="14" t="n"/>
      <c r="Q9" s="16" t="n"/>
    </row>
    <row r="10">
      <c r="A10" s="13" t="inlineStr">
        <is>
          <t>T-06</t>
        </is>
      </c>
      <c r="B10" s="14" t="inlineStr">
        <is>
          <t>[COMPANY: tool 6]</t>
        </is>
      </c>
      <c r="C10" s="14" t="n"/>
      <c r="D10" s="14" t="n"/>
      <c r="E10" s="14" t="n"/>
      <c r="F10" s="14" t="n"/>
      <c r="G10" s="14" t="n"/>
      <c r="H10" s="14" t="n"/>
      <c r="I10" s="14" t="n"/>
      <c r="J10" s="14" t="n"/>
      <c r="K10" s="14" t="n"/>
      <c r="L10" s="14" t="n"/>
      <c r="M10" s="14" t="n"/>
      <c r="N10" s="14" t="n"/>
      <c r="O10" s="14" t="n"/>
      <c r="P10" s="14" t="n"/>
      <c r="Q10" s="16" t="n"/>
    </row>
    <row r="11">
      <c r="A11" s="13" t="inlineStr">
        <is>
          <t>T-07</t>
        </is>
      </c>
      <c r="B11" s="14" t="inlineStr">
        <is>
          <t>[COMPANY: tool 7]</t>
        </is>
      </c>
      <c r="C11" s="14" t="n"/>
      <c r="D11" s="14" t="n"/>
      <c r="E11" s="14" t="n"/>
      <c r="F11" s="14" t="n"/>
      <c r="G11" s="14" t="n"/>
      <c r="H11" s="14" t="n"/>
      <c r="I11" s="14" t="n"/>
      <c r="J11" s="14" t="n"/>
      <c r="K11" s="14" t="n"/>
      <c r="L11" s="14" t="n"/>
      <c r="M11" s="14" t="n"/>
      <c r="N11" s="14" t="n"/>
      <c r="O11" s="14" t="n"/>
      <c r="P11" s="14" t="n"/>
      <c r="Q11" s="16" t="n"/>
    </row>
    <row r="12">
      <c r="A12" s="13" t="inlineStr">
        <is>
          <t>T-08</t>
        </is>
      </c>
      <c r="B12" s="14" t="inlineStr">
        <is>
          <t>[COMPANY: tool 8]</t>
        </is>
      </c>
      <c r="C12" s="14" t="n"/>
      <c r="D12" s="14" t="n"/>
      <c r="E12" s="14" t="n"/>
      <c r="F12" s="14" t="n"/>
      <c r="G12" s="14" t="n"/>
      <c r="H12" s="14" t="n"/>
      <c r="I12" s="14" t="n"/>
      <c r="J12" s="14" t="n"/>
      <c r="K12" s="14" t="n"/>
      <c r="L12" s="14" t="n"/>
      <c r="M12" s="14" t="n"/>
      <c r="N12" s="14" t="n"/>
      <c r="O12" s="14" t="n"/>
      <c r="P12" s="14" t="n"/>
      <c r="Q12" s="16" t="n"/>
    </row>
    <row r="13">
      <c r="A13" s="13" t="inlineStr">
        <is>
          <t>T-09</t>
        </is>
      </c>
      <c r="B13" s="14" t="inlineStr">
        <is>
          <t>[COMPANY: tool 9]</t>
        </is>
      </c>
      <c r="C13" s="14" t="n"/>
      <c r="D13" s="14" t="n"/>
      <c r="E13" s="14" t="n"/>
      <c r="F13" s="14" t="n"/>
      <c r="G13" s="14" t="n"/>
      <c r="H13" s="14" t="n"/>
      <c r="I13" s="14" t="n"/>
      <c r="J13" s="14" t="n"/>
      <c r="K13" s="14" t="n"/>
      <c r="L13" s="14" t="n"/>
      <c r="M13" s="14" t="n"/>
      <c r="N13" s="14" t="n"/>
      <c r="O13" s="14" t="n"/>
      <c r="P13" s="14" t="n"/>
      <c r="Q13" s="16" t="n"/>
    </row>
    <row r="14">
      <c r="A14" s="13" t="inlineStr">
        <is>
          <t>T-10</t>
        </is>
      </c>
      <c r="B14" s="14" t="inlineStr">
        <is>
          <t>[COMPANY: tool 10]</t>
        </is>
      </c>
      <c r="C14" s="14" t="n"/>
      <c r="D14" s="14" t="n"/>
      <c r="E14" s="14" t="n"/>
      <c r="F14" s="14" t="n"/>
      <c r="G14" s="14" t="n"/>
      <c r="H14" s="14" t="n"/>
      <c r="I14" s="14" t="n"/>
      <c r="J14" s="14" t="n"/>
      <c r="K14" s="14" t="n"/>
      <c r="L14" s="14" t="n"/>
      <c r="M14" s="14" t="n"/>
      <c r="N14" s="14" t="n"/>
      <c r="O14" s="14" t="n"/>
      <c r="P14" s="14" t="n"/>
      <c r="Q14" s="16" t="n"/>
    </row>
    <row r="15">
      <c r="A15" s="13" t="inlineStr">
        <is>
          <t>T-11</t>
        </is>
      </c>
      <c r="B15" s="14" t="inlineStr">
        <is>
          <t>[COMPANY: tool 11]</t>
        </is>
      </c>
      <c r="C15" s="14" t="n"/>
      <c r="D15" s="14" t="n"/>
      <c r="E15" s="14" t="n"/>
      <c r="F15" s="14" t="n"/>
      <c r="G15" s="14" t="n"/>
      <c r="H15" s="14" t="n"/>
      <c r="I15" s="14" t="n"/>
      <c r="J15" s="14" t="n"/>
      <c r="K15" s="14" t="n"/>
      <c r="L15" s="14" t="n"/>
      <c r="M15" s="14" t="n"/>
      <c r="N15" s="14" t="n"/>
      <c r="O15" s="14" t="n"/>
      <c r="P15" s="14" t="n"/>
      <c r="Q15" s="16" t="n"/>
    </row>
    <row r="16">
      <c r="A16" s="13" t="inlineStr">
        <is>
          <t>T-12</t>
        </is>
      </c>
      <c r="B16" s="14" t="inlineStr">
        <is>
          <t>[COMPANY: tool 12]</t>
        </is>
      </c>
      <c r="C16" s="14" t="n"/>
      <c r="D16" s="14" t="n"/>
      <c r="E16" s="14" t="n"/>
      <c r="F16" s="14" t="n"/>
      <c r="G16" s="14" t="n"/>
      <c r="H16" s="14" t="n"/>
      <c r="I16" s="14" t="n"/>
      <c r="J16" s="14" t="n"/>
      <c r="K16" s="14" t="n"/>
      <c r="L16" s="14" t="n"/>
      <c r="M16" s="14" t="n"/>
      <c r="N16" s="14" t="n"/>
      <c r="O16" s="14" t="n"/>
      <c r="P16" s="14" t="n"/>
      <c r="Q16" s="16" t="n"/>
    </row>
    <row r="17">
      <c r="A17" s="13" t="inlineStr">
        <is>
          <t>T-13</t>
        </is>
      </c>
      <c r="B17" s="14" t="inlineStr">
        <is>
          <t>[COMPANY: tool 13]</t>
        </is>
      </c>
      <c r="C17" s="14" t="n"/>
      <c r="D17" s="14" t="n"/>
      <c r="E17" s="14" t="n"/>
      <c r="F17" s="14" t="n"/>
      <c r="G17" s="14" t="n"/>
      <c r="H17" s="14" t="n"/>
      <c r="I17" s="14" t="n"/>
      <c r="J17" s="14" t="n"/>
      <c r="K17" s="14" t="n"/>
      <c r="L17" s="14" t="n"/>
      <c r="M17" s="14" t="n"/>
      <c r="N17" s="14" t="n"/>
      <c r="O17" s="14" t="n"/>
      <c r="P17" s="14" t="n"/>
      <c r="Q17" s="16" t="n"/>
    </row>
    <row r="18">
      <c r="A18" s="13" t="inlineStr">
        <is>
          <t>T-14</t>
        </is>
      </c>
      <c r="B18" s="14" t="inlineStr">
        <is>
          <t>[COMPANY: tool 14]</t>
        </is>
      </c>
      <c r="C18" s="14" t="n"/>
      <c r="D18" s="14" t="n"/>
      <c r="E18" s="14" t="n"/>
      <c r="F18" s="14" t="n"/>
      <c r="G18" s="14" t="n"/>
      <c r="H18" s="14" t="n"/>
      <c r="I18" s="14" t="n"/>
      <c r="J18" s="14" t="n"/>
      <c r="K18" s="14" t="n"/>
      <c r="L18" s="14" t="n"/>
      <c r="M18" s="14" t="n"/>
      <c r="N18" s="14" t="n"/>
      <c r="O18" s="14" t="n"/>
      <c r="P18" s="14" t="n"/>
      <c r="Q18" s="16" t="n"/>
    </row>
    <row r="19">
      <c r="A19" s="13" t="inlineStr">
        <is>
          <t>T-15</t>
        </is>
      </c>
      <c r="B19" s="14" t="inlineStr">
        <is>
          <t>[COMPANY: tool 15]</t>
        </is>
      </c>
      <c r="C19" s="14" t="n"/>
      <c r="D19" s="14" t="n"/>
      <c r="E19" s="14" t="n"/>
      <c r="F19" s="14" t="n"/>
      <c r="G19" s="14" t="n"/>
      <c r="H19" s="14" t="n"/>
      <c r="I19" s="14" t="n"/>
      <c r="J19" s="14" t="n"/>
      <c r="K19" s="14" t="n"/>
      <c r="L19" s="14" t="n"/>
      <c r="M19" s="14" t="n"/>
      <c r="N19" s="14" t="n"/>
      <c r="O19" s="14" t="n"/>
      <c r="P19" s="14" t="n"/>
      <c r="Q19" s="16" t="n"/>
    </row>
  </sheetData>
  <autoFilter ref="A4:Q19"/>
  <conditionalFormatting sqref="M5:M19">
    <cfRule type="expression" priority="1" dxfId="2">
      <formula>$M5="High"</formula>
    </cfRule>
  </conditionalFormatting>
  <conditionalFormatting sqref="K5:K19">
    <cfRule type="expression" priority="2" dxfId="1">
      <formula>$K5="None"</formula>
    </cfRule>
  </conditionalFormatting>
  <dataValidations count="5">
    <dataValidation sqref="E5:E19" showDropDown="0" showInputMessage="0" showErrorMessage="0" allowBlank="1" type="list">
      <formula1>"Python,Excel VBA,Access,Power Apps,Power Automate,Other"</formula1>
    </dataValidation>
    <dataValidation sqref="K5:K19" showDropDown="0" showInputMessage="0" showErrorMessage="0" allowBlank="1" type="list">
      <formula1>"None,Partial,Complete"</formula1>
    </dataValidation>
    <dataValidation sqref="M5:M19" showDropDown="0" showInputMessage="0" showErrorMessage="0" allowBlank="1" type="list">
      <formula1>"High,Medium,Low"</formula1>
    </dataValidation>
    <dataValidation sqref="N5:N19" showDropDown="0" showInputMessage="0" showErrorMessage="0" allowBlank="1" type="list">
      <formula1>"Replaced,Integrates,Unaffected,TBD"</formula1>
    </dataValidation>
    <dataValidation sqref="O5:O19" showDropDown="0" showInputMessage="0" showErrorMessage="0" allowBlank="1" type="list">
      <formula1>"Hire A,Hire B,Senior,Manager"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2"/>
  <sheetViews>
    <sheetView workbookViewId="0">
      <pane ySplit="4" topLeftCell="A5" activePane="bottomLeft" state="frozen"/>
      <selection pane="bottomLeft" activeCell="A1" sqref="A1"/>
    </sheetView>
  </sheetViews>
  <sheetFormatPr baseColWidth="8" defaultRowHeight="15"/>
  <cols>
    <col width="28" customWidth="1" min="1" max="1"/>
    <col width="90" customWidth="1" min="2" max="2"/>
    <col width="10" customWidth="1" min="3" max="3"/>
    <col width="14" customWidth="1" min="4" max="4"/>
  </cols>
  <sheetData>
    <row r="1">
      <c r="A1" s="1" t="inlineStr">
        <is>
          <t>Glossary</t>
        </is>
      </c>
    </row>
    <row r="2">
      <c r="A2" s="2" t="inlineStr">
        <is>
          <t>Filter by country or category. Add company-specific terms on the company copy only.</t>
        </is>
      </c>
    </row>
    <row r="4">
      <c r="A4" s="12" t="inlineStr">
        <is>
          <t>Term</t>
        </is>
      </c>
      <c r="B4" s="12" t="inlineStr">
        <is>
          <t>Definition</t>
        </is>
      </c>
      <c r="C4" s="12" t="inlineStr">
        <is>
          <t>Country</t>
        </is>
      </c>
      <c r="D4" s="12" t="inlineStr">
        <is>
          <t>Category</t>
        </is>
      </c>
    </row>
    <row r="5">
      <c r="A5" s="13" t="inlineStr">
        <is>
          <t>ABI (Automated Broker Interface)</t>
        </is>
      </c>
      <c r="B5" s="13" t="inlineStr">
        <is>
          <t>The electronic interface brokers and self-filers use to transmit entry and entry summary data to ACE.</t>
        </is>
      </c>
      <c r="C5" s="13" t="inlineStr">
        <is>
          <t>US</t>
        </is>
      </c>
      <c r="D5" s="13" t="inlineStr">
        <is>
          <t>Customs</t>
        </is>
      </c>
    </row>
    <row r="6">
      <c r="A6" s="13" t="inlineStr">
        <is>
          <t>Acceptance criteria</t>
        </is>
      </c>
      <c r="B6" s="13" t="inlineStr">
        <is>
          <t>Specific, testable conditions a deliverable must meet to be accepted, agreed before work starts and often written as Given/When/Then.</t>
        </is>
      </c>
      <c r="C6" s="13" t="inlineStr">
        <is>
          <t>All</t>
        </is>
      </c>
      <c r="D6" s="13" t="inlineStr">
        <is>
          <t>BSA</t>
        </is>
      </c>
    </row>
    <row r="7">
      <c r="A7" s="13" t="inlineStr">
        <is>
          <t>Accumulation (USMCA)</t>
        </is>
      </c>
      <c r="B7" s="13" t="inlineStr">
        <is>
          <t>Rule that lets production and originating materials from any of the three USMCA countries count toward a good's origin.</t>
        </is>
      </c>
      <c r="C7" s="13" t="inlineStr">
        <is>
          <t>All</t>
        </is>
      </c>
      <c r="D7" s="13" t="inlineStr">
        <is>
          <t>Origin</t>
        </is>
      </c>
    </row>
    <row r="8">
      <c r="A8" s="13" t="inlineStr">
        <is>
          <t>ACE (Automated Commercial Environment)</t>
        </is>
      </c>
      <c r="B8" s="13" t="inlineStr">
        <is>
          <t>CBP's single-window system for import and export processing. Brokers file entries in it; the ACE Portal gives importers reports on their own entries.</t>
        </is>
      </c>
      <c r="C8" s="13" t="inlineStr">
        <is>
          <t>US</t>
        </is>
      </c>
      <c r="D8" s="13" t="inlineStr">
        <is>
          <t>Customs</t>
        </is>
      </c>
    </row>
    <row r="9">
      <c r="A9" s="13" t="inlineStr">
        <is>
          <t>Ad valorem, specific and compound duty</t>
        </is>
      </c>
      <c r="B9" s="13" t="inlineStr">
        <is>
          <t>Ad valorem duty is a percentage of customs value, specific duty a fixed amount per unit such as per kg, and compound duty combines both.</t>
        </is>
      </c>
      <c r="C9" s="13" t="inlineStr">
        <is>
          <t>All</t>
        </is>
      </c>
      <c r="D9" s="13" t="inlineStr">
        <is>
          <t>Customs</t>
        </is>
      </c>
    </row>
    <row r="10">
      <c r="A10" s="13" t="inlineStr">
        <is>
          <t>AD/CVD (antidumping and countervailing duties)</t>
        </is>
      </c>
      <c r="B10" s="13" t="inlineStr">
        <is>
          <t>Additional duties that offset dumping or subsidies on specific goods from specific countries, often by manufacturer. US cases run through Commerce and USITC; Canadian ones through CBSA and CITT.</t>
        </is>
      </c>
      <c r="C10" s="13" t="inlineStr">
        <is>
          <t>All</t>
        </is>
      </c>
      <c r="D10" s="13" t="inlineStr">
        <is>
          <t>Customs</t>
        </is>
      </c>
    </row>
    <row r="11">
      <c r="A11" s="13" t="inlineStr">
        <is>
          <t>AES and ACE AESDirect</t>
        </is>
      </c>
      <c r="B11" s="13" t="inlineStr">
        <is>
          <t>The Automated Export System is the export part of ACE where EEI is filed; ACE AESDirect is the Census Bureau's free web portal for filing it.</t>
        </is>
      </c>
      <c r="C11" s="13" t="inlineStr">
        <is>
          <t>US</t>
        </is>
      </c>
      <c r="D11" s="13" t="inlineStr">
        <is>
          <t>Exports</t>
        </is>
      </c>
    </row>
    <row r="12">
      <c r="A12" s="13" t="inlineStr">
        <is>
          <t>Agente aduanal</t>
        </is>
      </c>
      <c r="B12" s="13" t="inlineStr">
        <is>
          <t>Mexican customs broker holding a patente from the customs authority; files pedimentos for the importer. The importer remains liable, and the agente shares liability for the taxes.</t>
        </is>
      </c>
      <c r="C12" s="13" t="inlineStr">
        <is>
          <t>MX</t>
        </is>
      </c>
      <c r="D12" s="13" t="inlineStr">
        <is>
          <t>Customs</t>
        </is>
      </c>
    </row>
    <row r="13">
      <c r="A13" s="13" t="inlineStr">
        <is>
          <t>ANAM (Agencia Nacional de Aduanas de México)</t>
        </is>
      </c>
      <c r="B13" s="13" t="inlineStr">
        <is>
          <t>Mexico's customs agency since 2022, responsible for customs offices, inspections and customs operations.</t>
        </is>
      </c>
      <c r="C13" s="13" t="inlineStr">
        <is>
          <t>MX</t>
        </is>
      </c>
      <c r="D13" s="13" t="inlineStr">
        <is>
          <t>Customs</t>
        </is>
      </c>
    </row>
    <row r="14">
      <c r="A14" s="13" t="inlineStr">
        <is>
          <t>Anexo 24</t>
        </is>
      </c>
      <c r="B14" s="13" t="inlineStr">
        <is>
          <t>RGCE annex setting the automated inventory control system IMMEX companies must keep for temporary imports, tracking each input from entry to export or change of regime.</t>
        </is>
      </c>
      <c r="C14" s="13" t="inlineStr">
        <is>
          <t>MX</t>
        </is>
      </c>
      <c r="D14" s="13" t="inlineStr">
        <is>
          <t>Programs</t>
        </is>
      </c>
    </row>
    <row r="15">
      <c r="A15" s="13" t="inlineStr">
        <is>
          <t>Anexo 31</t>
        </is>
      </c>
      <c r="B15" s="13" t="inlineStr">
        <is>
          <t>RGCE annex for SAT's system of credit and guarantee accounts (SCCCyG), which tracks IVA and IEPS credits on certified companies' temporary imports until exports discharge them.</t>
        </is>
      </c>
      <c r="C15" s="13" t="inlineStr">
        <is>
          <t>MX</t>
        </is>
      </c>
      <c r="D15" s="13" t="inlineStr">
        <is>
          <t>Programs</t>
        </is>
      </c>
    </row>
    <row r="16">
      <c r="A16" s="13" t="inlineStr">
        <is>
          <t>As-is and to-be</t>
        </is>
      </c>
      <c r="B16" s="13" t="inlineStr">
        <is>
          <t>As-is documents how a process works today, workarounds included; to-be describes the target process after the change. The gaps between them drive requirements.</t>
        </is>
      </c>
      <c r="C16" s="13" t="inlineStr">
        <is>
          <t>All</t>
        </is>
      </c>
      <c r="D16" s="13" t="inlineStr">
        <is>
          <t>BSA</t>
        </is>
      </c>
    </row>
    <row r="17">
      <c r="A17" s="13" t="inlineStr">
        <is>
          <t>AS400 / IBM i</t>
        </is>
      </c>
      <c r="B17" s="13" t="inlineStr">
        <is>
          <t>IBM midrange platform; AS/400 is the original name and IBM i the current operating system. It runs our legacy trade system, which e2open will replace.</t>
        </is>
      </c>
      <c r="C17" s="13" t="inlineStr">
        <is>
          <t>Internal</t>
        </is>
      </c>
      <c r="D17" s="13" t="inlineStr">
        <is>
          <t>Systems</t>
        </is>
      </c>
    </row>
    <row r="18">
      <c r="A18" s="13" t="inlineStr">
        <is>
          <t>Assist</t>
        </is>
      </c>
      <c r="B18" s="13" t="inlineStr">
        <is>
          <t>A good or service the buyer supplies free or at reduced cost for producing imported goods, such as molds, tooling or engineering done abroad; its value is added to customs value.</t>
        </is>
      </c>
      <c r="C18" s="13" t="inlineStr">
        <is>
          <t>All</t>
        </is>
      </c>
      <c r="D18" s="13" t="inlineStr">
        <is>
          <t>Customs</t>
        </is>
      </c>
    </row>
    <row r="19">
      <c r="A19" s="13" t="inlineStr">
        <is>
          <t>Bill of materials for origin</t>
        </is>
      </c>
      <c r="B19" s="13" t="inlineStr">
        <is>
          <t>List of a good's components with HS classification, origin and value, used to test the product-specific rule; the core evidence behind a USMCA certification.</t>
        </is>
      </c>
      <c r="C19" s="13" t="inlineStr">
        <is>
          <t>All</t>
        </is>
      </c>
      <c r="D19" s="13" t="inlineStr">
        <is>
          <t>Origin</t>
        </is>
      </c>
    </row>
    <row r="20">
      <c r="A20" s="13" t="inlineStr">
        <is>
          <t>Binding ruling</t>
        </is>
      </c>
      <c r="B20" s="13" t="inlineStr">
        <is>
          <t>Written CBP decision (19 CFR Part 177) on classification, origin or value for a specifically described good; binding on CBP for that good. Canada and Mexico offer advance rulings too.</t>
        </is>
      </c>
      <c r="C20" s="13" t="inlineStr">
        <is>
          <t>US</t>
        </is>
      </c>
      <c r="D20" s="13" t="inlineStr">
        <is>
          <t>Classification</t>
        </is>
      </c>
    </row>
    <row r="21">
      <c r="A21" s="13" t="inlineStr">
        <is>
          <t>BIS (Bureau of Industry and Security)</t>
        </is>
      </c>
      <c r="B21" s="13" t="inlineStr">
        <is>
          <t>Department of Commerce bureau that administers and enforces the EAR, including the Commerce Control List and the Entity List.</t>
        </is>
      </c>
      <c r="C21" s="13" t="inlineStr">
        <is>
          <t>US</t>
        </is>
      </c>
      <c r="D21" s="13" t="inlineStr">
        <is>
          <t>Exports</t>
        </is>
      </c>
    </row>
    <row r="22">
      <c r="A22" s="13" t="inlineStr">
        <is>
          <t>Boundary rule</t>
        </is>
      </c>
      <c r="B22" s="13" t="inlineStr">
        <is>
          <t>Research owns the WHAT (legal scope, codes, rates, dates, stacking, sources); Standard Cost owns the $ (landed cost, margin, Oracle update, variance).</t>
        </is>
      </c>
      <c r="C22" s="13" t="inlineStr">
        <is>
          <t>Internal</t>
        </is>
      </c>
      <c r="D22" s="13" t="inlineStr">
        <is>
          <t>BSA</t>
        </is>
      </c>
    </row>
    <row r="23">
      <c r="A23" s="13" t="inlineStr">
        <is>
          <t>BRD (business requirements document)</t>
        </is>
      </c>
      <c r="B23" s="13" t="inlineStr">
        <is>
          <t>Document stating the business problem, scope, stakeholders, requirements and acceptance criteria for a change, approved before build starts.</t>
        </is>
      </c>
      <c r="C23" s="13" t="inlineStr">
        <is>
          <t>All</t>
        </is>
      </c>
      <c r="D23" s="13" t="inlineStr">
        <is>
          <t>BSA</t>
        </is>
      </c>
    </row>
    <row r="24">
      <c r="A24" s="13" t="inlineStr">
        <is>
          <t>Broker data exchange</t>
        </is>
      </c>
      <c r="B24" s="13" t="inlineStr">
        <is>
          <t>The files or messages we send each country's broker (classification, values, origin) and the entry data they return [COMPANY: broker interfaces and formats].</t>
        </is>
      </c>
      <c r="C24" s="13" t="inlineStr">
        <is>
          <t>Internal</t>
        </is>
      </c>
      <c r="D24" s="13" t="inlineStr">
        <is>
          <t>Systems</t>
        </is>
      </c>
    </row>
    <row r="25">
      <c r="A25" s="13" t="inlineStr">
        <is>
          <t>Business Number and RM account (BN15)</t>
        </is>
      </c>
      <c r="B25" s="13" t="inlineStr">
        <is>
          <t>A Canadian importer's 9-digit CRA Business Number plus its CBSA import-export (RM) program account; together the 15-character identifier on customs documents.</t>
        </is>
      </c>
      <c r="C25" s="13" t="inlineStr">
        <is>
          <t>CA</t>
        </is>
      </c>
      <c r="D25" s="13" t="inlineStr">
        <is>
          <t>Customs</t>
        </is>
      </c>
    </row>
    <row r="26">
      <c r="A26" s="13" t="inlineStr">
        <is>
          <t>CAD (Commercial Accounting Declaration)</t>
        </is>
      </c>
      <c r="B26" s="13" t="inlineStr">
        <is>
          <t>The CARM declaration that accounts for imported commercial goods: classification, value, origin, duties and taxes. It replaced the B3; corrections are filed as new versions.</t>
        </is>
      </c>
      <c r="C26" s="13" t="inlineStr">
        <is>
          <t>CA</t>
        </is>
      </c>
      <c r="D26" s="13" t="inlineStr">
        <is>
          <t>Customs</t>
        </is>
      </c>
    </row>
    <row r="27">
      <c r="A27" s="13" t="inlineStr">
        <is>
          <t>CARM (CBSA Assessment and Revenue Management)</t>
        </is>
      </c>
      <c r="B27" s="13" t="inlineStr">
        <is>
          <t>CBSA's system of record for assessing and collecting duties and taxes on commercial imports since October 2024, used through the CARM Client Portal.</t>
        </is>
      </c>
      <c r="C27" s="13" t="inlineStr">
        <is>
          <t>CA</t>
        </is>
      </c>
      <c r="D27" s="13" t="inlineStr">
        <is>
          <t>Customs</t>
        </is>
      </c>
    </row>
    <row r="28">
      <c r="A28" s="13" t="inlineStr">
        <is>
          <t>CBP (U.S. Customs and Border Protection)</t>
        </is>
      </c>
      <c r="B28" s="13" t="inlineStr">
        <is>
          <t>DHS agency that enforces US import and export laws, assesses and collects duties, taxes and fees, and releases goods at US ports of entry.</t>
        </is>
      </c>
      <c r="C28" s="13" t="inlineStr">
        <is>
          <t>US</t>
        </is>
      </c>
      <c r="D28" s="13" t="inlineStr">
        <is>
          <t>Customs</t>
        </is>
      </c>
    </row>
    <row r="29">
      <c r="A29" s="13" t="inlineStr">
        <is>
          <t>CBSA (Canada Border Services Agency)</t>
        </is>
      </c>
      <c r="B29" s="13" t="inlineStr">
        <is>
          <t>Federal agency that administers Canadian customs and trade laws, assesses and collects duties and taxes, and releases goods at the border.</t>
        </is>
      </c>
      <c r="C29" s="13" t="inlineStr">
        <is>
          <t>CA</t>
        </is>
      </c>
      <c r="D29" s="13" t="inlineStr">
        <is>
          <t>Customs</t>
        </is>
      </c>
    </row>
    <row r="30">
      <c r="A30" s="13" t="inlineStr">
        <is>
          <t>CCL (Commerce Control List)</t>
        </is>
      </c>
      <c r="B30" s="13" t="inlineStr">
        <is>
          <t>The EAR list of controlled items (Supplement No. 1 to 15 CFR Part 774), organized into 10 categories and 5 product groups and identified by ECCN.</t>
        </is>
      </c>
      <c r="C30" s="13" t="inlineStr">
        <is>
          <t>US</t>
        </is>
      </c>
      <c r="D30" s="13" t="inlineStr">
        <is>
          <t>Exports</t>
        </is>
      </c>
    </row>
    <row r="31">
      <c r="A31" s="13" t="inlineStr">
        <is>
          <t>CERS (Canadian Export Reporting System)</t>
        </is>
      </c>
      <c r="B31" s="13" t="inlineStr">
        <is>
          <t>CBSA's free web portal for filing export declarations for goods leaving Canada; it normally requires a valid BN15.</t>
        </is>
      </c>
      <c r="C31" s="13" t="inlineStr">
        <is>
          <t>CA</t>
        </is>
      </c>
      <c r="D31" s="13" t="inlineStr">
        <is>
          <t>Exports</t>
        </is>
      </c>
    </row>
    <row r="32">
      <c r="A32" s="13" t="inlineStr">
        <is>
          <t>Certification of origin (USMCA)</t>
        </is>
      </c>
      <c r="B32" s="13" t="inlineStr">
        <is>
          <t>Statement by the importer, exporter or producer, in any format, containing the nine minimum data elements of Annex 5-A; it can cover one shipment or a blanket period of up to 12 months.</t>
        </is>
      </c>
      <c r="C32" s="13" t="inlineStr">
        <is>
          <t>All</t>
        </is>
      </c>
      <c r="D32" s="13" t="inlineStr">
        <is>
          <t>Origin</t>
        </is>
      </c>
    </row>
    <row r="33">
      <c r="A33" s="13" t="inlineStr">
        <is>
          <t>Change request</t>
        </is>
      </c>
      <c r="B33" s="13" t="inlineStr">
        <is>
          <t>Documented request to change a system or tool, with reason, impact, test evidence, rollback plan and approvals, completed before the change reaches production.</t>
        </is>
      </c>
      <c r="C33" s="13" t="inlineStr">
        <is>
          <t>All</t>
        </is>
      </c>
      <c r="D33" s="13" t="inlineStr">
        <is>
          <t>BSA</t>
        </is>
      </c>
    </row>
    <row r="34">
      <c r="A34" s="13" t="inlineStr">
        <is>
          <t>Chapter 98 (HTSUS)</t>
        </is>
      </c>
      <c r="B34" s="13" t="inlineStr">
        <is>
          <t>Special classification provisions, such as US goods returned or assembled abroad, that can reduce or remove duty when their conditions and documentation are met.</t>
        </is>
      </c>
      <c r="C34" s="13" t="inlineStr">
        <is>
          <t>US</t>
        </is>
      </c>
      <c r="D34" s="13" t="inlineStr">
        <is>
          <t>Classification</t>
        </is>
      </c>
    </row>
    <row r="35">
      <c r="A35" s="13" t="inlineStr">
        <is>
          <t>Chapter 99 (HTSUS)</t>
        </is>
      </c>
      <c r="B35" s="13" t="inlineStr">
        <is>
          <t>Temporary legislation and additional import duties, such as Section 232 and Section 301 measures, reported as an extra HTS number alongside the regular Chapter 1-97 classification.</t>
        </is>
      </c>
      <c r="C35" s="13" t="inlineStr">
        <is>
          <t>US</t>
        </is>
      </c>
      <c r="D35" s="13" t="inlineStr">
        <is>
          <t>Classification</t>
        </is>
      </c>
    </row>
    <row r="36">
      <c r="A36" s="13" t="inlineStr">
        <is>
          <t>CIF (Cost, Insurance and Freight)</t>
        </is>
      </c>
      <c r="B36" s="13" t="inlineStr">
        <is>
          <t>Sea term: seller pays freight and minimum insurance to the destination port, but risk passes when the goods are loaded on the vessel at origin.</t>
        </is>
      </c>
      <c r="C36" s="13" t="inlineStr">
        <is>
          <t>All</t>
        </is>
      </c>
      <c r="D36" s="13" t="inlineStr">
        <is>
          <t>Cost</t>
        </is>
      </c>
    </row>
    <row r="37">
      <c r="A37" s="13" t="inlineStr">
        <is>
          <t>CIP (Carriage and Insurance Paid To)</t>
        </is>
      </c>
      <c r="B37" s="13" t="inlineStr">
        <is>
          <t>Any-mode version of CIF; Incoterms 2020 requires the seller to buy broader insurance cover (Institute Cargo Clauses A).</t>
        </is>
      </c>
      <c r="C37" s="13" t="inlineStr">
        <is>
          <t>All</t>
        </is>
      </c>
      <c r="D37" s="13" t="inlineStr">
        <is>
          <t>Cost</t>
        </is>
      </c>
    </row>
    <row r="38">
      <c r="A38" s="13" t="inlineStr">
        <is>
          <t>Control total</t>
        </is>
      </c>
      <c r="B38" s="13" t="inlineStr">
        <is>
          <t>A known total, such as a row count, value or duty amount, used to prove data was extracted or transformed completely and correctly.</t>
        </is>
      </c>
      <c r="C38" s="13" t="inlineStr">
        <is>
          <t>All</t>
        </is>
      </c>
      <c r="D38" s="13" t="inlineStr">
        <is>
          <t>Data</t>
        </is>
      </c>
    </row>
    <row r="39">
      <c r="A39" s="13" t="inlineStr">
        <is>
          <t>Cost element</t>
        </is>
      </c>
      <c r="B39" s="13" t="inlineStr">
        <is>
          <t>A bucket within an item's cost in the ERP, such as material or material overhead. Which element holds freight and duty is a setup choice [COMPANY: Oracle cost element setup].</t>
        </is>
      </c>
      <c r="C39" s="13" t="inlineStr">
        <is>
          <t>All</t>
        </is>
      </c>
      <c r="D39" s="13" t="inlineStr">
        <is>
          <t>Cost</t>
        </is>
      </c>
    </row>
    <row r="40">
      <c r="A40" s="13" t="inlineStr">
        <is>
          <t>Cost update (cost roll)</t>
        </is>
      </c>
      <c r="B40" s="13" t="inlineStr">
        <is>
          <t>Periodic process that calculates new standard costs, rolls up their components, and loads them to the ERP, revaluing on-hand inventory. Here it needs Finance and checker sign-off.</t>
        </is>
      </c>
      <c r="C40" s="13" t="inlineStr">
        <is>
          <t>All</t>
        </is>
      </c>
      <c r="D40" s="13" t="inlineStr">
        <is>
          <t>Cost</t>
        </is>
      </c>
    </row>
    <row r="41">
      <c r="A41" s="13" t="inlineStr">
        <is>
          <t>CROSS</t>
        </is>
      </c>
      <c r="B41" s="13" t="inlineStr">
        <is>
          <t>CBP's Customs Rulings Online Search System: a free, searchable database of CBP rulings on classification, origin and valuation since 1989, used to support our classification decisions.</t>
        </is>
      </c>
      <c r="C41" s="13" t="inlineStr">
        <is>
          <t>US</t>
        </is>
      </c>
      <c r="D41" s="13" t="inlineStr">
        <is>
          <t>Classification</t>
        </is>
      </c>
    </row>
    <row r="42">
      <c r="A42" s="13" t="inlineStr">
        <is>
          <t>CSMS (Cargo Systems Messaging Service)</t>
        </is>
      </c>
      <c r="B42" s="13" t="inlineStr">
        <is>
          <t>CBP's official messages to the trade about ACE changes and how new tariff actions must be filed; a primary source for Research alongside the Federal Register.</t>
        </is>
      </c>
      <c r="C42" s="13" t="inlineStr">
        <is>
          <t>US</t>
        </is>
      </c>
      <c r="D42" s="13" t="inlineStr">
        <is>
          <t>Customs</t>
        </is>
      </c>
    </row>
    <row r="43">
      <c r="A43" s="13" t="inlineStr">
        <is>
          <t>CUSMA</t>
        </is>
      </c>
      <c r="B43" s="13" t="inlineStr">
        <is>
          <t>Canada-United States-Mexico Agreement: Canada's name for USMCA. Same agreement as USMCA and T-MEC.</t>
        </is>
      </c>
      <c r="C43" s="13" t="inlineStr">
        <is>
          <t>CA</t>
        </is>
      </c>
      <c r="D43" s="13" t="inlineStr">
        <is>
          <t>Origin</t>
        </is>
      </c>
    </row>
    <row r="44">
      <c r="A44" s="13" t="inlineStr">
        <is>
          <t>Customs bond</t>
        </is>
      </c>
      <c r="B44" s="13" t="inlineStr">
        <is>
          <t>Surety contract guaranteeing payment of duties, taxes and penalties to CBP; required for formal entries. A continuous bond covers a year of entries, a single-transaction bond one entry.</t>
        </is>
      </c>
      <c r="C44" s="13" t="inlineStr">
        <is>
          <t>US</t>
        </is>
      </c>
      <c r="D44" s="13" t="inlineStr">
        <is>
          <t>Customs</t>
        </is>
      </c>
    </row>
    <row r="45">
      <c r="A45" s="13" t="inlineStr">
        <is>
          <t>Customs broker</t>
        </is>
      </c>
      <c r="B45" s="13" t="inlineStr">
        <is>
          <t>Licensed intermediary who files import declarations for the importer: CBP-licensed in the US, CBSA-licensed in Canada, an agente aduanal in Mexico. The importer stays responsible for the data.</t>
        </is>
      </c>
      <c r="C45" s="13" t="inlineStr">
        <is>
          <t>All</t>
        </is>
      </c>
      <c r="D45" s="13" t="inlineStr">
        <is>
          <t>Customs</t>
        </is>
      </c>
    </row>
    <row r="46">
      <c r="A46" s="13" t="inlineStr">
        <is>
          <t>Customs Tariff (Canada)</t>
        </is>
      </c>
      <c r="B46" s="13" t="inlineStr">
        <is>
          <t>Canadian statute whose schedule sets classification and duty rates by tariff treatment; tariff items are 8 digits plus a 2-digit statistical suffix.</t>
        </is>
      </c>
      <c r="C46" s="13" t="inlineStr">
        <is>
          <t>CA</t>
        </is>
      </c>
      <c r="D46" s="13" t="inlineStr">
        <is>
          <t>Classification</t>
        </is>
      </c>
    </row>
    <row r="47">
      <c r="A47" s="13" t="inlineStr">
        <is>
          <t>Customs value (Mexico)</t>
        </is>
      </c>
      <c r="B47" s="13" t="inlineStr">
        <is>
          <t>Mexico's valor en aduana: transaction value plus additions such as freight and insurance to the point of entry, giving a CIF-like base, unlike the US and Canada.</t>
        </is>
      </c>
      <c r="C47" s="13" t="inlineStr">
        <is>
          <t>MX</t>
        </is>
      </c>
      <c r="D47" s="13" t="inlineStr">
        <is>
          <t>Customs</t>
        </is>
      </c>
    </row>
    <row r="48">
      <c r="A48" s="13" t="inlineStr">
        <is>
          <t>Cutover</t>
        </is>
      </c>
      <c r="B48" s="13" t="inlineStr">
        <is>
          <t>The planned, rehearsed switch from the old system to the new one: final data migration, go/no-go decision and fallback plan.</t>
        </is>
      </c>
      <c r="C48" s="13" t="inlineStr">
        <is>
          <t>All</t>
        </is>
      </c>
      <c r="D48" s="13" t="inlineStr">
        <is>
          <t>BSA</t>
        </is>
      </c>
    </row>
    <row r="49">
      <c r="A49" s="13" t="inlineStr">
        <is>
          <t>D-Memoranda</t>
        </is>
      </c>
      <c r="B49" s="13" t="inlineStr">
        <is>
          <t>CBSA departmental memoranda explaining how customs laws are applied, such as D10 classification, D11 origin, D13 valuation and D17 accounting; the operational rulebook for Canada.</t>
        </is>
      </c>
      <c r="C49" s="13" t="inlineStr">
        <is>
          <t>CA</t>
        </is>
      </c>
      <c r="D49" s="13" t="inlineStr">
        <is>
          <t>Customs</t>
        </is>
      </c>
    </row>
    <row r="50">
      <c r="A50" s="13" t="inlineStr">
        <is>
          <t>DAP (Delivered at Place)</t>
        </is>
      </c>
      <c r="B50" s="13" t="inlineStr">
        <is>
          <t>Seller bears transport and risk to the named destination, ready for unloading; the buyer handles import clearance and pays duties.</t>
        </is>
      </c>
      <c r="C50" s="13" t="inlineStr">
        <is>
          <t>All</t>
        </is>
      </c>
      <c r="D50" s="13" t="inlineStr">
        <is>
          <t>Cost</t>
        </is>
      </c>
    </row>
    <row r="51">
      <c r="A51" s="13" t="inlineStr">
        <is>
          <t>Data mapping</t>
        </is>
      </c>
      <c r="B51" s="13" t="inlineStr">
        <is>
          <t>Specifying field by field how source data moves to a target system, including transformations, defaults, validation rules and known data-quality issues.</t>
        </is>
      </c>
      <c r="C51" s="13" t="inlineStr">
        <is>
          <t>All</t>
        </is>
      </c>
      <c r="D51" s="13" t="inlineStr">
        <is>
          <t>BSA</t>
        </is>
      </c>
    </row>
    <row r="52">
      <c r="A52" s="13" t="inlineStr">
        <is>
          <t>Data profiling</t>
        </is>
      </c>
      <c r="B52" s="13" t="inlineStr">
        <is>
          <t>Systematic checking of a dataset for completeness, validity and consistency, such as nulls, invalid HTS codes, duplicates and outliers; issues become cleansing candidates with an owner.</t>
        </is>
      </c>
      <c r="C52" s="13" t="inlineStr">
        <is>
          <t>All</t>
        </is>
      </c>
      <c r="D52" s="13" t="inlineStr">
        <is>
          <t>Data</t>
        </is>
      </c>
    </row>
    <row r="53">
      <c r="A53" s="13" t="inlineStr">
        <is>
          <t>Data warehouse</t>
        </is>
      </c>
      <c r="B53" s="13" t="inlineStr">
        <is>
          <t>A database built for reporting that integrates data from source systems such as AS400, Oracle and broker files on a schedule, usually as fact and dimension tables.</t>
        </is>
      </c>
      <c r="C53" s="13" t="inlineStr">
        <is>
          <t>All</t>
        </is>
      </c>
      <c r="D53" s="13" t="inlineStr">
        <is>
          <t>Data</t>
        </is>
      </c>
    </row>
    <row r="54">
      <c r="A54" s="13" t="inlineStr">
        <is>
          <t>DAX (Data Analysis Expressions)</t>
        </is>
      </c>
      <c r="B54" s="13" t="inlineStr">
        <is>
          <t>Formula language for Power BI measures and calculated columns; CALCULATE evaluates an expression under a modified filter context.</t>
        </is>
      </c>
      <c r="C54" s="13" t="inlineStr">
        <is>
          <t>All</t>
        </is>
      </c>
      <c r="D54" s="13" t="inlineStr">
        <is>
          <t>Data</t>
        </is>
      </c>
    </row>
    <row r="55">
      <c r="A55" s="13" t="inlineStr">
        <is>
          <t>Db2 for i</t>
        </is>
      </c>
      <c r="B55" s="13" t="inlineStr">
        <is>
          <t>The relational database built into IBM i. Libraries act as schemas, physical files as tables, and logical files as views or indexes; it can be queried with SQL.</t>
        </is>
      </c>
      <c r="C55" s="13" t="inlineStr">
        <is>
          <t>All</t>
        </is>
      </c>
      <c r="D55" s="13" t="inlineStr">
        <is>
          <t>Systems</t>
        </is>
      </c>
    </row>
    <row r="56">
      <c r="A56" s="13" t="inlineStr">
        <is>
          <t>DDP (Delivered Duty Paid)</t>
        </is>
      </c>
      <c r="B56" s="13" t="inlineStr">
        <is>
          <t>Seller bears all costs and risk to the destination, including import clearance and duties, so it typically acts as importer of record.</t>
        </is>
      </c>
      <c r="C56" s="13" t="inlineStr">
        <is>
          <t>All</t>
        </is>
      </c>
      <c r="D56" s="13" t="inlineStr">
        <is>
          <t>Cost</t>
        </is>
      </c>
    </row>
    <row r="57">
      <c r="A57" s="13" t="inlineStr">
        <is>
          <t>De minimis (USMCA)</t>
        </is>
      </c>
      <c r="B57" s="13" t="inlineStr">
        <is>
          <t>Lets a good originate even though some non-originating materials fail the tariff shift, if those materials are no more than 10 percent of the good's value; exceptions apply.</t>
        </is>
      </c>
      <c r="C57" s="13" t="inlineStr">
        <is>
          <t>All</t>
        </is>
      </c>
      <c r="D57" s="13" t="inlineStr">
        <is>
          <t>Origin</t>
        </is>
      </c>
    </row>
    <row r="58">
      <c r="A58" s="13" t="inlineStr">
        <is>
          <t>Definition of done</t>
        </is>
      </c>
      <c r="B58" s="13" t="inlineStr">
        <is>
          <t>The team's checklist every work item must meet before it is closed, such as tested, checker-reviewed, documented and stakeholder informed.</t>
        </is>
      </c>
      <c r="C58" s="13" t="inlineStr">
        <is>
          <t>All</t>
        </is>
      </c>
      <c r="D58" s="13" t="inlineStr">
        <is>
          <t>BSA</t>
        </is>
      </c>
    </row>
    <row r="59">
      <c r="A59" s="13" t="inlineStr">
        <is>
          <t>DOF (Diario Oficial de la Federación)</t>
        </is>
      </c>
      <c r="B59" s="13" t="inlineStr">
        <is>
          <t>Mexico's official gazette, where TIGIE changes, decrees and RGCE amendments are published; the legal source for Mexican tariff research.</t>
        </is>
      </c>
      <c r="C59" s="13" t="inlineStr">
        <is>
          <t>MX</t>
        </is>
      </c>
      <c r="D59" s="13" t="inlineStr">
        <is>
          <t>Customs</t>
        </is>
      </c>
    </row>
    <row r="60">
      <c r="A60" s="13" t="inlineStr">
        <is>
          <t>DTA (Derecho de Trámite Aduanero)</t>
        </is>
      </c>
      <c r="B60" s="13" t="inlineStr">
        <is>
          <t>Mexican customs processing fee charged on pedimentos, either a percentage of customs value or a fixed amount depending on the regime.</t>
        </is>
      </c>
      <c r="C60" s="13" t="inlineStr">
        <is>
          <t>MX</t>
        </is>
      </c>
      <c r="D60" s="13" t="inlineStr">
        <is>
          <t>Customs</t>
        </is>
      </c>
    </row>
    <row r="61">
      <c r="A61" s="13" t="inlineStr">
        <is>
          <t>Duty base</t>
        </is>
      </c>
      <c r="B61" s="13" t="inlineStr">
        <is>
          <t>The value a duty rate is applied to: an FOB-like customs value in the US and Canada, CIF-like in Mexico. Some actions tax only part of the value; read the legal text.</t>
        </is>
      </c>
      <c r="C61" s="13" t="inlineStr">
        <is>
          <t>All</t>
        </is>
      </c>
      <c r="D61" s="13" t="inlineStr">
        <is>
          <t>Cost</t>
        </is>
      </c>
    </row>
    <row r="62">
      <c r="A62" s="13" t="inlineStr">
        <is>
          <t>Duty drawback</t>
        </is>
      </c>
      <c r="B62" s="13" t="inlineStr">
        <is>
          <t>Refund of up to 99 percent of certain duties, taxes and fees paid on imports when the goods, or permitted substitutes, are exported or destroyed (19 CFR Part 190). The Senior owns it here.</t>
        </is>
      </c>
      <c r="C62" s="13" t="inlineStr">
        <is>
          <t>US</t>
        </is>
      </c>
      <c r="D62" s="13" t="inlineStr">
        <is>
          <t>Programs</t>
        </is>
      </c>
    </row>
    <row r="63">
      <c r="A63" s="13" t="inlineStr">
        <is>
          <t>e.firma</t>
        </is>
      </c>
      <c r="B63" s="13" t="inlineStr">
        <is>
          <t>SAT-issued advanced electronic signature (formerly FIEL) used to sign SAT and VUCEM filings, including padrón registration.</t>
        </is>
      </c>
      <c r="C63" s="13" t="inlineStr">
        <is>
          <t>MX</t>
        </is>
      </c>
      <c r="D63" s="13" t="inlineStr">
        <is>
          <t>Customs</t>
        </is>
      </c>
    </row>
    <row r="64">
      <c r="A64" s="13" t="inlineStr">
        <is>
          <t>e2open</t>
        </is>
      </c>
      <c r="B64" s="13" t="inlineStr">
        <is>
          <t>Supply chain software vendor whose Global Trade Management applications will replace our AS400 trade system; the project starts January 2027 [COMPANY: confirm scope and kickoff date].</t>
        </is>
      </c>
      <c r="C64" s="13" t="inlineStr">
        <is>
          <t>Internal</t>
        </is>
      </c>
      <c r="D64" s="13" t="inlineStr">
        <is>
          <t>Systems</t>
        </is>
      </c>
    </row>
    <row r="65">
      <c r="A65" s="13" t="inlineStr">
        <is>
          <t>EAR (Export Administration Regulations)</t>
        </is>
      </c>
      <c r="B65" s="13" t="inlineStr">
        <is>
          <t>Rules at 15 CFR Parts 730-774, administered by BIS, controlling exports, reexports and transfers of commercial and dual-use items.</t>
        </is>
      </c>
      <c r="C65" s="13" t="inlineStr">
        <is>
          <t>US</t>
        </is>
      </c>
      <c r="D65" s="13" t="inlineStr">
        <is>
          <t>Exports</t>
        </is>
      </c>
    </row>
    <row r="66">
      <c r="A66" s="13" t="inlineStr">
        <is>
          <t>EAR99</t>
        </is>
      </c>
      <c r="B66" s="13" t="inlineStr">
        <is>
          <t>Designation for items subject to the EAR but not on the CCL; usually no license is needed, except for embargoed destinations, prohibited end uses or restricted parties.</t>
        </is>
      </c>
      <c r="C66" s="13" t="inlineStr">
        <is>
          <t>US</t>
        </is>
      </c>
      <c r="D66" s="13" t="inlineStr">
        <is>
          <t>Exports</t>
        </is>
      </c>
    </row>
    <row r="67">
      <c r="A67" s="13" t="inlineStr">
        <is>
          <t>ECCN (Export Control Classification Number)</t>
        </is>
      </c>
      <c r="B67" s="13" t="inlineStr">
        <is>
          <t>Five-character code on the CCL, such as 3A001, that identifies an item and its reasons for control and license requirements.</t>
        </is>
      </c>
      <c r="C67" s="13" t="inlineStr">
        <is>
          <t>US</t>
        </is>
      </c>
      <c r="D67" s="13" t="inlineStr">
        <is>
          <t>Exports</t>
        </is>
      </c>
    </row>
    <row r="68">
      <c r="A68" s="13" t="inlineStr">
        <is>
          <t>EDI (electronic data interchange)</t>
        </is>
      </c>
      <c r="B68" s="13" t="inlineStr">
        <is>
          <t>Exchange of business documents between systems in standard formats such as ANSI X12 or EDIFACT; brokers, carriers and government systems often exchange data this way.</t>
        </is>
      </c>
      <c r="C68" s="13" t="inlineStr">
        <is>
          <t>All</t>
        </is>
      </c>
      <c r="D68" s="13" t="inlineStr">
        <is>
          <t>Systems</t>
        </is>
      </c>
    </row>
    <row r="69">
      <c r="A69" s="13" t="inlineStr">
        <is>
          <t>EEI (Electronic Export Information)</t>
        </is>
      </c>
      <c r="B69" s="13" t="inlineStr">
        <is>
          <t>Export data filed in AES under the Foreign Trade Regulations (15 CFR Part 30) for many US exports; an accepted filing returns an Internal Transaction Number (ITN) as proof.</t>
        </is>
      </c>
      <c r="C69" s="13" t="inlineStr">
        <is>
          <t>US</t>
        </is>
      </c>
      <c r="D69" s="13" t="inlineStr">
        <is>
          <t>Exports</t>
        </is>
      </c>
    </row>
    <row r="70">
      <c r="A70" s="13" t="inlineStr">
        <is>
          <t>Effective duty rate</t>
        </is>
      </c>
      <c r="B70" s="13" t="inlineStr">
        <is>
          <t>Total duties paid divided by customs value; combines the base rate, additional duties and any preference. Use it to sanity-check models against actual entries.</t>
        </is>
      </c>
      <c r="C70" s="13" t="inlineStr">
        <is>
          <t>All</t>
        </is>
      </c>
      <c r="D70" s="13" t="inlineStr">
        <is>
          <t>Cost</t>
        </is>
      </c>
    </row>
    <row r="71">
      <c r="A71" s="13" t="inlineStr">
        <is>
          <t>Entry (cargo release, CBP Form 3461)</t>
        </is>
      </c>
      <c r="B71" s="13" t="inlineStr">
        <is>
          <t>The filing that asks CBP to release goods from customs custody. Release is not the end: the entry summary and duty payment follow.</t>
        </is>
      </c>
      <c r="C71" s="13" t="inlineStr">
        <is>
          <t>US</t>
        </is>
      </c>
      <c r="D71" s="13" t="inlineStr">
        <is>
          <t>Customs</t>
        </is>
      </c>
    </row>
    <row r="72">
      <c r="A72" s="13" t="inlineStr">
        <is>
          <t>Entry summary (CBP Form 7501)</t>
        </is>
      </c>
      <c r="B72" s="13" t="inlineStr">
        <is>
          <t>The filing that declares classification, value, origin, preference claims, rates and duties for each line; generally due with duty deposit within 10 working days after release.</t>
        </is>
      </c>
      <c r="C72" s="13" t="inlineStr">
        <is>
          <t>US</t>
        </is>
      </c>
      <c r="D72" s="13" t="inlineStr">
        <is>
          <t>Customs</t>
        </is>
      </c>
    </row>
    <row r="73">
      <c r="A73" s="13" t="inlineStr">
        <is>
          <t>ERP (enterprise resource planning)</t>
        </is>
      </c>
      <c r="B73" s="13" t="inlineStr">
        <is>
          <t>Integrated business system for items, purchasing, receiving, inventory, costing and the general ledger; ours is Oracle [COMPANY: Oracle EBS or Fusion].</t>
        </is>
      </c>
      <c r="C73" s="13" t="inlineStr">
        <is>
          <t>Internal</t>
        </is>
      </c>
      <c r="D73" s="13" t="inlineStr">
        <is>
          <t>Systems</t>
        </is>
      </c>
    </row>
    <row r="74">
      <c r="A74" s="13" t="inlineStr">
        <is>
          <t>ETL (extract, transform, load)</t>
        </is>
      </c>
      <c r="B74" s="13" t="inlineStr">
        <is>
          <t>Process that moves data from source systems into the warehouse, cleaning and reshaping it on the way.</t>
        </is>
      </c>
      <c r="C74" s="13" t="inlineStr">
        <is>
          <t>All</t>
        </is>
      </c>
      <c r="D74" s="13" t="inlineStr">
        <is>
          <t>Data</t>
        </is>
      </c>
    </row>
    <row r="75">
      <c r="A75" s="13" t="inlineStr">
        <is>
          <t>Explanatory Notes</t>
        </is>
      </c>
      <c r="B75" s="13" t="inlineStr">
        <is>
          <t>The WCO's official commentary on HS headings; not legally binding in the US, but CBP and courts treat them as persuasive guidance.</t>
        </is>
      </c>
      <c r="C75" s="13" t="inlineStr">
        <is>
          <t>All</t>
        </is>
      </c>
      <c r="D75" s="13" t="inlineStr">
        <is>
          <t>Classification</t>
        </is>
      </c>
    </row>
    <row r="76">
      <c r="A76" s="13" t="inlineStr">
        <is>
          <t>EXW (Ex Works)</t>
        </is>
      </c>
      <c r="B76" s="13" t="inlineStr">
        <is>
          <t>Seller makes the goods available at its premises; the buyer bears all transport, risk, and export and import clearance.</t>
        </is>
      </c>
      <c r="C76" s="13" t="inlineStr">
        <is>
          <t>All</t>
        </is>
      </c>
      <c r="D76" s="13" t="inlineStr">
        <is>
          <t>Cost</t>
        </is>
      </c>
    </row>
    <row r="77">
      <c r="A77" s="13" t="inlineStr">
        <is>
          <t>Fact and dimension tables</t>
        </is>
      </c>
      <c r="B77" s="13" t="inlineStr">
        <is>
          <t>Fact tables hold measurable events, such as entry lines or receipts, at a defined grain; dimension tables describe them, such as item, supplier, country or date.</t>
        </is>
      </c>
      <c r="C77" s="13" t="inlineStr">
        <is>
          <t>All</t>
        </is>
      </c>
      <c r="D77" s="13" t="inlineStr">
        <is>
          <t>Data</t>
        </is>
      </c>
    </row>
    <row r="78">
      <c r="A78" s="13" t="inlineStr">
        <is>
          <t>FCA (Free Carrier)</t>
        </is>
      </c>
      <c r="B78" s="13" t="inlineStr">
        <is>
          <t>Seller delivers the goods, cleared for export, to the buyer's carrier at a named place, where risk passes; usable for any mode of transport.</t>
        </is>
      </c>
      <c r="C78" s="13" t="inlineStr">
        <is>
          <t>All</t>
        </is>
      </c>
      <c r="D78" s="13" t="inlineStr">
        <is>
          <t>Cost</t>
        </is>
      </c>
    </row>
    <row r="79">
      <c r="A79" s="13" t="inlineStr">
        <is>
          <t>Federal Register</t>
        </is>
      </c>
      <c r="B79" s="13" t="inlineStr">
        <is>
          <t>The US government's daily publication of rules, proclamations, executive orders and notices. Tariff actions and their HTS annexes appear here; it is the legal source for scope and effective dates.</t>
        </is>
      </c>
      <c r="C79" s="13" t="inlineStr">
        <is>
          <t>US</t>
        </is>
      </c>
      <c r="D79" s="13" t="inlineStr">
        <is>
          <t>Customs</t>
        </is>
      </c>
    </row>
    <row r="80">
      <c r="A80" s="13" t="inlineStr">
        <is>
          <t>FOB (Free On Board)</t>
        </is>
      </c>
      <c r="B80" s="13" t="inlineStr">
        <is>
          <t>Sea and inland waterway term: seller delivers goods on board the vessel at the named port of shipment, where risk passes. Often misused for container or truck freight.</t>
        </is>
      </c>
      <c r="C80" s="13" t="inlineStr">
        <is>
          <t>All</t>
        </is>
      </c>
      <c r="D80" s="13" t="inlineStr">
        <is>
          <t>Cost</t>
        </is>
      </c>
    </row>
    <row r="81">
      <c r="A81" s="13" t="inlineStr">
        <is>
          <t>Grain</t>
        </is>
      </c>
      <c r="B81" s="13" t="inlineStr">
        <is>
          <t>What one row of a table represents, such as one entry line or one item per day. Joining tables of different grain carelessly duplicates rows.</t>
        </is>
      </c>
      <c r="C81" s="13" t="inlineStr">
        <is>
          <t>All</t>
        </is>
      </c>
      <c r="D81" s="13" t="inlineStr">
        <is>
          <t>Data</t>
        </is>
      </c>
    </row>
    <row r="82">
      <c r="A82" s="13" t="inlineStr">
        <is>
          <t>GRI (General Rules of Interpretation)</t>
        </is>
      </c>
      <c r="B82" s="13" t="inlineStr">
        <is>
          <t>Six ordered rules for classifying goods in the HS. GRI 1 (heading terms plus section and chapter notes) decides most cases; later rules apply only when GRI 1 does not.</t>
        </is>
      </c>
      <c r="C82" s="13" t="inlineStr">
        <is>
          <t>All</t>
        </is>
      </c>
      <c r="D82" s="13" t="inlineStr">
        <is>
          <t>Classification</t>
        </is>
      </c>
    </row>
    <row r="83">
      <c r="A83" s="13" t="inlineStr">
        <is>
          <t>GST on imports</t>
        </is>
      </c>
      <c r="B83" s="13" t="inlineStr">
        <is>
          <t>Canada's federal Goods and Services Tax charged on most imported goods on the duty-paid value, collected by the CBSA; registered businesses can usually claim input tax credits.</t>
        </is>
      </c>
      <c r="C83" s="13" t="inlineStr">
        <is>
          <t>CA</t>
        </is>
      </c>
      <c r="D83" s="13" t="inlineStr">
        <is>
          <t>Customs</t>
        </is>
      </c>
    </row>
    <row r="84">
      <c r="A84" s="13" t="inlineStr">
        <is>
          <t>GTM (Global Trade Management)</t>
        </is>
      </c>
      <c r="B84" s="13" t="inlineStr">
        <is>
          <t>Software that manages trade compliance data and processes, such as product classification, origin and trade agreements, restricted party screening, customs filing data and landed cost.</t>
        </is>
      </c>
      <c r="C84" s="13" t="inlineStr">
        <is>
          <t>All</t>
        </is>
      </c>
      <c r="D84" s="13" t="inlineStr">
        <is>
          <t>Systems</t>
        </is>
      </c>
    </row>
    <row r="85">
      <c r="A85" s="13" t="inlineStr">
        <is>
          <t>HMF (Harbor Maintenance Fee)</t>
        </is>
      </c>
      <c r="B85" s="13" t="inlineStr">
        <is>
          <t>Fee charged as a percentage of the value of commercial cargo moving through US seaports; it generally does not apply to air, truck or rail shipments.</t>
        </is>
      </c>
      <c r="C85" s="13" t="inlineStr">
        <is>
          <t>US</t>
        </is>
      </c>
      <c r="D85" s="13" t="inlineStr">
        <is>
          <t>Customs</t>
        </is>
      </c>
    </row>
    <row r="86">
      <c r="A86" s="13" t="inlineStr">
        <is>
          <t>HS (Harmonized System)</t>
        </is>
      </c>
      <c r="B86" s="13" t="inlineStr">
        <is>
          <t>The World Customs Organization's international product nomenclature. The first 6 digits are shared by the US, Canada and Mexico; each country adds its own digits.</t>
        </is>
      </c>
      <c r="C86" s="13" t="inlineStr">
        <is>
          <t>All</t>
        </is>
      </c>
      <c r="D86" s="13" t="inlineStr">
        <is>
          <t>Classification</t>
        </is>
      </c>
    </row>
    <row r="87">
      <c r="A87" s="13" t="inlineStr">
        <is>
          <t>HTSUS</t>
        </is>
      </c>
      <c r="B87" s="13" t="inlineStr">
        <is>
          <t>Harmonized Tariff Schedule of the United States, published by the USITC: 8-digit tariff lines plus 2-digit statistical suffixes, with general notes, chapter notes and duty rates.</t>
        </is>
      </c>
      <c r="C87" s="13" t="inlineStr">
        <is>
          <t>US</t>
        </is>
      </c>
      <c r="D87" s="13" t="inlineStr">
        <is>
          <t>Classification</t>
        </is>
      </c>
    </row>
    <row r="88">
      <c r="A88" s="13" t="inlineStr">
        <is>
          <t>IEEPA</t>
        </is>
      </c>
      <c r="B88" s="13" t="inlineStr">
        <is>
          <t>International Emergency Economic Powers Act. Used in 2025 as the legal basis for broad additional tariffs; in Learning Resources v. Trump (February 2026) the Supreme Court held it does not authorize tariffs.</t>
        </is>
      </c>
      <c r="C88" s="13" t="inlineStr">
        <is>
          <t>US</t>
        </is>
      </c>
      <c r="D88" s="13" t="inlineStr">
        <is>
          <t>Customs</t>
        </is>
      </c>
    </row>
    <row r="89">
      <c r="A89" s="13" t="inlineStr">
        <is>
          <t>IGI (Impuesto General de Importación)</t>
        </is>
      </c>
      <c r="B89" s="13" t="inlineStr">
        <is>
          <t>Mexico's import duty, calculated on the customs value at the TIGIE rate unless a preference such as T-MEC applies.</t>
        </is>
      </c>
      <c r="C89" s="13" t="inlineStr">
        <is>
          <t>MX</t>
        </is>
      </c>
      <c r="D89" s="13" t="inlineStr">
        <is>
          <t>Customs</t>
        </is>
      </c>
    </row>
    <row r="90">
      <c r="A90" s="13" t="inlineStr">
        <is>
          <t>IMMEX</t>
        </is>
      </c>
      <c r="B90" s="13" t="inlineStr">
        <is>
          <t>Mexican program (Industria Manufacturera, Maquiladora y de Servicios de Exportación) letting authorized companies import inputs temporarily, deferring import duty and IVA, to process and export them.</t>
        </is>
      </c>
      <c r="C90" s="13" t="inlineStr">
        <is>
          <t>MX</t>
        </is>
      </c>
      <c r="D90" s="13" t="inlineStr">
        <is>
          <t>Programs</t>
        </is>
      </c>
    </row>
    <row r="91">
      <c r="A91" s="13" t="inlineStr">
        <is>
          <t>Importer of record (IOR)</t>
        </is>
      </c>
      <c r="B91" s="13" t="inlineStr">
        <is>
          <t>The party legally responsible for a US entry: accurate declarations, payment of duties and fees, and keeping records. Usually the owner or purchaser of the goods.</t>
        </is>
      </c>
      <c r="C91" s="13" t="inlineStr">
        <is>
          <t>US</t>
        </is>
      </c>
      <c r="D91" s="13" t="inlineStr">
        <is>
          <t>Customs</t>
        </is>
      </c>
    </row>
    <row r="92">
      <c r="A92" s="13" t="inlineStr">
        <is>
          <t>Incoterms 2020</t>
        </is>
      </c>
      <c r="B92" s="13" t="inlineStr">
        <is>
          <t>The ICC's 11 standard trade terms defining where risk passes and who pays freight, insurance and clearance. They do not set customs value or transfer of title.</t>
        </is>
      </c>
      <c r="C92" s="13" t="inlineStr">
        <is>
          <t>All</t>
        </is>
      </c>
      <c r="D92" s="13" t="inlineStr">
        <is>
          <t>Cost</t>
        </is>
      </c>
    </row>
    <row r="93">
      <c r="A93" s="13" t="inlineStr">
        <is>
          <t>Inventory revaluation</t>
        </is>
      </c>
      <c r="B93" s="13" t="inlineStr">
        <is>
          <t>Accounting adjustment to on-hand inventory when standard costs change: new standard minus old standard, times on-hand quantity, posted to a revaluation account.</t>
        </is>
      </c>
      <c r="C93" s="13" t="inlineStr">
        <is>
          <t>All</t>
        </is>
      </c>
      <c r="D93" s="13" t="inlineStr">
        <is>
          <t>Cost</t>
        </is>
      </c>
    </row>
    <row r="94">
      <c r="A94" s="13" t="inlineStr">
        <is>
          <t>ISF (Importer Security Filing, 10+2)</t>
        </is>
      </c>
      <c r="B94" s="13" t="inlineStr">
        <is>
          <t>Advance cargo data the ISF importer must file for ocean shipments before the cargo is loaded at the foreign port; late or wrong filings risk liquidated damages and holds.</t>
        </is>
      </c>
      <c r="C94" s="13" t="inlineStr">
        <is>
          <t>US</t>
        </is>
      </c>
      <c r="D94" s="13" t="inlineStr">
        <is>
          <t>Customs</t>
        </is>
      </c>
    </row>
    <row r="95">
      <c r="A95" s="13" t="inlineStr">
        <is>
          <t>Item master</t>
        </is>
      </c>
      <c r="B95" s="13" t="inlineStr">
        <is>
          <t>The system record of an item. For trade it carries HTS by country, origin, program eligibility and descriptions [COMPANY: which system is the source of truth].</t>
        </is>
      </c>
      <c r="C95" s="13" t="inlineStr">
        <is>
          <t>Internal</t>
        </is>
      </c>
      <c r="D95" s="13" t="inlineStr">
        <is>
          <t>Data</t>
        </is>
      </c>
    </row>
    <row r="96">
      <c r="A96" s="13" t="inlineStr">
        <is>
          <t>IVA (Impuesto al Valor Agregado)</t>
        </is>
      </c>
      <c r="B96" s="13" t="inlineStr">
        <is>
          <t>Mexico's value-added tax. On imports it is charged on the customs value plus the import duty and other charges; most businesses can credit it.</t>
        </is>
      </c>
      <c r="C96" s="13" t="inlineStr">
        <is>
          <t>MX</t>
        </is>
      </c>
      <c r="D96" s="13" t="inlineStr">
        <is>
          <t>Customs</t>
        </is>
      </c>
    </row>
    <row r="97">
      <c r="A97" s="13" t="inlineStr">
        <is>
          <t>Join fan-out</t>
        </is>
      </c>
      <c r="B97" s="13" t="inlineStr">
        <is>
          <t>Row multiplication when a join matches several rows per key, inflating sums; check row counts before and after every join.</t>
        </is>
      </c>
      <c r="C97" s="13" t="inlineStr">
        <is>
          <t>All</t>
        </is>
      </c>
      <c r="D97" s="13" t="inlineStr">
        <is>
          <t>Data</t>
        </is>
      </c>
    </row>
    <row r="98">
      <c r="A98" s="13" t="inlineStr">
        <is>
          <t>Landed cost</t>
        </is>
      </c>
      <c r="B98" s="13" t="inlineStr">
        <is>
          <t>Total cost to bring an item into our warehouse: purchase price plus freight, insurance, duty, customs fees, brokerage, inland freight and [COMPANY: other components].</t>
        </is>
      </c>
      <c r="C98" s="13" t="inlineStr">
        <is>
          <t>All</t>
        </is>
      </c>
      <c r="D98" s="13" t="inlineStr">
        <is>
          <t>Cost</t>
        </is>
      </c>
    </row>
    <row r="99">
      <c r="A99" s="13" t="inlineStr">
        <is>
          <t>Liquidation</t>
        </is>
      </c>
      <c r="B99" s="13" t="inlineStr">
        <is>
          <t>CBP's final computation of duties, taxes and fees on an entry; by statute generally within one year of entry unless extended or suspended. It starts the 180-day protest clock.</t>
        </is>
      </c>
      <c r="C99" s="13" t="inlineStr">
        <is>
          <t>US</t>
        </is>
      </c>
      <c r="D99" s="13" t="inlineStr">
        <is>
          <t>Customs</t>
        </is>
      </c>
    </row>
    <row r="100">
      <c r="A100" s="13" t="inlineStr">
        <is>
          <t>Maker-checker</t>
        </is>
      </c>
      <c r="B100" s="13" t="inlineStr">
        <is>
          <t>Control where one person prepares the work (maker) and a second person independently reviews and signs it off (checker) before release. Mandatory here for cost updates and tariff models.</t>
        </is>
      </c>
      <c r="C100" s="13" t="inlineStr">
        <is>
          <t>Internal</t>
        </is>
      </c>
      <c r="D100" s="13" t="inlineStr">
        <is>
          <t>BSA</t>
        </is>
      </c>
    </row>
    <row r="101">
      <c r="A101" s="13" t="inlineStr">
        <is>
          <t>Manufacturing drawback</t>
        </is>
      </c>
      <c r="B101" s="13" t="inlineStr">
        <is>
          <t>Drawback on imported merchandise used to make an article that is exported or destroyed, by direct identification (19 U.S.C. 1313(a)) or substitution (1313(b)).</t>
        </is>
      </c>
      <c r="C101" s="13" t="inlineStr">
        <is>
          <t>US</t>
        </is>
      </c>
      <c r="D101" s="13" t="inlineStr">
        <is>
          <t>Programs</t>
        </is>
      </c>
    </row>
    <row r="102">
      <c r="A102" s="13" t="inlineStr">
        <is>
          <t>Master data</t>
        </is>
      </c>
      <c r="B102" s="13" t="inlineStr">
        <is>
          <t>Core reference records shared across processes, such as items, suppliers, HTS codes, origin and cost; an error here spreads to every entry, cost and report that uses it.</t>
        </is>
      </c>
      <c r="C102" s="13" t="inlineStr">
        <is>
          <t>All</t>
        </is>
      </c>
      <c r="D102" s="13" t="inlineStr">
        <is>
          <t>Data</t>
        </is>
      </c>
    </row>
    <row r="103">
      <c r="A103" s="13" t="inlineStr">
        <is>
          <t>Material error</t>
        </is>
      </c>
      <c r="B103" s="13" t="inlineStr">
        <is>
          <t>Here: an error that would change a business decision, such as wrong items, rate, effective date or stacking, or a cost impact off by more than [COMPANY: materiality threshold].</t>
        </is>
      </c>
      <c r="C103" s="13" t="inlineStr">
        <is>
          <t>Internal</t>
        </is>
      </c>
      <c r="D103" s="13" t="inlineStr">
        <is>
          <t>BSA</t>
        </is>
      </c>
    </row>
    <row r="104">
      <c r="A104" s="13" t="inlineStr">
        <is>
          <t>MoSCoW</t>
        </is>
      </c>
      <c r="B104" s="13" t="inlineStr">
        <is>
          <t>Prioritization method that sorts requirements into Must have, Should have, Could have and Won't have (this time).</t>
        </is>
      </c>
      <c r="C104" s="13" t="inlineStr">
        <is>
          <t>All</t>
        </is>
      </c>
      <c r="D104" s="13" t="inlineStr">
        <is>
          <t>BSA</t>
        </is>
      </c>
    </row>
    <row r="105">
      <c r="A105" s="13" t="inlineStr">
        <is>
          <t>MPF (Merchandise Processing Fee)</t>
        </is>
      </c>
      <c r="B105" s="13" t="inlineStr">
        <is>
          <t>CBP user fee charged as a percentage of value on formal entries, with a per-entry minimum and maximum that change. Goods claimed as USMCA-originating are exempt.</t>
        </is>
      </c>
      <c r="C105" s="13" t="inlineStr">
        <is>
          <t>US</t>
        </is>
      </c>
      <c r="D105" s="13" t="inlineStr">
        <is>
          <t>Customs</t>
        </is>
      </c>
    </row>
    <row r="106">
      <c r="A106" s="13" t="inlineStr">
        <is>
          <t>Net cost method (RVC)</t>
        </is>
      </c>
      <c r="B106" s="13" t="inlineStr">
        <is>
          <t>RVC = (net cost minus value of non-originating materials) divided by net cost, times 100; net cost excludes sales promotion, royalties, shipping and packing, and non-allowable interest.</t>
        </is>
      </c>
      <c r="C106" s="13" t="inlineStr">
        <is>
          <t>All</t>
        </is>
      </c>
      <c r="D106" s="13" t="inlineStr">
        <is>
          <t>Origin</t>
        </is>
      </c>
    </row>
    <row r="107">
      <c r="A107" s="13" t="inlineStr">
        <is>
          <t>NICO (Número de Identificación Comercial)</t>
        </is>
      </c>
      <c r="B107" s="13" t="inlineStr">
        <is>
          <t>2-digit statistical suffix after the 8-digit TIGIE fracción, giving the 10-digit code declared on the pedimento.</t>
        </is>
      </c>
      <c r="C107" s="13" t="inlineStr">
        <is>
          <t>MX</t>
        </is>
      </c>
      <c r="D107" s="13" t="inlineStr">
        <is>
          <t>Classification</t>
        </is>
      </c>
    </row>
    <row r="108">
      <c r="A108" s="13" t="inlineStr">
        <is>
          <t>Originating good</t>
        </is>
      </c>
      <c r="B108" s="13" t="inlineStr">
        <is>
          <t>A good that meets USMCA Article 4.2: wholly obtained or produced, produced only from originating materials, or meeting its product-specific rule of origin, plus the other chapter requirements.</t>
        </is>
      </c>
      <c r="C108" s="13" t="inlineStr">
        <is>
          <t>All</t>
        </is>
      </c>
      <c r="D108" s="13" t="inlineStr">
        <is>
          <t>Origin</t>
        </is>
      </c>
    </row>
    <row r="109">
      <c r="A109" s="13" t="inlineStr">
        <is>
          <t>Padrón de importadores</t>
        </is>
      </c>
      <c r="B109" s="13" t="inlineStr">
        <is>
          <t>SAT registry an importer must be in, active and in good standing, to import into Mexico; some sectors need an extra sector-specific registration.</t>
        </is>
      </c>
      <c r="C109" s="13" t="inlineStr">
        <is>
          <t>MX</t>
        </is>
      </c>
      <c r="D109" s="13" t="inlineStr">
        <is>
          <t>Customs</t>
        </is>
      </c>
    </row>
    <row r="110">
      <c r="A110" s="13" t="inlineStr">
        <is>
          <t>Pedimento</t>
        </is>
      </c>
      <c r="B110" s="13" t="inlineStr">
        <is>
          <t>The Mexican customs declaration that the agente aduanal transmits for each import or export, showing classification, value, origin, taxes and regime, such as definitive or temporary.</t>
        </is>
      </c>
      <c r="C110" s="13" t="inlineStr">
        <is>
          <t>MX</t>
        </is>
      </c>
      <c r="D110" s="13" t="inlineStr">
        <is>
          <t>Customs</t>
        </is>
      </c>
    </row>
    <row r="111">
      <c r="A111" s="13" t="inlineStr">
        <is>
          <t>PGA (Partner Government Agency)</t>
        </is>
      </c>
      <c r="B111" s="13" t="inlineStr">
        <is>
          <t>Another US agency, such as FDA, EPA, USDA or CPSC, whose admissibility data is filed through ACE alongside the customs entry.</t>
        </is>
      </c>
      <c r="C111" s="13" t="inlineStr">
        <is>
          <t>US</t>
        </is>
      </c>
      <c r="D111" s="13" t="inlineStr">
        <is>
          <t>Customs</t>
        </is>
      </c>
    </row>
    <row r="112">
      <c r="A112" s="13" t="inlineStr">
        <is>
          <t>Power Apps and Power Automate</t>
        </is>
      </c>
      <c r="B112" s="13" t="inlineStr">
        <is>
          <t>Microsoft low-code tools for building apps and automated flows. Several of our custom tools use them; record each flow's owner, connections and credentials when documenting it.</t>
        </is>
      </c>
      <c r="C112" s="13" t="inlineStr">
        <is>
          <t>All</t>
        </is>
      </c>
      <c r="D112" s="13" t="inlineStr">
        <is>
          <t>Systems</t>
        </is>
      </c>
    </row>
    <row r="113">
      <c r="A113" s="13" t="inlineStr">
        <is>
          <t>Power BI</t>
        </is>
      </c>
      <c r="B113" s="13" t="inlineStr">
        <is>
          <t>Microsoft's business intelligence tool. Power BI Desktop builds semantic models and reports; the Power BI service publishes, shares and refreshes them.</t>
        </is>
      </c>
      <c r="C113" s="13" t="inlineStr">
        <is>
          <t>All</t>
        </is>
      </c>
      <c r="D113" s="13" t="inlineStr">
        <is>
          <t>Data</t>
        </is>
      </c>
    </row>
    <row r="114">
      <c r="A114" s="13" t="inlineStr">
        <is>
          <t>Power Query</t>
        </is>
      </c>
      <c r="B114" s="13" t="inlineStr">
        <is>
          <t>Data import and transformation engine in Excel and Power BI; each step is recorded in the M language and replayed on refresh.</t>
        </is>
      </c>
      <c r="C114" s="13" t="inlineStr">
        <is>
          <t>All</t>
        </is>
      </c>
      <c r="D114" s="13" t="inlineStr">
        <is>
          <t>Data</t>
        </is>
      </c>
    </row>
    <row r="115">
      <c r="A115" s="13" t="inlineStr">
        <is>
          <t>PPV (purchase price variance)</t>
        </is>
      </c>
      <c r="B115" s="13" t="inlineStr">
        <is>
          <t>Difference between actual purchase cost and standard cost for quantities received; drivers include vendor price, duty or tariff, freight and FX.</t>
        </is>
      </c>
      <c r="C115" s="13" t="inlineStr">
        <is>
          <t>All</t>
        </is>
      </c>
      <c r="D115" s="13" t="inlineStr">
        <is>
          <t>Cost</t>
        </is>
      </c>
    </row>
    <row r="116">
      <c r="A116" s="13" t="inlineStr">
        <is>
          <t>Prior disclosure</t>
        </is>
      </c>
      <c r="B116" s="13" t="inlineStr">
        <is>
          <t>Voluntary report to CBP of a potential 19 U.S.C. 1592 violation before a formal investigation starts, with tender of lost duties; it substantially reduces penalties (19 CFR 162.74). Hires escalate; they do not decide.</t>
        </is>
      </c>
      <c r="C116" s="13" t="inlineStr">
        <is>
          <t>US</t>
        </is>
      </c>
      <c r="D116" s="13" t="inlineStr">
        <is>
          <t>Customs</t>
        </is>
      </c>
    </row>
    <row r="117">
      <c r="A117" s="13" t="inlineStr">
        <is>
          <t>Product-specific rule of origin (PSR)</t>
        </is>
      </c>
      <c r="B117" s="13" t="inlineStr">
        <is>
          <t>The USMCA Annex 4-B rule for an HS chapter, heading or subheading stating the tariff shift and/or RVC a good must meet to originate.</t>
        </is>
      </c>
      <c r="C117" s="13" t="inlineStr">
        <is>
          <t>All</t>
        </is>
      </c>
      <c r="D117" s="13" t="inlineStr">
        <is>
          <t>Origin</t>
        </is>
      </c>
    </row>
    <row r="118">
      <c r="A118" s="13" t="inlineStr">
        <is>
          <t>Protest (CBP Form 19)</t>
        </is>
      </c>
      <c r="B118" s="13" t="inlineStr">
        <is>
          <t>Formal challenge to a CBP decision such as liquidation, filed within 180 days of the decision under 19 U.S.C. 1514.</t>
        </is>
      </c>
      <c r="C118" s="13" t="inlineStr">
        <is>
          <t>US</t>
        </is>
      </c>
      <c r="D118" s="13" t="inlineStr">
        <is>
          <t>Customs</t>
        </is>
      </c>
    </row>
    <row r="119">
      <c r="A119" s="13" t="inlineStr">
        <is>
          <t>PSC (Post Summary Correction)</t>
        </is>
      </c>
      <c r="B119" s="13" t="inlineStr">
        <is>
          <t>An electronic correction to an accepted entry summary, filed in ACE before liquidation within CBP's PSC time limits; it fully replaces the original entry summary.</t>
        </is>
      </c>
      <c r="C119" s="13" t="inlineStr">
        <is>
          <t>US</t>
        </is>
      </c>
      <c r="D119" s="13" t="inlineStr">
        <is>
          <t>Customs</t>
        </is>
      </c>
    </row>
    <row r="120">
      <c r="A120" s="13" t="inlineStr">
        <is>
          <t>RACI</t>
        </is>
      </c>
      <c r="B120" s="13" t="inlineStr">
        <is>
          <t>Responsibility matrix for each task or decision: Responsible (does the work), Accountable (the one owner who approves), Consulted and Informed.</t>
        </is>
      </c>
      <c r="C120" s="13" t="inlineStr">
        <is>
          <t>All</t>
        </is>
      </c>
      <c r="D120" s="13" t="inlineStr">
        <is>
          <t>BSA</t>
        </is>
      </c>
    </row>
    <row r="121">
      <c r="A121" s="13" t="inlineStr">
        <is>
          <t>Reasonable care</t>
        </is>
      </c>
      <c r="B121" s="13" t="inlineStr">
        <is>
          <t>The importer of record's legal duty (19 U.S.C. 1484) to use reasonable care in declaring classification, value, origin and rate. Relying blindly on the broker does not meet it.</t>
        </is>
      </c>
      <c r="C121" s="13" t="inlineStr">
        <is>
          <t>US</t>
        </is>
      </c>
      <c r="D121" s="13" t="inlineStr">
        <is>
          <t>Customs</t>
        </is>
      </c>
    </row>
    <row r="122">
      <c r="A122" s="13" t="inlineStr">
        <is>
          <t>Recordkeeping (19 CFR Part 163)</t>
        </is>
      </c>
      <c r="B122" s="13" t="inlineStr">
        <is>
          <t>Legal duty to keep import records, such as entries, invoices and origin support, generally for five years from entry and to produce them when CBP demands.</t>
        </is>
      </c>
      <c r="C122" s="13" t="inlineStr">
        <is>
          <t>US</t>
        </is>
      </c>
      <c r="D122" s="13" t="inlineStr">
        <is>
          <t>Customs</t>
        </is>
      </c>
    </row>
    <row r="123">
      <c r="A123" s="13" t="inlineStr">
        <is>
          <t>Release prior to payment (RPP)</t>
        </is>
      </c>
      <c r="B123" s="13" t="inlineStr">
        <is>
          <t>CBSA privilege that releases goods before final accounting and payment of duties and taxes; under CARM the importer must post its own financial security to use it.</t>
        </is>
      </c>
      <c r="C123" s="13" t="inlineStr">
        <is>
          <t>CA</t>
        </is>
      </c>
      <c r="D123" s="13" t="inlineStr">
        <is>
          <t>Customs</t>
        </is>
      </c>
    </row>
    <row r="124">
      <c r="A124" s="13" t="inlineStr">
        <is>
          <t>Restricted party screening (RPS)</t>
        </is>
      </c>
      <c r="B124" s="13" t="inlineStr">
        <is>
          <t>Checking customers, suppliers and other parties against government restricted lists, such as the Consolidated Screening List, before a transaction. Awareness only for the hires.</t>
        </is>
      </c>
      <c r="C124" s="13" t="inlineStr">
        <is>
          <t>US</t>
        </is>
      </c>
      <c r="D124" s="13" t="inlineStr">
        <is>
          <t>Exports</t>
        </is>
      </c>
    </row>
    <row r="125">
      <c r="A125" s="13" t="inlineStr">
        <is>
          <t>RFC (Registro Federal de Contribuyentes)</t>
        </is>
      </c>
      <c r="B125" s="13" t="inlineStr">
        <is>
          <t>Mexico's taxpayer ID, required on pedimentos and for registration in the padrón de importadores.</t>
        </is>
      </c>
      <c r="C125" s="13" t="inlineStr">
        <is>
          <t>MX</t>
        </is>
      </c>
      <c r="D125" s="13" t="inlineStr">
        <is>
          <t>Customs</t>
        </is>
      </c>
    </row>
    <row r="126">
      <c r="A126" s="13" t="inlineStr">
        <is>
          <t>RVC (regional value content)</t>
        </is>
      </c>
      <c r="B126" s="13" t="inlineStr">
        <is>
          <t>The share of a good's value that is regional, calculated by the transaction value method or the net cost method as the product-specific rule allows.</t>
        </is>
      </c>
      <c r="C126" s="13" t="inlineStr">
        <is>
          <t>All</t>
        </is>
      </c>
      <c r="D126" s="13" t="inlineStr">
        <is>
          <t>Origin</t>
        </is>
      </c>
    </row>
    <row r="127">
      <c r="A127" s="13" t="inlineStr">
        <is>
          <t>SAT (Servicio de Administración Tributaria)</t>
        </is>
      </c>
      <c r="B127" s="13" t="inlineStr">
        <is>
          <t>Mexico's tax authority. It administers the RFC, e.firma, the padrón de importadores and the annual foreign-trade rules (Reglas Generales de Comercio Exterior, RGCE).</t>
        </is>
      </c>
      <c r="C127" s="13" t="inlineStr">
        <is>
          <t>MX</t>
        </is>
      </c>
      <c r="D127" s="13" t="inlineStr">
        <is>
          <t>Customs</t>
        </is>
      </c>
    </row>
    <row r="128">
      <c r="A128" s="13" t="inlineStr">
        <is>
          <t>Schedule B</t>
        </is>
      </c>
      <c r="B128" s="13" t="inlineStr">
        <is>
          <t>Census Bureau 10-digit export classification. The first 6 digits match the HS, and for most goods the HTSUS number may be reported instead.</t>
        </is>
      </c>
      <c r="C128" s="13" t="inlineStr">
        <is>
          <t>US</t>
        </is>
      </c>
      <c r="D128" s="13" t="inlineStr">
        <is>
          <t>Exports</t>
        </is>
      </c>
    </row>
    <row r="129">
      <c r="A129" s="13" t="inlineStr">
        <is>
          <t>Section 122</t>
        </is>
      </c>
      <c r="B129" s="13" t="inlineStr">
        <is>
          <t>Trade Act of 1974 provision allowing a temporary import surcharge of up to 15 percent for up to 150 days to address balance-of-payments problems, unless Congress extends it.</t>
        </is>
      </c>
      <c r="C129" s="13" t="inlineStr">
        <is>
          <t>US</t>
        </is>
      </c>
      <c r="D129" s="13" t="inlineStr">
        <is>
          <t>Customs</t>
        </is>
      </c>
    </row>
    <row r="130">
      <c r="A130" s="13" t="inlineStr">
        <is>
          <t>Section 232</t>
        </is>
      </c>
      <c r="B130" s="13" t="inlineStr">
        <is>
          <t>Trade Expansion Act of 1962 provision letting the President adjust imports that threaten US national security; basis for tariffs on steel, aluminum and other goods, implemented in HTSUS Chapter 99.</t>
        </is>
      </c>
      <c r="C130" s="13" t="inlineStr">
        <is>
          <t>US</t>
        </is>
      </c>
      <c r="D130" s="13" t="inlineStr">
        <is>
          <t>Customs</t>
        </is>
      </c>
    </row>
    <row r="131">
      <c r="A131" s="13" t="inlineStr">
        <is>
          <t>Section 301</t>
        </is>
      </c>
      <c r="B131" s="13" t="inlineStr">
        <is>
          <t>Trade Act of 1974 provision letting USTR act against unfair foreign trade practices; basis for additional duties on many products of China. Liability follows country of origin, not country of export.</t>
        </is>
      </c>
      <c r="C131" s="13" t="inlineStr">
        <is>
          <t>US</t>
        </is>
      </c>
      <c r="D131" s="13" t="inlineStr">
        <is>
          <t>Customs</t>
        </is>
      </c>
    </row>
    <row r="132">
      <c r="A132" s="13" t="inlineStr">
        <is>
          <t>SOP (standard operating procedure)</t>
        </is>
      </c>
      <c r="B132" s="13" t="inlineStr">
        <is>
          <t>Step-by-step instructions for a recurring process, with roles, inputs, controls and exceptions, that someone new could follow.</t>
        </is>
      </c>
      <c r="C132" s="13" t="inlineStr">
        <is>
          <t>All</t>
        </is>
      </c>
      <c r="D132" s="13" t="inlineStr">
        <is>
          <t>BSA</t>
        </is>
      </c>
    </row>
    <row r="133">
      <c r="A133" s="13" t="inlineStr">
        <is>
          <t>Special Program Indicator (SPI)</t>
        </is>
      </c>
      <c r="B133" s="13" t="inlineStr">
        <is>
          <t>Code on an entry summary line that claims a preference program such as USMCA; a wrong or missing SPI changes the duty paid.</t>
        </is>
      </c>
      <c r="C133" s="13" t="inlineStr">
        <is>
          <t>US</t>
        </is>
      </c>
      <c r="D133" s="13" t="inlineStr">
        <is>
          <t>Programs</t>
        </is>
      </c>
    </row>
    <row r="134">
      <c r="A134" s="13" t="inlineStr">
        <is>
          <t>SQL</t>
        </is>
      </c>
      <c r="B134" s="13" t="inlineStr">
        <is>
          <t>Structured Query Language for reading and changing data in relational databases; the team uses T-SQL on SQL Server for analysis.</t>
        </is>
      </c>
      <c r="C134" s="13" t="inlineStr">
        <is>
          <t>All</t>
        </is>
      </c>
      <c r="D134" s="13" t="inlineStr">
        <is>
          <t>Data</t>
        </is>
      </c>
    </row>
    <row r="135">
      <c r="A135" s="13" t="inlineStr">
        <is>
          <t>Standard cost</t>
        </is>
      </c>
      <c r="B135" s="13" t="inlineStr">
        <is>
          <t>A predetermined per-unit cost used to value inventory and cost of goods sold; differences from actual cost are recorded as variances such as PPV.</t>
        </is>
      </c>
      <c r="C135" s="13" t="inlineStr">
        <is>
          <t>All</t>
        </is>
      </c>
      <c r="D135" s="13" t="inlineStr">
        <is>
          <t>Cost</t>
        </is>
      </c>
    </row>
    <row r="136">
      <c r="A136" s="13" t="inlineStr">
        <is>
          <t>Substantial transformation</t>
        </is>
      </c>
      <c r="B136" s="13" t="inlineStr">
        <is>
          <t>Test for non-preferential origin: goods originate where they were last transformed into a new article with a different name, character or use. Used for marking and most trade remedies.</t>
        </is>
      </c>
      <c r="C136" s="13" t="inlineStr">
        <is>
          <t>All</t>
        </is>
      </c>
      <c r="D136" s="13" t="inlineStr">
        <is>
          <t>Origin</t>
        </is>
      </c>
    </row>
    <row r="137">
      <c r="A137" s="13" t="inlineStr">
        <is>
          <t>Surtax order (Canada)</t>
        </is>
      </c>
      <c r="B137" s="13" t="inlineStr">
        <is>
          <t>Canadian order imposing additional duties on goods of a specified origin, such as countermeasures on certain US goods; implementation details appear in CBSA customs notices.</t>
        </is>
      </c>
      <c r="C137" s="13" t="inlineStr">
        <is>
          <t>CA</t>
        </is>
      </c>
      <c r="D137" s="13" t="inlineStr">
        <is>
          <t>Customs</t>
        </is>
      </c>
    </row>
    <row r="138">
      <c r="A138" s="13" t="inlineStr">
        <is>
          <t>T-MEC</t>
        </is>
      </c>
      <c r="B138" s="13" t="inlineStr">
        <is>
          <t>Tratado entre México, Estados Unidos y Canadá: Mexico's name for USMCA.</t>
        </is>
      </c>
      <c r="C138" s="13" t="inlineStr">
        <is>
          <t>MX</t>
        </is>
      </c>
      <c r="D138" s="13" t="inlineStr">
        <is>
          <t>Origin</t>
        </is>
      </c>
    </row>
    <row r="139">
      <c r="A139" s="13" t="inlineStr">
        <is>
          <t>Tariff shift</t>
        </is>
      </c>
      <c r="B139" s="13" t="inlineStr">
        <is>
          <t>Rule of origin requiring each non-originating material to be classified in a different HS chapter, heading or subheading than the finished good; also called change in tariff classification.</t>
        </is>
      </c>
      <c r="C139" s="13" t="inlineStr">
        <is>
          <t>All</t>
        </is>
      </c>
      <c r="D139" s="13" t="inlineStr">
        <is>
          <t>Origin</t>
        </is>
      </c>
    </row>
    <row r="140">
      <c r="A140" s="13" t="inlineStr">
        <is>
          <t>Tariff stacking</t>
        </is>
      </c>
      <c r="B140" s="13" t="inlineStr">
        <is>
          <t>How several additional duties apply together to one item, set by each action's legal text and CBP guidance. Research must document it with sources; never assume it.</t>
        </is>
      </c>
      <c r="C140" s="13" t="inlineStr">
        <is>
          <t>US</t>
        </is>
      </c>
      <c r="D140" s="13" t="inlineStr">
        <is>
          <t>Customs</t>
        </is>
      </c>
    </row>
    <row r="141">
      <c r="A141" s="13" t="inlineStr">
        <is>
          <t>Tariff-Impact Brief</t>
        </is>
      </c>
      <c r="B141" s="13" t="inlineStr">
        <is>
          <t>Research's handoff document for a tariff action: legal scope, HTS codes, countries, rates, effective dates, stacking interpretation and sources, with no dollar conclusions.</t>
        </is>
      </c>
      <c r="C141" s="13" t="inlineStr">
        <is>
          <t>Internal</t>
        </is>
      </c>
      <c r="D141" s="13" t="inlineStr">
        <is>
          <t>BSA</t>
        </is>
      </c>
    </row>
    <row r="142">
      <c r="A142" s="13" t="inlineStr">
        <is>
          <t>Tariff-Impact Model</t>
        </is>
      </c>
      <c r="B142" s="13" t="inlineStr">
        <is>
          <t>The shared workbook template where Research enters the WHAT of a tariff action and Standard Cost calculates the landed-cost and margin impact.</t>
        </is>
      </c>
      <c r="C142" s="13" t="inlineStr">
        <is>
          <t>Internal</t>
        </is>
      </c>
      <c r="D142" s="13" t="inlineStr">
        <is>
          <t>BSA</t>
        </is>
      </c>
    </row>
    <row r="143">
      <c r="A143" s="13" t="inlineStr">
        <is>
          <t>TIGIE</t>
        </is>
      </c>
      <c r="B143" s="13" t="inlineStr">
        <is>
          <t>Mexico's tariff schedule (Tarifa de la Ley de los Impuestos Generales de Importación y de Exportación), with 8-digit fracciones arancelarias; changed by decrees published in the DOF.</t>
        </is>
      </c>
      <c r="C143" s="13" t="inlineStr">
        <is>
          <t>MX</t>
        </is>
      </c>
      <c r="D143" s="13" t="inlineStr">
        <is>
          <t>Classification</t>
        </is>
      </c>
    </row>
    <row r="144">
      <c r="A144" s="13" t="inlineStr">
        <is>
          <t>Transaction value (customs valuation)</t>
        </is>
      </c>
      <c r="B144" s="13" t="inlineStr">
        <is>
          <t>The price actually paid or payable for goods sold for export, plus defined additions such as assists, royalties, certain commissions and packing; the primary valuation method in all three countries.</t>
        </is>
      </c>
      <c r="C144" s="13" t="inlineStr">
        <is>
          <t>All</t>
        </is>
      </c>
      <c r="D144" s="13" t="inlineStr">
        <is>
          <t>Customs</t>
        </is>
      </c>
    </row>
    <row r="145">
      <c r="A145" s="13" t="inlineStr">
        <is>
          <t>Transaction value method (RVC)</t>
        </is>
      </c>
      <c r="B145" s="13" t="inlineStr">
        <is>
          <t>RVC = (transaction value of the good minus value of non-originating materials) divided by transaction value, times 100. Not allowed for some goods, such as many automotive goods.</t>
        </is>
      </c>
      <c r="C145" s="13" t="inlineStr">
        <is>
          <t>All</t>
        </is>
      </c>
      <c r="D145" s="13" t="inlineStr">
        <is>
          <t>Origin</t>
        </is>
      </c>
    </row>
    <row r="146">
      <c r="A146" s="13" t="inlineStr">
        <is>
          <t>UAT (user acceptance testing)</t>
        </is>
      </c>
      <c r="B146" s="13" t="inlineStr">
        <is>
          <t>Testing in which business users check a change against its requirements in a test environment and formally sign off before go-live.</t>
        </is>
      </c>
      <c r="C146" s="13" t="inlineStr">
        <is>
          <t>All</t>
        </is>
      </c>
      <c r="D146" s="13" t="inlineStr">
        <is>
          <t>BSA</t>
        </is>
      </c>
    </row>
    <row r="147">
      <c r="A147" s="13" t="inlineStr">
        <is>
          <t>Unused merchandise drawback</t>
        </is>
      </c>
      <c r="B147" s="13" t="inlineStr">
        <is>
          <t>Drawback when imported goods, or substitutes classified in the same 8-digit HTS, are exported or destroyed without being used in the US (19 U.S.C. 1313(j)).</t>
        </is>
      </c>
      <c r="C147" s="13" t="inlineStr">
        <is>
          <t>US</t>
        </is>
      </c>
      <c r="D147" s="13" t="inlineStr">
        <is>
          <t>Programs</t>
        </is>
      </c>
    </row>
    <row r="148">
      <c r="A148" s="13" t="inlineStr">
        <is>
          <t>User story</t>
        </is>
      </c>
      <c r="B148" s="13" t="inlineStr">
        <is>
          <t>A requirement written from a user's point of view: As a [role], I want [capability] so that [benefit], with acceptance criteria.</t>
        </is>
      </c>
      <c r="C148" s="13" t="inlineStr">
        <is>
          <t>All</t>
        </is>
      </c>
      <c r="D148" s="13" t="inlineStr">
        <is>
          <t>BSA</t>
        </is>
      </c>
    </row>
    <row r="149">
      <c r="A149" s="13" t="inlineStr">
        <is>
          <t>USMCA</t>
        </is>
      </c>
      <c r="B149" s="13" t="inlineStr">
        <is>
          <t>United States-Mexico-Canada Agreement, in force since July 1, 2020, replacing NAFTA. Originating goods with a valid claim get preferential duty. Called CUSMA in Canada and T-MEC in Mexico.</t>
        </is>
      </c>
      <c r="C149" s="13" t="inlineStr">
        <is>
          <t>All</t>
        </is>
      </c>
      <c r="D149" s="13" t="inlineStr">
        <is>
          <t>Origin</t>
        </is>
      </c>
    </row>
    <row r="150">
      <c r="A150" s="13" t="inlineStr">
        <is>
          <t>USPPI (US Principal Party in Interest)</t>
        </is>
      </c>
      <c r="B150" s="13" t="inlineStr">
        <is>
          <t>The US party that receives the primary benefit of an export, usually the US seller; responsible for providing accurate EEI data.</t>
        </is>
      </c>
      <c r="C150" s="13" t="inlineStr">
        <is>
          <t>US</t>
        </is>
      </c>
      <c r="D150" s="13" t="inlineStr">
        <is>
          <t>Exports</t>
        </is>
      </c>
    </row>
    <row r="151">
      <c r="A151" s="13" t="inlineStr">
        <is>
          <t>Value for duty (Canada)</t>
        </is>
      </c>
      <c r="B151" s="13" t="inlineStr">
        <is>
          <t>Canada's customs value. Under transaction value it excludes transportation and insurance after the place of direct shipment to Canada, giving an FOB-like value.</t>
        </is>
      </c>
      <c r="C151" s="13" t="inlineStr">
        <is>
          <t>CA</t>
        </is>
      </c>
      <c r="D151" s="13" t="inlineStr">
        <is>
          <t>Customs</t>
        </is>
      </c>
    </row>
    <row r="152">
      <c r="A152" s="13" t="inlineStr">
        <is>
          <t>VUCEM</t>
        </is>
      </c>
      <c r="B152" s="13" t="inlineStr">
        <is>
          <t>Ventanilla Única de Comercio Exterior Mexicana: Mexico's single window for foreign-trade procedures, permits and digitized supporting documents linked to pedimentos.</t>
        </is>
      </c>
      <c r="C152" s="13" t="inlineStr">
        <is>
          <t>MX</t>
        </is>
      </c>
      <c r="D152" s="13" t="inlineStr">
        <is>
          <t>Customs</t>
        </is>
      </c>
    </row>
  </sheetData>
  <autoFilter ref="A4:D1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2026-10-08T15:43:51Z</dcterms:created>
  <dcterms:modified xmlns:dcterms="http://purl.org/dc/terms/" xmlns:xsi="http://www.w3.org/2001/XMLSchema-instance" xsi:type="dcterms:W3CDTF">2026-10-08T15:43:51Z</dcterms:modified>
</cp:coreProperties>
</file>