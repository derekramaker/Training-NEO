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ction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Review" sheetId="6" state="visible" r:id="rId6"/>
  </sheets>
  <definedNames>
    <definedName name="act_ID">Action!$B$5</definedName>
    <definedName name="act_Name">Action!$B$6</definedName>
    <definedName name="act_Country">Action!$B$7</definedName>
    <definedName name="act_Authority">Action!$B$8</definedName>
    <definedName name="act_Brief">Action!$B$9</definedName>
    <definedName name="act_Source">Action!$B$10</definedName>
    <definedName name="act_EffDate">Action!$B$11</definedName>
    <definedName name="act_Basis">Action!$B$12</definedName>
    <definedName name="act_InTransit">Action!$B$13</definedName>
    <definedName name="act_EndDate">Action!$B$14</definedName>
    <definedName name="act_Rate">Action!$B$15</definedName>
    <definedName name="act_RateType">Action!$B$16</definedName>
    <definedName name="act_PriorRate">Action!$B$17</definedName>
    <definedName name="act_USMCAExempt">Action!$B$18</definedName>
    <definedName name="act_Stacking">Action!$B$19</definedName>
    <definedName name="act_Maker">Action!$B$20</definedName>
    <definedName name="act_Checker">Action!$B$21</definedName>
    <definedName name="act_Checked">Action!$B$22</definedName>
    <definedName name="act_ModelVersion">Action!$B$23</definedName>
    <definedName name="scope_HTS">Action!$F$5:$F$54</definedName>
    <definedName name="excl_HTS">Action!$J$5:$J$54</definedName>
    <definedName name="scope_COO">Action!$M$5:$M$54</definedName>
    <definedName name="det_Item">Action!$P$5:$P$54</definedName>
    <definedName name="det_Status">Action!$Q$5:$Q$54</definedName>
    <definedName name="_xlnm._FilterDatabase" localSheetId="2" hidden="1">'Items'!$A$4:$L$254</definedName>
    <definedName name="_xlnm._FilterDatabase" localSheetId="3" hidden="1">'Calc'!$A$4:$AC$254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#,##0.0000"/>
    <numFmt numFmtId="167" formatCode="0.000000000"/>
  </numFmts>
  <fonts count="10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i val="1"/>
      <color rgb="00595959"/>
    </font>
    <font>
      <name val="Calibri"/>
      <b val="1"/>
      <color rgb="00C00000"/>
    </font>
    <font>
      <name val="Calibri"/>
      <b val="1"/>
      <color rgb="001F3864"/>
      <sz val="12"/>
    </font>
    <font>
      <name val="Calibri"/>
      <b val="1"/>
      <color rgb="00FFFFFF"/>
    </font>
    <font>
      <name val="Calibri"/>
      <b val="1"/>
      <sz val="10"/>
    </font>
    <font>
      <name val="Calibri"/>
      <sz val="10"/>
    </font>
    <font>
      <name val="Calibri"/>
      <i val="1"/>
      <color rgb="00595959"/>
      <sz val="9"/>
    </font>
    <font>
      <name val="Calibri"/>
      <color rgb="00808080"/>
      <sz val="8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2">
    <xf numFmtId="0" fontId="0" fillId="0" borderId="0"/>
    <xf numFmtId="0" fontId="1" fillId="0" borderId="1" applyAlignment="1">
      <alignment vertical="top"/>
    </xf>
    <xf numFmtId="0" fontId="2" fillId="0" borderId="1" applyAlignment="1">
      <alignment vertical="top"/>
    </xf>
    <xf numFmtId="0" fontId="3" fillId="0" borderId="1" applyAlignment="1">
      <alignment vertical="top"/>
    </xf>
    <xf numFmtId="0" fontId="4" fillId="0" borderId="1" applyAlignment="1">
      <alignment vertical="top"/>
    </xf>
    <xf numFmtId="0" fontId="5" fillId="2" borderId="2" applyAlignment="1">
      <alignment vertical="top" wrapText="1"/>
    </xf>
    <xf numFmtId="0" fontId="6" fillId="0" borderId="2" applyAlignment="1">
      <alignment vertical="top" wrapText="1"/>
    </xf>
    <xf numFmtId="0" fontId="7" fillId="0" borderId="1" applyAlignment="1">
      <alignment vertical="top" wrapText="1"/>
    </xf>
    <xf numFmtId="0" fontId="8" fillId="0" borderId="2" applyAlignment="1">
      <alignment vertical="top" wrapText="1"/>
    </xf>
    <xf numFmtId="0" fontId="7" fillId="3" borderId="2" applyAlignment="1">
      <alignment vertical="top" wrapText="1"/>
    </xf>
    <xf numFmtId="49" fontId="7" fillId="3" borderId="2" applyAlignment="1">
      <alignment vertical="top" wrapText="1"/>
    </xf>
    <xf numFmtId="164" fontId="7" fillId="3" borderId="2" applyAlignment="1">
      <alignment vertical="top"/>
    </xf>
    <xf numFmtId="4" fontId="7" fillId="3" borderId="2" applyAlignment="1">
      <alignment vertical="top"/>
    </xf>
    <xf numFmtId="3" fontId="7" fillId="3" borderId="2" applyAlignment="1">
      <alignment vertical="top"/>
    </xf>
    <xf numFmtId="165" fontId="7" fillId="3" borderId="2" applyAlignment="1">
      <alignment vertical="top"/>
    </xf>
    <xf numFmtId="0" fontId="7" fillId="4" borderId="2" applyAlignment="1">
      <alignment vertical="top"/>
    </xf>
    <xf numFmtId="164" fontId="7" fillId="4" borderId="2" applyAlignment="1">
      <alignment vertical="top"/>
    </xf>
    <xf numFmtId="4" fontId="7" fillId="4" borderId="2" applyAlignment="1">
      <alignment vertical="top"/>
    </xf>
    <xf numFmtId="166" fontId="7" fillId="4" borderId="2" applyAlignment="1">
      <alignment vertical="top"/>
    </xf>
    <xf numFmtId="3" fontId="7" fillId="4" borderId="2" applyAlignment="1">
      <alignment vertical="top"/>
    </xf>
    <xf numFmtId="165" fontId="7" fillId="4" borderId="2" applyAlignment="1">
      <alignment vertical="top"/>
    </xf>
    <xf numFmtId="167" fontId="9" fillId="4" borderId="2" applyAlignment="1">
      <alignment vertical="top"/>
    </xf>
  </cellStyleXfs>
  <cellXfs count="22">
    <xf numFmtId="0" fontId="0" fillId="0" borderId="0" pivotButton="0" quotePrefix="0" xfId="0"/>
    <xf numFmtId="0" fontId="1" fillId="0" borderId="1" applyAlignment="1" pivotButton="0" quotePrefix="0" xfId="1">
      <alignment vertical="top"/>
    </xf>
    <xf numFmtId="0" fontId="2" fillId="0" borderId="1" applyAlignment="1" pivotButton="0" quotePrefix="0" xfId="2">
      <alignment vertical="top"/>
    </xf>
    <xf numFmtId="0" fontId="3" fillId="0" borderId="1" applyAlignment="1" pivotButton="0" quotePrefix="0" xfId="3">
      <alignment vertical="top"/>
    </xf>
    <xf numFmtId="0" fontId="4" fillId="0" borderId="1" applyAlignment="1" pivotButton="0" quotePrefix="0" xfId="4">
      <alignment vertical="top"/>
    </xf>
    <xf numFmtId="0" fontId="6" fillId="0" borderId="2" applyAlignment="1" pivotButton="0" quotePrefix="0" xfId="6">
      <alignment vertical="top" wrapText="1"/>
    </xf>
    <xf numFmtId="0" fontId="7" fillId="0" borderId="1" applyAlignment="1" pivotButton="0" quotePrefix="0" xfId="7">
      <alignment vertical="top" wrapText="1"/>
    </xf>
    <xf numFmtId="0" fontId="5" fillId="2" borderId="2" applyAlignment="1" pivotButton="0" quotePrefix="0" xfId="5">
      <alignment vertical="top" wrapText="1"/>
    </xf>
    <xf numFmtId="49" fontId="7" fillId="3" borderId="2" applyAlignment="1" pivotButton="0" quotePrefix="0" xfId="10">
      <alignment vertical="top" wrapText="1"/>
    </xf>
    <xf numFmtId="0" fontId="8" fillId="0" borderId="2" applyAlignment="1" pivotButton="0" quotePrefix="0" xfId="8">
      <alignment vertical="top" wrapText="1"/>
    </xf>
    <xf numFmtId="0" fontId="7" fillId="4" borderId="2" applyAlignment="1" pivotButton="0" quotePrefix="0" xfId="15">
      <alignment vertical="top"/>
    </xf>
    <xf numFmtId="0" fontId="7" fillId="3" borderId="2" applyAlignment="1" pivotButton="0" quotePrefix="0" xfId="9">
      <alignment vertical="top" wrapText="1"/>
    </xf>
    <xf numFmtId="165" fontId="7" fillId="3" borderId="2" applyAlignment="1" pivotButton="0" quotePrefix="0" xfId="14">
      <alignment vertical="top"/>
    </xf>
    <xf numFmtId="164" fontId="7" fillId="3" borderId="2" applyAlignment="1" pivotButton="0" quotePrefix="0" xfId="11">
      <alignment vertical="top"/>
    </xf>
    <xf numFmtId="4" fontId="7" fillId="3" borderId="2" applyAlignment="1" pivotButton="0" quotePrefix="0" xfId="12">
      <alignment vertical="top"/>
    </xf>
    <xf numFmtId="3" fontId="7" fillId="3" borderId="2" applyAlignment="1" pivotButton="0" quotePrefix="0" xfId="13">
      <alignment vertical="top"/>
    </xf>
    <xf numFmtId="164" fontId="7" fillId="4" borderId="2" applyAlignment="1" pivotButton="0" quotePrefix="0" xfId="16">
      <alignment vertical="top"/>
    </xf>
    <xf numFmtId="166" fontId="7" fillId="4" borderId="2" applyAlignment="1" pivotButton="0" quotePrefix="0" xfId="18">
      <alignment vertical="top"/>
    </xf>
    <xf numFmtId="3" fontId="7" fillId="4" borderId="2" applyAlignment="1" pivotButton="0" quotePrefix="0" xfId="19">
      <alignment vertical="top"/>
    </xf>
    <xf numFmtId="4" fontId="7" fillId="4" borderId="2" applyAlignment="1" pivotButton="0" quotePrefix="0" xfId="17">
      <alignment vertical="top"/>
    </xf>
    <xf numFmtId="167" fontId="9" fillId="4" borderId="2" applyAlignment="1" pivotButton="0" quotePrefix="0" xfId="21">
      <alignment vertical="top"/>
    </xf>
    <xf numFmtId="165" fontId="7" fillId="4" borderId="2" applyAlignment="1" pivotButton="0" quotePrefix="0" xfId="20">
      <alignment vertical="top"/>
    </xf>
  </cellXfs>
  <cellStyles count="22">
    <cellStyle name="Normal" xfId="0" builtinId="0" hidden="0"/>
    <cellStyle name="TIM Title" xfId="1" hidden="0"/>
    <cellStyle name="TIM Subtitle" xfId="2" hidden="0"/>
    <cellStyle name="TIM Warning" xfId="3" hidden="0"/>
    <cellStyle name="TIM Section" xfId="4" hidden="0"/>
    <cellStyle name="TIM Header" xfId="5" hidden="0"/>
    <cellStyle name="TIM Label" xfId="6" hidden="0"/>
    <cellStyle name="TIM Text" xfId="7" hidden="0"/>
    <cellStyle name="TIM Note" xfId="8" hidden="0"/>
    <cellStyle name="TIM Input" xfId="9" hidden="0"/>
    <cellStyle name="TIM Input Text" xfId="10" hidden="0"/>
    <cellStyle name="TIM Input Pct" xfId="11" hidden="0"/>
    <cellStyle name="TIM Input Money" xfId="12" hidden="0"/>
    <cellStyle name="TIM Input Qty" xfId="13" hidden="0"/>
    <cellStyle name="TIM Input Date" xfId="14" hidden="0"/>
    <cellStyle name="TIM Calc" xfId="15" hidden="0"/>
    <cellStyle name="TIM Calc Pct" xfId="16" hidden="0"/>
    <cellStyle name="TIM Calc Money" xfId="17" hidden="0"/>
    <cellStyle name="TIM Calc Unit" xfId="18" hidden="0"/>
    <cellStyle name="TIM Calc Whole" xfId="19" hidden="0"/>
    <cellStyle name="TIM Calc Date" xfId="20" hidden="0"/>
    <cellStyle name="TIM Calc Key" xfId="21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B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0" customWidth="1" min="2" max="2"/>
  </cols>
  <sheetData>
    <row r="1">
      <c r="A1" s="1" t="inlineStr">
        <is>
          <t>Tariff-Impact Model (template)</t>
        </is>
      </c>
    </row>
    <row r="2">
      <c r="A2" s="2" t="inlineStr">
        <is>
          <t>Shared by Research (the WHAT) and Standard Cost (the $). One copy per tariff action.</t>
        </is>
      </c>
    </row>
    <row r="3">
      <c r="A3" s="3" t="inlineStr">
        <is>
          <t>All sample rows in this template are SYNTHETIC and use a FICTIONAL action. Delete them before real use.</t>
        </is>
      </c>
    </row>
    <row r="6">
      <c r="A6" s="4" t="inlineStr">
        <is>
          <t>What this workbook is</t>
        </is>
      </c>
    </row>
    <row r="7" ht="30" customHeight="1">
      <c r="A7" s="5" t="inlineStr"/>
      <c r="B7" s="6" t="inlineStr">
        <is>
          <t>The one shared model for a tariff action. Research (Hire A) records the WHAT on the Action tab. Standard Cost (Hire B) loads the items on the Items tab. Calc and Summary work out the $ impact with live formulas.</t>
        </is>
      </c>
    </row>
    <row r="8" ht="45" customHeight="1">
      <c r="A8" s="5" t="inlineStr"/>
      <c r="B8" s="6" t="inlineStr">
        <is>
          <t>Boundary rule: Research owns scope, HTS, origins, rates, dates and stacking (from the checked Tariff-Impact Brief). Standard Cost owns the item data, landed cost, margin and the Oracle cost update. Nobody edits the other track's tab; ask instead.</t>
        </is>
      </c>
    </row>
    <row r="9" ht="30" customHeight="1">
      <c r="A9" s="5" t="inlineStr"/>
      <c r="B9" s="6" t="inlineStr">
        <is>
          <t>Guide (every tab and formula explained): docs/templates/domain/tariff-impact-model-guide.md. Brief template: docs/templates/domain/tariff-impact-brief.md.</t>
        </is>
      </c>
    </row>
    <row r="11">
      <c r="A11" s="4" t="inlineStr">
        <is>
          <t>Colour key</t>
        </is>
      </c>
    </row>
    <row r="12" ht="15" customHeight="1">
      <c r="A12" s="5" t="inlineStr">
        <is>
          <t>Yellow</t>
        </is>
      </c>
      <c r="B12" s="6" t="inlineStr">
        <is>
          <t>Input cell. Type or paste values here only.</t>
        </is>
      </c>
    </row>
    <row r="13" ht="30" customHeight="1">
      <c r="A13" s="5" t="inlineStr">
        <is>
          <t>Grey</t>
        </is>
      </c>
      <c r="B13" s="6" t="inlineStr">
        <is>
          <t>Formula cell. Do not type over it. If a formula looks wrong, raise it with the Manager; do not patch it with a typed number.</t>
        </is>
      </c>
    </row>
    <row r="14" ht="15" customHeight="1">
      <c r="A14" s="5" t="inlineStr">
        <is>
          <t>Green / red</t>
        </is>
      </c>
      <c r="B14" s="6" t="inlineStr">
        <is>
          <t>Status from conditional formatting: green = in scope or check passed; red = a CHECK that must be cleared before review.</t>
        </is>
      </c>
    </row>
    <row r="16">
      <c r="A16" s="4" t="inlineStr">
        <is>
          <t>How to use it (one copy per tariff action and importing country)</t>
        </is>
      </c>
    </row>
    <row r="17" ht="30" customHeight="1">
      <c r="A17" s="5" t="inlineStr">
        <is>
          <t>1</t>
        </is>
      </c>
      <c r="B17" s="6" t="inlineStr">
        <is>
          <t>Copy this template. Name the copy TIM_[Action ID]_[import country]_v0.1.xlsx and save it in [COMPANY: tariff model folder]. Link it on the Jira story; never email copies.</t>
        </is>
      </c>
    </row>
    <row r="18" ht="15" customHeight="1">
      <c r="A18" s="5" t="inlineStr">
        <is>
          <t>2</t>
        </is>
      </c>
      <c r="B18" s="6" t="inlineStr">
        <is>
          <t>Delete the SAMPLE rows on Action (lists and determinations), Items and Review before real use.</t>
        </is>
      </c>
    </row>
    <row r="19" ht="30" customHeight="1">
      <c r="A19" s="5" t="inlineStr">
        <is>
          <t>3</t>
        </is>
      </c>
      <c r="B19" s="6" t="inlineStr">
        <is>
          <t>Research (maker): fill the Action tab from the checked brief: fields in column B, the HTS scope list, the exclusion list, the origin list and any item-level determinations.</t>
        </is>
      </c>
    </row>
    <row r="20" ht="30" customHeight="1">
      <c r="A20" s="5" t="inlineStr">
        <is>
          <t>4</t>
        </is>
      </c>
      <c r="B20" s="6" t="inlineStr">
        <is>
          <t>Research checker (Senior or Manager): compare the Action tab with the brief line by line. Log the review on the Review tab.</t>
        </is>
      </c>
    </row>
    <row r="21" ht="30" customHeight="1">
      <c r="A21" s="5" t="inlineStr">
        <is>
          <t>5</t>
        </is>
      </c>
      <c r="B21" s="6" t="inlineStr">
        <is>
          <t>Standard Cost (maker): paste the item extract into Items ([COMPANY: Oracle cost extract or warehouse query], with the extract date in column L). Keep HTS, item numbers and origin codes as text.</t>
        </is>
      </c>
    </row>
    <row r="22" ht="15" customHeight="1">
      <c r="A22" s="5" t="inlineStr">
        <is>
          <t>6</t>
        </is>
      </c>
      <c r="B22" s="6" t="inlineStr">
        <is>
          <t>Clear every CHECK in Calc column AB. Summary B24 must read YES before review.</t>
        </is>
      </c>
    </row>
    <row r="23" ht="30" customHeight="1">
      <c r="A23" s="5" t="inlineStr">
        <is>
          <t>7</t>
        </is>
      </c>
      <c r="B23" s="6" t="inlineStr">
        <is>
          <t>Standard Cost checker (Manager): recalculate 3 items by hand, confirm the item count and totals against the extract, confirm the Summary reconciles. Log the review on the Review tab.</t>
        </is>
      </c>
    </row>
    <row r="24" ht="30" customHeight="1">
      <c r="A24" s="5" t="inlineStr">
        <is>
          <t>8</t>
        </is>
      </c>
      <c r="B24" s="6" t="inlineStr">
        <is>
          <t>Release: only a version with a checker sign-off on the Review tab goes to the business. Any change after sign-off is a new version and a new review.</t>
        </is>
      </c>
    </row>
    <row r="26">
      <c r="A26" s="4" t="inlineStr">
        <is>
          <t>Maker-checker rule</t>
        </is>
      </c>
    </row>
    <row r="27" ht="30" customHeight="1">
      <c r="A27" s="5" t="inlineStr"/>
      <c r="B27" s="6" t="inlineStr">
        <is>
          <t>Every model released to the business gets a documented second-person review (Senior or Manager): name, date, version, findings. This applies after day 90 too. The maker never signs their own review.</t>
        </is>
      </c>
    </row>
    <row r="29">
      <c r="A29" s="4" t="inlineStr">
        <is>
          <t>Limits (read before you trust a number)</t>
        </is>
      </c>
    </row>
    <row r="30" ht="30" customHeight="1">
      <c r="A30" s="5" t="inlineStr"/>
      <c r="B30" s="6" t="inlineStr">
        <is>
          <t>Ad valorem rates only. Specific or compound rates (per kg, per unit) need an ad valorem equivalent agreed with Research and the checker.</t>
        </is>
      </c>
    </row>
    <row r="31" ht="30" customHeight="1">
      <c r="A31" s="5" t="inlineStr"/>
      <c r="B31" s="6" t="inlineStr">
        <is>
          <t>Landed cost change = duty change only. Fees (for example US MPF), freight and brokerage are assumed unchanged. Duty-based taxes (Canada GST, Mexico IVA) are left out because they are normally recoverable; confirm with Finance.</t>
        </is>
      </c>
    </row>
    <row r="32" ht="30" customHeight="1">
      <c r="A32" s="5" t="inlineStr"/>
      <c r="B32" s="6" t="inlineStr">
        <is>
          <t>Annual impact assumes the action applies for a full year at the Items volume. It does not model in-transit stock, stock already on hand, the end date, timing within the cost period or supplier price changes.</t>
        </is>
      </c>
    </row>
    <row r="33" ht="30" customHeight="1">
      <c r="A33" s="5" t="inlineStr"/>
      <c r="B33" s="6" t="inlineStr">
        <is>
          <t>Current duty rate and current standard cost come from the Items tab as given. The model assumes the current standard cost already includes duty at the current rate.</t>
        </is>
      </c>
    </row>
    <row r="34" ht="15" customHeight="1">
      <c r="A34" s="5" t="inlineStr"/>
      <c r="B34" s="6" t="inlineStr">
        <is>
          <t>Capacity: 250 item rows and 50 rows per scope list. To extend, see the guide.</t>
        </is>
      </c>
    </row>
    <row r="36">
      <c r="A36" s="4" t="inlineStr">
        <is>
          <t>Template version</t>
        </is>
      </c>
    </row>
    <row r="37" ht="30" customHeight="1">
      <c r="A37" s="5" t="inlineStr"/>
      <c r="B37" s="6" t="inlineStr">
        <is>
          <t>Template v1.0, built 2026-10-08 by build/make_tariff_model.py. Owner: BSA Manager. Change the generator script, not a copy of the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S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4" customWidth="1" min="2" max="2"/>
    <col width="38" customWidth="1" min="3" max="3"/>
    <col width="2" customWidth="1" min="4" max="4"/>
    <col width="16" customWidth="1" min="5" max="5"/>
    <col width="11" customWidth="1" min="6" max="6"/>
    <col width="38" customWidth="1" min="7" max="7"/>
    <col width="2" customWidth="1" min="8" max="8"/>
    <col width="16" customWidth="1" min="9" max="9"/>
    <col width="11" customWidth="1" min="10" max="10"/>
    <col width="34" customWidth="1" min="11" max="11"/>
    <col width="2" customWidth="1" min="12" max="12"/>
    <col width="9" customWidth="1" min="13" max="13"/>
    <col width="30" customWidth="1" min="14" max="14"/>
    <col width="2" customWidth="1" min="15" max="15"/>
    <col width="14" customWidth="1" min="16" max="16"/>
    <col width="13" customWidth="1" min="17" max="17"/>
    <col width="38" customWidth="1" min="18" max="18"/>
    <col width="10" customWidth="1" min="19" max="19"/>
  </cols>
  <sheetData>
    <row r="1">
      <c r="A1" s="1" t="inlineStr">
        <is>
          <t>Action: the WHAT (Research fills this tab from the checked Tariff-Impact Brief)</t>
        </is>
      </c>
    </row>
    <row r="2">
      <c r="A2" s="2" t="inlineStr">
        <is>
          <t>Standard Cost reads this tab but never changes it. Questions go to Research on the Jira story.</t>
        </is>
      </c>
    </row>
    <row r="3">
      <c r="A3" s="3" t="inlineStr">
        <is>
          <t>SAMPLE: the values below describe a FICTIONAL action for training. No such action exists.</t>
        </is>
      </c>
    </row>
    <row r="4" ht="32" customHeight="1">
      <c r="A4" s="7" t="inlineStr">
        <is>
          <t>Field</t>
        </is>
      </c>
      <c r="B4" s="7" t="inlineStr">
        <is>
          <t>Value</t>
        </is>
      </c>
      <c r="C4" s="7" t="inlineStr">
        <is>
          <t>Where it comes from</t>
        </is>
      </c>
      <c r="E4" s="7" t="inlineStr">
        <is>
          <t>In-scope HTS prefix (as written)</t>
        </is>
      </c>
      <c r="F4" s="7" t="inlineStr">
        <is>
          <t>Digits (formula)</t>
        </is>
      </c>
      <c r="G4" s="7" t="inlineStr">
        <is>
          <t>Annex line or description (source)</t>
        </is>
      </c>
      <c r="I4" s="7" t="inlineStr">
        <is>
          <t>Excluded HTS prefix (as written)</t>
        </is>
      </c>
      <c r="J4" s="7" t="inlineStr">
        <is>
          <t>Digits (formula)</t>
        </is>
      </c>
      <c r="K4" s="7" t="inlineStr">
        <is>
          <t>Exclusion basis (source)</t>
        </is>
      </c>
      <c r="M4" s="7" t="inlineStr">
        <is>
          <t>Origin (ISO 2)</t>
        </is>
      </c>
      <c r="N4" s="7" t="inlineStr">
        <is>
          <t>Country or note</t>
        </is>
      </c>
      <c r="P4" s="7" t="inlineStr">
        <is>
          <t>Item number</t>
        </is>
      </c>
      <c r="Q4" s="7" t="inlineStr">
        <is>
          <t>Determination (IN or OUT)</t>
        </is>
      </c>
      <c r="R4" s="7" t="inlineStr">
        <is>
          <t>Reason</t>
        </is>
      </c>
      <c r="S4" s="7" t="inlineStr">
        <is>
          <t>Brief ref</t>
        </is>
      </c>
    </row>
    <row r="5">
      <c r="A5" s="5" t="inlineStr">
        <is>
          <t>Action ID</t>
        </is>
      </c>
      <c r="B5" s="8" t="inlineStr">
        <is>
          <t>TA-US-FIC-01</t>
        </is>
      </c>
      <c r="C5" s="9" t="inlineStr">
        <is>
          <t>Brief section 1. Same ID in the Jira label and the file name.</t>
        </is>
      </c>
      <c r="E5" s="8" t="inlineStr">
        <is>
          <t>7318</t>
        </is>
      </c>
      <c r="F5" s="10">
        <f>IF(TRIM(E5&amp;"")="","",SUBSTITUTE(SUBSTITUTE(SUBSTITUTE(TRIM(E5&amp;""),".","")," ",""),"-",""))</f>
        <v/>
      </c>
      <c r="G5" s="11" t="inlineStr">
        <is>
          <t>FICTIONAL annex line 1: heading 7318, screws, bolts, nuts, washers, rivets and similar, of iron or steel</t>
        </is>
      </c>
      <c r="I5" s="8" t="inlineStr">
        <is>
          <t>7318.24</t>
        </is>
      </c>
      <c r="J5" s="10">
        <f>IF(TRIM(I5&amp;"")="","",SUBSTITUTE(SUBSTITUTE(SUBSTITUTE(TRIM(I5&amp;""),".","")," ",""),"-",""))</f>
        <v/>
      </c>
      <c r="K5" s="11" t="inlineStr">
        <is>
          <t>FICTIONAL exclusion: cotters and cotter pins (annex note 2)</t>
        </is>
      </c>
      <c r="M5" s="8" t="inlineStr">
        <is>
          <t>XX</t>
        </is>
      </c>
      <c r="N5" s="11" t="inlineStr">
        <is>
          <t>Country X (FICTIONAL; XX is an ISO user-assigned code)</t>
        </is>
      </c>
      <c r="P5" s="8" t="inlineStr">
        <is>
          <t>SAMPLE-005</t>
        </is>
      </c>
      <c r="Q5" s="8" t="inlineStr">
        <is>
          <t>OUT</t>
        </is>
      </c>
      <c r="R5" s="11" t="inlineStr">
        <is>
          <t>FICTIONAL product exclusion: fasteners certified for civil aircraft; certificate on file</t>
        </is>
      </c>
      <c r="S5" s="11" t="inlineStr">
        <is>
          <t>Brief 6.4</t>
        </is>
      </c>
    </row>
    <row r="6">
      <c r="A6" s="5" t="inlineStr">
        <is>
          <t>Action name</t>
        </is>
      </c>
      <c r="B6" s="11" t="inlineStr">
        <is>
          <t>FICTIONAL EXAMPLE: US additional duty on iron or steel fasteners (heading 7318) from Country X</t>
        </is>
      </c>
      <c r="C6" s="9" t="inlineStr">
        <is>
          <t>Brief section 1.</t>
        </is>
      </c>
      <c r="E6" s="8" t="n"/>
      <c r="F6" s="10">
        <f>IF(TRIM(E6&amp;"")="","",SUBSTITUTE(SUBSTITUTE(SUBSTITUTE(TRIM(E6&amp;""),".","")," ",""),"-",""))</f>
        <v/>
      </c>
      <c r="G6" s="11" t="n"/>
      <c r="I6" s="8" t="n"/>
      <c r="J6" s="10">
        <f>IF(TRIM(I6&amp;"")="","",SUBSTITUTE(SUBSTITUTE(SUBSTITUTE(TRIM(I6&amp;""),".","")," ",""),"-",""))</f>
        <v/>
      </c>
      <c r="K6" s="11" t="n"/>
      <c r="M6" s="8" t="n"/>
      <c r="N6" s="11" t="n"/>
      <c r="P6" s="8" t="n"/>
      <c r="Q6" s="8" t="n"/>
      <c r="R6" s="11" t="n"/>
      <c r="S6" s="11" t="n"/>
    </row>
    <row r="7">
      <c r="A7" s="5" t="inlineStr">
        <is>
          <t>Importing country (US, CA or MX)</t>
        </is>
      </c>
      <c r="B7" s="8" t="inlineStr">
        <is>
          <t>US</t>
        </is>
      </c>
      <c r="C7" s="9" t="inlineStr">
        <is>
          <t>Brief section 1. One model per importing country.</t>
        </is>
      </c>
      <c r="E7" s="8" t="n"/>
      <c r="F7" s="10">
        <f>IF(TRIM(E7&amp;"")="","",SUBSTITUTE(SUBSTITUTE(SUBSTITUTE(TRIM(E7&amp;""),".","")," ",""),"-",""))</f>
        <v/>
      </c>
      <c r="G7" s="11" t="n"/>
      <c r="I7" s="8" t="n"/>
      <c r="J7" s="10">
        <f>IF(TRIM(I7&amp;"")="","",SUBSTITUTE(SUBSTITUTE(SUBSTITUTE(TRIM(I7&amp;""),".","")," ",""),"-",""))</f>
        <v/>
      </c>
      <c r="K7" s="11" t="n"/>
      <c r="M7" s="8" t="n"/>
      <c r="N7" s="11" t="n"/>
      <c r="P7" s="8" t="n"/>
      <c r="Q7" s="8" t="n"/>
      <c r="R7" s="11" t="n"/>
      <c r="S7" s="11" t="n"/>
    </row>
    <row r="8">
      <c r="A8" s="5" t="inlineStr">
        <is>
          <t>Legal authority category</t>
        </is>
      </c>
      <c r="B8" s="11" t="inlineStr">
        <is>
          <t>Section 301</t>
        </is>
      </c>
      <c r="C8" s="9" t="inlineStr">
        <is>
          <t>Brief section 3. Category only; the citation goes in the next rows.</t>
        </is>
      </c>
      <c r="E8" s="8" t="n"/>
      <c r="F8" s="10">
        <f>IF(TRIM(E8&amp;"")="","",SUBSTITUTE(SUBSTITUTE(SUBSTITUTE(TRIM(E8&amp;""),".","")," ",""),"-",""))</f>
        <v/>
      </c>
      <c r="G8" s="11" t="n"/>
      <c r="I8" s="8" t="n"/>
      <c r="J8" s="10">
        <f>IF(TRIM(I8&amp;"")="","",SUBSTITUTE(SUBSTITUTE(SUBSTITUTE(TRIM(I8&amp;""),".","")," ",""),"-",""))</f>
        <v/>
      </c>
      <c r="K8" s="11" t="n"/>
      <c r="M8" s="8" t="n"/>
      <c r="N8" s="11" t="n"/>
      <c r="P8" s="8" t="n"/>
      <c r="Q8" s="8" t="n"/>
      <c r="R8" s="11" t="n"/>
      <c r="S8" s="11" t="n"/>
    </row>
    <row r="9">
      <c r="A9" s="5" t="inlineStr">
        <is>
          <t>Tariff-Impact Brief ID and version</t>
        </is>
      </c>
      <c r="B9" s="8" t="inlineStr">
        <is>
          <t>TIB-TA-US-FIC-01 v1.0</t>
        </is>
      </c>
      <c r="C9" s="9" t="inlineStr">
        <is>
          <t>Brief section 1. The model must match a checked brief version.</t>
        </is>
      </c>
      <c r="E9" s="8" t="n"/>
      <c r="F9" s="10">
        <f>IF(TRIM(E9&amp;"")="","",SUBSTITUTE(SUBSTITUTE(SUBSTITUTE(TRIM(E9&amp;""),".","")," ",""),"-",""))</f>
        <v/>
      </c>
      <c r="G9" s="11" t="n"/>
      <c r="I9" s="8" t="n"/>
      <c r="J9" s="10">
        <f>IF(TRIM(I9&amp;"")="","",SUBSTITUTE(SUBSTITUTE(SUBSTITUTE(TRIM(I9&amp;""),".","")," ",""),"-",""))</f>
        <v/>
      </c>
      <c r="K9" s="11" t="n"/>
      <c r="M9" s="8" t="n"/>
      <c r="N9" s="11" t="n"/>
      <c r="P9" s="8" t="n"/>
      <c r="Q9" s="8" t="n"/>
      <c r="R9" s="11" t="n"/>
      <c r="S9" s="11" t="n"/>
    </row>
    <row r="10">
      <c r="A10" s="5" t="inlineStr">
        <is>
          <t>Primary legal source</t>
        </is>
      </c>
      <c r="B10" s="11" t="inlineStr">
        <is>
          <t>FICTIONAL: Federal Register notice 92 FR 00000; HTSUS heading 9903.XX.01</t>
        </is>
      </c>
      <c r="C10" s="9" t="inlineStr">
        <is>
          <t>Brief section 4. Citation of the notice, order or decree.</t>
        </is>
      </c>
      <c r="E10" s="8" t="n"/>
      <c r="F10" s="10">
        <f>IF(TRIM(E10&amp;"")="","",SUBSTITUTE(SUBSTITUTE(SUBSTITUTE(TRIM(E10&amp;""),".","")," ",""),"-",""))</f>
        <v/>
      </c>
      <c r="G10" s="11" t="n"/>
      <c r="I10" s="8" t="n"/>
      <c r="J10" s="10">
        <f>IF(TRIM(I10&amp;"")="","",SUBSTITUTE(SUBSTITUTE(SUBSTITUTE(TRIM(I10&amp;""),".","")," ",""),"-",""))</f>
        <v/>
      </c>
      <c r="K10" s="11" t="n"/>
      <c r="M10" s="8" t="n"/>
      <c r="N10" s="11" t="n"/>
      <c r="P10" s="8" t="n"/>
      <c r="Q10" s="8" t="n"/>
      <c r="R10" s="11" t="n"/>
      <c r="S10" s="11" t="n"/>
    </row>
    <row r="11">
      <c r="A11" s="5" t="inlineStr">
        <is>
          <t>Effective date</t>
        </is>
      </c>
      <c r="B11" s="12" t="n">
        <v>46447</v>
      </c>
      <c r="C11" s="9" t="inlineStr">
        <is>
          <t>Brief section 5.</t>
        </is>
      </c>
      <c r="E11" s="8" t="n"/>
      <c r="F11" s="10">
        <f>IF(TRIM(E11&amp;"")="","",SUBSTITUTE(SUBSTITUTE(SUBSTITUTE(TRIM(E11&amp;""),".","")," ",""),"-",""))</f>
        <v/>
      </c>
      <c r="G11" s="11" t="n"/>
      <c r="I11" s="8" t="n"/>
      <c r="J11" s="10">
        <f>IF(TRIM(I11&amp;"")="","",SUBSTITUTE(SUBSTITUTE(SUBSTITUTE(TRIM(I11&amp;""),".","")," ",""),"-",""))</f>
        <v/>
      </c>
      <c r="K11" s="11" t="n"/>
      <c r="M11" s="8" t="n"/>
      <c r="N11" s="11" t="n"/>
      <c r="P11" s="8" t="n"/>
      <c r="Q11" s="8" t="n"/>
      <c r="R11" s="11" t="n"/>
      <c r="S11" s="11" t="n"/>
    </row>
    <row r="12">
      <c r="A12" s="5" t="inlineStr">
        <is>
          <t>Effective time and basis</t>
        </is>
      </c>
      <c r="B12" s="11" t="inlineStr">
        <is>
          <t>12:01 a.m. ET; goods entered for consumption, or withdrawn from warehouse for consumption, on or after the effective date</t>
        </is>
      </c>
      <c r="C12" s="9" t="inlineStr">
        <is>
          <t>Brief section 5. Quote the notice wording.</t>
        </is>
      </c>
      <c r="E12" s="8" t="n"/>
      <c r="F12" s="10">
        <f>IF(TRIM(E12&amp;"")="","",SUBSTITUTE(SUBSTITUTE(SUBSTITUTE(TRIM(E12&amp;""),".","")," ",""),"-",""))</f>
        <v/>
      </c>
      <c r="G12" s="11" t="n"/>
      <c r="I12" s="8" t="n"/>
      <c r="J12" s="10">
        <f>IF(TRIM(I12&amp;"")="","",SUBSTITUTE(SUBSTITUTE(SUBSTITUTE(TRIM(I12&amp;""),".","")," ",""),"-",""))</f>
        <v/>
      </c>
      <c r="K12" s="11" t="n"/>
      <c r="M12" s="8" t="n"/>
      <c r="N12" s="11" t="n"/>
      <c r="P12" s="8" t="n"/>
      <c r="Q12" s="8" t="n"/>
      <c r="R12" s="11" t="n"/>
      <c r="S12" s="11" t="n"/>
    </row>
    <row r="13">
      <c r="A13" s="5" t="inlineStr">
        <is>
          <t>In-transit provision</t>
        </is>
      </c>
      <c r="B13" s="11" t="inlineStr">
        <is>
          <t>FICTIONAL: not covered if loaded on the final mode of transit before the effective date and entered before 2027-04-30</t>
        </is>
      </c>
      <c r="C13" s="9" t="inlineStr">
        <is>
          <t>Brief section 5. Not applied by the formulas; Standard Cost handles in-transit stock separately.</t>
        </is>
      </c>
      <c r="E13" s="8" t="n"/>
      <c r="F13" s="10">
        <f>IF(TRIM(E13&amp;"")="","",SUBSTITUTE(SUBSTITUTE(SUBSTITUTE(TRIM(E13&amp;""),".","")," ",""),"-",""))</f>
        <v/>
      </c>
      <c r="G13" s="11" t="n"/>
      <c r="I13" s="8" t="n"/>
      <c r="J13" s="10">
        <f>IF(TRIM(I13&amp;"")="","",SUBSTITUTE(SUBSTITUTE(SUBSTITUTE(TRIM(I13&amp;""),".","")," ",""),"-",""))</f>
        <v/>
      </c>
      <c r="K13" s="11" t="n"/>
      <c r="M13" s="8" t="n"/>
      <c r="N13" s="11" t="n"/>
      <c r="P13" s="8" t="n"/>
      <c r="Q13" s="8" t="n"/>
      <c r="R13" s="11" t="n"/>
      <c r="S13" s="11" t="n"/>
    </row>
    <row r="14">
      <c r="A14" s="5" t="inlineStr">
        <is>
          <t>End date (blank if none)</t>
        </is>
      </c>
      <c r="B14" s="12" t="n"/>
      <c r="C14" s="9" t="inlineStr">
        <is>
          <t>Brief section 5. Not applied by the formulas.</t>
        </is>
      </c>
      <c r="E14" s="8" t="n"/>
      <c r="F14" s="10">
        <f>IF(TRIM(E14&amp;"")="","",SUBSTITUTE(SUBSTITUTE(SUBSTITUTE(TRIM(E14&amp;""),".","")," ",""),"-",""))</f>
        <v/>
      </c>
      <c r="G14" s="11" t="n"/>
      <c r="I14" s="8" t="n"/>
      <c r="J14" s="10">
        <f>IF(TRIM(I14&amp;"")="","",SUBSTITUTE(SUBSTITUTE(SUBSTITUTE(TRIM(I14&amp;""),".","")," ",""),"-",""))</f>
        <v/>
      </c>
      <c r="K14" s="11" t="n"/>
      <c r="M14" s="8" t="n"/>
      <c r="N14" s="11" t="n"/>
      <c r="P14" s="8" t="n"/>
      <c r="Q14" s="8" t="n"/>
      <c r="R14" s="11" t="n"/>
      <c r="S14" s="11" t="n"/>
    </row>
    <row r="15">
      <c r="A15" s="5" t="inlineStr">
        <is>
          <t>Additional duty rate (% of customs value)</t>
        </is>
      </c>
      <c r="B15" s="13" t="n">
        <v>0.25</v>
      </c>
      <c r="C15" s="9" t="inlineStr">
        <is>
          <t>Brief section 7. Ad valorem only.</t>
        </is>
      </c>
      <c r="E15" s="8" t="n"/>
      <c r="F15" s="10">
        <f>IF(TRIM(E15&amp;"")="","",SUBSTITUTE(SUBSTITUTE(SUBSTITUTE(TRIM(E15&amp;""),".","")," ",""),"-",""))</f>
        <v/>
      </c>
      <c r="G15" s="11" t="n"/>
      <c r="I15" s="8" t="n"/>
      <c r="J15" s="10">
        <f>IF(TRIM(I15&amp;"")="","",SUBSTITUTE(SUBSTITUTE(SUBSTITUTE(TRIM(I15&amp;""),".","")," ",""),"-",""))</f>
        <v/>
      </c>
      <c r="K15" s="11" t="n"/>
      <c r="M15" s="8" t="n"/>
      <c r="N15" s="11" t="n"/>
      <c r="P15" s="8" t="n"/>
      <c r="Q15" s="8" t="n"/>
      <c r="R15" s="11" t="n"/>
      <c r="S15" s="11" t="n"/>
    </row>
    <row r="16">
      <c r="A16" s="5" t="inlineStr">
        <is>
          <t>Rate change type (ADD or REPLACE)</t>
        </is>
      </c>
      <c r="B16" s="8" t="inlineStr">
        <is>
          <t>ADD</t>
        </is>
      </c>
      <c r="C16" s="9" t="inlineStr">
        <is>
          <t>ADD: the rate above is added to the item's current rate. REPLACE: the rate above replaces this action's earlier rate (next row).</t>
        </is>
      </c>
      <c r="E16" s="8" t="n"/>
      <c r="F16" s="10">
        <f>IF(TRIM(E16&amp;"")="","",SUBSTITUTE(SUBSTITUTE(SUBSTITUTE(TRIM(E16&amp;""),".","")," ",""),"-",""))</f>
        <v/>
      </c>
      <c r="G16" s="11" t="n"/>
      <c r="I16" s="8" t="n"/>
      <c r="J16" s="10">
        <f>IF(TRIM(I16&amp;"")="","",SUBSTITUTE(SUBSTITUTE(SUBSTITUTE(TRIM(I16&amp;""),".","")," ",""),"-",""))</f>
        <v/>
      </c>
      <c r="K16" s="11" t="n"/>
      <c r="M16" s="8" t="n"/>
      <c r="N16" s="11" t="n"/>
      <c r="P16" s="8" t="n"/>
      <c r="Q16" s="8" t="n"/>
      <c r="R16" s="11" t="n"/>
      <c r="S16" s="11" t="n"/>
    </row>
    <row r="17">
      <c r="A17" s="5" t="inlineStr">
        <is>
          <t>Earlier rate of this action being replaced</t>
        </is>
      </c>
      <c r="B17" s="13" t="n">
        <v>0</v>
      </c>
      <c r="C17" s="9" t="inlineStr">
        <is>
          <t>REPLACE only. Brief section 7. Must already be inside each item's current rate.</t>
        </is>
      </c>
      <c r="E17" s="8" t="n"/>
      <c r="F17" s="10">
        <f>IF(TRIM(E17&amp;"")="","",SUBSTITUTE(SUBSTITUTE(SUBSTITUTE(TRIM(E17&amp;""),".","")," ",""),"-",""))</f>
        <v/>
      </c>
      <c r="G17" s="11" t="n"/>
      <c r="I17" s="8" t="n"/>
      <c r="J17" s="10">
        <f>IF(TRIM(I17&amp;"")="","",SUBSTITUTE(SUBSTITUTE(SUBSTITUTE(TRIM(I17&amp;""),".","")," ",""),"-",""))</f>
        <v/>
      </c>
      <c r="K17" s="11" t="n"/>
      <c r="M17" s="8" t="n"/>
      <c r="N17" s="11" t="n"/>
      <c r="P17" s="8" t="n"/>
      <c r="Q17" s="8" t="n"/>
      <c r="R17" s="11" t="n"/>
      <c r="S17" s="11" t="n"/>
    </row>
    <row r="18">
      <c r="A18" s="5" t="inlineStr">
        <is>
          <t>USMCA-qualifying goods exempt? (Y, N or N/A)</t>
        </is>
      </c>
      <c r="B18" s="8" t="inlineStr">
        <is>
          <t>N/A</t>
        </is>
      </c>
      <c r="C18" s="9" t="inlineStr">
        <is>
          <t>Brief section 6.5. Y removes items flagged USMCA-qualifying on the Items tab.</t>
        </is>
      </c>
      <c r="E18" s="8" t="n"/>
      <c r="F18" s="10">
        <f>IF(TRIM(E18&amp;"")="","",SUBSTITUTE(SUBSTITUTE(SUBSTITUTE(TRIM(E18&amp;""),".","")," ",""),"-",""))</f>
        <v/>
      </c>
      <c r="G18" s="11" t="n"/>
      <c r="I18" s="8" t="n"/>
      <c r="J18" s="10">
        <f>IF(TRIM(I18&amp;"")="","",SUBSTITUTE(SUBSTITUTE(SUBSTITUTE(TRIM(I18&amp;""),".","")," ",""),"-",""))</f>
        <v/>
      </c>
      <c r="K18" s="11" t="n"/>
      <c r="M18" s="8" t="n"/>
      <c r="N18" s="11" t="n"/>
      <c r="P18" s="8" t="n"/>
      <c r="Q18" s="8" t="n"/>
      <c r="R18" s="11" t="n"/>
      <c r="S18" s="11" t="n"/>
    </row>
    <row r="19">
      <c r="A19" s="5" t="inlineStr">
        <is>
          <t>Stacking interpretation</t>
        </is>
      </c>
      <c r="B19" s="11" t="inlineStr">
        <is>
          <t>Adds to the HTSUS column 1 General rate. FICTIONAL: no other additional duty applies to the sample items.</t>
        </is>
      </c>
      <c r="C19" s="9" t="inlineStr">
        <is>
          <t>Brief section 6.6. Item-level exceptions go in the determinations list (column P).</t>
        </is>
      </c>
      <c r="E19" s="8" t="n"/>
      <c r="F19" s="10">
        <f>IF(TRIM(E19&amp;"")="","",SUBSTITUTE(SUBSTITUTE(SUBSTITUTE(TRIM(E19&amp;""),".","")," ",""),"-",""))</f>
        <v/>
      </c>
      <c r="G19" s="11" t="n"/>
      <c r="I19" s="8" t="n"/>
      <c r="J19" s="10">
        <f>IF(TRIM(I19&amp;"")="","",SUBSTITUTE(SUBSTITUTE(SUBSTITUTE(TRIM(I19&amp;""),".","")," ",""),"-",""))</f>
        <v/>
      </c>
      <c r="K19" s="11" t="n"/>
      <c r="M19" s="8" t="n"/>
      <c r="N19" s="11" t="n"/>
      <c r="P19" s="8" t="n"/>
      <c r="Q19" s="8" t="n"/>
      <c r="R19" s="11" t="n"/>
      <c r="S19" s="11" t="n"/>
    </row>
    <row r="20">
      <c r="A20" s="5" t="inlineStr">
        <is>
          <t>Research maker</t>
        </is>
      </c>
      <c r="B20" s="11" t="inlineStr">
        <is>
          <t>Hire A</t>
        </is>
      </c>
      <c r="C20" s="9" t="inlineStr">
        <is>
          <t>Brief section 12.</t>
        </is>
      </c>
      <c r="E20" s="8" t="n"/>
      <c r="F20" s="10">
        <f>IF(TRIM(E20&amp;"")="","",SUBSTITUTE(SUBSTITUTE(SUBSTITUTE(TRIM(E20&amp;""),".","")," ",""),"-",""))</f>
        <v/>
      </c>
      <c r="G20" s="11" t="n"/>
      <c r="I20" s="8" t="n"/>
      <c r="J20" s="10">
        <f>IF(TRIM(I20&amp;"")="","",SUBSTITUTE(SUBSTITUTE(SUBSTITUTE(TRIM(I20&amp;""),".","")," ",""),"-",""))</f>
        <v/>
      </c>
      <c r="K20" s="11" t="n"/>
      <c r="M20" s="8" t="n"/>
      <c r="N20" s="11" t="n"/>
      <c r="P20" s="8" t="n"/>
      <c r="Q20" s="8" t="n"/>
      <c r="R20" s="11" t="n"/>
      <c r="S20" s="11" t="n"/>
    </row>
    <row r="21">
      <c r="A21" s="5" t="inlineStr">
        <is>
          <t>Research checker</t>
        </is>
      </c>
      <c r="B21" s="11" t="inlineStr">
        <is>
          <t>Senior</t>
        </is>
      </c>
      <c r="C21" s="9" t="inlineStr">
        <is>
          <t>Brief section 12.</t>
        </is>
      </c>
      <c r="E21" s="8" t="n"/>
      <c r="F21" s="10">
        <f>IF(TRIM(E21&amp;"")="","",SUBSTITUTE(SUBSTITUTE(SUBSTITUTE(TRIM(E21&amp;""),".","")," ",""),"-",""))</f>
        <v/>
      </c>
      <c r="G21" s="11" t="n"/>
      <c r="I21" s="8" t="n"/>
      <c r="J21" s="10">
        <f>IF(TRIM(I21&amp;"")="","",SUBSTITUTE(SUBSTITUTE(SUBSTITUTE(TRIM(I21&amp;""),".","")," ",""),"-",""))</f>
        <v/>
      </c>
      <c r="K21" s="11" t="n"/>
      <c r="M21" s="8" t="n"/>
      <c r="N21" s="11" t="n"/>
      <c r="P21" s="8" t="n"/>
      <c r="Q21" s="8" t="n"/>
      <c r="R21" s="11" t="n"/>
      <c r="S21" s="11" t="n"/>
    </row>
    <row r="22">
      <c r="A22" s="5" t="inlineStr">
        <is>
          <t>Date brief checked</t>
        </is>
      </c>
      <c r="B22" s="12" t="n">
        <v>46436</v>
      </c>
      <c r="C22" s="9" t="inlineStr">
        <is>
          <t>Brief section 12.</t>
        </is>
      </c>
      <c r="E22" s="8" t="n"/>
      <c r="F22" s="10">
        <f>IF(TRIM(E22&amp;"")="","",SUBSTITUTE(SUBSTITUTE(SUBSTITUTE(TRIM(E22&amp;""),".","")," ",""),"-",""))</f>
        <v/>
      </c>
      <c r="G22" s="11" t="n"/>
      <c r="I22" s="8" t="n"/>
      <c r="J22" s="10">
        <f>IF(TRIM(I22&amp;"")="","",SUBSTITUTE(SUBSTITUTE(SUBSTITUTE(TRIM(I22&amp;""),".","")," ",""),"-",""))</f>
        <v/>
      </c>
      <c r="K22" s="11" t="n"/>
      <c r="M22" s="8" t="n"/>
      <c r="N22" s="11" t="n"/>
      <c r="P22" s="8" t="n"/>
      <c r="Q22" s="8" t="n"/>
      <c r="R22" s="11" t="n"/>
      <c r="S22" s="11" t="n"/>
    </row>
    <row r="23">
      <c r="A23" s="5" t="inlineStr">
        <is>
          <t>Model version</t>
        </is>
      </c>
      <c r="B23" s="8" t="inlineStr">
        <is>
          <t>v1.1 (SAMPLE)</t>
        </is>
      </c>
      <c r="C23" s="9" t="inlineStr">
        <is>
          <t>Matches the latest line on the Review tab and the file name.</t>
        </is>
      </c>
      <c r="E23" s="8" t="n"/>
      <c r="F23" s="10">
        <f>IF(TRIM(E23&amp;"")="","",SUBSTITUTE(SUBSTITUTE(SUBSTITUTE(TRIM(E23&amp;""),".","")," ",""),"-",""))</f>
        <v/>
      </c>
      <c r="G23" s="11" t="n"/>
      <c r="I23" s="8" t="n"/>
      <c r="J23" s="10">
        <f>IF(TRIM(I23&amp;"")="","",SUBSTITUTE(SUBSTITUTE(SUBSTITUTE(TRIM(I23&amp;""),".","")," ",""),"-",""))</f>
        <v/>
      </c>
      <c r="K23" s="11" t="n"/>
      <c r="M23" s="8" t="n"/>
      <c r="N23" s="11" t="n"/>
      <c r="P23" s="8" t="n"/>
      <c r="Q23" s="8" t="n"/>
      <c r="R23" s="11" t="n"/>
      <c r="S23" s="11" t="n"/>
    </row>
    <row r="24">
      <c r="E24" s="8" t="n"/>
      <c r="F24" s="10">
        <f>IF(TRIM(E24&amp;"")="","",SUBSTITUTE(SUBSTITUTE(SUBSTITUTE(TRIM(E24&amp;""),".","")," ",""),"-",""))</f>
        <v/>
      </c>
      <c r="G24" s="11" t="n"/>
      <c r="I24" s="8" t="n"/>
      <c r="J24" s="10">
        <f>IF(TRIM(I24&amp;"")="","",SUBSTITUTE(SUBSTITUTE(SUBSTITUTE(TRIM(I24&amp;""),".","")," ",""),"-",""))</f>
        <v/>
      </c>
      <c r="K24" s="11" t="n"/>
      <c r="M24" s="8" t="n"/>
      <c r="N24" s="11" t="n"/>
      <c r="P24" s="8" t="n"/>
      <c r="Q24" s="8" t="n"/>
      <c r="R24" s="11" t="n"/>
      <c r="S24" s="11" t="n"/>
    </row>
    <row r="25">
      <c r="E25" s="8" t="n"/>
      <c r="F25" s="10">
        <f>IF(TRIM(E25&amp;"")="","",SUBSTITUTE(SUBSTITUTE(SUBSTITUTE(TRIM(E25&amp;""),".","")," ",""),"-",""))</f>
        <v/>
      </c>
      <c r="G25" s="11" t="n"/>
      <c r="I25" s="8" t="n"/>
      <c r="J25" s="10">
        <f>IF(TRIM(I25&amp;"")="","",SUBSTITUTE(SUBSTITUTE(SUBSTITUTE(TRIM(I25&amp;""),".","")," ",""),"-",""))</f>
        <v/>
      </c>
      <c r="K25" s="11" t="n"/>
      <c r="M25" s="8" t="n"/>
      <c r="N25" s="11" t="n"/>
      <c r="P25" s="8" t="n"/>
      <c r="Q25" s="8" t="n"/>
      <c r="R25" s="11" t="n"/>
      <c r="S25" s="11" t="n"/>
    </row>
    <row r="26">
      <c r="E26" s="8" t="n"/>
      <c r="F26" s="10">
        <f>IF(TRIM(E26&amp;"")="","",SUBSTITUTE(SUBSTITUTE(SUBSTITUTE(TRIM(E26&amp;""),".","")," ",""),"-",""))</f>
        <v/>
      </c>
      <c r="G26" s="11" t="n"/>
      <c r="I26" s="8" t="n"/>
      <c r="J26" s="10">
        <f>IF(TRIM(I26&amp;"")="","",SUBSTITUTE(SUBSTITUTE(SUBSTITUTE(TRIM(I26&amp;""),".","")," ",""),"-",""))</f>
        <v/>
      </c>
      <c r="K26" s="11" t="n"/>
      <c r="M26" s="8" t="n"/>
      <c r="N26" s="11" t="n"/>
      <c r="P26" s="8" t="n"/>
      <c r="Q26" s="8" t="n"/>
      <c r="R26" s="11" t="n"/>
      <c r="S26" s="11" t="n"/>
    </row>
    <row r="27">
      <c r="E27" s="8" t="n"/>
      <c r="F27" s="10">
        <f>IF(TRIM(E27&amp;"")="","",SUBSTITUTE(SUBSTITUTE(SUBSTITUTE(TRIM(E27&amp;""),".","")," ",""),"-",""))</f>
        <v/>
      </c>
      <c r="G27" s="11" t="n"/>
      <c r="I27" s="8" t="n"/>
      <c r="J27" s="10">
        <f>IF(TRIM(I27&amp;"")="","",SUBSTITUTE(SUBSTITUTE(SUBSTITUTE(TRIM(I27&amp;""),".","")," ",""),"-",""))</f>
        <v/>
      </c>
      <c r="K27" s="11" t="n"/>
      <c r="M27" s="8" t="n"/>
      <c r="N27" s="11" t="n"/>
      <c r="P27" s="8" t="n"/>
      <c r="Q27" s="8" t="n"/>
      <c r="R27" s="11" t="n"/>
      <c r="S27" s="11" t="n"/>
    </row>
    <row r="28">
      <c r="E28" s="8" t="n"/>
      <c r="F28" s="10">
        <f>IF(TRIM(E28&amp;"")="","",SUBSTITUTE(SUBSTITUTE(SUBSTITUTE(TRIM(E28&amp;""),".","")," ",""),"-",""))</f>
        <v/>
      </c>
      <c r="G28" s="11" t="n"/>
      <c r="I28" s="8" t="n"/>
      <c r="J28" s="10">
        <f>IF(TRIM(I28&amp;"")="","",SUBSTITUTE(SUBSTITUTE(SUBSTITUTE(TRIM(I28&amp;""),".","")," ",""),"-",""))</f>
        <v/>
      </c>
      <c r="K28" s="11" t="n"/>
      <c r="M28" s="8" t="n"/>
      <c r="N28" s="11" t="n"/>
      <c r="P28" s="8" t="n"/>
      <c r="Q28" s="8" t="n"/>
      <c r="R28" s="11" t="n"/>
      <c r="S28" s="11" t="n"/>
    </row>
    <row r="29">
      <c r="E29" s="8" t="n"/>
      <c r="F29" s="10">
        <f>IF(TRIM(E29&amp;"")="","",SUBSTITUTE(SUBSTITUTE(SUBSTITUTE(TRIM(E29&amp;""),".","")," ",""),"-",""))</f>
        <v/>
      </c>
      <c r="G29" s="11" t="n"/>
      <c r="I29" s="8" t="n"/>
      <c r="J29" s="10">
        <f>IF(TRIM(I29&amp;"")="","",SUBSTITUTE(SUBSTITUTE(SUBSTITUTE(TRIM(I29&amp;""),".","")," ",""),"-",""))</f>
        <v/>
      </c>
      <c r="K29" s="11" t="n"/>
      <c r="M29" s="8" t="n"/>
      <c r="N29" s="11" t="n"/>
      <c r="P29" s="8" t="n"/>
      <c r="Q29" s="8" t="n"/>
      <c r="R29" s="11" t="n"/>
      <c r="S29" s="11" t="n"/>
    </row>
    <row r="30">
      <c r="E30" s="8" t="n"/>
      <c r="F30" s="10">
        <f>IF(TRIM(E30&amp;"")="","",SUBSTITUTE(SUBSTITUTE(SUBSTITUTE(TRIM(E30&amp;""),".","")," ",""),"-",""))</f>
        <v/>
      </c>
      <c r="G30" s="11" t="n"/>
      <c r="I30" s="8" t="n"/>
      <c r="J30" s="10">
        <f>IF(TRIM(I30&amp;"")="","",SUBSTITUTE(SUBSTITUTE(SUBSTITUTE(TRIM(I30&amp;""),".","")," ",""),"-",""))</f>
        <v/>
      </c>
      <c r="K30" s="11" t="n"/>
      <c r="M30" s="8" t="n"/>
      <c r="N30" s="11" t="n"/>
      <c r="P30" s="8" t="n"/>
      <c r="Q30" s="8" t="n"/>
      <c r="R30" s="11" t="n"/>
      <c r="S30" s="11" t="n"/>
    </row>
    <row r="31">
      <c r="E31" s="8" t="n"/>
      <c r="F31" s="10">
        <f>IF(TRIM(E31&amp;"")="","",SUBSTITUTE(SUBSTITUTE(SUBSTITUTE(TRIM(E31&amp;""),".","")," ",""),"-",""))</f>
        <v/>
      </c>
      <c r="G31" s="11" t="n"/>
      <c r="I31" s="8" t="n"/>
      <c r="J31" s="10">
        <f>IF(TRIM(I31&amp;"")="","",SUBSTITUTE(SUBSTITUTE(SUBSTITUTE(TRIM(I31&amp;""),".","")," ",""),"-",""))</f>
        <v/>
      </c>
      <c r="K31" s="11" t="n"/>
      <c r="M31" s="8" t="n"/>
      <c r="N31" s="11" t="n"/>
      <c r="P31" s="8" t="n"/>
      <c r="Q31" s="8" t="n"/>
      <c r="R31" s="11" t="n"/>
      <c r="S31" s="11" t="n"/>
    </row>
    <row r="32">
      <c r="E32" s="8" t="n"/>
      <c r="F32" s="10">
        <f>IF(TRIM(E32&amp;"")="","",SUBSTITUTE(SUBSTITUTE(SUBSTITUTE(TRIM(E32&amp;""),".","")," ",""),"-",""))</f>
        <v/>
      </c>
      <c r="G32" s="11" t="n"/>
      <c r="I32" s="8" t="n"/>
      <c r="J32" s="10">
        <f>IF(TRIM(I32&amp;"")="","",SUBSTITUTE(SUBSTITUTE(SUBSTITUTE(TRIM(I32&amp;""),".","")," ",""),"-",""))</f>
        <v/>
      </c>
      <c r="K32" s="11" t="n"/>
      <c r="M32" s="8" t="n"/>
      <c r="N32" s="11" t="n"/>
      <c r="P32" s="8" t="n"/>
      <c r="Q32" s="8" t="n"/>
      <c r="R32" s="11" t="n"/>
      <c r="S32" s="11" t="n"/>
    </row>
    <row r="33">
      <c r="E33" s="8" t="n"/>
      <c r="F33" s="10">
        <f>IF(TRIM(E33&amp;"")="","",SUBSTITUTE(SUBSTITUTE(SUBSTITUTE(TRIM(E33&amp;""),".","")," ",""),"-",""))</f>
        <v/>
      </c>
      <c r="G33" s="11" t="n"/>
      <c r="I33" s="8" t="n"/>
      <c r="J33" s="10">
        <f>IF(TRIM(I33&amp;"")="","",SUBSTITUTE(SUBSTITUTE(SUBSTITUTE(TRIM(I33&amp;""),".","")," ",""),"-",""))</f>
        <v/>
      </c>
      <c r="K33" s="11" t="n"/>
      <c r="M33" s="8" t="n"/>
      <c r="N33" s="11" t="n"/>
      <c r="P33" s="8" t="n"/>
      <c r="Q33" s="8" t="n"/>
      <c r="R33" s="11" t="n"/>
      <c r="S33" s="11" t="n"/>
    </row>
    <row r="34">
      <c r="E34" s="8" t="n"/>
      <c r="F34" s="10">
        <f>IF(TRIM(E34&amp;"")="","",SUBSTITUTE(SUBSTITUTE(SUBSTITUTE(TRIM(E34&amp;""),".","")," ",""),"-",""))</f>
        <v/>
      </c>
      <c r="G34" s="11" t="n"/>
      <c r="I34" s="8" t="n"/>
      <c r="J34" s="10">
        <f>IF(TRIM(I34&amp;"")="","",SUBSTITUTE(SUBSTITUTE(SUBSTITUTE(TRIM(I34&amp;""),".","")," ",""),"-",""))</f>
        <v/>
      </c>
      <c r="K34" s="11" t="n"/>
      <c r="M34" s="8" t="n"/>
      <c r="N34" s="11" t="n"/>
      <c r="P34" s="8" t="n"/>
      <c r="Q34" s="8" t="n"/>
      <c r="R34" s="11" t="n"/>
      <c r="S34" s="11" t="n"/>
    </row>
    <row r="35">
      <c r="E35" s="8" t="n"/>
      <c r="F35" s="10">
        <f>IF(TRIM(E35&amp;"")="","",SUBSTITUTE(SUBSTITUTE(SUBSTITUTE(TRIM(E35&amp;""),".","")," ",""),"-",""))</f>
        <v/>
      </c>
      <c r="G35" s="11" t="n"/>
      <c r="I35" s="8" t="n"/>
      <c r="J35" s="10">
        <f>IF(TRIM(I35&amp;"")="","",SUBSTITUTE(SUBSTITUTE(SUBSTITUTE(TRIM(I35&amp;""),".","")," ",""),"-",""))</f>
        <v/>
      </c>
      <c r="K35" s="11" t="n"/>
      <c r="M35" s="8" t="n"/>
      <c r="N35" s="11" t="n"/>
      <c r="P35" s="8" t="n"/>
      <c r="Q35" s="8" t="n"/>
      <c r="R35" s="11" t="n"/>
      <c r="S35" s="11" t="n"/>
    </row>
    <row r="36">
      <c r="E36" s="8" t="n"/>
      <c r="F36" s="10">
        <f>IF(TRIM(E36&amp;"")="","",SUBSTITUTE(SUBSTITUTE(SUBSTITUTE(TRIM(E36&amp;""),".","")," ",""),"-",""))</f>
        <v/>
      </c>
      <c r="G36" s="11" t="n"/>
      <c r="I36" s="8" t="n"/>
      <c r="J36" s="10">
        <f>IF(TRIM(I36&amp;"")="","",SUBSTITUTE(SUBSTITUTE(SUBSTITUTE(TRIM(I36&amp;""),".","")," ",""),"-",""))</f>
        <v/>
      </c>
      <c r="K36" s="11" t="n"/>
      <c r="M36" s="8" t="n"/>
      <c r="N36" s="11" t="n"/>
      <c r="P36" s="8" t="n"/>
      <c r="Q36" s="8" t="n"/>
      <c r="R36" s="11" t="n"/>
      <c r="S36" s="11" t="n"/>
    </row>
    <row r="37">
      <c r="E37" s="8" t="n"/>
      <c r="F37" s="10">
        <f>IF(TRIM(E37&amp;"")="","",SUBSTITUTE(SUBSTITUTE(SUBSTITUTE(TRIM(E37&amp;""),".","")," ",""),"-",""))</f>
        <v/>
      </c>
      <c r="G37" s="11" t="n"/>
      <c r="I37" s="8" t="n"/>
      <c r="J37" s="10">
        <f>IF(TRIM(I37&amp;"")="","",SUBSTITUTE(SUBSTITUTE(SUBSTITUTE(TRIM(I37&amp;""),".","")," ",""),"-",""))</f>
        <v/>
      </c>
      <c r="K37" s="11" t="n"/>
      <c r="M37" s="8" t="n"/>
      <c r="N37" s="11" t="n"/>
      <c r="P37" s="8" t="n"/>
      <c r="Q37" s="8" t="n"/>
      <c r="R37" s="11" t="n"/>
      <c r="S37" s="11" t="n"/>
    </row>
    <row r="38">
      <c r="E38" s="8" t="n"/>
      <c r="F38" s="10">
        <f>IF(TRIM(E38&amp;"")="","",SUBSTITUTE(SUBSTITUTE(SUBSTITUTE(TRIM(E38&amp;""),".","")," ",""),"-",""))</f>
        <v/>
      </c>
      <c r="G38" s="11" t="n"/>
      <c r="I38" s="8" t="n"/>
      <c r="J38" s="10">
        <f>IF(TRIM(I38&amp;"")="","",SUBSTITUTE(SUBSTITUTE(SUBSTITUTE(TRIM(I38&amp;""),".","")," ",""),"-",""))</f>
        <v/>
      </c>
      <c r="K38" s="11" t="n"/>
      <c r="M38" s="8" t="n"/>
      <c r="N38" s="11" t="n"/>
      <c r="P38" s="8" t="n"/>
      <c r="Q38" s="8" t="n"/>
      <c r="R38" s="11" t="n"/>
      <c r="S38" s="11" t="n"/>
    </row>
    <row r="39">
      <c r="E39" s="8" t="n"/>
      <c r="F39" s="10">
        <f>IF(TRIM(E39&amp;"")="","",SUBSTITUTE(SUBSTITUTE(SUBSTITUTE(TRIM(E39&amp;""),".","")," ",""),"-",""))</f>
        <v/>
      </c>
      <c r="G39" s="11" t="n"/>
      <c r="I39" s="8" t="n"/>
      <c r="J39" s="10">
        <f>IF(TRIM(I39&amp;"")="","",SUBSTITUTE(SUBSTITUTE(SUBSTITUTE(TRIM(I39&amp;""),".","")," ",""),"-",""))</f>
        <v/>
      </c>
      <c r="K39" s="11" t="n"/>
      <c r="M39" s="8" t="n"/>
      <c r="N39" s="11" t="n"/>
      <c r="P39" s="8" t="n"/>
      <c r="Q39" s="8" t="n"/>
      <c r="R39" s="11" t="n"/>
      <c r="S39" s="11" t="n"/>
    </row>
    <row r="40">
      <c r="E40" s="8" t="n"/>
      <c r="F40" s="10">
        <f>IF(TRIM(E40&amp;"")="","",SUBSTITUTE(SUBSTITUTE(SUBSTITUTE(TRIM(E40&amp;""),".","")," ",""),"-",""))</f>
        <v/>
      </c>
      <c r="G40" s="11" t="n"/>
      <c r="I40" s="8" t="n"/>
      <c r="J40" s="10">
        <f>IF(TRIM(I40&amp;"")="","",SUBSTITUTE(SUBSTITUTE(SUBSTITUTE(TRIM(I40&amp;""),".","")," ",""),"-",""))</f>
        <v/>
      </c>
      <c r="K40" s="11" t="n"/>
      <c r="M40" s="8" t="n"/>
      <c r="N40" s="11" t="n"/>
      <c r="P40" s="8" t="n"/>
      <c r="Q40" s="8" t="n"/>
      <c r="R40" s="11" t="n"/>
      <c r="S40" s="11" t="n"/>
    </row>
    <row r="41">
      <c r="E41" s="8" t="n"/>
      <c r="F41" s="10">
        <f>IF(TRIM(E41&amp;"")="","",SUBSTITUTE(SUBSTITUTE(SUBSTITUTE(TRIM(E41&amp;""),".","")," ",""),"-",""))</f>
        <v/>
      </c>
      <c r="G41" s="11" t="n"/>
      <c r="I41" s="8" t="n"/>
      <c r="J41" s="10">
        <f>IF(TRIM(I41&amp;"")="","",SUBSTITUTE(SUBSTITUTE(SUBSTITUTE(TRIM(I41&amp;""),".","")," ",""),"-",""))</f>
        <v/>
      </c>
      <c r="K41" s="11" t="n"/>
      <c r="M41" s="8" t="n"/>
      <c r="N41" s="11" t="n"/>
      <c r="P41" s="8" t="n"/>
      <c r="Q41" s="8" t="n"/>
      <c r="R41" s="11" t="n"/>
      <c r="S41" s="11" t="n"/>
    </row>
    <row r="42">
      <c r="E42" s="8" t="n"/>
      <c r="F42" s="10">
        <f>IF(TRIM(E42&amp;"")="","",SUBSTITUTE(SUBSTITUTE(SUBSTITUTE(TRIM(E42&amp;""),".","")," ",""),"-",""))</f>
        <v/>
      </c>
      <c r="G42" s="11" t="n"/>
      <c r="I42" s="8" t="n"/>
      <c r="J42" s="10">
        <f>IF(TRIM(I42&amp;"")="","",SUBSTITUTE(SUBSTITUTE(SUBSTITUTE(TRIM(I42&amp;""),".","")," ",""),"-",""))</f>
        <v/>
      </c>
      <c r="K42" s="11" t="n"/>
      <c r="M42" s="8" t="n"/>
      <c r="N42" s="11" t="n"/>
      <c r="P42" s="8" t="n"/>
      <c r="Q42" s="8" t="n"/>
      <c r="R42" s="11" t="n"/>
      <c r="S42" s="11" t="n"/>
    </row>
    <row r="43">
      <c r="E43" s="8" t="n"/>
      <c r="F43" s="10">
        <f>IF(TRIM(E43&amp;"")="","",SUBSTITUTE(SUBSTITUTE(SUBSTITUTE(TRIM(E43&amp;""),".","")," ",""),"-",""))</f>
        <v/>
      </c>
      <c r="G43" s="11" t="n"/>
      <c r="I43" s="8" t="n"/>
      <c r="J43" s="10">
        <f>IF(TRIM(I43&amp;"")="","",SUBSTITUTE(SUBSTITUTE(SUBSTITUTE(TRIM(I43&amp;""),".","")," ",""),"-",""))</f>
        <v/>
      </c>
      <c r="K43" s="11" t="n"/>
      <c r="M43" s="8" t="n"/>
      <c r="N43" s="11" t="n"/>
      <c r="P43" s="8" t="n"/>
      <c r="Q43" s="8" t="n"/>
      <c r="R43" s="11" t="n"/>
      <c r="S43" s="11" t="n"/>
    </row>
    <row r="44">
      <c r="E44" s="8" t="n"/>
      <c r="F44" s="10">
        <f>IF(TRIM(E44&amp;"")="","",SUBSTITUTE(SUBSTITUTE(SUBSTITUTE(TRIM(E44&amp;""),".","")," ",""),"-",""))</f>
        <v/>
      </c>
      <c r="G44" s="11" t="n"/>
      <c r="I44" s="8" t="n"/>
      <c r="J44" s="10">
        <f>IF(TRIM(I44&amp;"")="","",SUBSTITUTE(SUBSTITUTE(SUBSTITUTE(TRIM(I44&amp;""),".","")," ",""),"-",""))</f>
        <v/>
      </c>
      <c r="K44" s="11" t="n"/>
      <c r="M44" s="8" t="n"/>
      <c r="N44" s="11" t="n"/>
      <c r="P44" s="8" t="n"/>
      <c r="Q44" s="8" t="n"/>
      <c r="R44" s="11" t="n"/>
      <c r="S44" s="11" t="n"/>
    </row>
    <row r="45">
      <c r="E45" s="8" t="n"/>
      <c r="F45" s="10">
        <f>IF(TRIM(E45&amp;"")="","",SUBSTITUTE(SUBSTITUTE(SUBSTITUTE(TRIM(E45&amp;""),".","")," ",""),"-",""))</f>
        <v/>
      </c>
      <c r="G45" s="11" t="n"/>
      <c r="I45" s="8" t="n"/>
      <c r="J45" s="10">
        <f>IF(TRIM(I45&amp;"")="","",SUBSTITUTE(SUBSTITUTE(SUBSTITUTE(TRIM(I45&amp;""),".","")," ",""),"-",""))</f>
        <v/>
      </c>
      <c r="K45" s="11" t="n"/>
      <c r="M45" s="8" t="n"/>
      <c r="N45" s="11" t="n"/>
      <c r="P45" s="8" t="n"/>
      <c r="Q45" s="8" t="n"/>
      <c r="R45" s="11" t="n"/>
      <c r="S45" s="11" t="n"/>
    </row>
    <row r="46">
      <c r="E46" s="8" t="n"/>
      <c r="F46" s="10">
        <f>IF(TRIM(E46&amp;"")="","",SUBSTITUTE(SUBSTITUTE(SUBSTITUTE(TRIM(E46&amp;""),".","")," ",""),"-",""))</f>
        <v/>
      </c>
      <c r="G46" s="11" t="n"/>
      <c r="I46" s="8" t="n"/>
      <c r="J46" s="10">
        <f>IF(TRIM(I46&amp;"")="","",SUBSTITUTE(SUBSTITUTE(SUBSTITUTE(TRIM(I46&amp;""),".","")," ",""),"-",""))</f>
        <v/>
      </c>
      <c r="K46" s="11" t="n"/>
      <c r="M46" s="8" t="n"/>
      <c r="N46" s="11" t="n"/>
      <c r="P46" s="8" t="n"/>
      <c r="Q46" s="8" t="n"/>
      <c r="R46" s="11" t="n"/>
      <c r="S46" s="11" t="n"/>
    </row>
    <row r="47">
      <c r="E47" s="8" t="n"/>
      <c r="F47" s="10">
        <f>IF(TRIM(E47&amp;"")="","",SUBSTITUTE(SUBSTITUTE(SUBSTITUTE(TRIM(E47&amp;""),".","")," ",""),"-",""))</f>
        <v/>
      </c>
      <c r="G47" s="11" t="n"/>
      <c r="I47" s="8" t="n"/>
      <c r="J47" s="10">
        <f>IF(TRIM(I47&amp;"")="","",SUBSTITUTE(SUBSTITUTE(SUBSTITUTE(TRIM(I47&amp;""),".","")," ",""),"-",""))</f>
        <v/>
      </c>
      <c r="K47" s="11" t="n"/>
      <c r="M47" s="8" t="n"/>
      <c r="N47" s="11" t="n"/>
      <c r="P47" s="8" t="n"/>
      <c r="Q47" s="8" t="n"/>
      <c r="R47" s="11" t="n"/>
      <c r="S47" s="11" t="n"/>
    </row>
    <row r="48">
      <c r="E48" s="8" t="n"/>
      <c r="F48" s="10">
        <f>IF(TRIM(E48&amp;"")="","",SUBSTITUTE(SUBSTITUTE(SUBSTITUTE(TRIM(E48&amp;""),".","")," ",""),"-",""))</f>
        <v/>
      </c>
      <c r="G48" s="11" t="n"/>
      <c r="I48" s="8" t="n"/>
      <c r="J48" s="10">
        <f>IF(TRIM(I48&amp;"")="","",SUBSTITUTE(SUBSTITUTE(SUBSTITUTE(TRIM(I48&amp;""),".","")," ",""),"-",""))</f>
        <v/>
      </c>
      <c r="K48" s="11" t="n"/>
      <c r="M48" s="8" t="n"/>
      <c r="N48" s="11" t="n"/>
      <c r="P48" s="8" t="n"/>
      <c r="Q48" s="8" t="n"/>
      <c r="R48" s="11" t="n"/>
      <c r="S48" s="11" t="n"/>
    </row>
    <row r="49">
      <c r="E49" s="8" t="n"/>
      <c r="F49" s="10">
        <f>IF(TRIM(E49&amp;"")="","",SUBSTITUTE(SUBSTITUTE(SUBSTITUTE(TRIM(E49&amp;""),".","")," ",""),"-",""))</f>
        <v/>
      </c>
      <c r="G49" s="11" t="n"/>
      <c r="I49" s="8" t="n"/>
      <c r="J49" s="10">
        <f>IF(TRIM(I49&amp;"")="","",SUBSTITUTE(SUBSTITUTE(SUBSTITUTE(TRIM(I49&amp;""),".","")," ",""),"-",""))</f>
        <v/>
      </c>
      <c r="K49" s="11" t="n"/>
      <c r="M49" s="8" t="n"/>
      <c r="N49" s="11" t="n"/>
      <c r="P49" s="8" t="n"/>
      <c r="Q49" s="8" t="n"/>
      <c r="R49" s="11" t="n"/>
      <c r="S49" s="11" t="n"/>
    </row>
    <row r="50">
      <c r="E50" s="8" t="n"/>
      <c r="F50" s="10">
        <f>IF(TRIM(E50&amp;"")="","",SUBSTITUTE(SUBSTITUTE(SUBSTITUTE(TRIM(E50&amp;""),".","")," ",""),"-",""))</f>
        <v/>
      </c>
      <c r="G50" s="11" t="n"/>
      <c r="I50" s="8" t="n"/>
      <c r="J50" s="10">
        <f>IF(TRIM(I50&amp;"")="","",SUBSTITUTE(SUBSTITUTE(SUBSTITUTE(TRIM(I50&amp;""),".","")," ",""),"-",""))</f>
        <v/>
      </c>
      <c r="K50" s="11" t="n"/>
      <c r="M50" s="8" t="n"/>
      <c r="N50" s="11" t="n"/>
      <c r="P50" s="8" t="n"/>
      <c r="Q50" s="8" t="n"/>
      <c r="R50" s="11" t="n"/>
      <c r="S50" s="11" t="n"/>
    </row>
    <row r="51">
      <c r="E51" s="8" t="n"/>
      <c r="F51" s="10">
        <f>IF(TRIM(E51&amp;"")="","",SUBSTITUTE(SUBSTITUTE(SUBSTITUTE(TRIM(E51&amp;""),".","")," ",""),"-",""))</f>
        <v/>
      </c>
      <c r="G51" s="11" t="n"/>
      <c r="I51" s="8" t="n"/>
      <c r="J51" s="10">
        <f>IF(TRIM(I51&amp;"")="","",SUBSTITUTE(SUBSTITUTE(SUBSTITUTE(TRIM(I51&amp;""),".","")," ",""),"-",""))</f>
        <v/>
      </c>
      <c r="K51" s="11" t="n"/>
      <c r="M51" s="8" t="n"/>
      <c r="N51" s="11" t="n"/>
      <c r="P51" s="8" t="n"/>
      <c r="Q51" s="8" t="n"/>
      <c r="R51" s="11" t="n"/>
      <c r="S51" s="11" t="n"/>
    </row>
    <row r="52">
      <c r="E52" s="8" t="n"/>
      <c r="F52" s="10">
        <f>IF(TRIM(E52&amp;"")="","",SUBSTITUTE(SUBSTITUTE(SUBSTITUTE(TRIM(E52&amp;""),".","")," ",""),"-",""))</f>
        <v/>
      </c>
      <c r="G52" s="11" t="n"/>
      <c r="I52" s="8" t="n"/>
      <c r="J52" s="10">
        <f>IF(TRIM(I52&amp;"")="","",SUBSTITUTE(SUBSTITUTE(SUBSTITUTE(TRIM(I52&amp;""),".","")," ",""),"-",""))</f>
        <v/>
      </c>
      <c r="K52" s="11" t="n"/>
      <c r="M52" s="8" t="n"/>
      <c r="N52" s="11" t="n"/>
      <c r="P52" s="8" t="n"/>
      <c r="Q52" s="8" t="n"/>
      <c r="R52" s="11" t="n"/>
      <c r="S52" s="11" t="n"/>
    </row>
    <row r="53">
      <c r="E53" s="8" t="n"/>
      <c r="F53" s="10">
        <f>IF(TRIM(E53&amp;"")="","",SUBSTITUTE(SUBSTITUTE(SUBSTITUTE(TRIM(E53&amp;""),".","")," ",""),"-",""))</f>
        <v/>
      </c>
      <c r="G53" s="11" t="n"/>
      <c r="I53" s="8" t="n"/>
      <c r="J53" s="10">
        <f>IF(TRIM(I53&amp;"")="","",SUBSTITUTE(SUBSTITUTE(SUBSTITUTE(TRIM(I53&amp;""),".","")," ",""),"-",""))</f>
        <v/>
      </c>
      <c r="K53" s="11" t="n"/>
      <c r="M53" s="8" t="n"/>
      <c r="N53" s="11" t="n"/>
      <c r="P53" s="8" t="n"/>
      <c r="Q53" s="8" t="n"/>
      <c r="R53" s="11" t="n"/>
      <c r="S53" s="11" t="n"/>
    </row>
    <row r="54">
      <c r="E54" s="8" t="n"/>
      <c r="F54" s="10">
        <f>IF(TRIM(E54&amp;"")="","",SUBSTITUTE(SUBSTITUTE(SUBSTITUTE(TRIM(E54&amp;""),".","")," ",""),"-",""))</f>
        <v/>
      </c>
      <c r="G54" s="11" t="n"/>
      <c r="I54" s="8" t="n"/>
      <c r="J54" s="10">
        <f>IF(TRIM(I54&amp;"")="","",SUBSTITUTE(SUBSTITUTE(SUBSTITUTE(TRIM(I54&amp;""),".","")," ",""),"-",""))</f>
        <v/>
      </c>
      <c r="K54" s="11" t="n"/>
      <c r="M54" s="8" t="n"/>
      <c r="N54" s="11" t="n"/>
      <c r="P54" s="8" t="n"/>
      <c r="Q54" s="8" t="n"/>
      <c r="R54" s="11" t="n"/>
      <c r="S54" s="11" t="n"/>
    </row>
  </sheetData>
  <dataValidations count="11">
    <dataValidation sqref="B7" showDropDown="0" showInputMessage="0" showErrorMessage="1" allowBlank="1" errorTitle="Not allowed" error="Pick a value from the list." type="list">
      <formula1>"US,CA,MX"</formula1>
    </dataValidation>
    <dataValidation sqref="B8" showDropDown="0" showInputMessage="0" showErrorMessage="1" allowBlank="1" errorTitle="Not allowed" error="Pick a value from the list." type="list">
      <formula1>"Section 232,Section 301,Section 201,Section 122,Section 338,IEEPA,AD/CVD,Canada surtax order,Mexico decree (DOF),Other"</formula1>
    </dataValidation>
    <dataValidation sqref="B16" showDropDown="0" showInputMessage="1" showErrorMessage="1" allowBlank="1" errorTitle="Not allowed" error="Pick a value from the list." prompt="ADD = on top of the current rate. REPLACE = replaces this action's earlier rate." type="list">
      <formula1>"ADD,REPLACE"</formula1>
    </dataValidation>
    <dataValidation sqref="B18" showDropDown="0" showInputMessage="0" showErrorMessage="1" allowBlank="1" errorTitle="Not allowed" error="Pick a value from the list." type="list">
      <formula1>"Y,N,N/A"</formula1>
    </dataValidation>
    <dataValidation sqref="B15" showDropDown="0" showInputMessage="0" showErrorMessage="1" allowBlank="1" errorTitle="Check the value" error="Enter a rate between 0% and 1000%, as a percentage." type="decimal" operator="between">
      <formula1>0</formula1>
      <formula2>10</formula2>
    </dataValidation>
    <dataValidation sqref="B17" showDropDown="0" showInputMessage="0" showErrorMessage="1" allowBlank="1" errorTitle="Check the value" error="Enter a rate between 0% and 1000%, as a percentage." type="decimal" operator="between">
      <formula1>0</formula1>
      <formula2>10</formula2>
    </dataValidation>
    <dataValidation sqref="B11" showDropDown="0" showInputMessage="0" showErrorMessage="1" allowBlank="1" errorTitle="Check the value" error="Enter a date (yyyy-mm-dd)." type="date" operator="between">
      <formula1>36526</formula1>
      <formula2>73051</formula2>
    </dataValidation>
    <dataValidation sqref="B14" showDropDown="0" showInputMessage="0" showErrorMessage="1" allowBlank="1" errorTitle="Check the value" error="Enter a date (yyyy-mm-dd)." type="date" operator="between">
      <formula1>36526</formula1>
      <formula2>73051</formula2>
    </dataValidation>
    <dataValidation sqref="B22" showDropDown="0" showInputMessage="0" showErrorMessage="1" allowBlank="1" errorTitle="Check the value" error="Enter a date (yyyy-mm-dd)." type="date" operator="between">
      <formula1>36526</formula1>
      <formula2>73051</formula2>
    </dataValidation>
    <dataValidation sqref="M5:M54" showDropDown="0" showInputMessage="0" showErrorMessage="1" allowBlank="1" errorTitle="Check the value" error="Use the 2-letter ISO country code, no spaces." type="textLength" operator="equal">
      <formula1>2</formula1>
    </dataValidation>
    <dataValidation sqref="Q5:Q54" showDropDown="0" showInputMessage="0" showErrorMessage="1" allowBlank="1" errorTitle="Not allowed" error="Pick a value from the list." type="list">
      <formula1>"IN,OUT"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A1:L2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8" customWidth="1" min="2" max="2"/>
    <col width="11" customWidth="1" min="3" max="3"/>
    <col width="15" customWidth="1" min="4" max="4"/>
    <col width="10" customWidth="1" min="5" max="5"/>
    <col width="11" customWidth="1" min="6" max="6"/>
    <col width="12" customWidth="1" min="7" max="7"/>
    <col width="12" customWidth="1" min="8" max="8"/>
    <col width="13" customWidth="1" min="9" max="9"/>
    <col width="13" customWidth="1" min="10" max="10"/>
    <col width="12" customWidth="1" min="11" max="11"/>
    <col width="30" customWidth="1" min="12" max="12"/>
  </cols>
  <sheetData>
    <row r="1">
      <c r="A1" s="1" t="inlineStr">
        <is>
          <t>Items: the $ inputs (Standard Cost fills this tab from the item extract)</t>
        </is>
      </c>
    </row>
    <row r="2">
      <c r="A2" s="2" t="inlineStr">
        <is>
          <t>Source: [COMPANY: Oracle cost extract or warehouse query]. One row per item and import country. Paste values only.</t>
        </is>
      </c>
    </row>
    <row r="3">
      <c r="A3" s="3" t="inlineStr">
        <is>
          <t>SAMPLE ROWS 5-17 ARE SYNTHETIC: invented items, values and rates; HTS last 4 digits are made up. Delete before real use.</t>
        </is>
      </c>
    </row>
    <row r="4" ht="45" customHeight="1">
      <c r="A4" s="7" t="inlineStr">
        <is>
          <t>Item number</t>
        </is>
      </c>
      <c r="B4" s="7" t="inlineStr">
        <is>
          <t>Description</t>
        </is>
      </c>
      <c r="C4" s="7" t="inlineStr">
        <is>
          <t>Import country (US, CA, MX)</t>
        </is>
      </c>
      <c r="D4" s="7" t="inlineStr">
        <is>
          <t>HTS, 10 digits (text)</t>
        </is>
      </c>
      <c r="E4" s="7" t="inlineStr">
        <is>
          <t>Country of origin (ISO 2)</t>
        </is>
      </c>
      <c r="F4" s="7" t="inlineStr">
        <is>
          <t>USMCA qualifying (Y/N)</t>
        </is>
      </c>
      <c r="G4" s="7" t="inlineStr">
        <is>
          <t>Unit customs value</t>
        </is>
      </c>
      <c r="H4" s="7" t="inlineStr">
        <is>
          <t>Annual quantity</t>
        </is>
      </c>
      <c r="I4" s="7" t="inlineStr">
        <is>
          <t>Current duty rate (% of customs value)</t>
        </is>
      </c>
      <c r="J4" s="7" t="inlineStr">
        <is>
          <t>Current standard cost per unit</t>
        </is>
      </c>
      <c r="K4" s="7" t="inlineStr">
        <is>
          <t>Sell price per unit</t>
        </is>
      </c>
      <c r="L4" s="7" t="inlineStr">
        <is>
          <t>Source and notes</t>
        </is>
      </c>
    </row>
    <row r="5">
      <c r="A5" s="8" t="inlineStr">
        <is>
          <t>SAMPLE-001</t>
        </is>
      </c>
      <c r="B5" s="11" t="inlineStr">
        <is>
          <t>Hex cap screw, steel, zinc plated</t>
        </is>
      </c>
      <c r="C5" s="8" t="inlineStr">
        <is>
          <t>US</t>
        </is>
      </c>
      <c r="D5" s="8" t="inlineStr">
        <is>
          <t>7318.15.9001</t>
        </is>
      </c>
      <c r="E5" s="8" t="inlineStr">
        <is>
          <t>XX</t>
        </is>
      </c>
      <c r="F5" s="8" t="inlineStr">
        <is>
          <t>N</t>
        </is>
      </c>
      <c r="G5" s="14" t="n">
        <v>4.2</v>
      </c>
      <c r="H5" s="15" t="n">
        <v>120000</v>
      </c>
      <c r="I5" s="13" t="n">
        <v>0.05</v>
      </c>
      <c r="J5" s="14" t="n">
        <v>4.95</v>
      </c>
      <c r="K5" s="14" t="n">
        <v>7.4</v>
      </c>
      <c r="L5" s="11" t="inlineStr">
        <is>
          <t>In scope by rules</t>
        </is>
      </c>
    </row>
    <row r="6">
      <c r="A6" s="8" t="inlineStr">
        <is>
          <t>SAMPLE-002</t>
        </is>
      </c>
      <c r="B6" s="11" t="inlineStr">
        <is>
          <t>Hex nut, steel</t>
        </is>
      </c>
      <c r="C6" s="8" t="inlineStr">
        <is>
          <t>US</t>
        </is>
      </c>
      <c r="D6" s="8" t="inlineStr">
        <is>
          <t>7318169001</t>
        </is>
      </c>
      <c r="E6" s="8" t="inlineStr">
        <is>
          <t>XX</t>
        </is>
      </c>
      <c r="F6" s="8" t="inlineStr">
        <is>
          <t>N</t>
        </is>
      </c>
      <c r="G6" s="14" t="n">
        <v>0.85</v>
      </c>
      <c r="H6" s="15" t="n">
        <v>400000</v>
      </c>
      <c r="I6" s="13" t="n">
        <v>0</v>
      </c>
      <c r="J6" s="14" t="n">
        <v>1.02</v>
      </c>
      <c r="K6" s="14" t="n">
        <v>1.55</v>
      </c>
      <c r="L6" s="11" t="inlineStr">
        <is>
          <t>In scope; HTS pasted without dots</t>
        </is>
      </c>
    </row>
    <row r="7">
      <c r="A7" s="8" t="inlineStr">
        <is>
          <t>SAMPLE-003</t>
        </is>
      </c>
      <c r="B7" s="11" t="inlineStr">
        <is>
          <t>Flat washer, steel</t>
        </is>
      </c>
      <c r="C7" s="8" t="inlineStr">
        <is>
          <t>US</t>
        </is>
      </c>
      <c r="D7" s="8" t="inlineStr">
        <is>
          <t>7318.22.9001</t>
        </is>
      </c>
      <c r="E7" s="8" t="inlineStr">
        <is>
          <t>XX</t>
        </is>
      </c>
      <c r="F7" s="8" t="inlineStr">
        <is>
          <t>N</t>
        </is>
      </c>
      <c r="G7" s="14" t="n">
        <v>0.12</v>
      </c>
      <c r="H7" s="15" t="n">
        <v>900000</v>
      </c>
      <c r="I7" s="13" t="n">
        <v>0</v>
      </c>
      <c r="J7" s="14" t="n">
        <v>0.15</v>
      </c>
      <c r="K7" s="14" t="n">
        <v>0.24</v>
      </c>
      <c r="L7" s="11" t="inlineStr">
        <is>
          <t>In scope by rules</t>
        </is>
      </c>
    </row>
    <row r="8">
      <c r="A8" s="8" t="inlineStr">
        <is>
          <t>SAMPLE-004</t>
        </is>
      </c>
      <c r="B8" s="11" t="inlineStr">
        <is>
          <t>Cotter pin, steel</t>
        </is>
      </c>
      <c r="C8" s="8" t="inlineStr">
        <is>
          <t>US</t>
        </is>
      </c>
      <c r="D8" s="8" t="inlineStr">
        <is>
          <t>7318.24.9001</t>
        </is>
      </c>
      <c r="E8" s="8" t="inlineStr">
        <is>
          <t>XX</t>
        </is>
      </c>
      <c r="F8" s="8" t="inlineStr">
        <is>
          <t>N</t>
        </is>
      </c>
      <c r="G8" s="14" t="n">
        <v>0.3</v>
      </c>
      <c r="H8" s="15" t="n">
        <v>50000</v>
      </c>
      <c r="I8" s="13" t="n">
        <v>0</v>
      </c>
      <c r="J8" s="14" t="n">
        <v>0.36</v>
      </c>
      <c r="K8" s="14" t="n">
        <v>0.6</v>
      </c>
      <c r="L8" s="11" t="inlineStr">
        <is>
          <t>Out: excluded subheading</t>
        </is>
      </c>
    </row>
    <row r="9">
      <c r="A9" s="8" t="inlineStr">
        <is>
          <t>SAMPLE-005</t>
        </is>
      </c>
      <c r="B9" s="11" t="inlineStr">
        <is>
          <t>Bolt certified for civil aircraft</t>
        </is>
      </c>
      <c r="C9" s="8" t="inlineStr">
        <is>
          <t>US</t>
        </is>
      </c>
      <c r="D9" s="8" t="inlineStr">
        <is>
          <t>7318.15.9002</t>
        </is>
      </c>
      <c r="E9" s="8" t="inlineStr">
        <is>
          <t>XX</t>
        </is>
      </c>
      <c r="F9" s="8" t="inlineStr">
        <is>
          <t>N</t>
        </is>
      </c>
      <c r="G9" s="14" t="n">
        <v>12.5</v>
      </c>
      <c r="H9" s="15" t="n">
        <v>8000</v>
      </c>
      <c r="I9" s="13" t="n">
        <v>0.025</v>
      </c>
      <c r="J9" s="14" t="n">
        <v>14.1</v>
      </c>
      <c r="K9" s="14" t="n">
        <v>22</v>
      </c>
      <c r="L9" s="11" t="inlineStr">
        <is>
          <t>Out: Research determination</t>
        </is>
      </c>
    </row>
    <row r="10">
      <c r="A10" s="8" t="inlineStr">
        <is>
          <t>SAMPLE-006</t>
        </is>
      </c>
      <c r="B10" s="11" t="inlineStr">
        <is>
          <t>Hex cap screw, steel, from Country Y</t>
        </is>
      </c>
      <c r="C10" s="8" t="inlineStr">
        <is>
          <t>US</t>
        </is>
      </c>
      <c r="D10" s="8" t="inlineStr">
        <is>
          <t>7318.15.9001</t>
        </is>
      </c>
      <c r="E10" s="8" t="inlineStr">
        <is>
          <t>XY</t>
        </is>
      </c>
      <c r="F10" s="8" t="inlineStr">
        <is>
          <t>N</t>
        </is>
      </c>
      <c r="G10" s="14" t="n">
        <v>3.9</v>
      </c>
      <c r="H10" s="15" t="n">
        <v>60000</v>
      </c>
      <c r="I10" s="13" t="n">
        <v>0.05</v>
      </c>
      <c r="J10" s="14" t="n">
        <v>4.6</v>
      </c>
      <c r="K10" s="14" t="n">
        <v>7.4</v>
      </c>
      <c r="L10" s="11" t="inlineStr">
        <is>
          <t>Out: origin not listed</t>
        </is>
      </c>
    </row>
    <row r="11">
      <c r="A11" s="8" t="inlineStr">
        <is>
          <t>SAMPLE-007</t>
        </is>
      </c>
      <c r="B11" s="11" t="inlineStr">
        <is>
          <t>Carriage bolt, steel, from Mexico, USMCA</t>
        </is>
      </c>
      <c r="C11" s="8" t="inlineStr">
        <is>
          <t>US</t>
        </is>
      </c>
      <c r="D11" s="8" t="inlineStr">
        <is>
          <t>7318.15.9003</t>
        </is>
      </c>
      <c r="E11" s="8" t="inlineStr">
        <is>
          <t>MX</t>
        </is>
      </c>
      <c r="F11" s="8" t="inlineStr">
        <is>
          <t>Y</t>
        </is>
      </c>
      <c r="G11" s="14" t="n">
        <v>2.1</v>
      </c>
      <c r="H11" s="15" t="n">
        <v>150000</v>
      </c>
      <c r="I11" s="13" t="n">
        <v>0</v>
      </c>
      <c r="J11" s="14" t="n">
        <v>2.45</v>
      </c>
      <c r="K11" s="14" t="n">
        <v>3.9</v>
      </c>
      <c r="L11" s="11" t="inlineStr">
        <is>
          <t>Out: origin not listed</t>
        </is>
      </c>
    </row>
    <row r="12">
      <c r="A12" s="8" t="inlineStr">
        <is>
          <t>SAMPLE-008</t>
        </is>
      </c>
      <c r="B12" s="11" t="inlineStr">
        <is>
          <t>Carriage bolt, steel, from Mexico, non-qualifying</t>
        </is>
      </c>
      <c r="C12" s="8" t="inlineStr">
        <is>
          <t>US</t>
        </is>
      </c>
      <c r="D12" s="8" t="inlineStr">
        <is>
          <t>7318.15.9003</t>
        </is>
      </c>
      <c r="E12" s="8" t="inlineStr">
        <is>
          <t>MX</t>
        </is>
      </c>
      <c r="F12" s="8" t="inlineStr">
        <is>
          <t>N</t>
        </is>
      </c>
      <c r="G12" s="14" t="n">
        <v>2.3</v>
      </c>
      <c r="H12" s="15" t="n">
        <v>40000</v>
      </c>
      <c r="I12" s="13" t="n">
        <v>0.05</v>
      </c>
      <c r="J12" s="14" t="n">
        <v>2.7</v>
      </c>
      <c r="K12" s="14" t="n">
        <v>3.9</v>
      </c>
      <c r="L12" s="11" t="inlineStr">
        <is>
          <t>Out: origin not listed</t>
        </is>
      </c>
    </row>
    <row r="13">
      <c r="A13" s="8" t="inlineStr">
        <is>
          <t>SAMPLE-009</t>
        </is>
      </c>
      <c r="B13" s="11" t="inlineStr">
        <is>
          <t>Self-tapping screw, steel, from Canada</t>
        </is>
      </c>
      <c r="C13" s="8" t="inlineStr">
        <is>
          <t>US</t>
        </is>
      </c>
      <c r="D13" s="8" t="inlineStr">
        <is>
          <t>7318.14.9001</t>
        </is>
      </c>
      <c r="E13" s="8" t="inlineStr">
        <is>
          <t>CA</t>
        </is>
      </c>
      <c r="F13" s="8" t="inlineStr">
        <is>
          <t>N</t>
        </is>
      </c>
      <c r="G13" s="14" t="n">
        <v>0.4</v>
      </c>
      <c r="H13" s="15" t="n">
        <v>300000</v>
      </c>
      <c r="I13" s="13" t="n">
        <v>0.05</v>
      </c>
      <c r="J13" s="14" t="n">
        <v>0.47</v>
      </c>
      <c r="K13" s="14" t="n">
        <v>0.8</v>
      </c>
      <c r="L13" s="11" t="inlineStr">
        <is>
          <t>Out: origin not listed</t>
        </is>
      </c>
    </row>
    <row r="14">
      <c r="A14" s="8" t="inlineStr">
        <is>
          <t>SAMPLE-010</t>
        </is>
      </c>
      <c r="B14" s="11" t="inlineStr">
        <is>
          <t>Mounting bracket, steel (not a fastener)</t>
        </is>
      </c>
      <c r="C14" s="8" t="inlineStr">
        <is>
          <t>US</t>
        </is>
      </c>
      <c r="D14" s="8" t="inlineStr">
        <is>
          <t>7326.90.9001</t>
        </is>
      </c>
      <c r="E14" s="8" t="inlineStr">
        <is>
          <t>XX</t>
        </is>
      </c>
      <c r="F14" s="8" t="inlineStr">
        <is>
          <t>N</t>
        </is>
      </c>
      <c r="G14" s="14" t="n">
        <v>6</v>
      </c>
      <c r="H14" s="15" t="n">
        <v>20000</v>
      </c>
      <c r="I14" s="13" t="n">
        <v>0.029</v>
      </c>
      <c r="J14" s="14" t="n">
        <v>6.8</v>
      </c>
      <c r="K14" s="14" t="n">
        <v>11.5</v>
      </c>
      <c r="L14" s="11" t="inlineStr">
        <is>
          <t>Out: HTS not listed</t>
        </is>
      </c>
    </row>
    <row r="15">
      <c r="A15" s="8" t="inlineStr">
        <is>
          <t>SAMPLE-011</t>
        </is>
      </c>
      <c r="B15" s="11" t="inlineStr">
        <is>
          <t>Ball valve, brass</t>
        </is>
      </c>
      <c r="C15" s="8" t="inlineStr">
        <is>
          <t>US</t>
        </is>
      </c>
      <c r="D15" s="8" t="inlineStr">
        <is>
          <t>8481.80.9001</t>
        </is>
      </c>
      <c r="E15" s="8" t="inlineStr">
        <is>
          <t>XX</t>
        </is>
      </c>
      <c r="F15" s="8" t="inlineStr">
        <is>
          <t>N</t>
        </is>
      </c>
      <c r="G15" s="14" t="n">
        <v>18</v>
      </c>
      <c r="H15" s="15" t="n">
        <v>5000</v>
      </c>
      <c r="I15" s="13" t="n">
        <v>0.04</v>
      </c>
      <c r="J15" s="14" t="n">
        <v>20.5</v>
      </c>
      <c r="K15" s="14" t="n">
        <v>34</v>
      </c>
      <c r="L15" s="11" t="inlineStr">
        <is>
          <t>Out: HTS not listed</t>
        </is>
      </c>
    </row>
    <row r="16">
      <c r="A16" s="8" t="inlineStr">
        <is>
          <t>SAMPLE-012</t>
        </is>
      </c>
      <c r="B16" s="11" t="inlineStr">
        <is>
          <t>Rivet, steel</t>
        </is>
      </c>
      <c r="C16" s="8" t="inlineStr">
        <is>
          <t>US</t>
        </is>
      </c>
      <c r="D16" s="8" t="inlineStr">
        <is>
          <t>7318.23.9001</t>
        </is>
      </c>
      <c r="E16" s="8" t="inlineStr">
        <is>
          <t>XX</t>
        </is>
      </c>
      <c r="F16" s="8" t="inlineStr">
        <is>
          <t>N</t>
        </is>
      </c>
      <c r="G16" s="14" t="n">
        <v>0.05</v>
      </c>
      <c r="H16" s="15" t="n">
        <v>0</v>
      </c>
      <c r="I16" s="13" t="n">
        <v>0</v>
      </c>
      <c r="J16" s="14" t="n">
        <v>0.06</v>
      </c>
      <c r="K16" s="14" t="n">
        <v>0.1</v>
      </c>
      <c r="L16" s="11" t="inlineStr">
        <is>
          <t>In scope; no forecast volume</t>
        </is>
      </c>
    </row>
    <row r="17">
      <c r="A17" s="8" t="inlineStr">
        <is>
          <t>SAMPLE-013</t>
        </is>
      </c>
      <c r="B17" s="11" t="inlineStr">
        <is>
          <t>Hex cap screw, steel, imported into Canada</t>
        </is>
      </c>
      <c r="C17" s="8" t="inlineStr">
        <is>
          <t>CA</t>
        </is>
      </c>
      <c r="D17" s="8" t="inlineStr">
        <is>
          <t>7318.15.9001</t>
        </is>
      </c>
      <c r="E17" s="8" t="inlineStr">
        <is>
          <t>XX</t>
        </is>
      </c>
      <c r="F17" s="8" t="inlineStr">
        <is>
          <t>N</t>
        </is>
      </c>
      <c r="G17" s="14" t="n">
        <v>4.2</v>
      </c>
      <c r="H17" s="15" t="n">
        <v>30000</v>
      </c>
      <c r="I17" s="13" t="n">
        <v>0</v>
      </c>
      <c r="J17" s="14" t="n">
        <v>4.95</v>
      </c>
      <c r="K17" s="14" t="n">
        <v>7.4</v>
      </c>
      <c r="L17" s="11" t="inlineStr">
        <is>
          <t>Out: different import country</t>
        </is>
      </c>
    </row>
    <row r="18">
      <c r="A18" s="8" t="n"/>
      <c r="B18" s="11" t="n"/>
      <c r="C18" s="8" t="n"/>
      <c r="D18" s="8" t="n"/>
      <c r="E18" s="8" t="n"/>
      <c r="F18" s="8" t="n"/>
      <c r="G18" s="14" t="n"/>
      <c r="H18" s="15" t="n"/>
      <c r="I18" s="13" t="n"/>
      <c r="J18" s="14" t="n"/>
      <c r="K18" s="14" t="n"/>
      <c r="L18" s="11" t="n"/>
    </row>
    <row r="19">
      <c r="A19" s="8" t="n"/>
      <c r="B19" s="11" t="n"/>
      <c r="C19" s="8" t="n"/>
      <c r="D19" s="8" t="n"/>
      <c r="E19" s="8" t="n"/>
      <c r="F19" s="8" t="n"/>
      <c r="G19" s="14" t="n"/>
      <c r="H19" s="15" t="n"/>
      <c r="I19" s="13" t="n"/>
      <c r="J19" s="14" t="n"/>
      <c r="K19" s="14" t="n"/>
      <c r="L19" s="11" t="n"/>
    </row>
    <row r="20">
      <c r="A20" s="8" t="n"/>
      <c r="B20" s="11" t="n"/>
      <c r="C20" s="8" t="n"/>
      <c r="D20" s="8" t="n"/>
      <c r="E20" s="8" t="n"/>
      <c r="F20" s="8" t="n"/>
      <c r="G20" s="14" t="n"/>
      <c r="H20" s="15" t="n"/>
      <c r="I20" s="13" t="n"/>
      <c r="J20" s="14" t="n"/>
      <c r="K20" s="14" t="n"/>
      <c r="L20" s="11" t="n"/>
    </row>
    <row r="21">
      <c r="A21" s="8" t="n"/>
      <c r="B21" s="11" t="n"/>
      <c r="C21" s="8" t="n"/>
      <c r="D21" s="8" t="n"/>
      <c r="E21" s="8" t="n"/>
      <c r="F21" s="8" t="n"/>
      <c r="G21" s="14" t="n"/>
      <c r="H21" s="15" t="n"/>
      <c r="I21" s="13" t="n"/>
      <c r="J21" s="14" t="n"/>
      <c r="K21" s="14" t="n"/>
      <c r="L21" s="11" t="n"/>
    </row>
    <row r="22">
      <c r="A22" s="8" t="n"/>
      <c r="B22" s="11" t="n"/>
      <c r="C22" s="8" t="n"/>
      <c r="D22" s="8" t="n"/>
      <c r="E22" s="8" t="n"/>
      <c r="F22" s="8" t="n"/>
      <c r="G22" s="14" t="n"/>
      <c r="H22" s="15" t="n"/>
      <c r="I22" s="13" t="n"/>
      <c r="J22" s="14" t="n"/>
      <c r="K22" s="14" t="n"/>
      <c r="L22" s="11" t="n"/>
    </row>
    <row r="23">
      <c r="A23" s="8" t="n"/>
      <c r="B23" s="11" t="n"/>
      <c r="C23" s="8" t="n"/>
      <c r="D23" s="8" t="n"/>
      <c r="E23" s="8" t="n"/>
      <c r="F23" s="8" t="n"/>
      <c r="G23" s="14" t="n"/>
      <c r="H23" s="15" t="n"/>
      <c r="I23" s="13" t="n"/>
      <c r="J23" s="14" t="n"/>
      <c r="K23" s="14" t="n"/>
      <c r="L23" s="11" t="n"/>
    </row>
    <row r="24">
      <c r="A24" s="8" t="n"/>
      <c r="B24" s="11" t="n"/>
      <c r="C24" s="8" t="n"/>
      <c r="D24" s="8" t="n"/>
      <c r="E24" s="8" t="n"/>
      <c r="F24" s="8" t="n"/>
      <c r="G24" s="14" t="n"/>
      <c r="H24" s="15" t="n"/>
      <c r="I24" s="13" t="n"/>
      <c r="J24" s="14" t="n"/>
      <c r="K24" s="14" t="n"/>
      <c r="L24" s="11" t="n"/>
    </row>
    <row r="25">
      <c r="A25" s="8" t="n"/>
      <c r="B25" s="11" t="n"/>
      <c r="C25" s="8" t="n"/>
      <c r="D25" s="8" t="n"/>
      <c r="E25" s="8" t="n"/>
      <c r="F25" s="8" t="n"/>
      <c r="G25" s="14" t="n"/>
      <c r="H25" s="15" t="n"/>
      <c r="I25" s="13" t="n"/>
      <c r="J25" s="14" t="n"/>
      <c r="K25" s="14" t="n"/>
      <c r="L25" s="11" t="n"/>
    </row>
    <row r="26">
      <c r="A26" s="8" t="n"/>
      <c r="B26" s="11" t="n"/>
      <c r="C26" s="8" t="n"/>
      <c r="D26" s="8" t="n"/>
      <c r="E26" s="8" t="n"/>
      <c r="F26" s="8" t="n"/>
      <c r="G26" s="14" t="n"/>
      <c r="H26" s="15" t="n"/>
      <c r="I26" s="13" t="n"/>
      <c r="J26" s="14" t="n"/>
      <c r="K26" s="14" t="n"/>
      <c r="L26" s="11" t="n"/>
    </row>
    <row r="27">
      <c r="A27" s="8" t="n"/>
      <c r="B27" s="11" t="n"/>
      <c r="C27" s="8" t="n"/>
      <c r="D27" s="8" t="n"/>
      <c r="E27" s="8" t="n"/>
      <c r="F27" s="8" t="n"/>
      <c r="G27" s="14" t="n"/>
      <c r="H27" s="15" t="n"/>
      <c r="I27" s="13" t="n"/>
      <c r="J27" s="14" t="n"/>
      <c r="K27" s="14" t="n"/>
      <c r="L27" s="11" t="n"/>
    </row>
    <row r="28">
      <c r="A28" s="8" t="n"/>
      <c r="B28" s="11" t="n"/>
      <c r="C28" s="8" t="n"/>
      <c r="D28" s="8" t="n"/>
      <c r="E28" s="8" t="n"/>
      <c r="F28" s="8" t="n"/>
      <c r="G28" s="14" t="n"/>
      <c r="H28" s="15" t="n"/>
      <c r="I28" s="13" t="n"/>
      <c r="J28" s="14" t="n"/>
      <c r="K28" s="14" t="n"/>
      <c r="L28" s="11" t="n"/>
    </row>
    <row r="29">
      <c r="A29" s="8" t="n"/>
      <c r="B29" s="11" t="n"/>
      <c r="C29" s="8" t="n"/>
      <c r="D29" s="8" t="n"/>
      <c r="E29" s="8" t="n"/>
      <c r="F29" s="8" t="n"/>
      <c r="G29" s="14" t="n"/>
      <c r="H29" s="15" t="n"/>
      <c r="I29" s="13" t="n"/>
      <c r="J29" s="14" t="n"/>
      <c r="K29" s="14" t="n"/>
      <c r="L29" s="11" t="n"/>
    </row>
    <row r="30">
      <c r="A30" s="8" t="n"/>
      <c r="B30" s="11" t="n"/>
      <c r="C30" s="8" t="n"/>
      <c r="D30" s="8" t="n"/>
      <c r="E30" s="8" t="n"/>
      <c r="F30" s="8" t="n"/>
      <c r="G30" s="14" t="n"/>
      <c r="H30" s="15" t="n"/>
      <c r="I30" s="13" t="n"/>
      <c r="J30" s="14" t="n"/>
      <c r="K30" s="14" t="n"/>
      <c r="L30" s="11" t="n"/>
    </row>
    <row r="31">
      <c r="A31" s="8" t="n"/>
      <c r="B31" s="11" t="n"/>
      <c r="C31" s="8" t="n"/>
      <c r="D31" s="8" t="n"/>
      <c r="E31" s="8" t="n"/>
      <c r="F31" s="8" t="n"/>
      <c r="G31" s="14" t="n"/>
      <c r="H31" s="15" t="n"/>
      <c r="I31" s="13" t="n"/>
      <c r="J31" s="14" t="n"/>
      <c r="K31" s="14" t="n"/>
      <c r="L31" s="11" t="n"/>
    </row>
    <row r="32">
      <c r="A32" s="8" t="n"/>
      <c r="B32" s="11" t="n"/>
      <c r="C32" s="8" t="n"/>
      <c r="D32" s="8" t="n"/>
      <c r="E32" s="8" t="n"/>
      <c r="F32" s="8" t="n"/>
      <c r="G32" s="14" t="n"/>
      <c r="H32" s="15" t="n"/>
      <c r="I32" s="13" t="n"/>
      <c r="J32" s="14" t="n"/>
      <c r="K32" s="14" t="n"/>
      <c r="L32" s="11" t="n"/>
    </row>
    <row r="33">
      <c r="A33" s="8" t="n"/>
      <c r="B33" s="11" t="n"/>
      <c r="C33" s="8" t="n"/>
      <c r="D33" s="8" t="n"/>
      <c r="E33" s="8" t="n"/>
      <c r="F33" s="8" t="n"/>
      <c r="G33" s="14" t="n"/>
      <c r="H33" s="15" t="n"/>
      <c r="I33" s="13" t="n"/>
      <c r="J33" s="14" t="n"/>
      <c r="K33" s="14" t="n"/>
      <c r="L33" s="11" t="n"/>
    </row>
    <row r="34">
      <c r="A34" s="8" t="n"/>
      <c r="B34" s="11" t="n"/>
      <c r="C34" s="8" t="n"/>
      <c r="D34" s="8" t="n"/>
      <c r="E34" s="8" t="n"/>
      <c r="F34" s="8" t="n"/>
      <c r="G34" s="14" t="n"/>
      <c r="H34" s="15" t="n"/>
      <c r="I34" s="13" t="n"/>
      <c r="J34" s="14" t="n"/>
      <c r="K34" s="14" t="n"/>
      <c r="L34" s="11" t="n"/>
    </row>
    <row r="35">
      <c r="A35" s="8" t="n"/>
      <c r="B35" s="11" t="n"/>
      <c r="C35" s="8" t="n"/>
      <c r="D35" s="8" t="n"/>
      <c r="E35" s="8" t="n"/>
      <c r="F35" s="8" t="n"/>
      <c r="G35" s="14" t="n"/>
      <c r="H35" s="15" t="n"/>
      <c r="I35" s="13" t="n"/>
      <c r="J35" s="14" t="n"/>
      <c r="K35" s="14" t="n"/>
      <c r="L35" s="11" t="n"/>
    </row>
    <row r="36">
      <c r="A36" s="8" t="n"/>
      <c r="B36" s="11" t="n"/>
      <c r="C36" s="8" t="n"/>
      <c r="D36" s="8" t="n"/>
      <c r="E36" s="8" t="n"/>
      <c r="F36" s="8" t="n"/>
      <c r="G36" s="14" t="n"/>
      <c r="H36" s="15" t="n"/>
      <c r="I36" s="13" t="n"/>
      <c r="J36" s="14" t="n"/>
      <c r="K36" s="14" t="n"/>
      <c r="L36" s="11" t="n"/>
    </row>
    <row r="37">
      <c r="A37" s="8" t="n"/>
      <c r="B37" s="11" t="n"/>
      <c r="C37" s="8" t="n"/>
      <c r="D37" s="8" t="n"/>
      <c r="E37" s="8" t="n"/>
      <c r="F37" s="8" t="n"/>
      <c r="G37" s="14" t="n"/>
      <c r="H37" s="15" t="n"/>
      <c r="I37" s="13" t="n"/>
      <c r="J37" s="14" t="n"/>
      <c r="K37" s="14" t="n"/>
      <c r="L37" s="11" t="n"/>
    </row>
    <row r="38">
      <c r="A38" s="8" t="n"/>
      <c r="B38" s="11" t="n"/>
      <c r="C38" s="8" t="n"/>
      <c r="D38" s="8" t="n"/>
      <c r="E38" s="8" t="n"/>
      <c r="F38" s="8" t="n"/>
      <c r="G38" s="14" t="n"/>
      <c r="H38" s="15" t="n"/>
      <c r="I38" s="13" t="n"/>
      <c r="J38" s="14" t="n"/>
      <c r="K38" s="14" t="n"/>
      <c r="L38" s="11" t="n"/>
    </row>
    <row r="39">
      <c r="A39" s="8" t="n"/>
      <c r="B39" s="11" t="n"/>
      <c r="C39" s="8" t="n"/>
      <c r="D39" s="8" t="n"/>
      <c r="E39" s="8" t="n"/>
      <c r="F39" s="8" t="n"/>
      <c r="G39" s="14" t="n"/>
      <c r="H39" s="15" t="n"/>
      <c r="I39" s="13" t="n"/>
      <c r="J39" s="14" t="n"/>
      <c r="K39" s="14" t="n"/>
      <c r="L39" s="11" t="n"/>
    </row>
    <row r="40">
      <c r="A40" s="8" t="n"/>
      <c r="B40" s="11" t="n"/>
      <c r="C40" s="8" t="n"/>
      <c r="D40" s="8" t="n"/>
      <c r="E40" s="8" t="n"/>
      <c r="F40" s="8" t="n"/>
      <c r="G40" s="14" t="n"/>
      <c r="H40" s="15" t="n"/>
      <c r="I40" s="13" t="n"/>
      <c r="J40" s="14" t="n"/>
      <c r="K40" s="14" t="n"/>
      <c r="L40" s="11" t="n"/>
    </row>
    <row r="41">
      <c r="A41" s="8" t="n"/>
      <c r="B41" s="11" t="n"/>
      <c r="C41" s="8" t="n"/>
      <c r="D41" s="8" t="n"/>
      <c r="E41" s="8" t="n"/>
      <c r="F41" s="8" t="n"/>
      <c r="G41" s="14" t="n"/>
      <c r="H41" s="15" t="n"/>
      <c r="I41" s="13" t="n"/>
      <c r="J41" s="14" t="n"/>
      <c r="K41" s="14" t="n"/>
      <c r="L41" s="11" t="n"/>
    </row>
    <row r="42">
      <c r="A42" s="8" t="n"/>
      <c r="B42" s="11" t="n"/>
      <c r="C42" s="8" t="n"/>
      <c r="D42" s="8" t="n"/>
      <c r="E42" s="8" t="n"/>
      <c r="F42" s="8" t="n"/>
      <c r="G42" s="14" t="n"/>
      <c r="H42" s="15" t="n"/>
      <c r="I42" s="13" t="n"/>
      <c r="J42" s="14" t="n"/>
      <c r="K42" s="14" t="n"/>
      <c r="L42" s="11" t="n"/>
    </row>
    <row r="43">
      <c r="A43" s="8" t="n"/>
      <c r="B43" s="11" t="n"/>
      <c r="C43" s="8" t="n"/>
      <c r="D43" s="8" t="n"/>
      <c r="E43" s="8" t="n"/>
      <c r="F43" s="8" t="n"/>
      <c r="G43" s="14" t="n"/>
      <c r="H43" s="15" t="n"/>
      <c r="I43" s="13" t="n"/>
      <c r="J43" s="14" t="n"/>
      <c r="K43" s="14" t="n"/>
      <c r="L43" s="11" t="n"/>
    </row>
    <row r="44">
      <c r="A44" s="8" t="n"/>
      <c r="B44" s="11" t="n"/>
      <c r="C44" s="8" t="n"/>
      <c r="D44" s="8" t="n"/>
      <c r="E44" s="8" t="n"/>
      <c r="F44" s="8" t="n"/>
      <c r="G44" s="14" t="n"/>
      <c r="H44" s="15" t="n"/>
      <c r="I44" s="13" t="n"/>
      <c r="J44" s="14" t="n"/>
      <c r="K44" s="14" t="n"/>
      <c r="L44" s="11" t="n"/>
    </row>
    <row r="45">
      <c r="A45" s="8" t="n"/>
      <c r="B45" s="11" t="n"/>
      <c r="C45" s="8" t="n"/>
      <c r="D45" s="8" t="n"/>
      <c r="E45" s="8" t="n"/>
      <c r="F45" s="8" t="n"/>
      <c r="G45" s="14" t="n"/>
      <c r="H45" s="15" t="n"/>
      <c r="I45" s="13" t="n"/>
      <c r="J45" s="14" t="n"/>
      <c r="K45" s="14" t="n"/>
      <c r="L45" s="11" t="n"/>
    </row>
    <row r="46">
      <c r="A46" s="8" t="n"/>
      <c r="B46" s="11" t="n"/>
      <c r="C46" s="8" t="n"/>
      <c r="D46" s="8" t="n"/>
      <c r="E46" s="8" t="n"/>
      <c r="F46" s="8" t="n"/>
      <c r="G46" s="14" t="n"/>
      <c r="H46" s="15" t="n"/>
      <c r="I46" s="13" t="n"/>
      <c r="J46" s="14" t="n"/>
      <c r="K46" s="14" t="n"/>
      <c r="L46" s="11" t="n"/>
    </row>
    <row r="47">
      <c r="A47" s="8" t="n"/>
      <c r="B47" s="11" t="n"/>
      <c r="C47" s="8" t="n"/>
      <c r="D47" s="8" t="n"/>
      <c r="E47" s="8" t="n"/>
      <c r="F47" s="8" t="n"/>
      <c r="G47" s="14" t="n"/>
      <c r="H47" s="15" t="n"/>
      <c r="I47" s="13" t="n"/>
      <c r="J47" s="14" t="n"/>
      <c r="K47" s="14" t="n"/>
      <c r="L47" s="11" t="n"/>
    </row>
    <row r="48">
      <c r="A48" s="8" t="n"/>
      <c r="B48" s="11" t="n"/>
      <c r="C48" s="8" t="n"/>
      <c r="D48" s="8" t="n"/>
      <c r="E48" s="8" t="n"/>
      <c r="F48" s="8" t="n"/>
      <c r="G48" s="14" t="n"/>
      <c r="H48" s="15" t="n"/>
      <c r="I48" s="13" t="n"/>
      <c r="J48" s="14" t="n"/>
      <c r="K48" s="14" t="n"/>
      <c r="L48" s="11" t="n"/>
    </row>
    <row r="49">
      <c r="A49" s="8" t="n"/>
      <c r="B49" s="11" t="n"/>
      <c r="C49" s="8" t="n"/>
      <c r="D49" s="8" t="n"/>
      <c r="E49" s="8" t="n"/>
      <c r="F49" s="8" t="n"/>
      <c r="G49" s="14" t="n"/>
      <c r="H49" s="15" t="n"/>
      <c r="I49" s="13" t="n"/>
      <c r="J49" s="14" t="n"/>
      <c r="K49" s="14" t="n"/>
      <c r="L49" s="11" t="n"/>
    </row>
    <row r="50">
      <c r="A50" s="8" t="n"/>
      <c r="B50" s="11" t="n"/>
      <c r="C50" s="8" t="n"/>
      <c r="D50" s="8" t="n"/>
      <c r="E50" s="8" t="n"/>
      <c r="F50" s="8" t="n"/>
      <c r="G50" s="14" t="n"/>
      <c r="H50" s="15" t="n"/>
      <c r="I50" s="13" t="n"/>
      <c r="J50" s="14" t="n"/>
      <c r="K50" s="14" t="n"/>
      <c r="L50" s="11" t="n"/>
    </row>
    <row r="51">
      <c r="A51" s="8" t="n"/>
      <c r="B51" s="11" t="n"/>
      <c r="C51" s="8" t="n"/>
      <c r="D51" s="8" t="n"/>
      <c r="E51" s="8" t="n"/>
      <c r="F51" s="8" t="n"/>
      <c r="G51" s="14" t="n"/>
      <c r="H51" s="15" t="n"/>
      <c r="I51" s="13" t="n"/>
      <c r="J51" s="14" t="n"/>
      <c r="K51" s="14" t="n"/>
      <c r="L51" s="11" t="n"/>
    </row>
    <row r="52">
      <c r="A52" s="8" t="n"/>
      <c r="B52" s="11" t="n"/>
      <c r="C52" s="8" t="n"/>
      <c r="D52" s="8" t="n"/>
      <c r="E52" s="8" t="n"/>
      <c r="F52" s="8" t="n"/>
      <c r="G52" s="14" t="n"/>
      <c r="H52" s="15" t="n"/>
      <c r="I52" s="13" t="n"/>
      <c r="J52" s="14" t="n"/>
      <c r="K52" s="14" t="n"/>
      <c r="L52" s="11" t="n"/>
    </row>
    <row r="53">
      <c r="A53" s="8" t="n"/>
      <c r="B53" s="11" t="n"/>
      <c r="C53" s="8" t="n"/>
      <c r="D53" s="8" t="n"/>
      <c r="E53" s="8" t="n"/>
      <c r="F53" s="8" t="n"/>
      <c r="G53" s="14" t="n"/>
      <c r="H53" s="15" t="n"/>
      <c r="I53" s="13" t="n"/>
      <c r="J53" s="14" t="n"/>
      <c r="K53" s="14" t="n"/>
      <c r="L53" s="11" t="n"/>
    </row>
    <row r="54">
      <c r="A54" s="8" t="n"/>
      <c r="B54" s="11" t="n"/>
      <c r="C54" s="8" t="n"/>
      <c r="D54" s="8" t="n"/>
      <c r="E54" s="8" t="n"/>
      <c r="F54" s="8" t="n"/>
      <c r="G54" s="14" t="n"/>
      <c r="H54" s="15" t="n"/>
      <c r="I54" s="13" t="n"/>
      <c r="J54" s="14" t="n"/>
      <c r="K54" s="14" t="n"/>
      <c r="L54" s="11" t="n"/>
    </row>
    <row r="55">
      <c r="A55" s="8" t="n"/>
      <c r="B55" s="11" t="n"/>
      <c r="C55" s="8" t="n"/>
      <c r="D55" s="8" t="n"/>
      <c r="E55" s="8" t="n"/>
      <c r="F55" s="8" t="n"/>
      <c r="G55" s="14" t="n"/>
      <c r="H55" s="15" t="n"/>
      <c r="I55" s="13" t="n"/>
      <c r="J55" s="14" t="n"/>
      <c r="K55" s="14" t="n"/>
      <c r="L55" s="11" t="n"/>
    </row>
    <row r="56">
      <c r="A56" s="8" t="n"/>
      <c r="B56" s="11" t="n"/>
      <c r="C56" s="8" t="n"/>
      <c r="D56" s="8" t="n"/>
      <c r="E56" s="8" t="n"/>
      <c r="F56" s="8" t="n"/>
      <c r="G56" s="14" t="n"/>
      <c r="H56" s="15" t="n"/>
      <c r="I56" s="13" t="n"/>
      <c r="J56" s="14" t="n"/>
      <c r="K56" s="14" t="n"/>
      <c r="L56" s="11" t="n"/>
    </row>
    <row r="57">
      <c r="A57" s="8" t="n"/>
      <c r="B57" s="11" t="n"/>
      <c r="C57" s="8" t="n"/>
      <c r="D57" s="8" t="n"/>
      <c r="E57" s="8" t="n"/>
      <c r="F57" s="8" t="n"/>
      <c r="G57" s="14" t="n"/>
      <c r="H57" s="15" t="n"/>
      <c r="I57" s="13" t="n"/>
      <c r="J57" s="14" t="n"/>
      <c r="K57" s="14" t="n"/>
      <c r="L57" s="11" t="n"/>
    </row>
    <row r="58">
      <c r="A58" s="8" t="n"/>
      <c r="B58" s="11" t="n"/>
      <c r="C58" s="8" t="n"/>
      <c r="D58" s="8" t="n"/>
      <c r="E58" s="8" t="n"/>
      <c r="F58" s="8" t="n"/>
      <c r="G58" s="14" t="n"/>
      <c r="H58" s="15" t="n"/>
      <c r="I58" s="13" t="n"/>
      <c r="J58" s="14" t="n"/>
      <c r="K58" s="14" t="n"/>
      <c r="L58" s="11" t="n"/>
    </row>
    <row r="59">
      <c r="A59" s="8" t="n"/>
      <c r="B59" s="11" t="n"/>
      <c r="C59" s="8" t="n"/>
      <c r="D59" s="8" t="n"/>
      <c r="E59" s="8" t="n"/>
      <c r="F59" s="8" t="n"/>
      <c r="G59" s="14" t="n"/>
      <c r="H59" s="15" t="n"/>
      <c r="I59" s="13" t="n"/>
      <c r="J59" s="14" t="n"/>
      <c r="K59" s="14" t="n"/>
      <c r="L59" s="11" t="n"/>
    </row>
    <row r="60">
      <c r="A60" s="8" t="n"/>
      <c r="B60" s="11" t="n"/>
      <c r="C60" s="8" t="n"/>
      <c r="D60" s="8" t="n"/>
      <c r="E60" s="8" t="n"/>
      <c r="F60" s="8" t="n"/>
      <c r="G60" s="14" t="n"/>
      <c r="H60" s="15" t="n"/>
      <c r="I60" s="13" t="n"/>
      <c r="J60" s="14" t="n"/>
      <c r="K60" s="14" t="n"/>
      <c r="L60" s="11" t="n"/>
    </row>
    <row r="61">
      <c r="A61" s="8" t="n"/>
      <c r="B61" s="11" t="n"/>
      <c r="C61" s="8" t="n"/>
      <c r="D61" s="8" t="n"/>
      <c r="E61" s="8" t="n"/>
      <c r="F61" s="8" t="n"/>
      <c r="G61" s="14" t="n"/>
      <c r="H61" s="15" t="n"/>
      <c r="I61" s="13" t="n"/>
      <c r="J61" s="14" t="n"/>
      <c r="K61" s="14" t="n"/>
      <c r="L61" s="11" t="n"/>
    </row>
    <row r="62">
      <c r="A62" s="8" t="n"/>
      <c r="B62" s="11" t="n"/>
      <c r="C62" s="8" t="n"/>
      <c r="D62" s="8" t="n"/>
      <c r="E62" s="8" t="n"/>
      <c r="F62" s="8" t="n"/>
      <c r="G62" s="14" t="n"/>
      <c r="H62" s="15" t="n"/>
      <c r="I62" s="13" t="n"/>
      <c r="J62" s="14" t="n"/>
      <c r="K62" s="14" t="n"/>
      <c r="L62" s="11" t="n"/>
    </row>
    <row r="63">
      <c r="A63" s="8" t="n"/>
      <c r="B63" s="11" t="n"/>
      <c r="C63" s="8" t="n"/>
      <c r="D63" s="8" t="n"/>
      <c r="E63" s="8" t="n"/>
      <c r="F63" s="8" t="n"/>
      <c r="G63" s="14" t="n"/>
      <c r="H63" s="15" t="n"/>
      <c r="I63" s="13" t="n"/>
      <c r="J63" s="14" t="n"/>
      <c r="K63" s="14" t="n"/>
      <c r="L63" s="11" t="n"/>
    </row>
    <row r="64">
      <c r="A64" s="8" t="n"/>
      <c r="B64" s="11" t="n"/>
      <c r="C64" s="8" t="n"/>
      <c r="D64" s="8" t="n"/>
      <c r="E64" s="8" t="n"/>
      <c r="F64" s="8" t="n"/>
      <c r="G64" s="14" t="n"/>
      <c r="H64" s="15" t="n"/>
      <c r="I64" s="13" t="n"/>
      <c r="J64" s="14" t="n"/>
      <c r="K64" s="14" t="n"/>
      <c r="L64" s="11" t="n"/>
    </row>
    <row r="65">
      <c r="A65" s="8" t="n"/>
      <c r="B65" s="11" t="n"/>
      <c r="C65" s="8" t="n"/>
      <c r="D65" s="8" t="n"/>
      <c r="E65" s="8" t="n"/>
      <c r="F65" s="8" t="n"/>
      <c r="G65" s="14" t="n"/>
      <c r="H65" s="15" t="n"/>
      <c r="I65" s="13" t="n"/>
      <c r="J65" s="14" t="n"/>
      <c r="K65" s="14" t="n"/>
      <c r="L65" s="11" t="n"/>
    </row>
    <row r="66">
      <c r="A66" s="8" t="n"/>
      <c r="B66" s="11" t="n"/>
      <c r="C66" s="8" t="n"/>
      <c r="D66" s="8" t="n"/>
      <c r="E66" s="8" t="n"/>
      <c r="F66" s="8" t="n"/>
      <c r="G66" s="14" t="n"/>
      <c r="H66" s="15" t="n"/>
      <c r="I66" s="13" t="n"/>
      <c r="J66" s="14" t="n"/>
      <c r="K66" s="14" t="n"/>
      <c r="L66" s="11" t="n"/>
    </row>
    <row r="67">
      <c r="A67" s="8" t="n"/>
      <c r="B67" s="11" t="n"/>
      <c r="C67" s="8" t="n"/>
      <c r="D67" s="8" t="n"/>
      <c r="E67" s="8" t="n"/>
      <c r="F67" s="8" t="n"/>
      <c r="G67" s="14" t="n"/>
      <c r="H67" s="15" t="n"/>
      <c r="I67" s="13" t="n"/>
      <c r="J67" s="14" t="n"/>
      <c r="K67" s="14" t="n"/>
      <c r="L67" s="11" t="n"/>
    </row>
    <row r="68">
      <c r="A68" s="8" t="n"/>
      <c r="B68" s="11" t="n"/>
      <c r="C68" s="8" t="n"/>
      <c r="D68" s="8" t="n"/>
      <c r="E68" s="8" t="n"/>
      <c r="F68" s="8" t="n"/>
      <c r="G68" s="14" t="n"/>
      <c r="H68" s="15" t="n"/>
      <c r="I68" s="13" t="n"/>
      <c r="J68" s="14" t="n"/>
      <c r="K68" s="14" t="n"/>
      <c r="L68" s="11" t="n"/>
    </row>
    <row r="69">
      <c r="A69" s="8" t="n"/>
      <c r="B69" s="11" t="n"/>
      <c r="C69" s="8" t="n"/>
      <c r="D69" s="8" t="n"/>
      <c r="E69" s="8" t="n"/>
      <c r="F69" s="8" t="n"/>
      <c r="G69" s="14" t="n"/>
      <c r="H69" s="15" t="n"/>
      <c r="I69" s="13" t="n"/>
      <c r="J69" s="14" t="n"/>
      <c r="K69" s="14" t="n"/>
      <c r="L69" s="11" t="n"/>
    </row>
    <row r="70">
      <c r="A70" s="8" t="n"/>
      <c r="B70" s="11" t="n"/>
      <c r="C70" s="8" t="n"/>
      <c r="D70" s="8" t="n"/>
      <c r="E70" s="8" t="n"/>
      <c r="F70" s="8" t="n"/>
      <c r="G70" s="14" t="n"/>
      <c r="H70" s="15" t="n"/>
      <c r="I70" s="13" t="n"/>
      <c r="J70" s="14" t="n"/>
      <c r="K70" s="14" t="n"/>
      <c r="L70" s="11" t="n"/>
    </row>
    <row r="71">
      <c r="A71" s="8" t="n"/>
      <c r="B71" s="11" t="n"/>
      <c r="C71" s="8" t="n"/>
      <c r="D71" s="8" t="n"/>
      <c r="E71" s="8" t="n"/>
      <c r="F71" s="8" t="n"/>
      <c r="G71" s="14" t="n"/>
      <c r="H71" s="15" t="n"/>
      <c r="I71" s="13" t="n"/>
      <c r="J71" s="14" t="n"/>
      <c r="K71" s="14" t="n"/>
      <c r="L71" s="11" t="n"/>
    </row>
    <row r="72">
      <c r="A72" s="8" t="n"/>
      <c r="B72" s="11" t="n"/>
      <c r="C72" s="8" t="n"/>
      <c r="D72" s="8" t="n"/>
      <c r="E72" s="8" t="n"/>
      <c r="F72" s="8" t="n"/>
      <c r="G72" s="14" t="n"/>
      <c r="H72" s="15" t="n"/>
      <c r="I72" s="13" t="n"/>
      <c r="J72" s="14" t="n"/>
      <c r="K72" s="14" t="n"/>
      <c r="L72" s="11" t="n"/>
    </row>
    <row r="73">
      <c r="A73" s="8" t="n"/>
      <c r="B73" s="11" t="n"/>
      <c r="C73" s="8" t="n"/>
      <c r="D73" s="8" t="n"/>
      <c r="E73" s="8" t="n"/>
      <c r="F73" s="8" t="n"/>
      <c r="G73" s="14" t="n"/>
      <c r="H73" s="15" t="n"/>
      <c r="I73" s="13" t="n"/>
      <c r="J73" s="14" t="n"/>
      <c r="K73" s="14" t="n"/>
      <c r="L73" s="11" t="n"/>
    </row>
    <row r="74">
      <c r="A74" s="8" t="n"/>
      <c r="B74" s="11" t="n"/>
      <c r="C74" s="8" t="n"/>
      <c r="D74" s="8" t="n"/>
      <c r="E74" s="8" t="n"/>
      <c r="F74" s="8" t="n"/>
      <c r="G74" s="14" t="n"/>
      <c r="H74" s="15" t="n"/>
      <c r="I74" s="13" t="n"/>
      <c r="J74" s="14" t="n"/>
      <c r="K74" s="14" t="n"/>
      <c r="L74" s="11" t="n"/>
    </row>
    <row r="75">
      <c r="A75" s="8" t="n"/>
      <c r="B75" s="11" t="n"/>
      <c r="C75" s="8" t="n"/>
      <c r="D75" s="8" t="n"/>
      <c r="E75" s="8" t="n"/>
      <c r="F75" s="8" t="n"/>
      <c r="G75" s="14" t="n"/>
      <c r="H75" s="15" t="n"/>
      <c r="I75" s="13" t="n"/>
      <c r="J75" s="14" t="n"/>
      <c r="K75" s="14" t="n"/>
      <c r="L75" s="11" t="n"/>
    </row>
    <row r="76">
      <c r="A76" s="8" t="n"/>
      <c r="B76" s="11" t="n"/>
      <c r="C76" s="8" t="n"/>
      <c r="D76" s="8" t="n"/>
      <c r="E76" s="8" t="n"/>
      <c r="F76" s="8" t="n"/>
      <c r="G76" s="14" t="n"/>
      <c r="H76" s="15" t="n"/>
      <c r="I76" s="13" t="n"/>
      <c r="J76" s="14" t="n"/>
      <c r="K76" s="14" t="n"/>
      <c r="L76" s="11" t="n"/>
    </row>
    <row r="77">
      <c r="A77" s="8" t="n"/>
      <c r="B77" s="11" t="n"/>
      <c r="C77" s="8" t="n"/>
      <c r="D77" s="8" t="n"/>
      <c r="E77" s="8" t="n"/>
      <c r="F77" s="8" t="n"/>
      <c r="G77" s="14" t="n"/>
      <c r="H77" s="15" t="n"/>
      <c r="I77" s="13" t="n"/>
      <c r="J77" s="14" t="n"/>
      <c r="K77" s="14" t="n"/>
      <c r="L77" s="11" t="n"/>
    </row>
    <row r="78">
      <c r="A78" s="8" t="n"/>
      <c r="B78" s="11" t="n"/>
      <c r="C78" s="8" t="n"/>
      <c r="D78" s="8" t="n"/>
      <c r="E78" s="8" t="n"/>
      <c r="F78" s="8" t="n"/>
      <c r="G78" s="14" t="n"/>
      <c r="H78" s="15" t="n"/>
      <c r="I78" s="13" t="n"/>
      <c r="J78" s="14" t="n"/>
      <c r="K78" s="14" t="n"/>
      <c r="L78" s="11" t="n"/>
    </row>
    <row r="79">
      <c r="A79" s="8" t="n"/>
      <c r="B79" s="11" t="n"/>
      <c r="C79" s="8" t="n"/>
      <c r="D79" s="8" t="n"/>
      <c r="E79" s="8" t="n"/>
      <c r="F79" s="8" t="n"/>
      <c r="G79" s="14" t="n"/>
      <c r="H79" s="15" t="n"/>
      <c r="I79" s="13" t="n"/>
      <c r="J79" s="14" t="n"/>
      <c r="K79" s="14" t="n"/>
      <c r="L79" s="11" t="n"/>
    </row>
    <row r="80">
      <c r="A80" s="8" t="n"/>
      <c r="B80" s="11" t="n"/>
      <c r="C80" s="8" t="n"/>
      <c r="D80" s="8" t="n"/>
      <c r="E80" s="8" t="n"/>
      <c r="F80" s="8" t="n"/>
      <c r="G80" s="14" t="n"/>
      <c r="H80" s="15" t="n"/>
      <c r="I80" s="13" t="n"/>
      <c r="J80" s="14" t="n"/>
      <c r="K80" s="14" t="n"/>
      <c r="L80" s="11" t="n"/>
    </row>
    <row r="81">
      <c r="A81" s="8" t="n"/>
      <c r="B81" s="11" t="n"/>
      <c r="C81" s="8" t="n"/>
      <c r="D81" s="8" t="n"/>
      <c r="E81" s="8" t="n"/>
      <c r="F81" s="8" t="n"/>
      <c r="G81" s="14" t="n"/>
      <c r="H81" s="15" t="n"/>
      <c r="I81" s="13" t="n"/>
      <c r="J81" s="14" t="n"/>
      <c r="K81" s="14" t="n"/>
      <c r="L81" s="11" t="n"/>
    </row>
    <row r="82">
      <c r="A82" s="8" t="n"/>
      <c r="B82" s="11" t="n"/>
      <c r="C82" s="8" t="n"/>
      <c r="D82" s="8" t="n"/>
      <c r="E82" s="8" t="n"/>
      <c r="F82" s="8" t="n"/>
      <c r="G82" s="14" t="n"/>
      <c r="H82" s="15" t="n"/>
      <c r="I82" s="13" t="n"/>
      <c r="J82" s="14" t="n"/>
      <c r="K82" s="14" t="n"/>
      <c r="L82" s="11" t="n"/>
    </row>
    <row r="83">
      <c r="A83" s="8" t="n"/>
      <c r="B83" s="11" t="n"/>
      <c r="C83" s="8" t="n"/>
      <c r="D83" s="8" t="n"/>
      <c r="E83" s="8" t="n"/>
      <c r="F83" s="8" t="n"/>
      <c r="G83" s="14" t="n"/>
      <c r="H83" s="15" t="n"/>
      <c r="I83" s="13" t="n"/>
      <c r="J83" s="14" t="n"/>
      <c r="K83" s="14" t="n"/>
      <c r="L83" s="11" t="n"/>
    </row>
    <row r="84">
      <c r="A84" s="8" t="n"/>
      <c r="B84" s="11" t="n"/>
      <c r="C84" s="8" t="n"/>
      <c r="D84" s="8" t="n"/>
      <c r="E84" s="8" t="n"/>
      <c r="F84" s="8" t="n"/>
      <c r="G84" s="14" t="n"/>
      <c r="H84" s="15" t="n"/>
      <c r="I84" s="13" t="n"/>
      <c r="J84" s="14" t="n"/>
      <c r="K84" s="14" t="n"/>
      <c r="L84" s="11" t="n"/>
    </row>
    <row r="85">
      <c r="A85" s="8" t="n"/>
      <c r="B85" s="11" t="n"/>
      <c r="C85" s="8" t="n"/>
      <c r="D85" s="8" t="n"/>
      <c r="E85" s="8" t="n"/>
      <c r="F85" s="8" t="n"/>
      <c r="G85" s="14" t="n"/>
      <c r="H85" s="15" t="n"/>
      <c r="I85" s="13" t="n"/>
      <c r="J85" s="14" t="n"/>
      <c r="K85" s="14" t="n"/>
      <c r="L85" s="11" t="n"/>
    </row>
    <row r="86">
      <c r="A86" s="8" t="n"/>
      <c r="B86" s="11" t="n"/>
      <c r="C86" s="8" t="n"/>
      <c r="D86" s="8" t="n"/>
      <c r="E86" s="8" t="n"/>
      <c r="F86" s="8" t="n"/>
      <c r="G86" s="14" t="n"/>
      <c r="H86" s="15" t="n"/>
      <c r="I86" s="13" t="n"/>
      <c r="J86" s="14" t="n"/>
      <c r="K86" s="14" t="n"/>
      <c r="L86" s="11" t="n"/>
    </row>
    <row r="87">
      <c r="A87" s="8" t="n"/>
      <c r="B87" s="11" t="n"/>
      <c r="C87" s="8" t="n"/>
      <c r="D87" s="8" t="n"/>
      <c r="E87" s="8" t="n"/>
      <c r="F87" s="8" t="n"/>
      <c r="G87" s="14" t="n"/>
      <c r="H87" s="15" t="n"/>
      <c r="I87" s="13" t="n"/>
      <c r="J87" s="14" t="n"/>
      <c r="K87" s="14" t="n"/>
      <c r="L87" s="11" t="n"/>
    </row>
    <row r="88">
      <c r="A88" s="8" t="n"/>
      <c r="B88" s="11" t="n"/>
      <c r="C88" s="8" t="n"/>
      <c r="D88" s="8" t="n"/>
      <c r="E88" s="8" t="n"/>
      <c r="F88" s="8" t="n"/>
      <c r="G88" s="14" t="n"/>
      <c r="H88" s="15" t="n"/>
      <c r="I88" s="13" t="n"/>
      <c r="J88" s="14" t="n"/>
      <c r="K88" s="14" t="n"/>
      <c r="L88" s="11" t="n"/>
    </row>
    <row r="89">
      <c r="A89" s="8" t="n"/>
      <c r="B89" s="11" t="n"/>
      <c r="C89" s="8" t="n"/>
      <c r="D89" s="8" t="n"/>
      <c r="E89" s="8" t="n"/>
      <c r="F89" s="8" t="n"/>
      <c r="G89" s="14" t="n"/>
      <c r="H89" s="15" t="n"/>
      <c r="I89" s="13" t="n"/>
      <c r="J89" s="14" t="n"/>
      <c r="K89" s="14" t="n"/>
      <c r="L89" s="11" t="n"/>
    </row>
    <row r="90">
      <c r="A90" s="8" t="n"/>
      <c r="B90" s="11" t="n"/>
      <c r="C90" s="8" t="n"/>
      <c r="D90" s="8" t="n"/>
      <c r="E90" s="8" t="n"/>
      <c r="F90" s="8" t="n"/>
      <c r="G90" s="14" t="n"/>
      <c r="H90" s="15" t="n"/>
      <c r="I90" s="13" t="n"/>
      <c r="J90" s="14" t="n"/>
      <c r="K90" s="14" t="n"/>
      <c r="L90" s="11" t="n"/>
    </row>
    <row r="91">
      <c r="A91" s="8" t="n"/>
      <c r="B91" s="11" t="n"/>
      <c r="C91" s="8" t="n"/>
      <c r="D91" s="8" t="n"/>
      <c r="E91" s="8" t="n"/>
      <c r="F91" s="8" t="n"/>
      <c r="G91" s="14" t="n"/>
      <c r="H91" s="15" t="n"/>
      <c r="I91" s="13" t="n"/>
      <c r="J91" s="14" t="n"/>
      <c r="K91" s="14" t="n"/>
      <c r="L91" s="11" t="n"/>
    </row>
    <row r="92">
      <c r="A92" s="8" t="n"/>
      <c r="B92" s="11" t="n"/>
      <c r="C92" s="8" t="n"/>
      <c r="D92" s="8" t="n"/>
      <c r="E92" s="8" t="n"/>
      <c r="F92" s="8" t="n"/>
      <c r="G92" s="14" t="n"/>
      <c r="H92" s="15" t="n"/>
      <c r="I92" s="13" t="n"/>
      <c r="J92" s="14" t="n"/>
      <c r="K92" s="14" t="n"/>
      <c r="L92" s="11" t="n"/>
    </row>
    <row r="93">
      <c r="A93" s="8" t="n"/>
      <c r="B93" s="11" t="n"/>
      <c r="C93" s="8" t="n"/>
      <c r="D93" s="8" t="n"/>
      <c r="E93" s="8" t="n"/>
      <c r="F93" s="8" t="n"/>
      <c r="G93" s="14" t="n"/>
      <c r="H93" s="15" t="n"/>
      <c r="I93" s="13" t="n"/>
      <c r="J93" s="14" t="n"/>
      <c r="K93" s="14" t="n"/>
      <c r="L93" s="11" t="n"/>
    </row>
    <row r="94">
      <c r="A94" s="8" t="n"/>
      <c r="B94" s="11" t="n"/>
      <c r="C94" s="8" t="n"/>
      <c r="D94" s="8" t="n"/>
      <c r="E94" s="8" t="n"/>
      <c r="F94" s="8" t="n"/>
      <c r="G94" s="14" t="n"/>
      <c r="H94" s="15" t="n"/>
      <c r="I94" s="13" t="n"/>
      <c r="J94" s="14" t="n"/>
      <c r="K94" s="14" t="n"/>
      <c r="L94" s="11" t="n"/>
    </row>
    <row r="95">
      <c r="A95" s="8" t="n"/>
      <c r="B95" s="11" t="n"/>
      <c r="C95" s="8" t="n"/>
      <c r="D95" s="8" t="n"/>
      <c r="E95" s="8" t="n"/>
      <c r="F95" s="8" t="n"/>
      <c r="G95" s="14" t="n"/>
      <c r="H95" s="15" t="n"/>
      <c r="I95" s="13" t="n"/>
      <c r="J95" s="14" t="n"/>
      <c r="K95" s="14" t="n"/>
      <c r="L95" s="11" t="n"/>
    </row>
    <row r="96">
      <c r="A96" s="8" t="n"/>
      <c r="B96" s="11" t="n"/>
      <c r="C96" s="8" t="n"/>
      <c r="D96" s="8" t="n"/>
      <c r="E96" s="8" t="n"/>
      <c r="F96" s="8" t="n"/>
      <c r="G96" s="14" t="n"/>
      <c r="H96" s="15" t="n"/>
      <c r="I96" s="13" t="n"/>
      <c r="J96" s="14" t="n"/>
      <c r="K96" s="14" t="n"/>
      <c r="L96" s="11" t="n"/>
    </row>
    <row r="97">
      <c r="A97" s="8" t="n"/>
      <c r="B97" s="11" t="n"/>
      <c r="C97" s="8" t="n"/>
      <c r="D97" s="8" t="n"/>
      <c r="E97" s="8" t="n"/>
      <c r="F97" s="8" t="n"/>
      <c r="G97" s="14" t="n"/>
      <c r="H97" s="15" t="n"/>
      <c r="I97" s="13" t="n"/>
      <c r="J97" s="14" t="n"/>
      <c r="K97" s="14" t="n"/>
      <c r="L97" s="11" t="n"/>
    </row>
    <row r="98">
      <c r="A98" s="8" t="n"/>
      <c r="B98" s="11" t="n"/>
      <c r="C98" s="8" t="n"/>
      <c r="D98" s="8" t="n"/>
      <c r="E98" s="8" t="n"/>
      <c r="F98" s="8" t="n"/>
      <c r="G98" s="14" t="n"/>
      <c r="H98" s="15" t="n"/>
      <c r="I98" s="13" t="n"/>
      <c r="J98" s="14" t="n"/>
      <c r="K98" s="14" t="n"/>
      <c r="L98" s="11" t="n"/>
    </row>
    <row r="99">
      <c r="A99" s="8" t="n"/>
      <c r="B99" s="11" t="n"/>
      <c r="C99" s="8" t="n"/>
      <c r="D99" s="8" t="n"/>
      <c r="E99" s="8" t="n"/>
      <c r="F99" s="8" t="n"/>
      <c r="G99" s="14" t="n"/>
      <c r="H99" s="15" t="n"/>
      <c r="I99" s="13" t="n"/>
      <c r="J99" s="14" t="n"/>
      <c r="K99" s="14" t="n"/>
      <c r="L99" s="11" t="n"/>
    </row>
    <row r="100">
      <c r="A100" s="8" t="n"/>
      <c r="B100" s="11" t="n"/>
      <c r="C100" s="8" t="n"/>
      <c r="D100" s="8" t="n"/>
      <c r="E100" s="8" t="n"/>
      <c r="F100" s="8" t="n"/>
      <c r="G100" s="14" t="n"/>
      <c r="H100" s="15" t="n"/>
      <c r="I100" s="13" t="n"/>
      <c r="J100" s="14" t="n"/>
      <c r="K100" s="14" t="n"/>
      <c r="L100" s="11" t="n"/>
    </row>
    <row r="101">
      <c r="A101" s="8" t="n"/>
      <c r="B101" s="11" t="n"/>
      <c r="C101" s="8" t="n"/>
      <c r="D101" s="8" t="n"/>
      <c r="E101" s="8" t="n"/>
      <c r="F101" s="8" t="n"/>
      <c r="G101" s="14" t="n"/>
      <c r="H101" s="15" t="n"/>
      <c r="I101" s="13" t="n"/>
      <c r="J101" s="14" t="n"/>
      <c r="K101" s="14" t="n"/>
      <c r="L101" s="11" t="n"/>
    </row>
    <row r="102">
      <c r="A102" s="8" t="n"/>
      <c r="B102" s="11" t="n"/>
      <c r="C102" s="8" t="n"/>
      <c r="D102" s="8" t="n"/>
      <c r="E102" s="8" t="n"/>
      <c r="F102" s="8" t="n"/>
      <c r="G102" s="14" t="n"/>
      <c r="H102" s="15" t="n"/>
      <c r="I102" s="13" t="n"/>
      <c r="J102" s="14" t="n"/>
      <c r="K102" s="14" t="n"/>
      <c r="L102" s="11" t="n"/>
    </row>
    <row r="103">
      <c r="A103" s="8" t="n"/>
      <c r="B103" s="11" t="n"/>
      <c r="C103" s="8" t="n"/>
      <c r="D103" s="8" t="n"/>
      <c r="E103" s="8" t="n"/>
      <c r="F103" s="8" t="n"/>
      <c r="G103" s="14" t="n"/>
      <c r="H103" s="15" t="n"/>
      <c r="I103" s="13" t="n"/>
      <c r="J103" s="14" t="n"/>
      <c r="K103" s="14" t="n"/>
      <c r="L103" s="11" t="n"/>
    </row>
    <row r="104">
      <c r="A104" s="8" t="n"/>
      <c r="B104" s="11" t="n"/>
      <c r="C104" s="8" t="n"/>
      <c r="D104" s="8" t="n"/>
      <c r="E104" s="8" t="n"/>
      <c r="F104" s="8" t="n"/>
      <c r="G104" s="14" t="n"/>
      <c r="H104" s="15" t="n"/>
      <c r="I104" s="13" t="n"/>
      <c r="J104" s="14" t="n"/>
      <c r="K104" s="14" t="n"/>
      <c r="L104" s="11" t="n"/>
    </row>
    <row r="105">
      <c r="A105" s="8" t="n"/>
      <c r="B105" s="11" t="n"/>
      <c r="C105" s="8" t="n"/>
      <c r="D105" s="8" t="n"/>
      <c r="E105" s="8" t="n"/>
      <c r="F105" s="8" t="n"/>
      <c r="G105" s="14" t="n"/>
      <c r="H105" s="15" t="n"/>
      <c r="I105" s="13" t="n"/>
      <c r="J105" s="14" t="n"/>
      <c r="K105" s="14" t="n"/>
      <c r="L105" s="11" t="n"/>
    </row>
    <row r="106">
      <c r="A106" s="8" t="n"/>
      <c r="B106" s="11" t="n"/>
      <c r="C106" s="8" t="n"/>
      <c r="D106" s="8" t="n"/>
      <c r="E106" s="8" t="n"/>
      <c r="F106" s="8" t="n"/>
      <c r="G106" s="14" t="n"/>
      <c r="H106" s="15" t="n"/>
      <c r="I106" s="13" t="n"/>
      <c r="J106" s="14" t="n"/>
      <c r="K106" s="14" t="n"/>
      <c r="L106" s="11" t="n"/>
    </row>
    <row r="107">
      <c r="A107" s="8" t="n"/>
      <c r="B107" s="11" t="n"/>
      <c r="C107" s="8" t="n"/>
      <c r="D107" s="8" t="n"/>
      <c r="E107" s="8" t="n"/>
      <c r="F107" s="8" t="n"/>
      <c r="G107" s="14" t="n"/>
      <c r="H107" s="15" t="n"/>
      <c r="I107" s="13" t="n"/>
      <c r="J107" s="14" t="n"/>
      <c r="K107" s="14" t="n"/>
      <c r="L107" s="11" t="n"/>
    </row>
    <row r="108">
      <c r="A108" s="8" t="n"/>
      <c r="B108" s="11" t="n"/>
      <c r="C108" s="8" t="n"/>
      <c r="D108" s="8" t="n"/>
      <c r="E108" s="8" t="n"/>
      <c r="F108" s="8" t="n"/>
      <c r="G108" s="14" t="n"/>
      <c r="H108" s="15" t="n"/>
      <c r="I108" s="13" t="n"/>
      <c r="J108" s="14" t="n"/>
      <c r="K108" s="14" t="n"/>
      <c r="L108" s="11" t="n"/>
    </row>
    <row r="109">
      <c r="A109" s="8" t="n"/>
      <c r="B109" s="11" t="n"/>
      <c r="C109" s="8" t="n"/>
      <c r="D109" s="8" t="n"/>
      <c r="E109" s="8" t="n"/>
      <c r="F109" s="8" t="n"/>
      <c r="G109" s="14" t="n"/>
      <c r="H109" s="15" t="n"/>
      <c r="I109" s="13" t="n"/>
      <c r="J109" s="14" t="n"/>
      <c r="K109" s="14" t="n"/>
      <c r="L109" s="11" t="n"/>
    </row>
    <row r="110">
      <c r="A110" s="8" t="n"/>
      <c r="B110" s="11" t="n"/>
      <c r="C110" s="8" t="n"/>
      <c r="D110" s="8" t="n"/>
      <c r="E110" s="8" t="n"/>
      <c r="F110" s="8" t="n"/>
      <c r="G110" s="14" t="n"/>
      <c r="H110" s="15" t="n"/>
      <c r="I110" s="13" t="n"/>
      <c r="J110" s="14" t="n"/>
      <c r="K110" s="14" t="n"/>
      <c r="L110" s="11" t="n"/>
    </row>
    <row r="111">
      <c r="A111" s="8" t="n"/>
      <c r="B111" s="11" t="n"/>
      <c r="C111" s="8" t="n"/>
      <c r="D111" s="8" t="n"/>
      <c r="E111" s="8" t="n"/>
      <c r="F111" s="8" t="n"/>
      <c r="G111" s="14" t="n"/>
      <c r="H111" s="15" t="n"/>
      <c r="I111" s="13" t="n"/>
      <c r="J111" s="14" t="n"/>
      <c r="K111" s="14" t="n"/>
      <c r="L111" s="11" t="n"/>
    </row>
    <row r="112">
      <c r="A112" s="8" t="n"/>
      <c r="B112" s="11" t="n"/>
      <c r="C112" s="8" t="n"/>
      <c r="D112" s="8" t="n"/>
      <c r="E112" s="8" t="n"/>
      <c r="F112" s="8" t="n"/>
      <c r="G112" s="14" t="n"/>
      <c r="H112" s="15" t="n"/>
      <c r="I112" s="13" t="n"/>
      <c r="J112" s="14" t="n"/>
      <c r="K112" s="14" t="n"/>
      <c r="L112" s="11" t="n"/>
    </row>
    <row r="113">
      <c r="A113" s="8" t="n"/>
      <c r="B113" s="11" t="n"/>
      <c r="C113" s="8" t="n"/>
      <c r="D113" s="8" t="n"/>
      <c r="E113" s="8" t="n"/>
      <c r="F113" s="8" t="n"/>
      <c r="G113" s="14" t="n"/>
      <c r="H113" s="15" t="n"/>
      <c r="I113" s="13" t="n"/>
      <c r="J113" s="14" t="n"/>
      <c r="K113" s="14" t="n"/>
      <c r="L113" s="11" t="n"/>
    </row>
    <row r="114">
      <c r="A114" s="8" t="n"/>
      <c r="B114" s="11" t="n"/>
      <c r="C114" s="8" t="n"/>
      <c r="D114" s="8" t="n"/>
      <c r="E114" s="8" t="n"/>
      <c r="F114" s="8" t="n"/>
      <c r="G114" s="14" t="n"/>
      <c r="H114" s="15" t="n"/>
      <c r="I114" s="13" t="n"/>
      <c r="J114" s="14" t="n"/>
      <c r="K114" s="14" t="n"/>
      <c r="L114" s="11" t="n"/>
    </row>
    <row r="115">
      <c r="A115" s="8" t="n"/>
      <c r="B115" s="11" t="n"/>
      <c r="C115" s="8" t="n"/>
      <c r="D115" s="8" t="n"/>
      <c r="E115" s="8" t="n"/>
      <c r="F115" s="8" t="n"/>
      <c r="G115" s="14" t="n"/>
      <c r="H115" s="15" t="n"/>
      <c r="I115" s="13" t="n"/>
      <c r="J115" s="14" t="n"/>
      <c r="K115" s="14" t="n"/>
      <c r="L115" s="11" t="n"/>
    </row>
    <row r="116">
      <c r="A116" s="8" t="n"/>
      <c r="B116" s="11" t="n"/>
      <c r="C116" s="8" t="n"/>
      <c r="D116" s="8" t="n"/>
      <c r="E116" s="8" t="n"/>
      <c r="F116" s="8" t="n"/>
      <c r="G116" s="14" t="n"/>
      <c r="H116" s="15" t="n"/>
      <c r="I116" s="13" t="n"/>
      <c r="J116" s="14" t="n"/>
      <c r="K116" s="14" t="n"/>
      <c r="L116" s="11" t="n"/>
    </row>
    <row r="117">
      <c r="A117" s="8" t="n"/>
      <c r="B117" s="11" t="n"/>
      <c r="C117" s="8" t="n"/>
      <c r="D117" s="8" t="n"/>
      <c r="E117" s="8" t="n"/>
      <c r="F117" s="8" t="n"/>
      <c r="G117" s="14" t="n"/>
      <c r="H117" s="15" t="n"/>
      <c r="I117" s="13" t="n"/>
      <c r="J117" s="14" t="n"/>
      <c r="K117" s="14" t="n"/>
      <c r="L117" s="11" t="n"/>
    </row>
    <row r="118">
      <c r="A118" s="8" t="n"/>
      <c r="B118" s="11" t="n"/>
      <c r="C118" s="8" t="n"/>
      <c r="D118" s="8" t="n"/>
      <c r="E118" s="8" t="n"/>
      <c r="F118" s="8" t="n"/>
      <c r="G118" s="14" t="n"/>
      <c r="H118" s="15" t="n"/>
      <c r="I118" s="13" t="n"/>
      <c r="J118" s="14" t="n"/>
      <c r="K118" s="14" t="n"/>
      <c r="L118" s="11" t="n"/>
    </row>
    <row r="119">
      <c r="A119" s="8" t="n"/>
      <c r="B119" s="11" t="n"/>
      <c r="C119" s="8" t="n"/>
      <c r="D119" s="8" t="n"/>
      <c r="E119" s="8" t="n"/>
      <c r="F119" s="8" t="n"/>
      <c r="G119" s="14" t="n"/>
      <c r="H119" s="15" t="n"/>
      <c r="I119" s="13" t="n"/>
      <c r="J119" s="14" t="n"/>
      <c r="K119" s="14" t="n"/>
      <c r="L119" s="11" t="n"/>
    </row>
    <row r="120">
      <c r="A120" s="8" t="n"/>
      <c r="B120" s="11" t="n"/>
      <c r="C120" s="8" t="n"/>
      <c r="D120" s="8" t="n"/>
      <c r="E120" s="8" t="n"/>
      <c r="F120" s="8" t="n"/>
      <c r="G120" s="14" t="n"/>
      <c r="H120" s="15" t="n"/>
      <c r="I120" s="13" t="n"/>
      <c r="J120" s="14" t="n"/>
      <c r="K120" s="14" t="n"/>
      <c r="L120" s="11" t="n"/>
    </row>
    <row r="121">
      <c r="A121" s="8" t="n"/>
      <c r="B121" s="11" t="n"/>
      <c r="C121" s="8" t="n"/>
      <c r="D121" s="8" t="n"/>
      <c r="E121" s="8" t="n"/>
      <c r="F121" s="8" t="n"/>
      <c r="G121" s="14" t="n"/>
      <c r="H121" s="15" t="n"/>
      <c r="I121" s="13" t="n"/>
      <c r="J121" s="14" t="n"/>
      <c r="K121" s="14" t="n"/>
      <c r="L121" s="11" t="n"/>
    </row>
    <row r="122">
      <c r="A122" s="8" t="n"/>
      <c r="B122" s="11" t="n"/>
      <c r="C122" s="8" t="n"/>
      <c r="D122" s="8" t="n"/>
      <c r="E122" s="8" t="n"/>
      <c r="F122" s="8" t="n"/>
      <c r="G122" s="14" t="n"/>
      <c r="H122" s="15" t="n"/>
      <c r="I122" s="13" t="n"/>
      <c r="J122" s="14" t="n"/>
      <c r="K122" s="14" t="n"/>
      <c r="L122" s="11" t="n"/>
    </row>
    <row r="123">
      <c r="A123" s="8" t="n"/>
      <c r="B123" s="11" t="n"/>
      <c r="C123" s="8" t="n"/>
      <c r="D123" s="8" t="n"/>
      <c r="E123" s="8" t="n"/>
      <c r="F123" s="8" t="n"/>
      <c r="G123" s="14" t="n"/>
      <c r="H123" s="15" t="n"/>
      <c r="I123" s="13" t="n"/>
      <c r="J123" s="14" t="n"/>
      <c r="K123" s="14" t="n"/>
      <c r="L123" s="11" t="n"/>
    </row>
    <row r="124">
      <c r="A124" s="8" t="n"/>
      <c r="B124" s="11" t="n"/>
      <c r="C124" s="8" t="n"/>
      <c r="D124" s="8" t="n"/>
      <c r="E124" s="8" t="n"/>
      <c r="F124" s="8" t="n"/>
      <c r="G124" s="14" t="n"/>
      <c r="H124" s="15" t="n"/>
      <c r="I124" s="13" t="n"/>
      <c r="J124" s="14" t="n"/>
      <c r="K124" s="14" t="n"/>
      <c r="L124" s="11" t="n"/>
    </row>
    <row r="125">
      <c r="A125" s="8" t="n"/>
      <c r="B125" s="11" t="n"/>
      <c r="C125" s="8" t="n"/>
      <c r="D125" s="8" t="n"/>
      <c r="E125" s="8" t="n"/>
      <c r="F125" s="8" t="n"/>
      <c r="G125" s="14" t="n"/>
      <c r="H125" s="15" t="n"/>
      <c r="I125" s="13" t="n"/>
      <c r="J125" s="14" t="n"/>
      <c r="K125" s="14" t="n"/>
      <c r="L125" s="11" t="n"/>
    </row>
    <row r="126">
      <c r="A126" s="8" t="n"/>
      <c r="B126" s="11" t="n"/>
      <c r="C126" s="8" t="n"/>
      <c r="D126" s="8" t="n"/>
      <c r="E126" s="8" t="n"/>
      <c r="F126" s="8" t="n"/>
      <c r="G126" s="14" t="n"/>
      <c r="H126" s="15" t="n"/>
      <c r="I126" s="13" t="n"/>
      <c r="J126" s="14" t="n"/>
      <c r="K126" s="14" t="n"/>
      <c r="L126" s="11" t="n"/>
    </row>
    <row r="127">
      <c r="A127" s="8" t="n"/>
      <c r="B127" s="11" t="n"/>
      <c r="C127" s="8" t="n"/>
      <c r="D127" s="8" t="n"/>
      <c r="E127" s="8" t="n"/>
      <c r="F127" s="8" t="n"/>
      <c r="G127" s="14" t="n"/>
      <c r="H127" s="15" t="n"/>
      <c r="I127" s="13" t="n"/>
      <c r="J127" s="14" t="n"/>
      <c r="K127" s="14" t="n"/>
      <c r="L127" s="11" t="n"/>
    </row>
    <row r="128">
      <c r="A128" s="8" t="n"/>
      <c r="B128" s="11" t="n"/>
      <c r="C128" s="8" t="n"/>
      <c r="D128" s="8" t="n"/>
      <c r="E128" s="8" t="n"/>
      <c r="F128" s="8" t="n"/>
      <c r="G128" s="14" t="n"/>
      <c r="H128" s="15" t="n"/>
      <c r="I128" s="13" t="n"/>
      <c r="J128" s="14" t="n"/>
      <c r="K128" s="14" t="n"/>
      <c r="L128" s="11" t="n"/>
    </row>
    <row r="129">
      <c r="A129" s="8" t="n"/>
      <c r="B129" s="11" t="n"/>
      <c r="C129" s="8" t="n"/>
      <c r="D129" s="8" t="n"/>
      <c r="E129" s="8" t="n"/>
      <c r="F129" s="8" t="n"/>
      <c r="G129" s="14" t="n"/>
      <c r="H129" s="15" t="n"/>
      <c r="I129" s="13" t="n"/>
      <c r="J129" s="14" t="n"/>
      <c r="K129" s="14" t="n"/>
      <c r="L129" s="11" t="n"/>
    </row>
    <row r="130">
      <c r="A130" s="8" t="n"/>
      <c r="B130" s="11" t="n"/>
      <c r="C130" s="8" t="n"/>
      <c r="D130" s="8" t="n"/>
      <c r="E130" s="8" t="n"/>
      <c r="F130" s="8" t="n"/>
      <c r="G130" s="14" t="n"/>
      <c r="H130" s="15" t="n"/>
      <c r="I130" s="13" t="n"/>
      <c r="J130" s="14" t="n"/>
      <c r="K130" s="14" t="n"/>
      <c r="L130" s="11" t="n"/>
    </row>
    <row r="131">
      <c r="A131" s="8" t="n"/>
      <c r="B131" s="11" t="n"/>
      <c r="C131" s="8" t="n"/>
      <c r="D131" s="8" t="n"/>
      <c r="E131" s="8" t="n"/>
      <c r="F131" s="8" t="n"/>
      <c r="G131" s="14" t="n"/>
      <c r="H131" s="15" t="n"/>
      <c r="I131" s="13" t="n"/>
      <c r="J131" s="14" t="n"/>
      <c r="K131" s="14" t="n"/>
      <c r="L131" s="11" t="n"/>
    </row>
    <row r="132">
      <c r="A132" s="8" t="n"/>
      <c r="B132" s="11" t="n"/>
      <c r="C132" s="8" t="n"/>
      <c r="D132" s="8" t="n"/>
      <c r="E132" s="8" t="n"/>
      <c r="F132" s="8" t="n"/>
      <c r="G132" s="14" t="n"/>
      <c r="H132" s="15" t="n"/>
      <c r="I132" s="13" t="n"/>
      <c r="J132" s="14" t="n"/>
      <c r="K132" s="14" t="n"/>
      <c r="L132" s="11" t="n"/>
    </row>
    <row r="133">
      <c r="A133" s="8" t="n"/>
      <c r="B133" s="11" t="n"/>
      <c r="C133" s="8" t="n"/>
      <c r="D133" s="8" t="n"/>
      <c r="E133" s="8" t="n"/>
      <c r="F133" s="8" t="n"/>
      <c r="G133" s="14" t="n"/>
      <c r="H133" s="15" t="n"/>
      <c r="I133" s="13" t="n"/>
      <c r="J133" s="14" t="n"/>
      <c r="K133" s="14" t="n"/>
      <c r="L133" s="11" t="n"/>
    </row>
    <row r="134">
      <c r="A134" s="8" t="n"/>
      <c r="B134" s="11" t="n"/>
      <c r="C134" s="8" t="n"/>
      <c r="D134" s="8" t="n"/>
      <c r="E134" s="8" t="n"/>
      <c r="F134" s="8" t="n"/>
      <c r="G134" s="14" t="n"/>
      <c r="H134" s="15" t="n"/>
      <c r="I134" s="13" t="n"/>
      <c r="J134" s="14" t="n"/>
      <c r="K134" s="14" t="n"/>
      <c r="L134" s="11" t="n"/>
    </row>
    <row r="135">
      <c r="A135" s="8" t="n"/>
      <c r="B135" s="11" t="n"/>
      <c r="C135" s="8" t="n"/>
      <c r="D135" s="8" t="n"/>
      <c r="E135" s="8" t="n"/>
      <c r="F135" s="8" t="n"/>
      <c r="G135" s="14" t="n"/>
      <c r="H135" s="15" t="n"/>
      <c r="I135" s="13" t="n"/>
      <c r="J135" s="14" t="n"/>
      <c r="K135" s="14" t="n"/>
      <c r="L135" s="11" t="n"/>
    </row>
    <row r="136">
      <c r="A136" s="8" t="n"/>
      <c r="B136" s="11" t="n"/>
      <c r="C136" s="8" t="n"/>
      <c r="D136" s="8" t="n"/>
      <c r="E136" s="8" t="n"/>
      <c r="F136" s="8" t="n"/>
      <c r="G136" s="14" t="n"/>
      <c r="H136" s="15" t="n"/>
      <c r="I136" s="13" t="n"/>
      <c r="J136" s="14" t="n"/>
      <c r="K136" s="14" t="n"/>
      <c r="L136" s="11" t="n"/>
    </row>
    <row r="137">
      <c r="A137" s="8" t="n"/>
      <c r="B137" s="11" t="n"/>
      <c r="C137" s="8" t="n"/>
      <c r="D137" s="8" t="n"/>
      <c r="E137" s="8" t="n"/>
      <c r="F137" s="8" t="n"/>
      <c r="G137" s="14" t="n"/>
      <c r="H137" s="15" t="n"/>
      <c r="I137" s="13" t="n"/>
      <c r="J137" s="14" t="n"/>
      <c r="K137" s="14" t="n"/>
      <c r="L137" s="11" t="n"/>
    </row>
    <row r="138">
      <c r="A138" s="8" t="n"/>
      <c r="B138" s="11" t="n"/>
      <c r="C138" s="8" t="n"/>
      <c r="D138" s="8" t="n"/>
      <c r="E138" s="8" t="n"/>
      <c r="F138" s="8" t="n"/>
      <c r="G138" s="14" t="n"/>
      <c r="H138" s="15" t="n"/>
      <c r="I138" s="13" t="n"/>
      <c r="J138" s="14" t="n"/>
      <c r="K138" s="14" t="n"/>
      <c r="L138" s="11" t="n"/>
    </row>
    <row r="139">
      <c r="A139" s="8" t="n"/>
      <c r="B139" s="11" t="n"/>
      <c r="C139" s="8" t="n"/>
      <c r="D139" s="8" t="n"/>
      <c r="E139" s="8" t="n"/>
      <c r="F139" s="8" t="n"/>
      <c r="G139" s="14" t="n"/>
      <c r="H139" s="15" t="n"/>
      <c r="I139" s="13" t="n"/>
      <c r="J139" s="14" t="n"/>
      <c r="K139" s="14" t="n"/>
      <c r="L139" s="11" t="n"/>
    </row>
    <row r="140">
      <c r="A140" s="8" t="n"/>
      <c r="B140" s="11" t="n"/>
      <c r="C140" s="8" t="n"/>
      <c r="D140" s="8" t="n"/>
      <c r="E140" s="8" t="n"/>
      <c r="F140" s="8" t="n"/>
      <c r="G140" s="14" t="n"/>
      <c r="H140" s="15" t="n"/>
      <c r="I140" s="13" t="n"/>
      <c r="J140" s="14" t="n"/>
      <c r="K140" s="14" t="n"/>
      <c r="L140" s="11" t="n"/>
    </row>
    <row r="141">
      <c r="A141" s="8" t="n"/>
      <c r="B141" s="11" t="n"/>
      <c r="C141" s="8" t="n"/>
      <c r="D141" s="8" t="n"/>
      <c r="E141" s="8" t="n"/>
      <c r="F141" s="8" t="n"/>
      <c r="G141" s="14" t="n"/>
      <c r="H141" s="15" t="n"/>
      <c r="I141" s="13" t="n"/>
      <c r="J141" s="14" t="n"/>
      <c r="K141" s="14" t="n"/>
      <c r="L141" s="11" t="n"/>
    </row>
    <row r="142">
      <c r="A142" s="8" t="n"/>
      <c r="B142" s="11" t="n"/>
      <c r="C142" s="8" t="n"/>
      <c r="D142" s="8" t="n"/>
      <c r="E142" s="8" t="n"/>
      <c r="F142" s="8" t="n"/>
      <c r="G142" s="14" t="n"/>
      <c r="H142" s="15" t="n"/>
      <c r="I142" s="13" t="n"/>
      <c r="J142" s="14" t="n"/>
      <c r="K142" s="14" t="n"/>
      <c r="L142" s="11" t="n"/>
    </row>
    <row r="143">
      <c r="A143" s="8" t="n"/>
      <c r="B143" s="11" t="n"/>
      <c r="C143" s="8" t="n"/>
      <c r="D143" s="8" t="n"/>
      <c r="E143" s="8" t="n"/>
      <c r="F143" s="8" t="n"/>
      <c r="G143" s="14" t="n"/>
      <c r="H143" s="15" t="n"/>
      <c r="I143" s="13" t="n"/>
      <c r="J143" s="14" t="n"/>
      <c r="K143" s="14" t="n"/>
      <c r="L143" s="11" t="n"/>
    </row>
    <row r="144">
      <c r="A144" s="8" t="n"/>
      <c r="B144" s="11" t="n"/>
      <c r="C144" s="8" t="n"/>
      <c r="D144" s="8" t="n"/>
      <c r="E144" s="8" t="n"/>
      <c r="F144" s="8" t="n"/>
      <c r="G144" s="14" t="n"/>
      <c r="H144" s="15" t="n"/>
      <c r="I144" s="13" t="n"/>
      <c r="J144" s="14" t="n"/>
      <c r="K144" s="14" t="n"/>
      <c r="L144" s="11" t="n"/>
    </row>
    <row r="145">
      <c r="A145" s="8" t="n"/>
      <c r="B145" s="11" t="n"/>
      <c r="C145" s="8" t="n"/>
      <c r="D145" s="8" t="n"/>
      <c r="E145" s="8" t="n"/>
      <c r="F145" s="8" t="n"/>
      <c r="G145" s="14" t="n"/>
      <c r="H145" s="15" t="n"/>
      <c r="I145" s="13" t="n"/>
      <c r="J145" s="14" t="n"/>
      <c r="K145" s="14" t="n"/>
      <c r="L145" s="11" t="n"/>
    </row>
    <row r="146">
      <c r="A146" s="8" t="n"/>
      <c r="B146" s="11" t="n"/>
      <c r="C146" s="8" t="n"/>
      <c r="D146" s="8" t="n"/>
      <c r="E146" s="8" t="n"/>
      <c r="F146" s="8" t="n"/>
      <c r="G146" s="14" t="n"/>
      <c r="H146" s="15" t="n"/>
      <c r="I146" s="13" t="n"/>
      <c r="J146" s="14" t="n"/>
      <c r="K146" s="14" t="n"/>
      <c r="L146" s="11" t="n"/>
    </row>
    <row r="147">
      <c r="A147" s="8" t="n"/>
      <c r="B147" s="11" t="n"/>
      <c r="C147" s="8" t="n"/>
      <c r="D147" s="8" t="n"/>
      <c r="E147" s="8" t="n"/>
      <c r="F147" s="8" t="n"/>
      <c r="G147" s="14" t="n"/>
      <c r="H147" s="15" t="n"/>
      <c r="I147" s="13" t="n"/>
      <c r="J147" s="14" t="n"/>
      <c r="K147" s="14" t="n"/>
      <c r="L147" s="11" t="n"/>
    </row>
    <row r="148">
      <c r="A148" s="8" t="n"/>
      <c r="B148" s="11" t="n"/>
      <c r="C148" s="8" t="n"/>
      <c r="D148" s="8" t="n"/>
      <c r="E148" s="8" t="n"/>
      <c r="F148" s="8" t="n"/>
      <c r="G148" s="14" t="n"/>
      <c r="H148" s="15" t="n"/>
      <c r="I148" s="13" t="n"/>
      <c r="J148" s="14" t="n"/>
      <c r="K148" s="14" t="n"/>
      <c r="L148" s="11" t="n"/>
    </row>
    <row r="149">
      <c r="A149" s="8" t="n"/>
      <c r="B149" s="11" t="n"/>
      <c r="C149" s="8" t="n"/>
      <c r="D149" s="8" t="n"/>
      <c r="E149" s="8" t="n"/>
      <c r="F149" s="8" t="n"/>
      <c r="G149" s="14" t="n"/>
      <c r="H149" s="15" t="n"/>
      <c r="I149" s="13" t="n"/>
      <c r="J149" s="14" t="n"/>
      <c r="K149" s="14" t="n"/>
      <c r="L149" s="11" t="n"/>
    </row>
    <row r="150">
      <c r="A150" s="8" t="n"/>
      <c r="B150" s="11" t="n"/>
      <c r="C150" s="8" t="n"/>
      <c r="D150" s="8" t="n"/>
      <c r="E150" s="8" t="n"/>
      <c r="F150" s="8" t="n"/>
      <c r="G150" s="14" t="n"/>
      <c r="H150" s="15" t="n"/>
      <c r="I150" s="13" t="n"/>
      <c r="J150" s="14" t="n"/>
      <c r="K150" s="14" t="n"/>
      <c r="L150" s="11" t="n"/>
    </row>
    <row r="151">
      <c r="A151" s="8" t="n"/>
      <c r="B151" s="11" t="n"/>
      <c r="C151" s="8" t="n"/>
      <c r="D151" s="8" t="n"/>
      <c r="E151" s="8" t="n"/>
      <c r="F151" s="8" t="n"/>
      <c r="G151" s="14" t="n"/>
      <c r="H151" s="15" t="n"/>
      <c r="I151" s="13" t="n"/>
      <c r="J151" s="14" t="n"/>
      <c r="K151" s="14" t="n"/>
      <c r="L151" s="11" t="n"/>
    </row>
    <row r="152">
      <c r="A152" s="8" t="n"/>
      <c r="B152" s="11" t="n"/>
      <c r="C152" s="8" t="n"/>
      <c r="D152" s="8" t="n"/>
      <c r="E152" s="8" t="n"/>
      <c r="F152" s="8" t="n"/>
      <c r="G152" s="14" t="n"/>
      <c r="H152" s="15" t="n"/>
      <c r="I152" s="13" t="n"/>
      <c r="J152" s="14" t="n"/>
      <c r="K152" s="14" t="n"/>
      <c r="L152" s="11" t="n"/>
    </row>
    <row r="153">
      <c r="A153" s="8" t="n"/>
      <c r="B153" s="11" t="n"/>
      <c r="C153" s="8" t="n"/>
      <c r="D153" s="8" t="n"/>
      <c r="E153" s="8" t="n"/>
      <c r="F153" s="8" t="n"/>
      <c r="G153" s="14" t="n"/>
      <c r="H153" s="15" t="n"/>
      <c r="I153" s="13" t="n"/>
      <c r="J153" s="14" t="n"/>
      <c r="K153" s="14" t="n"/>
      <c r="L153" s="11" t="n"/>
    </row>
    <row r="154">
      <c r="A154" s="8" t="n"/>
      <c r="B154" s="11" t="n"/>
      <c r="C154" s="8" t="n"/>
      <c r="D154" s="8" t="n"/>
      <c r="E154" s="8" t="n"/>
      <c r="F154" s="8" t="n"/>
      <c r="G154" s="14" t="n"/>
      <c r="H154" s="15" t="n"/>
      <c r="I154" s="13" t="n"/>
      <c r="J154" s="14" t="n"/>
      <c r="K154" s="14" t="n"/>
      <c r="L154" s="11" t="n"/>
    </row>
    <row r="155">
      <c r="A155" s="8" t="n"/>
      <c r="B155" s="11" t="n"/>
      <c r="C155" s="8" t="n"/>
      <c r="D155" s="8" t="n"/>
      <c r="E155" s="8" t="n"/>
      <c r="F155" s="8" t="n"/>
      <c r="G155" s="14" t="n"/>
      <c r="H155" s="15" t="n"/>
      <c r="I155" s="13" t="n"/>
      <c r="J155" s="14" t="n"/>
      <c r="K155" s="14" t="n"/>
      <c r="L155" s="11" t="n"/>
    </row>
    <row r="156">
      <c r="A156" s="8" t="n"/>
      <c r="B156" s="11" t="n"/>
      <c r="C156" s="8" t="n"/>
      <c r="D156" s="8" t="n"/>
      <c r="E156" s="8" t="n"/>
      <c r="F156" s="8" t="n"/>
      <c r="G156" s="14" t="n"/>
      <c r="H156" s="15" t="n"/>
      <c r="I156" s="13" t="n"/>
      <c r="J156" s="14" t="n"/>
      <c r="K156" s="14" t="n"/>
      <c r="L156" s="11" t="n"/>
    </row>
    <row r="157">
      <c r="A157" s="8" t="n"/>
      <c r="B157" s="11" t="n"/>
      <c r="C157" s="8" t="n"/>
      <c r="D157" s="8" t="n"/>
      <c r="E157" s="8" t="n"/>
      <c r="F157" s="8" t="n"/>
      <c r="G157" s="14" t="n"/>
      <c r="H157" s="15" t="n"/>
      <c r="I157" s="13" t="n"/>
      <c r="J157" s="14" t="n"/>
      <c r="K157" s="14" t="n"/>
      <c r="L157" s="11" t="n"/>
    </row>
    <row r="158">
      <c r="A158" s="8" t="n"/>
      <c r="B158" s="11" t="n"/>
      <c r="C158" s="8" t="n"/>
      <c r="D158" s="8" t="n"/>
      <c r="E158" s="8" t="n"/>
      <c r="F158" s="8" t="n"/>
      <c r="G158" s="14" t="n"/>
      <c r="H158" s="15" t="n"/>
      <c r="I158" s="13" t="n"/>
      <c r="J158" s="14" t="n"/>
      <c r="K158" s="14" t="n"/>
      <c r="L158" s="11" t="n"/>
    </row>
    <row r="159">
      <c r="A159" s="8" t="n"/>
      <c r="B159" s="11" t="n"/>
      <c r="C159" s="8" t="n"/>
      <c r="D159" s="8" t="n"/>
      <c r="E159" s="8" t="n"/>
      <c r="F159" s="8" t="n"/>
      <c r="G159" s="14" t="n"/>
      <c r="H159" s="15" t="n"/>
      <c r="I159" s="13" t="n"/>
      <c r="J159" s="14" t="n"/>
      <c r="K159" s="14" t="n"/>
      <c r="L159" s="11" t="n"/>
    </row>
    <row r="160">
      <c r="A160" s="8" t="n"/>
      <c r="B160" s="11" t="n"/>
      <c r="C160" s="8" t="n"/>
      <c r="D160" s="8" t="n"/>
      <c r="E160" s="8" t="n"/>
      <c r="F160" s="8" t="n"/>
      <c r="G160" s="14" t="n"/>
      <c r="H160" s="15" t="n"/>
      <c r="I160" s="13" t="n"/>
      <c r="J160" s="14" t="n"/>
      <c r="K160" s="14" t="n"/>
      <c r="L160" s="11" t="n"/>
    </row>
    <row r="161">
      <c r="A161" s="8" t="n"/>
      <c r="B161" s="11" t="n"/>
      <c r="C161" s="8" t="n"/>
      <c r="D161" s="8" t="n"/>
      <c r="E161" s="8" t="n"/>
      <c r="F161" s="8" t="n"/>
      <c r="G161" s="14" t="n"/>
      <c r="H161" s="15" t="n"/>
      <c r="I161" s="13" t="n"/>
      <c r="J161" s="14" t="n"/>
      <c r="K161" s="14" t="n"/>
      <c r="L161" s="11" t="n"/>
    </row>
    <row r="162">
      <c r="A162" s="8" t="n"/>
      <c r="B162" s="11" t="n"/>
      <c r="C162" s="8" t="n"/>
      <c r="D162" s="8" t="n"/>
      <c r="E162" s="8" t="n"/>
      <c r="F162" s="8" t="n"/>
      <c r="G162" s="14" t="n"/>
      <c r="H162" s="15" t="n"/>
      <c r="I162" s="13" t="n"/>
      <c r="J162" s="14" t="n"/>
      <c r="K162" s="14" t="n"/>
      <c r="L162" s="11" t="n"/>
    </row>
    <row r="163">
      <c r="A163" s="8" t="n"/>
      <c r="B163" s="11" t="n"/>
      <c r="C163" s="8" t="n"/>
      <c r="D163" s="8" t="n"/>
      <c r="E163" s="8" t="n"/>
      <c r="F163" s="8" t="n"/>
      <c r="G163" s="14" t="n"/>
      <c r="H163" s="15" t="n"/>
      <c r="I163" s="13" t="n"/>
      <c r="J163" s="14" t="n"/>
      <c r="K163" s="14" t="n"/>
      <c r="L163" s="11" t="n"/>
    </row>
    <row r="164">
      <c r="A164" s="8" t="n"/>
      <c r="B164" s="11" t="n"/>
      <c r="C164" s="8" t="n"/>
      <c r="D164" s="8" t="n"/>
      <c r="E164" s="8" t="n"/>
      <c r="F164" s="8" t="n"/>
      <c r="G164" s="14" t="n"/>
      <c r="H164" s="15" t="n"/>
      <c r="I164" s="13" t="n"/>
      <c r="J164" s="14" t="n"/>
      <c r="K164" s="14" t="n"/>
      <c r="L164" s="11" t="n"/>
    </row>
    <row r="165">
      <c r="A165" s="8" t="n"/>
      <c r="B165" s="11" t="n"/>
      <c r="C165" s="8" t="n"/>
      <c r="D165" s="8" t="n"/>
      <c r="E165" s="8" t="n"/>
      <c r="F165" s="8" t="n"/>
      <c r="G165" s="14" t="n"/>
      <c r="H165" s="15" t="n"/>
      <c r="I165" s="13" t="n"/>
      <c r="J165" s="14" t="n"/>
      <c r="K165" s="14" t="n"/>
      <c r="L165" s="11" t="n"/>
    </row>
    <row r="166">
      <c r="A166" s="8" t="n"/>
      <c r="B166" s="11" t="n"/>
      <c r="C166" s="8" t="n"/>
      <c r="D166" s="8" t="n"/>
      <c r="E166" s="8" t="n"/>
      <c r="F166" s="8" t="n"/>
      <c r="G166" s="14" t="n"/>
      <c r="H166" s="15" t="n"/>
      <c r="I166" s="13" t="n"/>
      <c r="J166" s="14" t="n"/>
      <c r="K166" s="14" t="n"/>
      <c r="L166" s="11" t="n"/>
    </row>
    <row r="167">
      <c r="A167" s="8" t="n"/>
      <c r="B167" s="11" t="n"/>
      <c r="C167" s="8" t="n"/>
      <c r="D167" s="8" t="n"/>
      <c r="E167" s="8" t="n"/>
      <c r="F167" s="8" t="n"/>
      <c r="G167" s="14" t="n"/>
      <c r="H167" s="15" t="n"/>
      <c r="I167" s="13" t="n"/>
      <c r="J167" s="14" t="n"/>
      <c r="K167" s="14" t="n"/>
      <c r="L167" s="11" t="n"/>
    </row>
    <row r="168">
      <c r="A168" s="8" t="n"/>
      <c r="B168" s="11" t="n"/>
      <c r="C168" s="8" t="n"/>
      <c r="D168" s="8" t="n"/>
      <c r="E168" s="8" t="n"/>
      <c r="F168" s="8" t="n"/>
      <c r="G168" s="14" t="n"/>
      <c r="H168" s="15" t="n"/>
      <c r="I168" s="13" t="n"/>
      <c r="J168" s="14" t="n"/>
      <c r="K168" s="14" t="n"/>
      <c r="L168" s="11" t="n"/>
    </row>
    <row r="169">
      <c r="A169" s="8" t="n"/>
      <c r="B169" s="11" t="n"/>
      <c r="C169" s="8" t="n"/>
      <c r="D169" s="8" t="n"/>
      <c r="E169" s="8" t="n"/>
      <c r="F169" s="8" t="n"/>
      <c r="G169" s="14" t="n"/>
      <c r="H169" s="15" t="n"/>
      <c r="I169" s="13" t="n"/>
      <c r="J169" s="14" t="n"/>
      <c r="K169" s="14" t="n"/>
      <c r="L169" s="11" t="n"/>
    </row>
    <row r="170">
      <c r="A170" s="8" t="n"/>
      <c r="B170" s="11" t="n"/>
      <c r="C170" s="8" t="n"/>
      <c r="D170" s="8" t="n"/>
      <c r="E170" s="8" t="n"/>
      <c r="F170" s="8" t="n"/>
      <c r="G170" s="14" t="n"/>
      <c r="H170" s="15" t="n"/>
      <c r="I170" s="13" t="n"/>
      <c r="J170" s="14" t="n"/>
      <c r="K170" s="14" t="n"/>
      <c r="L170" s="11" t="n"/>
    </row>
    <row r="171">
      <c r="A171" s="8" t="n"/>
      <c r="B171" s="11" t="n"/>
      <c r="C171" s="8" t="n"/>
      <c r="D171" s="8" t="n"/>
      <c r="E171" s="8" t="n"/>
      <c r="F171" s="8" t="n"/>
      <c r="G171" s="14" t="n"/>
      <c r="H171" s="15" t="n"/>
      <c r="I171" s="13" t="n"/>
      <c r="J171" s="14" t="n"/>
      <c r="K171" s="14" t="n"/>
      <c r="L171" s="11" t="n"/>
    </row>
    <row r="172">
      <c r="A172" s="8" t="n"/>
      <c r="B172" s="11" t="n"/>
      <c r="C172" s="8" t="n"/>
      <c r="D172" s="8" t="n"/>
      <c r="E172" s="8" t="n"/>
      <c r="F172" s="8" t="n"/>
      <c r="G172" s="14" t="n"/>
      <c r="H172" s="15" t="n"/>
      <c r="I172" s="13" t="n"/>
      <c r="J172" s="14" t="n"/>
      <c r="K172" s="14" t="n"/>
      <c r="L172" s="11" t="n"/>
    </row>
    <row r="173">
      <c r="A173" s="8" t="n"/>
      <c r="B173" s="11" t="n"/>
      <c r="C173" s="8" t="n"/>
      <c r="D173" s="8" t="n"/>
      <c r="E173" s="8" t="n"/>
      <c r="F173" s="8" t="n"/>
      <c r="G173" s="14" t="n"/>
      <c r="H173" s="15" t="n"/>
      <c r="I173" s="13" t="n"/>
      <c r="J173" s="14" t="n"/>
      <c r="K173" s="14" t="n"/>
      <c r="L173" s="11" t="n"/>
    </row>
    <row r="174">
      <c r="A174" s="8" t="n"/>
      <c r="B174" s="11" t="n"/>
      <c r="C174" s="8" t="n"/>
      <c r="D174" s="8" t="n"/>
      <c r="E174" s="8" t="n"/>
      <c r="F174" s="8" t="n"/>
      <c r="G174" s="14" t="n"/>
      <c r="H174" s="15" t="n"/>
      <c r="I174" s="13" t="n"/>
      <c r="J174" s="14" t="n"/>
      <c r="K174" s="14" t="n"/>
      <c r="L174" s="11" t="n"/>
    </row>
    <row r="175">
      <c r="A175" s="8" t="n"/>
      <c r="B175" s="11" t="n"/>
      <c r="C175" s="8" t="n"/>
      <c r="D175" s="8" t="n"/>
      <c r="E175" s="8" t="n"/>
      <c r="F175" s="8" t="n"/>
      <c r="G175" s="14" t="n"/>
      <c r="H175" s="15" t="n"/>
      <c r="I175" s="13" t="n"/>
      <c r="J175" s="14" t="n"/>
      <c r="K175" s="14" t="n"/>
      <c r="L175" s="11" t="n"/>
    </row>
    <row r="176">
      <c r="A176" s="8" t="n"/>
      <c r="B176" s="11" t="n"/>
      <c r="C176" s="8" t="n"/>
      <c r="D176" s="8" t="n"/>
      <c r="E176" s="8" t="n"/>
      <c r="F176" s="8" t="n"/>
      <c r="G176" s="14" t="n"/>
      <c r="H176" s="15" t="n"/>
      <c r="I176" s="13" t="n"/>
      <c r="J176" s="14" t="n"/>
      <c r="K176" s="14" t="n"/>
      <c r="L176" s="11" t="n"/>
    </row>
    <row r="177">
      <c r="A177" s="8" t="n"/>
      <c r="B177" s="11" t="n"/>
      <c r="C177" s="8" t="n"/>
      <c r="D177" s="8" t="n"/>
      <c r="E177" s="8" t="n"/>
      <c r="F177" s="8" t="n"/>
      <c r="G177" s="14" t="n"/>
      <c r="H177" s="15" t="n"/>
      <c r="I177" s="13" t="n"/>
      <c r="J177" s="14" t="n"/>
      <c r="K177" s="14" t="n"/>
      <c r="L177" s="11" t="n"/>
    </row>
    <row r="178">
      <c r="A178" s="8" t="n"/>
      <c r="B178" s="11" t="n"/>
      <c r="C178" s="8" t="n"/>
      <c r="D178" s="8" t="n"/>
      <c r="E178" s="8" t="n"/>
      <c r="F178" s="8" t="n"/>
      <c r="G178" s="14" t="n"/>
      <c r="H178" s="15" t="n"/>
      <c r="I178" s="13" t="n"/>
      <c r="J178" s="14" t="n"/>
      <c r="K178" s="14" t="n"/>
      <c r="L178" s="11" t="n"/>
    </row>
    <row r="179">
      <c r="A179" s="8" t="n"/>
      <c r="B179" s="11" t="n"/>
      <c r="C179" s="8" t="n"/>
      <c r="D179" s="8" t="n"/>
      <c r="E179" s="8" t="n"/>
      <c r="F179" s="8" t="n"/>
      <c r="G179" s="14" t="n"/>
      <c r="H179" s="15" t="n"/>
      <c r="I179" s="13" t="n"/>
      <c r="J179" s="14" t="n"/>
      <c r="K179" s="14" t="n"/>
      <c r="L179" s="11" t="n"/>
    </row>
    <row r="180">
      <c r="A180" s="8" t="n"/>
      <c r="B180" s="11" t="n"/>
      <c r="C180" s="8" t="n"/>
      <c r="D180" s="8" t="n"/>
      <c r="E180" s="8" t="n"/>
      <c r="F180" s="8" t="n"/>
      <c r="G180" s="14" t="n"/>
      <c r="H180" s="15" t="n"/>
      <c r="I180" s="13" t="n"/>
      <c r="J180" s="14" t="n"/>
      <c r="K180" s="14" t="n"/>
      <c r="L180" s="11" t="n"/>
    </row>
    <row r="181">
      <c r="A181" s="8" t="n"/>
      <c r="B181" s="11" t="n"/>
      <c r="C181" s="8" t="n"/>
      <c r="D181" s="8" t="n"/>
      <c r="E181" s="8" t="n"/>
      <c r="F181" s="8" t="n"/>
      <c r="G181" s="14" t="n"/>
      <c r="H181" s="15" t="n"/>
      <c r="I181" s="13" t="n"/>
      <c r="J181" s="14" t="n"/>
      <c r="K181" s="14" t="n"/>
      <c r="L181" s="11" t="n"/>
    </row>
    <row r="182">
      <c r="A182" s="8" t="n"/>
      <c r="B182" s="11" t="n"/>
      <c r="C182" s="8" t="n"/>
      <c r="D182" s="8" t="n"/>
      <c r="E182" s="8" t="n"/>
      <c r="F182" s="8" t="n"/>
      <c r="G182" s="14" t="n"/>
      <c r="H182" s="15" t="n"/>
      <c r="I182" s="13" t="n"/>
      <c r="J182" s="14" t="n"/>
      <c r="K182" s="14" t="n"/>
      <c r="L182" s="11" t="n"/>
    </row>
    <row r="183">
      <c r="A183" s="8" t="n"/>
      <c r="B183" s="11" t="n"/>
      <c r="C183" s="8" t="n"/>
      <c r="D183" s="8" t="n"/>
      <c r="E183" s="8" t="n"/>
      <c r="F183" s="8" t="n"/>
      <c r="G183" s="14" t="n"/>
      <c r="H183" s="15" t="n"/>
      <c r="I183" s="13" t="n"/>
      <c r="J183" s="14" t="n"/>
      <c r="K183" s="14" t="n"/>
      <c r="L183" s="11" t="n"/>
    </row>
    <row r="184">
      <c r="A184" s="8" t="n"/>
      <c r="B184" s="11" t="n"/>
      <c r="C184" s="8" t="n"/>
      <c r="D184" s="8" t="n"/>
      <c r="E184" s="8" t="n"/>
      <c r="F184" s="8" t="n"/>
      <c r="G184" s="14" t="n"/>
      <c r="H184" s="15" t="n"/>
      <c r="I184" s="13" t="n"/>
      <c r="J184" s="14" t="n"/>
      <c r="K184" s="14" t="n"/>
      <c r="L184" s="11" t="n"/>
    </row>
    <row r="185">
      <c r="A185" s="8" t="n"/>
      <c r="B185" s="11" t="n"/>
      <c r="C185" s="8" t="n"/>
      <c r="D185" s="8" t="n"/>
      <c r="E185" s="8" t="n"/>
      <c r="F185" s="8" t="n"/>
      <c r="G185" s="14" t="n"/>
      <c r="H185" s="15" t="n"/>
      <c r="I185" s="13" t="n"/>
      <c r="J185" s="14" t="n"/>
      <c r="K185" s="14" t="n"/>
      <c r="L185" s="11" t="n"/>
    </row>
    <row r="186">
      <c r="A186" s="8" t="n"/>
      <c r="B186" s="11" t="n"/>
      <c r="C186" s="8" t="n"/>
      <c r="D186" s="8" t="n"/>
      <c r="E186" s="8" t="n"/>
      <c r="F186" s="8" t="n"/>
      <c r="G186" s="14" t="n"/>
      <c r="H186" s="15" t="n"/>
      <c r="I186" s="13" t="n"/>
      <c r="J186" s="14" t="n"/>
      <c r="K186" s="14" t="n"/>
      <c r="L186" s="11" t="n"/>
    </row>
    <row r="187">
      <c r="A187" s="8" t="n"/>
      <c r="B187" s="11" t="n"/>
      <c r="C187" s="8" t="n"/>
      <c r="D187" s="8" t="n"/>
      <c r="E187" s="8" t="n"/>
      <c r="F187" s="8" t="n"/>
      <c r="G187" s="14" t="n"/>
      <c r="H187" s="15" t="n"/>
      <c r="I187" s="13" t="n"/>
      <c r="J187" s="14" t="n"/>
      <c r="K187" s="14" t="n"/>
      <c r="L187" s="11" t="n"/>
    </row>
    <row r="188">
      <c r="A188" s="8" t="n"/>
      <c r="B188" s="11" t="n"/>
      <c r="C188" s="8" t="n"/>
      <c r="D188" s="8" t="n"/>
      <c r="E188" s="8" t="n"/>
      <c r="F188" s="8" t="n"/>
      <c r="G188" s="14" t="n"/>
      <c r="H188" s="15" t="n"/>
      <c r="I188" s="13" t="n"/>
      <c r="J188" s="14" t="n"/>
      <c r="K188" s="14" t="n"/>
      <c r="L188" s="11" t="n"/>
    </row>
    <row r="189">
      <c r="A189" s="8" t="n"/>
      <c r="B189" s="11" t="n"/>
      <c r="C189" s="8" t="n"/>
      <c r="D189" s="8" t="n"/>
      <c r="E189" s="8" t="n"/>
      <c r="F189" s="8" t="n"/>
      <c r="G189" s="14" t="n"/>
      <c r="H189" s="15" t="n"/>
      <c r="I189" s="13" t="n"/>
      <c r="J189" s="14" t="n"/>
      <c r="K189" s="14" t="n"/>
      <c r="L189" s="11" t="n"/>
    </row>
    <row r="190">
      <c r="A190" s="8" t="n"/>
      <c r="B190" s="11" t="n"/>
      <c r="C190" s="8" t="n"/>
      <c r="D190" s="8" t="n"/>
      <c r="E190" s="8" t="n"/>
      <c r="F190" s="8" t="n"/>
      <c r="G190" s="14" t="n"/>
      <c r="H190" s="15" t="n"/>
      <c r="I190" s="13" t="n"/>
      <c r="J190" s="14" t="n"/>
      <c r="K190" s="14" t="n"/>
      <c r="L190" s="11" t="n"/>
    </row>
    <row r="191">
      <c r="A191" s="8" t="n"/>
      <c r="B191" s="11" t="n"/>
      <c r="C191" s="8" t="n"/>
      <c r="D191" s="8" t="n"/>
      <c r="E191" s="8" t="n"/>
      <c r="F191" s="8" t="n"/>
      <c r="G191" s="14" t="n"/>
      <c r="H191" s="15" t="n"/>
      <c r="I191" s="13" t="n"/>
      <c r="J191" s="14" t="n"/>
      <c r="K191" s="14" t="n"/>
      <c r="L191" s="11" t="n"/>
    </row>
    <row r="192">
      <c r="A192" s="8" t="n"/>
      <c r="B192" s="11" t="n"/>
      <c r="C192" s="8" t="n"/>
      <c r="D192" s="8" t="n"/>
      <c r="E192" s="8" t="n"/>
      <c r="F192" s="8" t="n"/>
      <c r="G192" s="14" t="n"/>
      <c r="H192" s="15" t="n"/>
      <c r="I192" s="13" t="n"/>
      <c r="J192" s="14" t="n"/>
      <c r="K192" s="14" t="n"/>
      <c r="L192" s="11" t="n"/>
    </row>
    <row r="193">
      <c r="A193" s="8" t="n"/>
      <c r="B193" s="11" t="n"/>
      <c r="C193" s="8" t="n"/>
      <c r="D193" s="8" t="n"/>
      <c r="E193" s="8" t="n"/>
      <c r="F193" s="8" t="n"/>
      <c r="G193" s="14" t="n"/>
      <c r="H193" s="15" t="n"/>
      <c r="I193" s="13" t="n"/>
      <c r="J193" s="14" t="n"/>
      <c r="K193" s="14" t="n"/>
      <c r="L193" s="11" t="n"/>
    </row>
    <row r="194">
      <c r="A194" s="8" t="n"/>
      <c r="B194" s="11" t="n"/>
      <c r="C194" s="8" t="n"/>
      <c r="D194" s="8" t="n"/>
      <c r="E194" s="8" t="n"/>
      <c r="F194" s="8" t="n"/>
      <c r="G194" s="14" t="n"/>
      <c r="H194" s="15" t="n"/>
      <c r="I194" s="13" t="n"/>
      <c r="J194" s="14" t="n"/>
      <c r="K194" s="14" t="n"/>
      <c r="L194" s="11" t="n"/>
    </row>
    <row r="195">
      <c r="A195" s="8" t="n"/>
      <c r="B195" s="11" t="n"/>
      <c r="C195" s="8" t="n"/>
      <c r="D195" s="8" t="n"/>
      <c r="E195" s="8" t="n"/>
      <c r="F195" s="8" t="n"/>
      <c r="G195" s="14" t="n"/>
      <c r="H195" s="15" t="n"/>
      <c r="I195" s="13" t="n"/>
      <c r="J195" s="14" t="n"/>
      <c r="K195" s="14" t="n"/>
      <c r="L195" s="11" t="n"/>
    </row>
    <row r="196">
      <c r="A196" s="8" t="n"/>
      <c r="B196" s="11" t="n"/>
      <c r="C196" s="8" t="n"/>
      <c r="D196" s="8" t="n"/>
      <c r="E196" s="8" t="n"/>
      <c r="F196" s="8" t="n"/>
      <c r="G196" s="14" t="n"/>
      <c r="H196" s="15" t="n"/>
      <c r="I196" s="13" t="n"/>
      <c r="J196" s="14" t="n"/>
      <c r="K196" s="14" t="n"/>
      <c r="L196" s="11" t="n"/>
    </row>
    <row r="197">
      <c r="A197" s="8" t="n"/>
      <c r="B197" s="11" t="n"/>
      <c r="C197" s="8" t="n"/>
      <c r="D197" s="8" t="n"/>
      <c r="E197" s="8" t="n"/>
      <c r="F197" s="8" t="n"/>
      <c r="G197" s="14" t="n"/>
      <c r="H197" s="15" t="n"/>
      <c r="I197" s="13" t="n"/>
      <c r="J197" s="14" t="n"/>
      <c r="K197" s="14" t="n"/>
      <c r="L197" s="11" t="n"/>
    </row>
    <row r="198">
      <c r="A198" s="8" t="n"/>
      <c r="B198" s="11" t="n"/>
      <c r="C198" s="8" t="n"/>
      <c r="D198" s="8" t="n"/>
      <c r="E198" s="8" t="n"/>
      <c r="F198" s="8" t="n"/>
      <c r="G198" s="14" t="n"/>
      <c r="H198" s="15" t="n"/>
      <c r="I198" s="13" t="n"/>
      <c r="J198" s="14" t="n"/>
      <c r="K198" s="14" t="n"/>
      <c r="L198" s="11" t="n"/>
    </row>
    <row r="199">
      <c r="A199" s="8" t="n"/>
      <c r="B199" s="11" t="n"/>
      <c r="C199" s="8" t="n"/>
      <c r="D199" s="8" t="n"/>
      <c r="E199" s="8" t="n"/>
      <c r="F199" s="8" t="n"/>
      <c r="G199" s="14" t="n"/>
      <c r="H199" s="15" t="n"/>
      <c r="I199" s="13" t="n"/>
      <c r="J199" s="14" t="n"/>
      <c r="K199" s="14" t="n"/>
      <c r="L199" s="11" t="n"/>
    </row>
    <row r="200">
      <c r="A200" s="8" t="n"/>
      <c r="B200" s="11" t="n"/>
      <c r="C200" s="8" t="n"/>
      <c r="D200" s="8" t="n"/>
      <c r="E200" s="8" t="n"/>
      <c r="F200" s="8" t="n"/>
      <c r="G200" s="14" t="n"/>
      <c r="H200" s="15" t="n"/>
      <c r="I200" s="13" t="n"/>
      <c r="J200" s="14" t="n"/>
      <c r="K200" s="14" t="n"/>
      <c r="L200" s="11" t="n"/>
    </row>
    <row r="201">
      <c r="A201" s="8" t="n"/>
      <c r="B201" s="11" t="n"/>
      <c r="C201" s="8" t="n"/>
      <c r="D201" s="8" t="n"/>
      <c r="E201" s="8" t="n"/>
      <c r="F201" s="8" t="n"/>
      <c r="G201" s="14" t="n"/>
      <c r="H201" s="15" t="n"/>
      <c r="I201" s="13" t="n"/>
      <c r="J201" s="14" t="n"/>
      <c r="K201" s="14" t="n"/>
      <c r="L201" s="11" t="n"/>
    </row>
    <row r="202">
      <c r="A202" s="8" t="n"/>
      <c r="B202" s="11" t="n"/>
      <c r="C202" s="8" t="n"/>
      <c r="D202" s="8" t="n"/>
      <c r="E202" s="8" t="n"/>
      <c r="F202" s="8" t="n"/>
      <c r="G202" s="14" t="n"/>
      <c r="H202" s="15" t="n"/>
      <c r="I202" s="13" t="n"/>
      <c r="J202" s="14" t="n"/>
      <c r="K202" s="14" t="n"/>
      <c r="L202" s="11" t="n"/>
    </row>
    <row r="203">
      <c r="A203" s="8" t="n"/>
      <c r="B203" s="11" t="n"/>
      <c r="C203" s="8" t="n"/>
      <c r="D203" s="8" t="n"/>
      <c r="E203" s="8" t="n"/>
      <c r="F203" s="8" t="n"/>
      <c r="G203" s="14" t="n"/>
      <c r="H203" s="15" t="n"/>
      <c r="I203" s="13" t="n"/>
      <c r="J203" s="14" t="n"/>
      <c r="K203" s="14" t="n"/>
      <c r="L203" s="11" t="n"/>
    </row>
    <row r="204">
      <c r="A204" s="8" t="n"/>
      <c r="B204" s="11" t="n"/>
      <c r="C204" s="8" t="n"/>
      <c r="D204" s="8" t="n"/>
      <c r="E204" s="8" t="n"/>
      <c r="F204" s="8" t="n"/>
      <c r="G204" s="14" t="n"/>
      <c r="H204" s="15" t="n"/>
      <c r="I204" s="13" t="n"/>
      <c r="J204" s="14" t="n"/>
      <c r="K204" s="14" t="n"/>
      <c r="L204" s="11" t="n"/>
    </row>
    <row r="205">
      <c r="A205" s="8" t="n"/>
      <c r="B205" s="11" t="n"/>
      <c r="C205" s="8" t="n"/>
      <c r="D205" s="8" t="n"/>
      <c r="E205" s="8" t="n"/>
      <c r="F205" s="8" t="n"/>
      <c r="G205" s="14" t="n"/>
      <c r="H205" s="15" t="n"/>
      <c r="I205" s="13" t="n"/>
      <c r="J205" s="14" t="n"/>
      <c r="K205" s="14" t="n"/>
      <c r="L205" s="11" t="n"/>
    </row>
    <row r="206">
      <c r="A206" s="8" t="n"/>
      <c r="B206" s="11" t="n"/>
      <c r="C206" s="8" t="n"/>
      <c r="D206" s="8" t="n"/>
      <c r="E206" s="8" t="n"/>
      <c r="F206" s="8" t="n"/>
      <c r="G206" s="14" t="n"/>
      <c r="H206" s="15" t="n"/>
      <c r="I206" s="13" t="n"/>
      <c r="J206" s="14" t="n"/>
      <c r="K206" s="14" t="n"/>
      <c r="L206" s="11" t="n"/>
    </row>
    <row r="207">
      <c r="A207" s="8" t="n"/>
      <c r="B207" s="11" t="n"/>
      <c r="C207" s="8" t="n"/>
      <c r="D207" s="8" t="n"/>
      <c r="E207" s="8" t="n"/>
      <c r="F207" s="8" t="n"/>
      <c r="G207" s="14" t="n"/>
      <c r="H207" s="15" t="n"/>
      <c r="I207" s="13" t="n"/>
      <c r="J207" s="14" t="n"/>
      <c r="K207" s="14" t="n"/>
      <c r="L207" s="11" t="n"/>
    </row>
    <row r="208">
      <c r="A208" s="8" t="n"/>
      <c r="B208" s="11" t="n"/>
      <c r="C208" s="8" t="n"/>
      <c r="D208" s="8" t="n"/>
      <c r="E208" s="8" t="n"/>
      <c r="F208" s="8" t="n"/>
      <c r="G208" s="14" t="n"/>
      <c r="H208" s="15" t="n"/>
      <c r="I208" s="13" t="n"/>
      <c r="J208" s="14" t="n"/>
      <c r="K208" s="14" t="n"/>
      <c r="L208" s="11" t="n"/>
    </row>
    <row r="209">
      <c r="A209" s="8" t="n"/>
      <c r="B209" s="11" t="n"/>
      <c r="C209" s="8" t="n"/>
      <c r="D209" s="8" t="n"/>
      <c r="E209" s="8" t="n"/>
      <c r="F209" s="8" t="n"/>
      <c r="G209" s="14" t="n"/>
      <c r="H209" s="15" t="n"/>
      <c r="I209" s="13" t="n"/>
      <c r="J209" s="14" t="n"/>
      <c r="K209" s="14" t="n"/>
      <c r="L209" s="11" t="n"/>
    </row>
    <row r="210">
      <c r="A210" s="8" t="n"/>
      <c r="B210" s="11" t="n"/>
      <c r="C210" s="8" t="n"/>
      <c r="D210" s="8" t="n"/>
      <c r="E210" s="8" t="n"/>
      <c r="F210" s="8" t="n"/>
      <c r="G210" s="14" t="n"/>
      <c r="H210" s="15" t="n"/>
      <c r="I210" s="13" t="n"/>
      <c r="J210" s="14" t="n"/>
      <c r="K210" s="14" t="n"/>
      <c r="L210" s="11" t="n"/>
    </row>
    <row r="211">
      <c r="A211" s="8" t="n"/>
      <c r="B211" s="11" t="n"/>
      <c r="C211" s="8" t="n"/>
      <c r="D211" s="8" t="n"/>
      <c r="E211" s="8" t="n"/>
      <c r="F211" s="8" t="n"/>
      <c r="G211" s="14" t="n"/>
      <c r="H211" s="15" t="n"/>
      <c r="I211" s="13" t="n"/>
      <c r="J211" s="14" t="n"/>
      <c r="K211" s="14" t="n"/>
      <c r="L211" s="11" t="n"/>
    </row>
    <row r="212">
      <c r="A212" s="8" t="n"/>
      <c r="B212" s="11" t="n"/>
      <c r="C212" s="8" t="n"/>
      <c r="D212" s="8" t="n"/>
      <c r="E212" s="8" t="n"/>
      <c r="F212" s="8" t="n"/>
      <c r="G212" s="14" t="n"/>
      <c r="H212" s="15" t="n"/>
      <c r="I212" s="13" t="n"/>
      <c r="J212" s="14" t="n"/>
      <c r="K212" s="14" t="n"/>
      <c r="L212" s="11" t="n"/>
    </row>
    <row r="213">
      <c r="A213" s="8" t="n"/>
      <c r="B213" s="11" t="n"/>
      <c r="C213" s="8" t="n"/>
      <c r="D213" s="8" t="n"/>
      <c r="E213" s="8" t="n"/>
      <c r="F213" s="8" t="n"/>
      <c r="G213" s="14" t="n"/>
      <c r="H213" s="15" t="n"/>
      <c r="I213" s="13" t="n"/>
      <c r="J213" s="14" t="n"/>
      <c r="K213" s="14" t="n"/>
      <c r="L213" s="11" t="n"/>
    </row>
    <row r="214">
      <c r="A214" s="8" t="n"/>
      <c r="B214" s="11" t="n"/>
      <c r="C214" s="8" t="n"/>
      <c r="D214" s="8" t="n"/>
      <c r="E214" s="8" t="n"/>
      <c r="F214" s="8" t="n"/>
      <c r="G214" s="14" t="n"/>
      <c r="H214" s="15" t="n"/>
      <c r="I214" s="13" t="n"/>
      <c r="J214" s="14" t="n"/>
      <c r="K214" s="14" t="n"/>
      <c r="L214" s="11" t="n"/>
    </row>
    <row r="215">
      <c r="A215" s="8" t="n"/>
      <c r="B215" s="11" t="n"/>
      <c r="C215" s="8" t="n"/>
      <c r="D215" s="8" t="n"/>
      <c r="E215" s="8" t="n"/>
      <c r="F215" s="8" t="n"/>
      <c r="G215" s="14" t="n"/>
      <c r="H215" s="15" t="n"/>
      <c r="I215" s="13" t="n"/>
      <c r="J215" s="14" t="n"/>
      <c r="K215" s="14" t="n"/>
      <c r="L215" s="11" t="n"/>
    </row>
    <row r="216">
      <c r="A216" s="8" t="n"/>
      <c r="B216" s="11" t="n"/>
      <c r="C216" s="8" t="n"/>
      <c r="D216" s="8" t="n"/>
      <c r="E216" s="8" t="n"/>
      <c r="F216" s="8" t="n"/>
      <c r="G216" s="14" t="n"/>
      <c r="H216" s="15" t="n"/>
      <c r="I216" s="13" t="n"/>
      <c r="J216" s="14" t="n"/>
      <c r="K216" s="14" t="n"/>
      <c r="L216" s="11" t="n"/>
    </row>
    <row r="217">
      <c r="A217" s="8" t="n"/>
      <c r="B217" s="11" t="n"/>
      <c r="C217" s="8" t="n"/>
      <c r="D217" s="8" t="n"/>
      <c r="E217" s="8" t="n"/>
      <c r="F217" s="8" t="n"/>
      <c r="G217" s="14" t="n"/>
      <c r="H217" s="15" t="n"/>
      <c r="I217" s="13" t="n"/>
      <c r="J217" s="14" t="n"/>
      <c r="K217" s="14" t="n"/>
      <c r="L217" s="11" t="n"/>
    </row>
    <row r="218">
      <c r="A218" s="8" t="n"/>
      <c r="B218" s="11" t="n"/>
      <c r="C218" s="8" t="n"/>
      <c r="D218" s="8" t="n"/>
      <c r="E218" s="8" t="n"/>
      <c r="F218" s="8" t="n"/>
      <c r="G218" s="14" t="n"/>
      <c r="H218" s="15" t="n"/>
      <c r="I218" s="13" t="n"/>
      <c r="J218" s="14" t="n"/>
      <c r="K218" s="14" t="n"/>
      <c r="L218" s="11" t="n"/>
    </row>
    <row r="219">
      <c r="A219" s="8" t="n"/>
      <c r="B219" s="11" t="n"/>
      <c r="C219" s="8" t="n"/>
      <c r="D219" s="8" t="n"/>
      <c r="E219" s="8" t="n"/>
      <c r="F219" s="8" t="n"/>
      <c r="G219" s="14" t="n"/>
      <c r="H219" s="15" t="n"/>
      <c r="I219" s="13" t="n"/>
      <c r="J219" s="14" t="n"/>
      <c r="K219" s="14" t="n"/>
      <c r="L219" s="11" t="n"/>
    </row>
    <row r="220">
      <c r="A220" s="8" t="n"/>
      <c r="B220" s="11" t="n"/>
      <c r="C220" s="8" t="n"/>
      <c r="D220" s="8" t="n"/>
      <c r="E220" s="8" t="n"/>
      <c r="F220" s="8" t="n"/>
      <c r="G220" s="14" t="n"/>
      <c r="H220" s="15" t="n"/>
      <c r="I220" s="13" t="n"/>
      <c r="J220" s="14" t="n"/>
      <c r="K220" s="14" t="n"/>
      <c r="L220" s="11" t="n"/>
    </row>
    <row r="221">
      <c r="A221" s="8" t="n"/>
      <c r="B221" s="11" t="n"/>
      <c r="C221" s="8" t="n"/>
      <c r="D221" s="8" t="n"/>
      <c r="E221" s="8" t="n"/>
      <c r="F221" s="8" t="n"/>
      <c r="G221" s="14" t="n"/>
      <c r="H221" s="15" t="n"/>
      <c r="I221" s="13" t="n"/>
      <c r="J221" s="14" t="n"/>
      <c r="K221" s="14" t="n"/>
      <c r="L221" s="11" t="n"/>
    </row>
    <row r="222">
      <c r="A222" s="8" t="n"/>
      <c r="B222" s="11" t="n"/>
      <c r="C222" s="8" t="n"/>
      <c r="D222" s="8" t="n"/>
      <c r="E222" s="8" t="n"/>
      <c r="F222" s="8" t="n"/>
      <c r="G222" s="14" t="n"/>
      <c r="H222" s="15" t="n"/>
      <c r="I222" s="13" t="n"/>
      <c r="J222" s="14" t="n"/>
      <c r="K222" s="14" t="n"/>
      <c r="L222" s="11" t="n"/>
    </row>
    <row r="223">
      <c r="A223" s="8" t="n"/>
      <c r="B223" s="11" t="n"/>
      <c r="C223" s="8" t="n"/>
      <c r="D223" s="8" t="n"/>
      <c r="E223" s="8" t="n"/>
      <c r="F223" s="8" t="n"/>
      <c r="G223" s="14" t="n"/>
      <c r="H223" s="15" t="n"/>
      <c r="I223" s="13" t="n"/>
      <c r="J223" s="14" t="n"/>
      <c r="K223" s="14" t="n"/>
      <c r="L223" s="11" t="n"/>
    </row>
    <row r="224">
      <c r="A224" s="8" t="n"/>
      <c r="B224" s="11" t="n"/>
      <c r="C224" s="8" t="n"/>
      <c r="D224" s="8" t="n"/>
      <c r="E224" s="8" t="n"/>
      <c r="F224" s="8" t="n"/>
      <c r="G224" s="14" t="n"/>
      <c r="H224" s="15" t="n"/>
      <c r="I224" s="13" t="n"/>
      <c r="J224" s="14" t="n"/>
      <c r="K224" s="14" t="n"/>
      <c r="L224" s="11" t="n"/>
    </row>
    <row r="225">
      <c r="A225" s="8" t="n"/>
      <c r="B225" s="11" t="n"/>
      <c r="C225" s="8" t="n"/>
      <c r="D225" s="8" t="n"/>
      <c r="E225" s="8" t="n"/>
      <c r="F225" s="8" t="n"/>
      <c r="G225" s="14" t="n"/>
      <c r="H225" s="15" t="n"/>
      <c r="I225" s="13" t="n"/>
      <c r="J225" s="14" t="n"/>
      <c r="K225" s="14" t="n"/>
      <c r="L225" s="11" t="n"/>
    </row>
    <row r="226">
      <c r="A226" s="8" t="n"/>
      <c r="B226" s="11" t="n"/>
      <c r="C226" s="8" t="n"/>
      <c r="D226" s="8" t="n"/>
      <c r="E226" s="8" t="n"/>
      <c r="F226" s="8" t="n"/>
      <c r="G226" s="14" t="n"/>
      <c r="H226" s="15" t="n"/>
      <c r="I226" s="13" t="n"/>
      <c r="J226" s="14" t="n"/>
      <c r="K226" s="14" t="n"/>
      <c r="L226" s="11" t="n"/>
    </row>
    <row r="227">
      <c r="A227" s="8" t="n"/>
      <c r="B227" s="11" t="n"/>
      <c r="C227" s="8" t="n"/>
      <c r="D227" s="8" t="n"/>
      <c r="E227" s="8" t="n"/>
      <c r="F227" s="8" t="n"/>
      <c r="G227" s="14" t="n"/>
      <c r="H227" s="15" t="n"/>
      <c r="I227" s="13" t="n"/>
      <c r="J227" s="14" t="n"/>
      <c r="K227" s="14" t="n"/>
      <c r="L227" s="11" t="n"/>
    </row>
    <row r="228">
      <c r="A228" s="8" t="n"/>
      <c r="B228" s="11" t="n"/>
      <c r="C228" s="8" t="n"/>
      <c r="D228" s="8" t="n"/>
      <c r="E228" s="8" t="n"/>
      <c r="F228" s="8" t="n"/>
      <c r="G228" s="14" t="n"/>
      <c r="H228" s="15" t="n"/>
      <c r="I228" s="13" t="n"/>
      <c r="J228" s="14" t="n"/>
      <c r="K228" s="14" t="n"/>
      <c r="L228" s="11" t="n"/>
    </row>
    <row r="229">
      <c r="A229" s="8" t="n"/>
      <c r="B229" s="11" t="n"/>
      <c r="C229" s="8" t="n"/>
      <c r="D229" s="8" t="n"/>
      <c r="E229" s="8" t="n"/>
      <c r="F229" s="8" t="n"/>
      <c r="G229" s="14" t="n"/>
      <c r="H229" s="15" t="n"/>
      <c r="I229" s="13" t="n"/>
      <c r="J229" s="14" t="n"/>
      <c r="K229" s="14" t="n"/>
      <c r="L229" s="11" t="n"/>
    </row>
    <row r="230">
      <c r="A230" s="8" t="n"/>
      <c r="B230" s="11" t="n"/>
      <c r="C230" s="8" t="n"/>
      <c r="D230" s="8" t="n"/>
      <c r="E230" s="8" t="n"/>
      <c r="F230" s="8" t="n"/>
      <c r="G230" s="14" t="n"/>
      <c r="H230" s="15" t="n"/>
      <c r="I230" s="13" t="n"/>
      <c r="J230" s="14" t="n"/>
      <c r="K230" s="14" t="n"/>
      <c r="L230" s="11" t="n"/>
    </row>
    <row r="231">
      <c r="A231" s="8" t="n"/>
      <c r="B231" s="11" t="n"/>
      <c r="C231" s="8" t="n"/>
      <c r="D231" s="8" t="n"/>
      <c r="E231" s="8" t="n"/>
      <c r="F231" s="8" t="n"/>
      <c r="G231" s="14" t="n"/>
      <c r="H231" s="15" t="n"/>
      <c r="I231" s="13" t="n"/>
      <c r="J231" s="14" t="n"/>
      <c r="K231" s="14" t="n"/>
      <c r="L231" s="11" t="n"/>
    </row>
    <row r="232">
      <c r="A232" s="8" t="n"/>
      <c r="B232" s="11" t="n"/>
      <c r="C232" s="8" t="n"/>
      <c r="D232" s="8" t="n"/>
      <c r="E232" s="8" t="n"/>
      <c r="F232" s="8" t="n"/>
      <c r="G232" s="14" t="n"/>
      <c r="H232" s="15" t="n"/>
      <c r="I232" s="13" t="n"/>
      <c r="J232" s="14" t="n"/>
      <c r="K232" s="14" t="n"/>
      <c r="L232" s="11" t="n"/>
    </row>
    <row r="233">
      <c r="A233" s="8" t="n"/>
      <c r="B233" s="11" t="n"/>
      <c r="C233" s="8" t="n"/>
      <c r="D233" s="8" t="n"/>
      <c r="E233" s="8" t="n"/>
      <c r="F233" s="8" t="n"/>
      <c r="G233" s="14" t="n"/>
      <c r="H233" s="15" t="n"/>
      <c r="I233" s="13" t="n"/>
      <c r="J233" s="14" t="n"/>
      <c r="K233" s="14" t="n"/>
      <c r="L233" s="11" t="n"/>
    </row>
    <row r="234">
      <c r="A234" s="8" t="n"/>
      <c r="B234" s="11" t="n"/>
      <c r="C234" s="8" t="n"/>
      <c r="D234" s="8" t="n"/>
      <c r="E234" s="8" t="n"/>
      <c r="F234" s="8" t="n"/>
      <c r="G234" s="14" t="n"/>
      <c r="H234" s="15" t="n"/>
      <c r="I234" s="13" t="n"/>
      <c r="J234" s="14" t="n"/>
      <c r="K234" s="14" t="n"/>
      <c r="L234" s="11" t="n"/>
    </row>
    <row r="235">
      <c r="A235" s="8" t="n"/>
      <c r="B235" s="11" t="n"/>
      <c r="C235" s="8" t="n"/>
      <c r="D235" s="8" t="n"/>
      <c r="E235" s="8" t="n"/>
      <c r="F235" s="8" t="n"/>
      <c r="G235" s="14" t="n"/>
      <c r="H235" s="15" t="n"/>
      <c r="I235" s="13" t="n"/>
      <c r="J235" s="14" t="n"/>
      <c r="K235" s="14" t="n"/>
      <c r="L235" s="11" t="n"/>
    </row>
    <row r="236">
      <c r="A236" s="8" t="n"/>
      <c r="B236" s="11" t="n"/>
      <c r="C236" s="8" t="n"/>
      <c r="D236" s="8" t="n"/>
      <c r="E236" s="8" t="n"/>
      <c r="F236" s="8" t="n"/>
      <c r="G236" s="14" t="n"/>
      <c r="H236" s="15" t="n"/>
      <c r="I236" s="13" t="n"/>
      <c r="J236" s="14" t="n"/>
      <c r="K236" s="14" t="n"/>
      <c r="L236" s="11" t="n"/>
    </row>
    <row r="237">
      <c r="A237" s="8" t="n"/>
      <c r="B237" s="11" t="n"/>
      <c r="C237" s="8" t="n"/>
      <c r="D237" s="8" t="n"/>
      <c r="E237" s="8" t="n"/>
      <c r="F237" s="8" t="n"/>
      <c r="G237" s="14" t="n"/>
      <c r="H237" s="15" t="n"/>
      <c r="I237" s="13" t="n"/>
      <c r="J237" s="14" t="n"/>
      <c r="K237" s="14" t="n"/>
      <c r="L237" s="11" t="n"/>
    </row>
    <row r="238">
      <c r="A238" s="8" t="n"/>
      <c r="B238" s="11" t="n"/>
      <c r="C238" s="8" t="n"/>
      <c r="D238" s="8" t="n"/>
      <c r="E238" s="8" t="n"/>
      <c r="F238" s="8" t="n"/>
      <c r="G238" s="14" t="n"/>
      <c r="H238" s="15" t="n"/>
      <c r="I238" s="13" t="n"/>
      <c r="J238" s="14" t="n"/>
      <c r="K238" s="14" t="n"/>
      <c r="L238" s="11" t="n"/>
    </row>
    <row r="239">
      <c r="A239" s="8" t="n"/>
      <c r="B239" s="11" t="n"/>
      <c r="C239" s="8" t="n"/>
      <c r="D239" s="8" t="n"/>
      <c r="E239" s="8" t="n"/>
      <c r="F239" s="8" t="n"/>
      <c r="G239" s="14" t="n"/>
      <c r="H239" s="15" t="n"/>
      <c r="I239" s="13" t="n"/>
      <c r="J239" s="14" t="n"/>
      <c r="K239" s="14" t="n"/>
      <c r="L239" s="11" t="n"/>
    </row>
    <row r="240">
      <c r="A240" s="8" t="n"/>
      <c r="B240" s="11" t="n"/>
      <c r="C240" s="8" t="n"/>
      <c r="D240" s="8" t="n"/>
      <c r="E240" s="8" t="n"/>
      <c r="F240" s="8" t="n"/>
      <c r="G240" s="14" t="n"/>
      <c r="H240" s="15" t="n"/>
      <c r="I240" s="13" t="n"/>
      <c r="J240" s="14" t="n"/>
      <c r="K240" s="14" t="n"/>
      <c r="L240" s="11" t="n"/>
    </row>
    <row r="241">
      <c r="A241" s="8" t="n"/>
      <c r="B241" s="11" t="n"/>
      <c r="C241" s="8" t="n"/>
      <c r="D241" s="8" t="n"/>
      <c r="E241" s="8" t="n"/>
      <c r="F241" s="8" t="n"/>
      <c r="G241" s="14" t="n"/>
      <c r="H241" s="15" t="n"/>
      <c r="I241" s="13" t="n"/>
      <c r="J241" s="14" t="n"/>
      <c r="K241" s="14" t="n"/>
      <c r="L241" s="11" t="n"/>
    </row>
    <row r="242">
      <c r="A242" s="8" t="n"/>
      <c r="B242" s="11" t="n"/>
      <c r="C242" s="8" t="n"/>
      <c r="D242" s="8" t="n"/>
      <c r="E242" s="8" t="n"/>
      <c r="F242" s="8" t="n"/>
      <c r="G242" s="14" t="n"/>
      <c r="H242" s="15" t="n"/>
      <c r="I242" s="13" t="n"/>
      <c r="J242" s="14" t="n"/>
      <c r="K242" s="14" t="n"/>
      <c r="L242" s="11" t="n"/>
    </row>
    <row r="243">
      <c r="A243" s="8" t="n"/>
      <c r="B243" s="11" t="n"/>
      <c r="C243" s="8" t="n"/>
      <c r="D243" s="8" t="n"/>
      <c r="E243" s="8" t="n"/>
      <c r="F243" s="8" t="n"/>
      <c r="G243" s="14" t="n"/>
      <c r="H243" s="15" t="n"/>
      <c r="I243" s="13" t="n"/>
      <c r="J243" s="14" t="n"/>
      <c r="K243" s="14" t="n"/>
      <c r="L243" s="11" t="n"/>
    </row>
    <row r="244">
      <c r="A244" s="8" t="n"/>
      <c r="B244" s="11" t="n"/>
      <c r="C244" s="8" t="n"/>
      <c r="D244" s="8" t="n"/>
      <c r="E244" s="8" t="n"/>
      <c r="F244" s="8" t="n"/>
      <c r="G244" s="14" t="n"/>
      <c r="H244" s="15" t="n"/>
      <c r="I244" s="13" t="n"/>
      <c r="J244" s="14" t="n"/>
      <c r="K244" s="14" t="n"/>
      <c r="L244" s="11" t="n"/>
    </row>
    <row r="245">
      <c r="A245" s="8" t="n"/>
      <c r="B245" s="11" t="n"/>
      <c r="C245" s="8" t="n"/>
      <c r="D245" s="8" t="n"/>
      <c r="E245" s="8" t="n"/>
      <c r="F245" s="8" t="n"/>
      <c r="G245" s="14" t="n"/>
      <c r="H245" s="15" t="n"/>
      <c r="I245" s="13" t="n"/>
      <c r="J245" s="14" t="n"/>
      <c r="K245" s="14" t="n"/>
      <c r="L245" s="11" t="n"/>
    </row>
    <row r="246">
      <c r="A246" s="8" t="n"/>
      <c r="B246" s="11" t="n"/>
      <c r="C246" s="8" t="n"/>
      <c r="D246" s="8" t="n"/>
      <c r="E246" s="8" t="n"/>
      <c r="F246" s="8" t="n"/>
      <c r="G246" s="14" t="n"/>
      <c r="H246" s="15" t="n"/>
      <c r="I246" s="13" t="n"/>
      <c r="J246" s="14" t="n"/>
      <c r="K246" s="14" t="n"/>
      <c r="L246" s="11" t="n"/>
    </row>
    <row r="247">
      <c r="A247" s="8" t="n"/>
      <c r="B247" s="11" t="n"/>
      <c r="C247" s="8" t="n"/>
      <c r="D247" s="8" t="n"/>
      <c r="E247" s="8" t="n"/>
      <c r="F247" s="8" t="n"/>
      <c r="G247" s="14" t="n"/>
      <c r="H247" s="15" t="n"/>
      <c r="I247" s="13" t="n"/>
      <c r="J247" s="14" t="n"/>
      <c r="K247" s="14" t="n"/>
      <c r="L247" s="11" t="n"/>
    </row>
    <row r="248">
      <c r="A248" s="8" t="n"/>
      <c r="B248" s="11" t="n"/>
      <c r="C248" s="8" t="n"/>
      <c r="D248" s="8" t="n"/>
      <c r="E248" s="8" t="n"/>
      <c r="F248" s="8" t="n"/>
      <c r="G248" s="14" t="n"/>
      <c r="H248" s="15" t="n"/>
      <c r="I248" s="13" t="n"/>
      <c r="J248" s="14" t="n"/>
      <c r="K248" s="14" t="n"/>
      <c r="L248" s="11" t="n"/>
    </row>
    <row r="249">
      <c r="A249" s="8" t="n"/>
      <c r="B249" s="11" t="n"/>
      <c r="C249" s="8" t="n"/>
      <c r="D249" s="8" t="n"/>
      <c r="E249" s="8" t="n"/>
      <c r="F249" s="8" t="n"/>
      <c r="G249" s="14" t="n"/>
      <c r="H249" s="15" t="n"/>
      <c r="I249" s="13" t="n"/>
      <c r="J249" s="14" t="n"/>
      <c r="K249" s="14" t="n"/>
      <c r="L249" s="11" t="n"/>
    </row>
    <row r="250">
      <c r="A250" s="8" t="n"/>
      <c r="B250" s="11" t="n"/>
      <c r="C250" s="8" t="n"/>
      <c r="D250" s="8" t="n"/>
      <c r="E250" s="8" t="n"/>
      <c r="F250" s="8" t="n"/>
      <c r="G250" s="14" t="n"/>
      <c r="H250" s="15" t="n"/>
      <c r="I250" s="13" t="n"/>
      <c r="J250" s="14" t="n"/>
      <c r="K250" s="14" t="n"/>
      <c r="L250" s="11" t="n"/>
    </row>
    <row r="251">
      <c r="A251" s="8" t="n"/>
      <c r="B251" s="11" t="n"/>
      <c r="C251" s="8" t="n"/>
      <c r="D251" s="8" t="n"/>
      <c r="E251" s="8" t="n"/>
      <c r="F251" s="8" t="n"/>
      <c r="G251" s="14" t="n"/>
      <c r="H251" s="15" t="n"/>
      <c r="I251" s="13" t="n"/>
      <c r="J251" s="14" t="n"/>
      <c r="K251" s="14" t="n"/>
      <c r="L251" s="11" t="n"/>
    </row>
    <row r="252">
      <c r="A252" s="8" t="n"/>
      <c r="B252" s="11" t="n"/>
      <c r="C252" s="8" t="n"/>
      <c r="D252" s="8" t="n"/>
      <c r="E252" s="8" t="n"/>
      <c r="F252" s="8" t="n"/>
      <c r="G252" s="14" t="n"/>
      <c r="H252" s="15" t="n"/>
      <c r="I252" s="13" t="n"/>
      <c r="J252" s="14" t="n"/>
      <c r="K252" s="14" t="n"/>
      <c r="L252" s="11" t="n"/>
    </row>
    <row r="253">
      <c r="A253" s="8" t="n"/>
      <c r="B253" s="11" t="n"/>
      <c r="C253" s="8" t="n"/>
      <c r="D253" s="8" t="n"/>
      <c r="E253" s="8" t="n"/>
      <c r="F253" s="8" t="n"/>
      <c r="G253" s="14" t="n"/>
      <c r="H253" s="15" t="n"/>
      <c r="I253" s="13" t="n"/>
      <c r="J253" s="14" t="n"/>
      <c r="K253" s="14" t="n"/>
      <c r="L253" s="11" t="n"/>
    </row>
    <row r="254">
      <c r="A254" s="8" t="n"/>
      <c r="B254" s="11" t="n"/>
      <c r="C254" s="8" t="n"/>
      <c r="D254" s="8" t="n"/>
      <c r="E254" s="8" t="n"/>
      <c r="F254" s="8" t="n"/>
      <c r="G254" s="14" t="n"/>
      <c r="H254" s="15" t="n"/>
      <c r="I254" s="13" t="n"/>
      <c r="J254" s="14" t="n"/>
      <c r="K254" s="14" t="n"/>
      <c r="L254" s="11" t="n"/>
    </row>
  </sheetData>
  <autoFilter ref="A4:L254"/>
  <dataValidations count="8">
    <dataValidation sqref="C5:C254" showDropDown="0" showInputMessage="0" showErrorMessage="1" allowBlank="1" errorTitle="Not allowed" error="Pick a value from the list." type="list">
      <formula1>"US,CA,MX"</formula1>
    </dataValidation>
    <dataValidation sqref="E5:E254" showDropDown="0" showInputMessage="0" showErrorMessage="1" allowBlank="1" errorTitle="Check the value" error="Use the 2-letter ISO country code, no spaces." type="textLength" operator="equal">
      <formula1>2</formula1>
    </dataValidation>
    <dataValidation sqref="F5:F254" showDropDown="0" showInputMessage="1" showErrorMessage="1" allowBlank="1" errorTitle="Not allowed" error="Pick a value from the list." prompt="Y only if a valid USMCA certification supports the claim." type="list">
      <formula1>"Y,N"</formula1>
    </dataValidation>
    <dataValidation sqref="G5:G254" showDropDown="0" showInputMessage="0" showErrorMessage="1" allowBlank="1" errorTitle="Check the value" error="Enter a number of 0 or more." type="decimal" operator="between">
      <formula1>0</formula1>
      <formula2>100000000</formula2>
    </dataValidation>
    <dataValidation sqref="J5:J254" showDropDown="0" showInputMessage="0" showErrorMessage="1" allowBlank="1" errorTitle="Check the value" error="Enter a number of 0 or more." type="decimal" operator="between">
      <formula1>0</formula1>
      <formula2>100000000</formula2>
    </dataValidation>
    <dataValidation sqref="K5:K254" showDropDown="0" showInputMessage="0" showErrorMessage="1" allowBlank="1" errorTitle="Check the value" error="Enter a number of 0 or more." type="decimal" operator="between">
      <formula1>0</formula1>
      <formula2>100000000</formula2>
    </dataValidation>
    <dataValidation sqref="H5:H254" showDropDown="0" showInputMessage="0" showErrorMessage="1" allowBlank="1" errorTitle="Check the value" error="Enter a whole number of 0 or more." type="whole" operator="between">
      <formula1>0</formula1>
      <formula2>2000000000</formula2>
    </dataValidation>
    <dataValidation sqref="I5:I254" showDropDown="0" showInputMessage="0" showErrorMessage="1" allowBlank="1" errorTitle="Check the value" error="Enter the rate as a percentage, for example 2.5%." type="decimal" operator="between">
      <formula1>0</formula1>
      <formula2>10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/>
  </sheetPr>
  <dimension ref="A1:AC2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2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9" customWidth="1" min="12" max="12"/>
    <col width="28" customWidth="1" min="13" max="13"/>
    <col width="10" customWidth="1" min="14" max="14"/>
    <col width="10" customWidth="1" min="15" max="15"/>
    <col width="11" customWidth="1" min="16" max="16"/>
    <col width="11" customWidth="1" min="17" max="17"/>
    <col width="11" customWidth="1" min="18" max="18"/>
    <col width="12" customWidth="1" min="19" max="19"/>
    <col width="10" customWidth="1" min="20" max="20"/>
    <col width="10" customWidth="1" min="21" max="21"/>
    <col width="10" customWidth="1" min="22" max="22"/>
    <col width="11" customWidth="1" min="23" max="23"/>
    <col width="13" customWidth="1" min="24" max="24"/>
    <col width="13" customWidth="1" min="25" max="25"/>
    <col width="13" customWidth="1" min="26" max="26"/>
    <col width="13" customWidth="1" min="27" max="27"/>
    <col width="30" customWidth="1" min="28" max="28"/>
    <col width="12" customWidth="1" min="29" max="29"/>
  </cols>
  <sheetData>
    <row r="1">
      <c r="A1" s="1" t="inlineStr">
        <is>
          <t>Calc: formulas only (do not type on this tab)</t>
        </is>
      </c>
    </row>
    <row r="2">
      <c r="A2" s="2" t="inlineStr">
        <is>
          <t>Row n here is row n on Items. Grey = formula. Scope rules come from the Action tab; values come from the Items tab.</t>
        </is>
      </c>
    </row>
    <row r="4" ht="45" customHeight="1">
      <c r="A4" s="7" t="inlineStr">
        <is>
          <t>Item number</t>
        </is>
      </c>
      <c r="B4" s="7" t="inlineStr">
        <is>
          <t>Description</t>
        </is>
      </c>
      <c r="C4" s="7" t="inlineStr">
        <is>
          <t>HTS digits</t>
        </is>
      </c>
      <c r="D4" s="7" t="inlineStr">
        <is>
          <t>HTS chapter</t>
        </is>
      </c>
      <c r="E4" s="7" t="inlineStr">
        <is>
          <t>Origin</t>
        </is>
      </c>
      <c r="F4" s="7" t="inlineStr">
        <is>
          <t>Import country matches (Y/N)</t>
        </is>
      </c>
      <c r="G4" s="7" t="inlineStr">
        <is>
          <t>HTS on scope list (Y/N)</t>
        </is>
      </c>
      <c r="H4" s="7" t="inlineStr">
        <is>
          <t>HTS on exclusion list (Y/N)</t>
        </is>
      </c>
      <c r="I4" s="7" t="inlineStr">
        <is>
          <t>Origin on scope list (Y/N)</t>
        </is>
      </c>
      <c r="J4" s="7" t="inlineStr">
        <is>
          <t>USMCA exempt (Y/N)</t>
        </is>
      </c>
      <c r="K4" s="7" t="inlineStr">
        <is>
          <t>Research determination</t>
        </is>
      </c>
      <c r="L4" s="7" t="inlineStr">
        <is>
          <t>In scope (Y/N)</t>
        </is>
      </c>
      <c r="M4" s="7" t="inlineStr">
        <is>
          <t>Scope reason</t>
        </is>
      </c>
      <c r="N4" s="7" t="inlineStr">
        <is>
          <t>Current duty rate</t>
        </is>
      </c>
      <c r="O4" s="7" t="inlineStr">
        <is>
          <t>New duty rate</t>
        </is>
      </c>
      <c r="P4" s="7" t="inlineStr">
        <is>
          <t>Duty per unit before</t>
        </is>
      </c>
      <c r="Q4" s="7" t="inlineStr">
        <is>
          <t>Duty per unit after</t>
        </is>
      </c>
      <c r="R4" s="7" t="inlineStr">
        <is>
          <t>Landed cost change per unit</t>
        </is>
      </c>
      <c r="S4" s="7" t="inlineStr">
        <is>
          <t>Est. new standard cost per unit</t>
        </is>
      </c>
      <c r="T4" s="7" t="inlineStr">
        <is>
          <t>Margin % before</t>
        </is>
      </c>
      <c r="U4" s="7" t="inlineStr">
        <is>
          <t>Margin % after</t>
        </is>
      </c>
      <c r="V4" s="7" t="inlineStr">
        <is>
          <t>Margin change (points)</t>
        </is>
      </c>
      <c r="W4" s="7" t="inlineStr">
        <is>
          <t>Annual quantity</t>
        </is>
      </c>
      <c r="X4" s="7" t="inlineStr">
        <is>
          <t>Annual impact (change x quantity)</t>
        </is>
      </c>
      <c r="Y4" s="7" t="inlineStr">
        <is>
          <t>Annual revenue</t>
        </is>
      </c>
      <c r="Z4" s="7" t="inlineStr">
        <is>
          <t>Annual margin $ before</t>
        </is>
      </c>
      <c r="AA4" s="7" t="inlineStr">
        <is>
          <t>Annual margin $ after</t>
        </is>
      </c>
      <c r="AB4" s="7" t="inlineStr">
        <is>
          <t>Data check</t>
        </is>
      </c>
      <c r="AC4" s="7" t="inlineStr">
        <is>
          <t>Rank key (helper for Summary top 10)</t>
        </is>
      </c>
    </row>
    <row r="5">
      <c r="A5" s="10">
        <f>IF(TRIM(Items!A5&amp;"")="","",TRIM(Items!A5&amp;""))</f>
        <v/>
      </c>
      <c r="B5" s="10">
        <f>IF($A5="","",Items!B5&amp;"")</f>
        <v/>
      </c>
      <c r="C5" s="10">
        <f>IF($A5="","",SUBSTITUTE(SUBSTITUTE(SUBSTITUTE(TRIM(Items!D5&amp;""),".","")," ",""),"-",""))</f>
        <v/>
      </c>
      <c r="D5" s="10">
        <f>IF($A5="","",LEFT($C5,2))</f>
        <v/>
      </c>
      <c r="E5" s="10">
        <f>IF($A5="","",UPPER(TRIM(Items!E5&amp;"")))</f>
        <v/>
      </c>
      <c r="F5" s="10">
        <f>IF($A5="","",IF(UPPER(TRIM(Items!C5&amp;""))=UPPER(TRIM(act_Country&amp;"")),"Y","N"))</f>
        <v/>
      </c>
      <c r="G5" s="10">
        <f>IF($A5="","",IF(SUMPRODUCT((scope_HTS&lt;&gt;"")*(LEFT($C5,LEN(scope_HTS))=scope_HTS))&gt;0,"Y","N"))</f>
        <v/>
      </c>
      <c r="H5" s="10">
        <f>IF($A5="","",IF(SUMPRODUCT((excl_HTS&lt;&gt;"")*(LEFT($C5,LEN(excl_HTS))=excl_HTS))&gt;0,"Y","N"))</f>
        <v/>
      </c>
      <c r="I5" s="10">
        <f>IF($A5="","",IF($E5="","N",IF(COUNTIF(scope_COO,$E5)&gt;0,"Y","N")))</f>
        <v/>
      </c>
      <c r="J5" s="10">
        <f>IF($A5="","",IF(AND(UPPER(TRIM(act_USMCAExempt&amp;""))="Y",UPPER(TRIM(Items!F5&amp;""))="Y"),"Y","N"))</f>
        <v/>
      </c>
      <c r="K5" s="10">
        <f>IF($A5="","",IFERROR(UPPER(TRIM(INDEX(det_Status,MATCH($A5,det_Item,0))&amp;"")),""))</f>
        <v/>
      </c>
      <c r="L5" s="10">
        <f>IF($A5="","",IF($K5="IN","Y",IF($K5="OUT","N",IF(AND($F5="Y",$G5="Y",$H5="N",$I5="Y",$J5="N"),"Y","N"))))</f>
        <v/>
      </c>
      <c r="M5" s="10">
        <f>IF($A5="","",IF($K5="IN","In: Research determination",IF($K5="OUT","Out: Research determination",IF($F5="N","Out: different import country",IF($G5="N","Out: HTS not on scope list",IF($H5="Y","Out: HTS on exclusion list",IF($I5="N","Out: origin not on scope list",IF($J5="Y","Out: USMCA-qualifying, exempt","In: matches scope rules"))))))))</f>
        <v/>
      </c>
      <c r="N5" s="16">
        <f>IF($A5="","",N(Items!I5))</f>
        <v/>
      </c>
      <c r="O5" s="16">
        <f>IF($A5="","",IF($L5="Y",$N5+N(act_Rate)-IF(UPPER(TRIM(act_RateType&amp;""))="REPLACE",N(act_PriorRate),0),$N5))</f>
        <v/>
      </c>
      <c r="P5" s="17">
        <f>IF($A5="","",N(Items!G5)*$N5)</f>
        <v/>
      </c>
      <c r="Q5" s="17">
        <f>IF($A5="","",N(Items!G5)*$O5)</f>
        <v/>
      </c>
      <c r="R5" s="17">
        <f>IF($A5="","",$Q5-$P5)</f>
        <v/>
      </c>
      <c r="S5" s="17">
        <f>IF($A5="","",N(Items!J5)+$R5)</f>
        <v/>
      </c>
      <c r="T5" s="16">
        <f>IF($A5="","",IF(N(Items!K5)=0,"",(N(Items!K5)-N(Items!J5))/N(Items!K5)))</f>
        <v/>
      </c>
      <c r="U5" s="16">
        <f>IF($A5="","",IF(N(Items!K5)=0,"",(N(Items!K5)-$S5)/N(Items!K5)))</f>
        <v/>
      </c>
      <c r="V5" s="16">
        <f>IF(OR($T5="",$U5=""),"",$U5-$T5)</f>
        <v/>
      </c>
      <c r="W5" s="18">
        <f>IF($A5="","",N(Items!H5))</f>
        <v/>
      </c>
      <c r="X5" s="19">
        <f>IF($A5="","",$R5*$W5)</f>
        <v/>
      </c>
      <c r="Y5" s="19">
        <f>IF($A5="","",N(Items!K5)*$W5)</f>
        <v/>
      </c>
      <c r="Z5" s="19">
        <f>IF($A5="","",(N(Items!K5)-N(Items!J5))*$W5)</f>
        <v/>
      </c>
      <c r="AA5" s="19">
        <f>IF($A5="","",$Z5-$X5)</f>
        <v/>
      </c>
      <c r="AB5" s="10">
        <f>IF($A5="","",IF(TRIM(Items!C5&amp;"")="","CHECK: import country missing",IF(OR(LEN($C5)&lt;&gt;10,ISERROR(VALUE($C5))),"CHECK: HTS must be 10 digits",IF(LEN($E5)&lt;&gt;2,"CHECK: origin code missing or not 2 letters",IF(OR(Items!G5="",Items!I5="",Items!J5=""),"CHECK: value, rate or cost missing",IF(ISNUMBER(Items!G5)*ISNUMBER(Items!I5)*ISNUMBER(Items!J5)=0,"CHECK: text in a number column",IF(AND($L5="Y",UPPER(TRIM(act_RateType&amp;""))="REPLACE",$N5&lt;N(act_PriorRate)),"CHECK: current rate is below the rate being replaced",IF(AND($L5="Y",$W5=0),"NOTE: in scope, no volume","OK"))))))))</f>
        <v/>
      </c>
      <c r="AC5" s="20">
        <f>IF($A5="","",IF(AND($L5="Y",$X5&lt;&gt;0),ABS($X5)+ROW()/1000000000,""))</f>
        <v/>
      </c>
    </row>
    <row r="6">
      <c r="A6" s="10">
        <f>IF(TRIM(Items!A6&amp;"")="","",TRIM(Items!A6&amp;""))</f>
        <v/>
      </c>
      <c r="B6" s="10">
        <f>IF($A6="","",Items!B6&amp;"")</f>
        <v/>
      </c>
      <c r="C6" s="10">
        <f>IF($A6="","",SUBSTITUTE(SUBSTITUTE(SUBSTITUTE(TRIM(Items!D6&amp;""),".","")," ",""),"-",""))</f>
        <v/>
      </c>
      <c r="D6" s="10">
        <f>IF($A6="","",LEFT($C6,2))</f>
        <v/>
      </c>
      <c r="E6" s="10">
        <f>IF($A6="","",UPPER(TRIM(Items!E6&amp;"")))</f>
        <v/>
      </c>
      <c r="F6" s="10">
        <f>IF($A6="","",IF(UPPER(TRIM(Items!C6&amp;""))=UPPER(TRIM(act_Country&amp;"")),"Y","N"))</f>
        <v/>
      </c>
      <c r="G6" s="10">
        <f>IF($A6="","",IF(SUMPRODUCT((scope_HTS&lt;&gt;"")*(LEFT($C6,LEN(scope_HTS))=scope_HTS))&gt;0,"Y","N"))</f>
        <v/>
      </c>
      <c r="H6" s="10">
        <f>IF($A6="","",IF(SUMPRODUCT((excl_HTS&lt;&gt;"")*(LEFT($C6,LEN(excl_HTS))=excl_HTS))&gt;0,"Y","N"))</f>
        <v/>
      </c>
      <c r="I6" s="10">
        <f>IF($A6="","",IF($E6="","N",IF(COUNTIF(scope_COO,$E6)&gt;0,"Y","N")))</f>
        <v/>
      </c>
      <c r="J6" s="10">
        <f>IF($A6="","",IF(AND(UPPER(TRIM(act_USMCAExempt&amp;""))="Y",UPPER(TRIM(Items!F6&amp;""))="Y"),"Y","N"))</f>
        <v/>
      </c>
      <c r="K6" s="10">
        <f>IF($A6="","",IFERROR(UPPER(TRIM(INDEX(det_Status,MATCH($A6,det_Item,0))&amp;"")),""))</f>
        <v/>
      </c>
      <c r="L6" s="10">
        <f>IF($A6="","",IF($K6="IN","Y",IF($K6="OUT","N",IF(AND($F6="Y",$G6="Y",$H6="N",$I6="Y",$J6="N"),"Y","N"))))</f>
        <v/>
      </c>
      <c r="M6" s="10">
        <f>IF($A6="","",IF($K6="IN","In: Research determination",IF($K6="OUT","Out: Research determination",IF($F6="N","Out: different import country",IF($G6="N","Out: HTS not on scope list",IF($H6="Y","Out: HTS on exclusion list",IF($I6="N","Out: origin not on scope list",IF($J6="Y","Out: USMCA-qualifying, exempt","In: matches scope rules"))))))))</f>
        <v/>
      </c>
      <c r="N6" s="16">
        <f>IF($A6="","",N(Items!I6))</f>
        <v/>
      </c>
      <c r="O6" s="16">
        <f>IF($A6="","",IF($L6="Y",$N6+N(act_Rate)-IF(UPPER(TRIM(act_RateType&amp;""))="REPLACE",N(act_PriorRate),0),$N6))</f>
        <v/>
      </c>
      <c r="P6" s="17">
        <f>IF($A6="","",N(Items!G6)*$N6)</f>
        <v/>
      </c>
      <c r="Q6" s="17">
        <f>IF($A6="","",N(Items!G6)*$O6)</f>
        <v/>
      </c>
      <c r="R6" s="17">
        <f>IF($A6="","",$Q6-$P6)</f>
        <v/>
      </c>
      <c r="S6" s="17">
        <f>IF($A6="","",N(Items!J6)+$R6)</f>
        <v/>
      </c>
      <c r="T6" s="16">
        <f>IF($A6="","",IF(N(Items!K6)=0,"",(N(Items!K6)-N(Items!J6))/N(Items!K6)))</f>
        <v/>
      </c>
      <c r="U6" s="16">
        <f>IF($A6="","",IF(N(Items!K6)=0,"",(N(Items!K6)-$S6)/N(Items!K6)))</f>
        <v/>
      </c>
      <c r="V6" s="16">
        <f>IF(OR($T6="",$U6=""),"",$U6-$T6)</f>
        <v/>
      </c>
      <c r="W6" s="18">
        <f>IF($A6="","",N(Items!H6))</f>
        <v/>
      </c>
      <c r="X6" s="19">
        <f>IF($A6="","",$R6*$W6)</f>
        <v/>
      </c>
      <c r="Y6" s="19">
        <f>IF($A6="","",N(Items!K6)*$W6)</f>
        <v/>
      </c>
      <c r="Z6" s="19">
        <f>IF($A6="","",(N(Items!K6)-N(Items!J6))*$W6)</f>
        <v/>
      </c>
      <c r="AA6" s="19">
        <f>IF($A6="","",$Z6-$X6)</f>
        <v/>
      </c>
      <c r="AB6" s="10">
        <f>IF($A6="","",IF(TRIM(Items!C6&amp;"")="","CHECK: import country missing",IF(OR(LEN($C6)&lt;&gt;10,ISERROR(VALUE($C6))),"CHECK: HTS must be 10 digits",IF(LEN($E6)&lt;&gt;2,"CHECK: origin code missing or not 2 letters",IF(OR(Items!G6="",Items!I6="",Items!J6=""),"CHECK: value, rate or cost missing",IF(ISNUMBER(Items!G6)*ISNUMBER(Items!I6)*ISNUMBER(Items!J6)=0,"CHECK: text in a number column",IF(AND($L6="Y",UPPER(TRIM(act_RateType&amp;""))="REPLACE",$N6&lt;N(act_PriorRate)),"CHECK: current rate is below the rate being replaced",IF(AND($L6="Y",$W6=0),"NOTE: in scope, no volume","OK"))))))))</f>
        <v/>
      </c>
      <c r="AC6" s="20">
        <f>IF($A6="","",IF(AND($L6="Y",$X6&lt;&gt;0),ABS($X6)+ROW()/1000000000,""))</f>
        <v/>
      </c>
    </row>
    <row r="7">
      <c r="A7" s="10">
        <f>IF(TRIM(Items!A7&amp;"")="","",TRIM(Items!A7&amp;""))</f>
        <v/>
      </c>
      <c r="B7" s="10">
        <f>IF($A7="","",Items!B7&amp;"")</f>
        <v/>
      </c>
      <c r="C7" s="10">
        <f>IF($A7="","",SUBSTITUTE(SUBSTITUTE(SUBSTITUTE(TRIM(Items!D7&amp;""),".","")," ",""),"-",""))</f>
        <v/>
      </c>
      <c r="D7" s="10">
        <f>IF($A7="","",LEFT($C7,2))</f>
        <v/>
      </c>
      <c r="E7" s="10">
        <f>IF($A7="","",UPPER(TRIM(Items!E7&amp;"")))</f>
        <v/>
      </c>
      <c r="F7" s="10">
        <f>IF($A7="","",IF(UPPER(TRIM(Items!C7&amp;""))=UPPER(TRIM(act_Country&amp;"")),"Y","N"))</f>
        <v/>
      </c>
      <c r="G7" s="10">
        <f>IF($A7="","",IF(SUMPRODUCT((scope_HTS&lt;&gt;"")*(LEFT($C7,LEN(scope_HTS))=scope_HTS))&gt;0,"Y","N"))</f>
        <v/>
      </c>
      <c r="H7" s="10">
        <f>IF($A7="","",IF(SUMPRODUCT((excl_HTS&lt;&gt;"")*(LEFT($C7,LEN(excl_HTS))=excl_HTS))&gt;0,"Y","N"))</f>
        <v/>
      </c>
      <c r="I7" s="10">
        <f>IF($A7="","",IF($E7="","N",IF(COUNTIF(scope_COO,$E7)&gt;0,"Y","N")))</f>
        <v/>
      </c>
      <c r="J7" s="10">
        <f>IF($A7="","",IF(AND(UPPER(TRIM(act_USMCAExempt&amp;""))="Y",UPPER(TRIM(Items!F7&amp;""))="Y"),"Y","N"))</f>
        <v/>
      </c>
      <c r="K7" s="10">
        <f>IF($A7="","",IFERROR(UPPER(TRIM(INDEX(det_Status,MATCH($A7,det_Item,0))&amp;"")),""))</f>
        <v/>
      </c>
      <c r="L7" s="10">
        <f>IF($A7="","",IF($K7="IN","Y",IF($K7="OUT","N",IF(AND($F7="Y",$G7="Y",$H7="N",$I7="Y",$J7="N"),"Y","N"))))</f>
        <v/>
      </c>
      <c r="M7" s="10">
        <f>IF($A7="","",IF($K7="IN","In: Research determination",IF($K7="OUT","Out: Research determination",IF($F7="N","Out: different import country",IF($G7="N","Out: HTS not on scope list",IF($H7="Y","Out: HTS on exclusion list",IF($I7="N","Out: origin not on scope list",IF($J7="Y","Out: USMCA-qualifying, exempt","In: matches scope rules"))))))))</f>
        <v/>
      </c>
      <c r="N7" s="16">
        <f>IF($A7="","",N(Items!I7))</f>
        <v/>
      </c>
      <c r="O7" s="16">
        <f>IF($A7="","",IF($L7="Y",$N7+N(act_Rate)-IF(UPPER(TRIM(act_RateType&amp;""))="REPLACE",N(act_PriorRate),0),$N7))</f>
        <v/>
      </c>
      <c r="P7" s="17">
        <f>IF($A7="","",N(Items!G7)*$N7)</f>
        <v/>
      </c>
      <c r="Q7" s="17">
        <f>IF($A7="","",N(Items!G7)*$O7)</f>
        <v/>
      </c>
      <c r="R7" s="17">
        <f>IF($A7="","",$Q7-$P7)</f>
        <v/>
      </c>
      <c r="S7" s="17">
        <f>IF($A7="","",N(Items!J7)+$R7)</f>
        <v/>
      </c>
      <c r="T7" s="16">
        <f>IF($A7="","",IF(N(Items!K7)=0,"",(N(Items!K7)-N(Items!J7))/N(Items!K7)))</f>
        <v/>
      </c>
      <c r="U7" s="16">
        <f>IF($A7="","",IF(N(Items!K7)=0,"",(N(Items!K7)-$S7)/N(Items!K7)))</f>
        <v/>
      </c>
      <c r="V7" s="16">
        <f>IF(OR($T7="",$U7=""),"",$U7-$T7)</f>
        <v/>
      </c>
      <c r="W7" s="18">
        <f>IF($A7="","",N(Items!H7))</f>
        <v/>
      </c>
      <c r="X7" s="19">
        <f>IF($A7="","",$R7*$W7)</f>
        <v/>
      </c>
      <c r="Y7" s="19">
        <f>IF($A7="","",N(Items!K7)*$W7)</f>
        <v/>
      </c>
      <c r="Z7" s="19">
        <f>IF($A7="","",(N(Items!K7)-N(Items!J7))*$W7)</f>
        <v/>
      </c>
      <c r="AA7" s="19">
        <f>IF($A7="","",$Z7-$X7)</f>
        <v/>
      </c>
      <c r="AB7" s="10">
        <f>IF($A7="","",IF(TRIM(Items!C7&amp;"")="","CHECK: import country missing",IF(OR(LEN($C7)&lt;&gt;10,ISERROR(VALUE($C7))),"CHECK: HTS must be 10 digits",IF(LEN($E7)&lt;&gt;2,"CHECK: origin code missing or not 2 letters",IF(OR(Items!G7="",Items!I7="",Items!J7=""),"CHECK: value, rate or cost missing",IF(ISNUMBER(Items!G7)*ISNUMBER(Items!I7)*ISNUMBER(Items!J7)=0,"CHECK: text in a number column",IF(AND($L7="Y",UPPER(TRIM(act_RateType&amp;""))="REPLACE",$N7&lt;N(act_PriorRate)),"CHECK: current rate is below the rate being replaced",IF(AND($L7="Y",$W7=0),"NOTE: in scope, no volume","OK"))))))))</f>
        <v/>
      </c>
      <c r="AC7" s="20">
        <f>IF($A7="","",IF(AND($L7="Y",$X7&lt;&gt;0),ABS($X7)+ROW()/1000000000,""))</f>
        <v/>
      </c>
    </row>
    <row r="8">
      <c r="A8" s="10">
        <f>IF(TRIM(Items!A8&amp;"")="","",TRIM(Items!A8&amp;""))</f>
        <v/>
      </c>
      <c r="B8" s="10">
        <f>IF($A8="","",Items!B8&amp;"")</f>
        <v/>
      </c>
      <c r="C8" s="10">
        <f>IF($A8="","",SUBSTITUTE(SUBSTITUTE(SUBSTITUTE(TRIM(Items!D8&amp;""),".","")," ",""),"-",""))</f>
        <v/>
      </c>
      <c r="D8" s="10">
        <f>IF($A8="","",LEFT($C8,2))</f>
        <v/>
      </c>
      <c r="E8" s="10">
        <f>IF($A8="","",UPPER(TRIM(Items!E8&amp;"")))</f>
        <v/>
      </c>
      <c r="F8" s="10">
        <f>IF($A8="","",IF(UPPER(TRIM(Items!C8&amp;""))=UPPER(TRIM(act_Country&amp;"")),"Y","N"))</f>
        <v/>
      </c>
      <c r="G8" s="10">
        <f>IF($A8="","",IF(SUMPRODUCT((scope_HTS&lt;&gt;"")*(LEFT($C8,LEN(scope_HTS))=scope_HTS))&gt;0,"Y","N"))</f>
        <v/>
      </c>
      <c r="H8" s="10">
        <f>IF($A8="","",IF(SUMPRODUCT((excl_HTS&lt;&gt;"")*(LEFT($C8,LEN(excl_HTS))=excl_HTS))&gt;0,"Y","N"))</f>
        <v/>
      </c>
      <c r="I8" s="10">
        <f>IF($A8="","",IF($E8="","N",IF(COUNTIF(scope_COO,$E8)&gt;0,"Y","N")))</f>
        <v/>
      </c>
      <c r="J8" s="10">
        <f>IF($A8="","",IF(AND(UPPER(TRIM(act_USMCAExempt&amp;""))="Y",UPPER(TRIM(Items!F8&amp;""))="Y"),"Y","N"))</f>
        <v/>
      </c>
      <c r="K8" s="10">
        <f>IF($A8="","",IFERROR(UPPER(TRIM(INDEX(det_Status,MATCH($A8,det_Item,0))&amp;"")),""))</f>
        <v/>
      </c>
      <c r="L8" s="10">
        <f>IF($A8="","",IF($K8="IN","Y",IF($K8="OUT","N",IF(AND($F8="Y",$G8="Y",$H8="N",$I8="Y",$J8="N"),"Y","N"))))</f>
        <v/>
      </c>
      <c r="M8" s="10">
        <f>IF($A8="","",IF($K8="IN","In: Research determination",IF($K8="OUT","Out: Research determination",IF($F8="N","Out: different import country",IF($G8="N","Out: HTS not on scope list",IF($H8="Y","Out: HTS on exclusion list",IF($I8="N","Out: origin not on scope list",IF($J8="Y","Out: USMCA-qualifying, exempt","In: matches scope rules"))))))))</f>
        <v/>
      </c>
      <c r="N8" s="16">
        <f>IF($A8="","",N(Items!I8))</f>
        <v/>
      </c>
      <c r="O8" s="16">
        <f>IF($A8="","",IF($L8="Y",$N8+N(act_Rate)-IF(UPPER(TRIM(act_RateType&amp;""))="REPLACE",N(act_PriorRate),0),$N8))</f>
        <v/>
      </c>
      <c r="P8" s="17">
        <f>IF($A8="","",N(Items!G8)*$N8)</f>
        <v/>
      </c>
      <c r="Q8" s="17">
        <f>IF($A8="","",N(Items!G8)*$O8)</f>
        <v/>
      </c>
      <c r="R8" s="17">
        <f>IF($A8="","",$Q8-$P8)</f>
        <v/>
      </c>
      <c r="S8" s="17">
        <f>IF($A8="","",N(Items!J8)+$R8)</f>
        <v/>
      </c>
      <c r="T8" s="16">
        <f>IF($A8="","",IF(N(Items!K8)=0,"",(N(Items!K8)-N(Items!J8))/N(Items!K8)))</f>
        <v/>
      </c>
      <c r="U8" s="16">
        <f>IF($A8="","",IF(N(Items!K8)=0,"",(N(Items!K8)-$S8)/N(Items!K8)))</f>
        <v/>
      </c>
      <c r="V8" s="16">
        <f>IF(OR($T8="",$U8=""),"",$U8-$T8)</f>
        <v/>
      </c>
      <c r="W8" s="18">
        <f>IF($A8="","",N(Items!H8))</f>
        <v/>
      </c>
      <c r="X8" s="19">
        <f>IF($A8="","",$R8*$W8)</f>
        <v/>
      </c>
      <c r="Y8" s="19">
        <f>IF($A8="","",N(Items!K8)*$W8)</f>
        <v/>
      </c>
      <c r="Z8" s="19">
        <f>IF($A8="","",(N(Items!K8)-N(Items!J8))*$W8)</f>
        <v/>
      </c>
      <c r="AA8" s="19">
        <f>IF($A8="","",$Z8-$X8)</f>
        <v/>
      </c>
      <c r="AB8" s="10">
        <f>IF($A8="","",IF(TRIM(Items!C8&amp;"")="","CHECK: import country missing",IF(OR(LEN($C8)&lt;&gt;10,ISERROR(VALUE($C8))),"CHECK: HTS must be 10 digits",IF(LEN($E8)&lt;&gt;2,"CHECK: origin code missing or not 2 letters",IF(OR(Items!G8="",Items!I8="",Items!J8=""),"CHECK: value, rate or cost missing",IF(ISNUMBER(Items!G8)*ISNUMBER(Items!I8)*ISNUMBER(Items!J8)=0,"CHECK: text in a number column",IF(AND($L8="Y",UPPER(TRIM(act_RateType&amp;""))="REPLACE",$N8&lt;N(act_PriorRate)),"CHECK: current rate is below the rate being replaced",IF(AND($L8="Y",$W8=0),"NOTE: in scope, no volume","OK"))))))))</f>
        <v/>
      </c>
      <c r="AC8" s="20">
        <f>IF($A8="","",IF(AND($L8="Y",$X8&lt;&gt;0),ABS($X8)+ROW()/1000000000,""))</f>
        <v/>
      </c>
    </row>
    <row r="9">
      <c r="A9" s="10">
        <f>IF(TRIM(Items!A9&amp;"")="","",TRIM(Items!A9&amp;""))</f>
        <v/>
      </c>
      <c r="B9" s="10">
        <f>IF($A9="","",Items!B9&amp;"")</f>
        <v/>
      </c>
      <c r="C9" s="10">
        <f>IF($A9="","",SUBSTITUTE(SUBSTITUTE(SUBSTITUTE(TRIM(Items!D9&amp;""),".","")," ",""),"-",""))</f>
        <v/>
      </c>
      <c r="D9" s="10">
        <f>IF($A9="","",LEFT($C9,2))</f>
        <v/>
      </c>
      <c r="E9" s="10">
        <f>IF($A9="","",UPPER(TRIM(Items!E9&amp;"")))</f>
        <v/>
      </c>
      <c r="F9" s="10">
        <f>IF($A9="","",IF(UPPER(TRIM(Items!C9&amp;""))=UPPER(TRIM(act_Country&amp;"")),"Y","N"))</f>
        <v/>
      </c>
      <c r="G9" s="10">
        <f>IF($A9="","",IF(SUMPRODUCT((scope_HTS&lt;&gt;"")*(LEFT($C9,LEN(scope_HTS))=scope_HTS))&gt;0,"Y","N"))</f>
        <v/>
      </c>
      <c r="H9" s="10">
        <f>IF($A9="","",IF(SUMPRODUCT((excl_HTS&lt;&gt;"")*(LEFT($C9,LEN(excl_HTS))=excl_HTS))&gt;0,"Y","N"))</f>
        <v/>
      </c>
      <c r="I9" s="10">
        <f>IF($A9="","",IF($E9="","N",IF(COUNTIF(scope_COO,$E9)&gt;0,"Y","N")))</f>
        <v/>
      </c>
      <c r="J9" s="10">
        <f>IF($A9="","",IF(AND(UPPER(TRIM(act_USMCAExempt&amp;""))="Y",UPPER(TRIM(Items!F9&amp;""))="Y"),"Y","N"))</f>
        <v/>
      </c>
      <c r="K9" s="10">
        <f>IF($A9="","",IFERROR(UPPER(TRIM(INDEX(det_Status,MATCH($A9,det_Item,0))&amp;"")),""))</f>
        <v/>
      </c>
      <c r="L9" s="10">
        <f>IF($A9="","",IF($K9="IN","Y",IF($K9="OUT","N",IF(AND($F9="Y",$G9="Y",$H9="N",$I9="Y",$J9="N"),"Y","N"))))</f>
        <v/>
      </c>
      <c r="M9" s="10">
        <f>IF($A9="","",IF($K9="IN","In: Research determination",IF($K9="OUT","Out: Research determination",IF($F9="N","Out: different import country",IF($G9="N","Out: HTS not on scope list",IF($H9="Y","Out: HTS on exclusion list",IF($I9="N","Out: origin not on scope list",IF($J9="Y","Out: USMCA-qualifying, exempt","In: matches scope rules"))))))))</f>
        <v/>
      </c>
      <c r="N9" s="16">
        <f>IF($A9="","",N(Items!I9))</f>
        <v/>
      </c>
      <c r="O9" s="16">
        <f>IF($A9="","",IF($L9="Y",$N9+N(act_Rate)-IF(UPPER(TRIM(act_RateType&amp;""))="REPLACE",N(act_PriorRate),0),$N9))</f>
        <v/>
      </c>
      <c r="P9" s="17">
        <f>IF($A9="","",N(Items!G9)*$N9)</f>
        <v/>
      </c>
      <c r="Q9" s="17">
        <f>IF($A9="","",N(Items!G9)*$O9)</f>
        <v/>
      </c>
      <c r="R9" s="17">
        <f>IF($A9="","",$Q9-$P9)</f>
        <v/>
      </c>
      <c r="S9" s="17">
        <f>IF($A9="","",N(Items!J9)+$R9)</f>
        <v/>
      </c>
      <c r="T9" s="16">
        <f>IF($A9="","",IF(N(Items!K9)=0,"",(N(Items!K9)-N(Items!J9))/N(Items!K9)))</f>
        <v/>
      </c>
      <c r="U9" s="16">
        <f>IF($A9="","",IF(N(Items!K9)=0,"",(N(Items!K9)-$S9)/N(Items!K9)))</f>
        <v/>
      </c>
      <c r="V9" s="16">
        <f>IF(OR($T9="",$U9=""),"",$U9-$T9)</f>
        <v/>
      </c>
      <c r="W9" s="18">
        <f>IF($A9="","",N(Items!H9))</f>
        <v/>
      </c>
      <c r="X9" s="19">
        <f>IF($A9="","",$R9*$W9)</f>
        <v/>
      </c>
      <c r="Y9" s="19">
        <f>IF($A9="","",N(Items!K9)*$W9)</f>
        <v/>
      </c>
      <c r="Z9" s="19">
        <f>IF($A9="","",(N(Items!K9)-N(Items!J9))*$W9)</f>
        <v/>
      </c>
      <c r="AA9" s="19">
        <f>IF($A9="","",$Z9-$X9)</f>
        <v/>
      </c>
      <c r="AB9" s="10">
        <f>IF($A9="","",IF(TRIM(Items!C9&amp;"")="","CHECK: import country missing",IF(OR(LEN($C9)&lt;&gt;10,ISERROR(VALUE($C9))),"CHECK: HTS must be 10 digits",IF(LEN($E9)&lt;&gt;2,"CHECK: origin code missing or not 2 letters",IF(OR(Items!G9="",Items!I9="",Items!J9=""),"CHECK: value, rate or cost missing",IF(ISNUMBER(Items!G9)*ISNUMBER(Items!I9)*ISNUMBER(Items!J9)=0,"CHECK: text in a number column",IF(AND($L9="Y",UPPER(TRIM(act_RateType&amp;""))="REPLACE",$N9&lt;N(act_PriorRate)),"CHECK: current rate is below the rate being replaced",IF(AND($L9="Y",$W9=0),"NOTE: in scope, no volume","OK"))))))))</f>
        <v/>
      </c>
      <c r="AC9" s="20">
        <f>IF($A9="","",IF(AND($L9="Y",$X9&lt;&gt;0),ABS($X9)+ROW()/1000000000,""))</f>
        <v/>
      </c>
    </row>
    <row r="10">
      <c r="A10" s="10">
        <f>IF(TRIM(Items!A10&amp;"")="","",TRIM(Items!A10&amp;""))</f>
        <v/>
      </c>
      <c r="B10" s="10">
        <f>IF($A10="","",Items!B10&amp;"")</f>
        <v/>
      </c>
      <c r="C10" s="10">
        <f>IF($A10="","",SUBSTITUTE(SUBSTITUTE(SUBSTITUTE(TRIM(Items!D10&amp;""),".","")," ",""),"-",""))</f>
        <v/>
      </c>
      <c r="D10" s="10">
        <f>IF($A10="","",LEFT($C10,2))</f>
        <v/>
      </c>
      <c r="E10" s="10">
        <f>IF($A10="","",UPPER(TRIM(Items!E10&amp;"")))</f>
        <v/>
      </c>
      <c r="F10" s="10">
        <f>IF($A10="","",IF(UPPER(TRIM(Items!C10&amp;""))=UPPER(TRIM(act_Country&amp;"")),"Y","N"))</f>
        <v/>
      </c>
      <c r="G10" s="10">
        <f>IF($A10="","",IF(SUMPRODUCT((scope_HTS&lt;&gt;"")*(LEFT($C10,LEN(scope_HTS))=scope_HTS))&gt;0,"Y","N"))</f>
        <v/>
      </c>
      <c r="H10" s="10">
        <f>IF($A10="","",IF(SUMPRODUCT((excl_HTS&lt;&gt;"")*(LEFT($C10,LEN(excl_HTS))=excl_HTS))&gt;0,"Y","N"))</f>
        <v/>
      </c>
      <c r="I10" s="10">
        <f>IF($A10="","",IF($E10="","N",IF(COUNTIF(scope_COO,$E10)&gt;0,"Y","N")))</f>
        <v/>
      </c>
      <c r="J10" s="10">
        <f>IF($A10="","",IF(AND(UPPER(TRIM(act_USMCAExempt&amp;""))="Y",UPPER(TRIM(Items!F10&amp;""))="Y"),"Y","N"))</f>
        <v/>
      </c>
      <c r="K10" s="10">
        <f>IF($A10="","",IFERROR(UPPER(TRIM(INDEX(det_Status,MATCH($A10,det_Item,0))&amp;"")),""))</f>
        <v/>
      </c>
      <c r="L10" s="10">
        <f>IF($A10="","",IF($K10="IN","Y",IF($K10="OUT","N",IF(AND($F10="Y",$G10="Y",$H10="N",$I10="Y",$J10="N"),"Y","N"))))</f>
        <v/>
      </c>
      <c r="M10" s="10">
        <f>IF($A10="","",IF($K10="IN","In: Research determination",IF($K10="OUT","Out: Research determination",IF($F10="N","Out: different import country",IF($G10="N","Out: HTS not on scope list",IF($H10="Y","Out: HTS on exclusion list",IF($I10="N","Out: origin not on scope list",IF($J10="Y","Out: USMCA-qualifying, exempt","In: matches scope rules"))))))))</f>
        <v/>
      </c>
      <c r="N10" s="16">
        <f>IF($A10="","",N(Items!I10))</f>
        <v/>
      </c>
      <c r="O10" s="16">
        <f>IF($A10="","",IF($L10="Y",$N10+N(act_Rate)-IF(UPPER(TRIM(act_RateType&amp;""))="REPLACE",N(act_PriorRate),0),$N10))</f>
        <v/>
      </c>
      <c r="P10" s="17">
        <f>IF($A10="","",N(Items!G10)*$N10)</f>
        <v/>
      </c>
      <c r="Q10" s="17">
        <f>IF($A10="","",N(Items!G10)*$O10)</f>
        <v/>
      </c>
      <c r="R10" s="17">
        <f>IF($A10="","",$Q10-$P10)</f>
        <v/>
      </c>
      <c r="S10" s="17">
        <f>IF($A10="","",N(Items!J10)+$R10)</f>
        <v/>
      </c>
      <c r="T10" s="16">
        <f>IF($A10="","",IF(N(Items!K10)=0,"",(N(Items!K10)-N(Items!J10))/N(Items!K10)))</f>
        <v/>
      </c>
      <c r="U10" s="16">
        <f>IF($A10="","",IF(N(Items!K10)=0,"",(N(Items!K10)-$S10)/N(Items!K10)))</f>
        <v/>
      </c>
      <c r="V10" s="16">
        <f>IF(OR($T10="",$U10=""),"",$U10-$T10)</f>
        <v/>
      </c>
      <c r="W10" s="18">
        <f>IF($A10="","",N(Items!H10))</f>
        <v/>
      </c>
      <c r="X10" s="19">
        <f>IF($A10="","",$R10*$W10)</f>
        <v/>
      </c>
      <c r="Y10" s="19">
        <f>IF($A10="","",N(Items!K10)*$W10)</f>
        <v/>
      </c>
      <c r="Z10" s="19">
        <f>IF($A10="","",(N(Items!K10)-N(Items!J10))*$W10)</f>
        <v/>
      </c>
      <c r="AA10" s="19">
        <f>IF($A10="","",$Z10-$X10)</f>
        <v/>
      </c>
      <c r="AB10" s="10">
        <f>IF($A10="","",IF(TRIM(Items!C10&amp;"")="","CHECK: import country missing",IF(OR(LEN($C10)&lt;&gt;10,ISERROR(VALUE($C10))),"CHECK: HTS must be 10 digits",IF(LEN($E10)&lt;&gt;2,"CHECK: origin code missing or not 2 letters",IF(OR(Items!G10="",Items!I10="",Items!J10=""),"CHECK: value, rate or cost missing",IF(ISNUMBER(Items!G10)*ISNUMBER(Items!I10)*ISNUMBER(Items!J10)=0,"CHECK: text in a number column",IF(AND($L10="Y",UPPER(TRIM(act_RateType&amp;""))="REPLACE",$N10&lt;N(act_PriorRate)),"CHECK: current rate is below the rate being replaced",IF(AND($L10="Y",$W10=0),"NOTE: in scope, no volume","OK"))))))))</f>
        <v/>
      </c>
      <c r="AC10" s="20">
        <f>IF($A10="","",IF(AND($L10="Y",$X10&lt;&gt;0),ABS($X10)+ROW()/1000000000,""))</f>
        <v/>
      </c>
    </row>
    <row r="11">
      <c r="A11" s="10">
        <f>IF(TRIM(Items!A11&amp;"")="","",TRIM(Items!A11&amp;""))</f>
        <v/>
      </c>
      <c r="B11" s="10">
        <f>IF($A11="","",Items!B11&amp;"")</f>
        <v/>
      </c>
      <c r="C11" s="10">
        <f>IF($A11="","",SUBSTITUTE(SUBSTITUTE(SUBSTITUTE(TRIM(Items!D11&amp;""),".","")," ",""),"-",""))</f>
        <v/>
      </c>
      <c r="D11" s="10">
        <f>IF($A11="","",LEFT($C11,2))</f>
        <v/>
      </c>
      <c r="E11" s="10">
        <f>IF($A11="","",UPPER(TRIM(Items!E11&amp;"")))</f>
        <v/>
      </c>
      <c r="F11" s="10">
        <f>IF($A11="","",IF(UPPER(TRIM(Items!C11&amp;""))=UPPER(TRIM(act_Country&amp;"")),"Y","N"))</f>
        <v/>
      </c>
      <c r="G11" s="10">
        <f>IF($A11="","",IF(SUMPRODUCT((scope_HTS&lt;&gt;"")*(LEFT($C11,LEN(scope_HTS))=scope_HTS))&gt;0,"Y","N"))</f>
        <v/>
      </c>
      <c r="H11" s="10">
        <f>IF($A11="","",IF(SUMPRODUCT((excl_HTS&lt;&gt;"")*(LEFT($C11,LEN(excl_HTS))=excl_HTS))&gt;0,"Y","N"))</f>
        <v/>
      </c>
      <c r="I11" s="10">
        <f>IF($A11="","",IF($E11="","N",IF(COUNTIF(scope_COO,$E11)&gt;0,"Y","N")))</f>
        <v/>
      </c>
      <c r="J11" s="10">
        <f>IF($A11="","",IF(AND(UPPER(TRIM(act_USMCAExempt&amp;""))="Y",UPPER(TRIM(Items!F11&amp;""))="Y"),"Y","N"))</f>
        <v/>
      </c>
      <c r="K11" s="10">
        <f>IF($A11="","",IFERROR(UPPER(TRIM(INDEX(det_Status,MATCH($A11,det_Item,0))&amp;"")),""))</f>
        <v/>
      </c>
      <c r="L11" s="10">
        <f>IF($A11="","",IF($K11="IN","Y",IF($K11="OUT","N",IF(AND($F11="Y",$G11="Y",$H11="N",$I11="Y",$J11="N"),"Y","N"))))</f>
        <v/>
      </c>
      <c r="M11" s="10">
        <f>IF($A11="","",IF($K11="IN","In: Research determination",IF($K11="OUT","Out: Research determination",IF($F11="N","Out: different import country",IF($G11="N","Out: HTS not on scope list",IF($H11="Y","Out: HTS on exclusion list",IF($I11="N","Out: origin not on scope list",IF($J11="Y","Out: USMCA-qualifying, exempt","In: matches scope rules"))))))))</f>
        <v/>
      </c>
      <c r="N11" s="16">
        <f>IF($A11="","",N(Items!I11))</f>
        <v/>
      </c>
      <c r="O11" s="16">
        <f>IF($A11="","",IF($L11="Y",$N11+N(act_Rate)-IF(UPPER(TRIM(act_RateType&amp;""))="REPLACE",N(act_PriorRate),0),$N11))</f>
        <v/>
      </c>
      <c r="P11" s="17">
        <f>IF($A11="","",N(Items!G11)*$N11)</f>
        <v/>
      </c>
      <c r="Q11" s="17">
        <f>IF($A11="","",N(Items!G11)*$O11)</f>
        <v/>
      </c>
      <c r="R11" s="17">
        <f>IF($A11="","",$Q11-$P11)</f>
        <v/>
      </c>
      <c r="S11" s="17">
        <f>IF($A11="","",N(Items!J11)+$R11)</f>
        <v/>
      </c>
      <c r="T11" s="16">
        <f>IF($A11="","",IF(N(Items!K11)=0,"",(N(Items!K11)-N(Items!J11))/N(Items!K11)))</f>
        <v/>
      </c>
      <c r="U11" s="16">
        <f>IF($A11="","",IF(N(Items!K11)=0,"",(N(Items!K11)-$S11)/N(Items!K11)))</f>
        <v/>
      </c>
      <c r="V11" s="16">
        <f>IF(OR($T11="",$U11=""),"",$U11-$T11)</f>
        <v/>
      </c>
      <c r="W11" s="18">
        <f>IF($A11="","",N(Items!H11))</f>
        <v/>
      </c>
      <c r="X11" s="19">
        <f>IF($A11="","",$R11*$W11)</f>
        <v/>
      </c>
      <c r="Y11" s="19">
        <f>IF($A11="","",N(Items!K11)*$W11)</f>
        <v/>
      </c>
      <c r="Z11" s="19">
        <f>IF($A11="","",(N(Items!K11)-N(Items!J11))*$W11)</f>
        <v/>
      </c>
      <c r="AA11" s="19">
        <f>IF($A11="","",$Z11-$X11)</f>
        <v/>
      </c>
      <c r="AB11" s="10">
        <f>IF($A11="","",IF(TRIM(Items!C11&amp;"")="","CHECK: import country missing",IF(OR(LEN($C11)&lt;&gt;10,ISERROR(VALUE($C11))),"CHECK: HTS must be 10 digits",IF(LEN($E11)&lt;&gt;2,"CHECK: origin code missing or not 2 letters",IF(OR(Items!G11="",Items!I11="",Items!J11=""),"CHECK: value, rate or cost missing",IF(ISNUMBER(Items!G11)*ISNUMBER(Items!I11)*ISNUMBER(Items!J11)=0,"CHECK: text in a number column",IF(AND($L11="Y",UPPER(TRIM(act_RateType&amp;""))="REPLACE",$N11&lt;N(act_PriorRate)),"CHECK: current rate is below the rate being replaced",IF(AND($L11="Y",$W11=0),"NOTE: in scope, no volume","OK"))))))))</f>
        <v/>
      </c>
      <c r="AC11" s="20">
        <f>IF($A11="","",IF(AND($L11="Y",$X11&lt;&gt;0),ABS($X11)+ROW()/1000000000,""))</f>
        <v/>
      </c>
    </row>
    <row r="12">
      <c r="A12" s="10">
        <f>IF(TRIM(Items!A12&amp;"")="","",TRIM(Items!A12&amp;""))</f>
        <v/>
      </c>
      <c r="B12" s="10">
        <f>IF($A12="","",Items!B12&amp;"")</f>
        <v/>
      </c>
      <c r="C12" s="10">
        <f>IF($A12="","",SUBSTITUTE(SUBSTITUTE(SUBSTITUTE(TRIM(Items!D12&amp;""),".","")," ",""),"-",""))</f>
        <v/>
      </c>
      <c r="D12" s="10">
        <f>IF($A12="","",LEFT($C12,2))</f>
        <v/>
      </c>
      <c r="E12" s="10">
        <f>IF($A12="","",UPPER(TRIM(Items!E12&amp;"")))</f>
        <v/>
      </c>
      <c r="F12" s="10">
        <f>IF($A12="","",IF(UPPER(TRIM(Items!C12&amp;""))=UPPER(TRIM(act_Country&amp;"")),"Y","N"))</f>
        <v/>
      </c>
      <c r="G12" s="10">
        <f>IF($A12="","",IF(SUMPRODUCT((scope_HTS&lt;&gt;"")*(LEFT($C12,LEN(scope_HTS))=scope_HTS))&gt;0,"Y","N"))</f>
        <v/>
      </c>
      <c r="H12" s="10">
        <f>IF($A12="","",IF(SUMPRODUCT((excl_HTS&lt;&gt;"")*(LEFT($C12,LEN(excl_HTS))=excl_HTS))&gt;0,"Y","N"))</f>
        <v/>
      </c>
      <c r="I12" s="10">
        <f>IF($A12="","",IF($E12="","N",IF(COUNTIF(scope_COO,$E12)&gt;0,"Y","N")))</f>
        <v/>
      </c>
      <c r="J12" s="10">
        <f>IF($A12="","",IF(AND(UPPER(TRIM(act_USMCAExempt&amp;""))="Y",UPPER(TRIM(Items!F12&amp;""))="Y"),"Y","N"))</f>
        <v/>
      </c>
      <c r="K12" s="10">
        <f>IF($A12="","",IFERROR(UPPER(TRIM(INDEX(det_Status,MATCH($A12,det_Item,0))&amp;"")),""))</f>
        <v/>
      </c>
      <c r="L12" s="10">
        <f>IF($A12="","",IF($K12="IN","Y",IF($K12="OUT","N",IF(AND($F12="Y",$G12="Y",$H12="N",$I12="Y",$J12="N"),"Y","N"))))</f>
        <v/>
      </c>
      <c r="M12" s="10">
        <f>IF($A12="","",IF($K12="IN","In: Research determination",IF($K12="OUT","Out: Research determination",IF($F12="N","Out: different import country",IF($G12="N","Out: HTS not on scope list",IF($H12="Y","Out: HTS on exclusion list",IF($I12="N","Out: origin not on scope list",IF($J12="Y","Out: USMCA-qualifying, exempt","In: matches scope rules"))))))))</f>
        <v/>
      </c>
      <c r="N12" s="16">
        <f>IF($A12="","",N(Items!I12))</f>
        <v/>
      </c>
      <c r="O12" s="16">
        <f>IF($A12="","",IF($L12="Y",$N12+N(act_Rate)-IF(UPPER(TRIM(act_RateType&amp;""))="REPLACE",N(act_PriorRate),0),$N12))</f>
        <v/>
      </c>
      <c r="P12" s="17">
        <f>IF($A12="","",N(Items!G12)*$N12)</f>
        <v/>
      </c>
      <c r="Q12" s="17">
        <f>IF($A12="","",N(Items!G12)*$O12)</f>
        <v/>
      </c>
      <c r="R12" s="17">
        <f>IF($A12="","",$Q12-$P12)</f>
        <v/>
      </c>
      <c r="S12" s="17">
        <f>IF($A12="","",N(Items!J12)+$R12)</f>
        <v/>
      </c>
      <c r="T12" s="16">
        <f>IF($A12="","",IF(N(Items!K12)=0,"",(N(Items!K12)-N(Items!J12))/N(Items!K12)))</f>
        <v/>
      </c>
      <c r="U12" s="16">
        <f>IF($A12="","",IF(N(Items!K12)=0,"",(N(Items!K12)-$S12)/N(Items!K12)))</f>
        <v/>
      </c>
      <c r="V12" s="16">
        <f>IF(OR($T12="",$U12=""),"",$U12-$T12)</f>
        <v/>
      </c>
      <c r="W12" s="18">
        <f>IF($A12="","",N(Items!H12))</f>
        <v/>
      </c>
      <c r="X12" s="19">
        <f>IF($A12="","",$R12*$W12)</f>
        <v/>
      </c>
      <c r="Y12" s="19">
        <f>IF($A12="","",N(Items!K12)*$W12)</f>
        <v/>
      </c>
      <c r="Z12" s="19">
        <f>IF($A12="","",(N(Items!K12)-N(Items!J12))*$W12)</f>
        <v/>
      </c>
      <c r="AA12" s="19">
        <f>IF($A12="","",$Z12-$X12)</f>
        <v/>
      </c>
      <c r="AB12" s="10">
        <f>IF($A12="","",IF(TRIM(Items!C12&amp;"")="","CHECK: import country missing",IF(OR(LEN($C12)&lt;&gt;10,ISERROR(VALUE($C12))),"CHECK: HTS must be 10 digits",IF(LEN($E12)&lt;&gt;2,"CHECK: origin code missing or not 2 letters",IF(OR(Items!G12="",Items!I12="",Items!J12=""),"CHECK: value, rate or cost missing",IF(ISNUMBER(Items!G12)*ISNUMBER(Items!I12)*ISNUMBER(Items!J12)=0,"CHECK: text in a number column",IF(AND($L12="Y",UPPER(TRIM(act_RateType&amp;""))="REPLACE",$N12&lt;N(act_PriorRate)),"CHECK: current rate is below the rate being replaced",IF(AND($L12="Y",$W12=0),"NOTE: in scope, no volume","OK"))))))))</f>
        <v/>
      </c>
      <c r="AC12" s="20">
        <f>IF($A12="","",IF(AND($L12="Y",$X12&lt;&gt;0),ABS($X12)+ROW()/1000000000,""))</f>
        <v/>
      </c>
    </row>
    <row r="13">
      <c r="A13" s="10">
        <f>IF(TRIM(Items!A13&amp;"")="","",TRIM(Items!A13&amp;""))</f>
        <v/>
      </c>
      <c r="B13" s="10">
        <f>IF($A13="","",Items!B13&amp;"")</f>
        <v/>
      </c>
      <c r="C13" s="10">
        <f>IF($A13="","",SUBSTITUTE(SUBSTITUTE(SUBSTITUTE(TRIM(Items!D13&amp;""),".","")," ",""),"-",""))</f>
        <v/>
      </c>
      <c r="D13" s="10">
        <f>IF($A13="","",LEFT($C13,2))</f>
        <v/>
      </c>
      <c r="E13" s="10">
        <f>IF($A13="","",UPPER(TRIM(Items!E13&amp;"")))</f>
        <v/>
      </c>
      <c r="F13" s="10">
        <f>IF($A13="","",IF(UPPER(TRIM(Items!C13&amp;""))=UPPER(TRIM(act_Country&amp;"")),"Y","N"))</f>
        <v/>
      </c>
      <c r="G13" s="10">
        <f>IF($A13="","",IF(SUMPRODUCT((scope_HTS&lt;&gt;"")*(LEFT($C13,LEN(scope_HTS))=scope_HTS))&gt;0,"Y","N"))</f>
        <v/>
      </c>
      <c r="H13" s="10">
        <f>IF($A13="","",IF(SUMPRODUCT((excl_HTS&lt;&gt;"")*(LEFT($C13,LEN(excl_HTS))=excl_HTS))&gt;0,"Y","N"))</f>
        <v/>
      </c>
      <c r="I13" s="10">
        <f>IF($A13="","",IF($E13="","N",IF(COUNTIF(scope_COO,$E13)&gt;0,"Y","N")))</f>
        <v/>
      </c>
      <c r="J13" s="10">
        <f>IF($A13="","",IF(AND(UPPER(TRIM(act_USMCAExempt&amp;""))="Y",UPPER(TRIM(Items!F13&amp;""))="Y"),"Y","N"))</f>
        <v/>
      </c>
      <c r="K13" s="10">
        <f>IF($A13="","",IFERROR(UPPER(TRIM(INDEX(det_Status,MATCH($A13,det_Item,0))&amp;"")),""))</f>
        <v/>
      </c>
      <c r="L13" s="10">
        <f>IF($A13="","",IF($K13="IN","Y",IF($K13="OUT","N",IF(AND($F13="Y",$G13="Y",$H13="N",$I13="Y",$J13="N"),"Y","N"))))</f>
        <v/>
      </c>
      <c r="M13" s="10">
        <f>IF($A13="","",IF($K13="IN","In: Research determination",IF($K13="OUT","Out: Research determination",IF($F13="N","Out: different import country",IF($G13="N","Out: HTS not on scope list",IF($H13="Y","Out: HTS on exclusion list",IF($I13="N","Out: origin not on scope list",IF($J13="Y","Out: USMCA-qualifying, exempt","In: matches scope rules"))))))))</f>
        <v/>
      </c>
      <c r="N13" s="16">
        <f>IF($A13="","",N(Items!I13))</f>
        <v/>
      </c>
      <c r="O13" s="16">
        <f>IF($A13="","",IF($L13="Y",$N13+N(act_Rate)-IF(UPPER(TRIM(act_RateType&amp;""))="REPLACE",N(act_PriorRate),0),$N13))</f>
        <v/>
      </c>
      <c r="P13" s="17">
        <f>IF($A13="","",N(Items!G13)*$N13)</f>
        <v/>
      </c>
      <c r="Q13" s="17">
        <f>IF($A13="","",N(Items!G13)*$O13)</f>
        <v/>
      </c>
      <c r="R13" s="17">
        <f>IF($A13="","",$Q13-$P13)</f>
        <v/>
      </c>
      <c r="S13" s="17">
        <f>IF($A13="","",N(Items!J13)+$R13)</f>
        <v/>
      </c>
      <c r="T13" s="16">
        <f>IF($A13="","",IF(N(Items!K13)=0,"",(N(Items!K13)-N(Items!J13))/N(Items!K13)))</f>
        <v/>
      </c>
      <c r="U13" s="16">
        <f>IF($A13="","",IF(N(Items!K13)=0,"",(N(Items!K13)-$S13)/N(Items!K13)))</f>
        <v/>
      </c>
      <c r="V13" s="16">
        <f>IF(OR($T13="",$U13=""),"",$U13-$T13)</f>
        <v/>
      </c>
      <c r="W13" s="18">
        <f>IF($A13="","",N(Items!H13))</f>
        <v/>
      </c>
      <c r="X13" s="19">
        <f>IF($A13="","",$R13*$W13)</f>
        <v/>
      </c>
      <c r="Y13" s="19">
        <f>IF($A13="","",N(Items!K13)*$W13)</f>
        <v/>
      </c>
      <c r="Z13" s="19">
        <f>IF($A13="","",(N(Items!K13)-N(Items!J13))*$W13)</f>
        <v/>
      </c>
      <c r="AA13" s="19">
        <f>IF($A13="","",$Z13-$X13)</f>
        <v/>
      </c>
      <c r="AB13" s="10">
        <f>IF($A13="","",IF(TRIM(Items!C13&amp;"")="","CHECK: import country missing",IF(OR(LEN($C13)&lt;&gt;10,ISERROR(VALUE($C13))),"CHECK: HTS must be 10 digits",IF(LEN($E13)&lt;&gt;2,"CHECK: origin code missing or not 2 letters",IF(OR(Items!G13="",Items!I13="",Items!J13=""),"CHECK: value, rate or cost missing",IF(ISNUMBER(Items!G13)*ISNUMBER(Items!I13)*ISNUMBER(Items!J13)=0,"CHECK: text in a number column",IF(AND($L13="Y",UPPER(TRIM(act_RateType&amp;""))="REPLACE",$N13&lt;N(act_PriorRate)),"CHECK: current rate is below the rate being replaced",IF(AND($L13="Y",$W13=0),"NOTE: in scope, no volume","OK"))))))))</f>
        <v/>
      </c>
      <c r="AC13" s="20">
        <f>IF($A13="","",IF(AND($L13="Y",$X13&lt;&gt;0),ABS($X13)+ROW()/1000000000,""))</f>
        <v/>
      </c>
    </row>
    <row r="14">
      <c r="A14" s="10">
        <f>IF(TRIM(Items!A14&amp;"")="","",TRIM(Items!A14&amp;""))</f>
        <v/>
      </c>
      <c r="B14" s="10">
        <f>IF($A14="","",Items!B14&amp;"")</f>
        <v/>
      </c>
      <c r="C14" s="10">
        <f>IF($A14="","",SUBSTITUTE(SUBSTITUTE(SUBSTITUTE(TRIM(Items!D14&amp;""),".","")," ",""),"-",""))</f>
        <v/>
      </c>
      <c r="D14" s="10">
        <f>IF($A14="","",LEFT($C14,2))</f>
        <v/>
      </c>
      <c r="E14" s="10">
        <f>IF($A14="","",UPPER(TRIM(Items!E14&amp;"")))</f>
        <v/>
      </c>
      <c r="F14" s="10">
        <f>IF($A14="","",IF(UPPER(TRIM(Items!C14&amp;""))=UPPER(TRIM(act_Country&amp;"")),"Y","N"))</f>
        <v/>
      </c>
      <c r="G14" s="10">
        <f>IF($A14="","",IF(SUMPRODUCT((scope_HTS&lt;&gt;"")*(LEFT($C14,LEN(scope_HTS))=scope_HTS))&gt;0,"Y","N"))</f>
        <v/>
      </c>
      <c r="H14" s="10">
        <f>IF($A14="","",IF(SUMPRODUCT((excl_HTS&lt;&gt;"")*(LEFT($C14,LEN(excl_HTS))=excl_HTS))&gt;0,"Y","N"))</f>
        <v/>
      </c>
      <c r="I14" s="10">
        <f>IF($A14="","",IF($E14="","N",IF(COUNTIF(scope_COO,$E14)&gt;0,"Y","N")))</f>
        <v/>
      </c>
      <c r="J14" s="10">
        <f>IF($A14="","",IF(AND(UPPER(TRIM(act_USMCAExempt&amp;""))="Y",UPPER(TRIM(Items!F14&amp;""))="Y"),"Y","N"))</f>
        <v/>
      </c>
      <c r="K14" s="10">
        <f>IF($A14="","",IFERROR(UPPER(TRIM(INDEX(det_Status,MATCH($A14,det_Item,0))&amp;"")),""))</f>
        <v/>
      </c>
      <c r="L14" s="10">
        <f>IF($A14="","",IF($K14="IN","Y",IF($K14="OUT","N",IF(AND($F14="Y",$G14="Y",$H14="N",$I14="Y",$J14="N"),"Y","N"))))</f>
        <v/>
      </c>
      <c r="M14" s="10">
        <f>IF($A14="","",IF($K14="IN","In: Research determination",IF($K14="OUT","Out: Research determination",IF($F14="N","Out: different import country",IF($G14="N","Out: HTS not on scope list",IF($H14="Y","Out: HTS on exclusion list",IF($I14="N","Out: origin not on scope list",IF($J14="Y","Out: USMCA-qualifying, exempt","In: matches scope rules"))))))))</f>
        <v/>
      </c>
      <c r="N14" s="16">
        <f>IF($A14="","",N(Items!I14))</f>
        <v/>
      </c>
      <c r="O14" s="16">
        <f>IF($A14="","",IF($L14="Y",$N14+N(act_Rate)-IF(UPPER(TRIM(act_RateType&amp;""))="REPLACE",N(act_PriorRate),0),$N14))</f>
        <v/>
      </c>
      <c r="P14" s="17">
        <f>IF($A14="","",N(Items!G14)*$N14)</f>
        <v/>
      </c>
      <c r="Q14" s="17">
        <f>IF($A14="","",N(Items!G14)*$O14)</f>
        <v/>
      </c>
      <c r="R14" s="17">
        <f>IF($A14="","",$Q14-$P14)</f>
        <v/>
      </c>
      <c r="S14" s="17">
        <f>IF($A14="","",N(Items!J14)+$R14)</f>
        <v/>
      </c>
      <c r="T14" s="16">
        <f>IF($A14="","",IF(N(Items!K14)=0,"",(N(Items!K14)-N(Items!J14))/N(Items!K14)))</f>
        <v/>
      </c>
      <c r="U14" s="16">
        <f>IF($A14="","",IF(N(Items!K14)=0,"",(N(Items!K14)-$S14)/N(Items!K14)))</f>
        <v/>
      </c>
      <c r="V14" s="16">
        <f>IF(OR($T14="",$U14=""),"",$U14-$T14)</f>
        <v/>
      </c>
      <c r="W14" s="18">
        <f>IF($A14="","",N(Items!H14))</f>
        <v/>
      </c>
      <c r="X14" s="19">
        <f>IF($A14="","",$R14*$W14)</f>
        <v/>
      </c>
      <c r="Y14" s="19">
        <f>IF($A14="","",N(Items!K14)*$W14)</f>
        <v/>
      </c>
      <c r="Z14" s="19">
        <f>IF($A14="","",(N(Items!K14)-N(Items!J14))*$W14)</f>
        <v/>
      </c>
      <c r="AA14" s="19">
        <f>IF($A14="","",$Z14-$X14)</f>
        <v/>
      </c>
      <c r="AB14" s="10">
        <f>IF($A14="","",IF(TRIM(Items!C14&amp;"")="","CHECK: import country missing",IF(OR(LEN($C14)&lt;&gt;10,ISERROR(VALUE($C14))),"CHECK: HTS must be 10 digits",IF(LEN($E14)&lt;&gt;2,"CHECK: origin code missing or not 2 letters",IF(OR(Items!G14="",Items!I14="",Items!J14=""),"CHECK: value, rate or cost missing",IF(ISNUMBER(Items!G14)*ISNUMBER(Items!I14)*ISNUMBER(Items!J14)=0,"CHECK: text in a number column",IF(AND($L14="Y",UPPER(TRIM(act_RateType&amp;""))="REPLACE",$N14&lt;N(act_PriorRate)),"CHECK: current rate is below the rate being replaced",IF(AND($L14="Y",$W14=0),"NOTE: in scope, no volume","OK"))))))))</f>
        <v/>
      </c>
      <c r="AC14" s="20">
        <f>IF($A14="","",IF(AND($L14="Y",$X14&lt;&gt;0),ABS($X14)+ROW()/1000000000,""))</f>
        <v/>
      </c>
    </row>
    <row r="15">
      <c r="A15" s="10">
        <f>IF(TRIM(Items!A15&amp;"")="","",TRIM(Items!A15&amp;""))</f>
        <v/>
      </c>
      <c r="B15" s="10">
        <f>IF($A15="","",Items!B15&amp;"")</f>
        <v/>
      </c>
      <c r="C15" s="10">
        <f>IF($A15="","",SUBSTITUTE(SUBSTITUTE(SUBSTITUTE(TRIM(Items!D15&amp;""),".","")," ",""),"-",""))</f>
        <v/>
      </c>
      <c r="D15" s="10">
        <f>IF($A15="","",LEFT($C15,2))</f>
        <v/>
      </c>
      <c r="E15" s="10">
        <f>IF($A15="","",UPPER(TRIM(Items!E15&amp;"")))</f>
        <v/>
      </c>
      <c r="F15" s="10">
        <f>IF($A15="","",IF(UPPER(TRIM(Items!C15&amp;""))=UPPER(TRIM(act_Country&amp;"")),"Y","N"))</f>
        <v/>
      </c>
      <c r="G15" s="10">
        <f>IF($A15="","",IF(SUMPRODUCT((scope_HTS&lt;&gt;"")*(LEFT($C15,LEN(scope_HTS))=scope_HTS))&gt;0,"Y","N"))</f>
        <v/>
      </c>
      <c r="H15" s="10">
        <f>IF($A15="","",IF(SUMPRODUCT((excl_HTS&lt;&gt;"")*(LEFT($C15,LEN(excl_HTS))=excl_HTS))&gt;0,"Y","N"))</f>
        <v/>
      </c>
      <c r="I15" s="10">
        <f>IF($A15="","",IF($E15="","N",IF(COUNTIF(scope_COO,$E15)&gt;0,"Y","N")))</f>
        <v/>
      </c>
      <c r="J15" s="10">
        <f>IF($A15="","",IF(AND(UPPER(TRIM(act_USMCAExempt&amp;""))="Y",UPPER(TRIM(Items!F15&amp;""))="Y"),"Y","N"))</f>
        <v/>
      </c>
      <c r="K15" s="10">
        <f>IF($A15="","",IFERROR(UPPER(TRIM(INDEX(det_Status,MATCH($A15,det_Item,0))&amp;"")),""))</f>
        <v/>
      </c>
      <c r="L15" s="10">
        <f>IF($A15="","",IF($K15="IN","Y",IF($K15="OUT","N",IF(AND($F15="Y",$G15="Y",$H15="N",$I15="Y",$J15="N"),"Y","N"))))</f>
        <v/>
      </c>
      <c r="M15" s="10">
        <f>IF($A15="","",IF($K15="IN","In: Research determination",IF($K15="OUT","Out: Research determination",IF($F15="N","Out: different import country",IF($G15="N","Out: HTS not on scope list",IF($H15="Y","Out: HTS on exclusion list",IF($I15="N","Out: origin not on scope list",IF($J15="Y","Out: USMCA-qualifying, exempt","In: matches scope rules"))))))))</f>
        <v/>
      </c>
      <c r="N15" s="16">
        <f>IF($A15="","",N(Items!I15))</f>
        <v/>
      </c>
      <c r="O15" s="16">
        <f>IF($A15="","",IF($L15="Y",$N15+N(act_Rate)-IF(UPPER(TRIM(act_RateType&amp;""))="REPLACE",N(act_PriorRate),0),$N15))</f>
        <v/>
      </c>
      <c r="P15" s="17">
        <f>IF($A15="","",N(Items!G15)*$N15)</f>
        <v/>
      </c>
      <c r="Q15" s="17">
        <f>IF($A15="","",N(Items!G15)*$O15)</f>
        <v/>
      </c>
      <c r="R15" s="17">
        <f>IF($A15="","",$Q15-$P15)</f>
        <v/>
      </c>
      <c r="S15" s="17">
        <f>IF($A15="","",N(Items!J15)+$R15)</f>
        <v/>
      </c>
      <c r="T15" s="16">
        <f>IF($A15="","",IF(N(Items!K15)=0,"",(N(Items!K15)-N(Items!J15))/N(Items!K15)))</f>
        <v/>
      </c>
      <c r="U15" s="16">
        <f>IF($A15="","",IF(N(Items!K15)=0,"",(N(Items!K15)-$S15)/N(Items!K15)))</f>
        <v/>
      </c>
      <c r="V15" s="16">
        <f>IF(OR($T15="",$U15=""),"",$U15-$T15)</f>
        <v/>
      </c>
      <c r="W15" s="18">
        <f>IF($A15="","",N(Items!H15))</f>
        <v/>
      </c>
      <c r="X15" s="19">
        <f>IF($A15="","",$R15*$W15)</f>
        <v/>
      </c>
      <c r="Y15" s="19">
        <f>IF($A15="","",N(Items!K15)*$W15)</f>
        <v/>
      </c>
      <c r="Z15" s="19">
        <f>IF($A15="","",(N(Items!K15)-N(Items!J15))*$W15)</f>
        <v/>
      </c>
      <c r="AA15" s="19">
        <f>IF($A15="","",$Z15-$X15)</f>
        <v/>
      </c>
      <c r="AB15" s="10">
        <f>IF($A15="","",IF(TRIM(Items!C15&amp;"")="","CHECK: import country missing",IF(OR(LEN($C15)&lt;&gt;10,ISERROR(VALUE($C15))),"CHECK: HTS must be 10 digits",IF(LEN($E15)&lt;&gt;2,"CHECK: origin code missing or not 2 letters",IF(OR(Items!G15="",Items!I15="",Items!J15=""),"CHECK: value, rate or cost missing",IF(ISNUMBER(Items!G15)*ISNUMBER(Items!I15)*ISNUMBER(Items!J15)=0,"CHECK: text in a number column",IF(AND($L15="Y",UPPER(TRIM(act_RateType&amp;""))="REPLACE",$N15&lt;N(act_PriorRate)),"CHECK: current rate is below the rate being replaced",IF(AND($L15="Y",$W15=0),"NOTE: in scope, no volume","OK"))))))))</f>
        <v/>
      </c>
      <c r="AC15" s="20">
        <f>IF($A15="","",IF(AND($L15="Y",$X15&lt;&gt;0),ABS($X15)+ROW()/1000000000,""))</f>
        <v/>
      </c>
    </row>
    <row r="16">
      <c r="A16" s="10">
        <f>IF(TRIM(Items!A16&amp;"")="","",TRIM(Items!A16&amp;""))</f>
        <v/>
      </c>
      <c r="B16" s="10">
        <f>IF($A16="","",Items!B16&amp;"")</f>
        <v/>
      </c>
      <c r="C16" s="10">
        <f>IF($A16="","",SUBSTITUTE(SUBSTITUTE(SUBSTITUTE(TRIM(Items!D16&amp;""),".","")," ",""),"-",""))</f>
        <v/>
      </c>
      <c r="D16" s="10">
        <f>IF($A16="","",LEFT($C16,2))</f>
        <v/>
      </c>
      <c r="E16" s="10">
        <f>IF($A16="","",UPPER(TRIM(Items!E16&amp;"")))</f>
        <v/>
      </c>
      <c r="F16" s="10">
        <f>IF($A16="","",IF(UPPER(TRIM(Items!C16&amp;""))=UPPER(TRIM(act_Country&amp;"")),"Y","N"))</f>
        <v/>
      </c>
      <c r="G16" s="10">
        <f>IF($A16="","",IF(SUMPRODUCT((scope_HTS&lt;&gt;"")*(LEFT($C16,LEN(scope_HTS))=scope_HTS))&gt;0,"Y","N"))</f>
        <v/>
      </c>
      <c r="H16" s="10">
        <f>IF($A16="","",IF(SUMPRODUCT((excl_HTS&lt;&gt;"")*(LEFT($C16,LEN(excl_HTS))=excl_HTS))&gt;0,"Y","N"))</f>
        <v/>
      </c>
      <c r="I16" s="10">
        <f>IF($A16="","",IF($E16="","N",IF(COUNTIF(scope_COO,$E16)&gt;0,"Y","N")))</f>
        <v/>
      </c>
      <c r="J16" s="10">
        <f>IF($A16="","",IF(AND(UPPER(TRIM(act_USMCAExempt&amp;""))="Y",UPPER(TRIM(Items!F16&amp;""))="Y"),"Y","N"))</f>
        <v/>
      </c>
      <c r="K16" s="10">
        <f>IF($A16="","",IFERROR(UPPER(TRIM(INDEX(det_Status,MATCH($A16,det_Item,0))&amp;"")),""))</f>
        <v/>
      </c>
      <c r="L16" s="10">
        <f>IF($A16="","",IF($K16="IN","Y",IF($K16="OUT","N",IF(AND($F16="Y",$G16="Y",$H16="N",$I16="Y",$J16="N"),"Y","N"))))</f>
        <v/>
      </c>
      <c r="M16" s="10">
        <f>IF($A16="","",IF($K16="IN","In: Research determination",IF($K16="OUT","Out: Research determination",IF($F16="N","Out: different import country",IF($G16="N","Out: HTS not on scope list",IF($H16="Y","Out: HTS on exclusion list",IF($I16="N","Out: origin not on scope list",IF($J16="Y","Out: USMCA-qualifying, exempt","In: matches scope rules"))))))))</f>
        <v/>
      </c>
      <c r="N16" s="16">
        <f>IF($A16="","",N(Items!I16))</f>
        <v/>
      </c>
      <c r="O16" s="16">
        <f>IF($A16="","",IF($L16="Y",$N16+N(act_Rate)-IF(UPPER(TRIM(act_RateType&amp;""))="REPLACE",N(act_PriorRate),0),$N16))</f>
        <v/>
      </c>
      <c r="P16" s="17">
        <f>IF($A16="","",N(Items!G16)*$N16)</f>
        <v/>
      </c>
      <c r="Q16" s="17">
        <f>IF($A16="","",N(Items!G16)*$O16)</f>
        <v/>
      </c>
      <c r="R16" s="17">
        <f>IF($A16="","",$Q16-$P16)</f>
        <v/>
      </c>
      <c r="S16" s="17">
        <f>IF($A16="","",N(Items!J16)+$R16)</f>
        <v/>
      </c>
      <c r="T16" s="16">
        <f>IF($A16="","",IF(N(Items!K16)=0,"",(N(Items!K16)-N(Items!J16))/N(Items!K16)))</f>
        <v/>
      </c>
      <c r="U16" s="16">
        <f>IF($A16="","",IF(N(Items!K16)=0,"",(N(Items!K16)-$S16)/N(Items!K16)))</f>
        <v/>
      </c>
      <c r="V16" s="16">
        <f>IF(OR($T16="",$U16=""),"",$U16-$T16)</f>
        <v/>
      </c>
      <c r="W16" s="18">
        <f>IF($A16="","",N(Items!H16))</f>
        <v/>
      </c>
      <c r="X16" s="19">
        <f>IF($A16="","",$R16*$W16)</f>
        <v/>
      </c>
      <c r="Y16" s="19">
        <f>IF($A16="","",N(Items!K16)*$W16)</f>
        <v/>
      </c>
      <c r="Z16" s="19">
        <f>IF($A16="","",(N(Items!K16)-N(Items!J16))*$W16)</f>
        <v/>
      </c>
      <c r="AA16" s="19">
        <f>IF($A16="","",$Z16-$X16)</f>
        <v/>
      </c>
      <c r="AB16" s="10">
        <f>IF($A16="","",IF(TRIM(Items!C16&amp;"")="","CHECK: import country missing",IF(OR(LEN($C16)&lt;&gt;10,ISERROR(VALUE($C16))),"CHECK: HTS must be 10 digits",IF(LEN($E16)&lt;&gt;2,"CHECK: origin code missing or not 2 letters",IF(OR(Items!G16="",Items!I16="",Items!J16=""),"CHECK: value, rate or cost missing",IF(ISNUMBER(Items!G16)*ISNUMBER(Items!I16)*ISNUMBER(Items!J16)=0,"CHECK: text in a number column",IF(AND($L16="Y",UPPER(TRIM(act_RateType&amp;""))="REPLACE",$N16&lt;N(act_PriorRate)),"CHECK: current rate is below the rate being replaced",IF(AND($L16="Y",$W16=0),"NOTE: in scope, no volume","OK"))))))))</f>
        <v/>
      </c>
      <c r="AC16" s="20">
        <f>IF($A16="","",IF(AND($L16="Y",$X16&lt;&gt;0),ABS($X16)+ROW()/1000000000,""))</f>
        <v/>
      </c>
    </row>
    <row r="17">
      <c r="A17" s="10">
        <f>IF(TRIM(Items!A17&amp;"")="","",TRIM(Items!A17&amp;""))</f>
        <v/>
      </c>
      <c r="B17" s="10">
        <f>IF($A17="","",Items!B17&amp;"")</f>
        <v/>
      </c>
      <c r="C17" s="10">
        <f>IF($A17="","",SUBSTITUTE(SUBSTITUTE(SUBSTITUTE(TRIM(Items!D17&amp;""),".","")," ",""),"-",""))</f>
        <v/>
      </c>
      <c r="D17" s="10">
        <f>IF($A17="","",LEFT($C17,2))</f>
        <v/>
      </c>
      <c r="E17" s="10">
        <f>IF($A17="","",UPPER(TRIM(Items!E17&amp;"")))</f>
        <v/>
      </c>
      <c r="F17" s="10">
        <f>IF($A17="","",IF(UPPER(TRIM(Items!C17&amp;""))=UPPER(TRIM(act_Country&amp;"")),"Y","N"))</f>
        <v/>
      </c>
      <c r="G17" s="10">
        <f>IF($A17="","",IF(SUMPRODUCT((scope_HTS&lt;&gt;"")*(LEFT($C17,LEN(scope_HTS))=scope_HTS))&gt;0,"Y","N"))</f>
        <v/>
      </c>
      <c r="H17" s="10">
        <f>IF($A17="","",IF(SUMPRODUCT((excl_HTS&lt;&gt;"")*(LEFT($C17,LEN(excl_HTS))=excl_HTS))&gt;0,"Y","N"))</f>
        <v/>
      </c>
      <c r="I17" s="10">
        <f>IF($A17="","",IF($E17="","N",IF(COUNTIF(scope_COO,$E17)&gt;0,"Y","N")))</f>
        <v/>
      </c>
      <c r="J17" s="10">
        <f>IF($A17="","",IF(AND(UPPER(TRIM(act_USMCAExempt&amp;""))="Y",UPPER(TRIM(Items!F17&amp;""))="Y"),"Y","N"))</f>
        <v/>
      </c>
      <c r="K17" s="10">
        <f>IF($A17="","",IFERROR(UPPER(TRIM(INDEX(det_Status,MATCH($A17,det_Item,0))&amp;"")),""))</f>
        <v/>
      </c>
      <c r="L17" s="10">
        <f>IF($A17="","",IF($K17="IN","Y",IF($K17="OUT","N",IF(AND($F17="Y",$G17="Y",$H17="N",$I17="Y",$J17="N"),"Y","N"))))</f>
        <v/>
      </c>
      <c r="M17" s="10">
        <f>IF($A17="","",IF($K17="IN","In: Research determination",IF($K17="OUT","Out: Research determination",IF($F17="N","Out: different import country",IF($G17="N","Out: HTS not on scope list",IF($H17="Y","Out: HTS on exclusion list",IF($I17="N","Out: origin not on scope list",IF($J17="Y","Out: USMCA-qualifying, exempt","In: matches scope rules"))))))))</f>
        <v/>
      </c>
      <c r="N17" s="16">
        <f>IF($A17="","",N(Items!I17))</f>
        <v/>
      </c>
      <c r="O17" s="16">
        <f>IF($A17="","",IF($L17="Y",$N17+N(act_Rate)-IF(UPPER(TRIM(act_RateType&amp;""))="REPLACE",N(act_PriorRate),0),$N17))</f>
        <v/>
      </c>
      <c r="P17" s="17">
        <f>IF($A17="","",N(Items!G17)*$N17)</f>
        <v/>
      </c>
      <c r="Q17" s="17">
        <f>IF($A17="","",N(Items!G17)*$O17)</f>
        <v/>
      </c>
      <c r="R17" s="17">
        <f>IF($A17="","",$Q17-$P17)</f>
        <v/>
      </c>
      <c r="S17" s="17">
        <f>IF($A17="","",N(Items!J17)+$R17)</f>
        <v/>
      </c>
      <c r="T17" s="16">
        <f>IF($A17="","",IF(N(Items!K17)=0,"",(N(Items!K17)-N(Items!J17))/N(Items!K17)))</f>
        <v/>
      </c>
      <c r="U17" s="16">
        <f>IF($A17="","",IF(N(Items!K17)=0,"",(N(Items!K17)-$S17)/N(Items!K17)))</f>
        <v/>
      </c>
      <c r="V17" s="16">
        <f>IF(OR($T17="",$U17=""),"",$U17-$T17)</f>
        <v/>
      </c>
      <c r="W17" s="18">
        <f>IF($A17="","",N(Items!H17))</f>
        <v/>
      </c>
      <c r="X17" s="19">
        <f>IF($A17="","",$R17*$W17)</f>
        <v/>
      </c>
      <c r="Y17" s="19">
        <f>IF($A17="","",N(Items!K17)*$W17)</f>
        <v/>
      </c>
      <c r="Z17" s="19">
        <f>IF($A17="","",(N(Items!K17)-N(Items!J17))*$W17)</f>
        <v/>
      </c>
      <c r="AA17" s="19">
        <f>IF($A17="","",$Z17-$X17)</f>
        <v/>
      </c>
      <c r="AB17" s="10">
        <f>IF($A17="","",IF(TRIM(Items!C17&amp;"")="","CHECK: import country missing",IF(OR(LEN($C17)&lt;&gt;10,ISERROR(VALUE($C17))),"CHECK: HTS must be 10 digits",IF(LEN($E17)&lt;&gt;2,"CHECK: origin code missing or not 2 letters",IF(OR(Items!G17="",Items!I17="",Items!J17=""),"CHECK: value, rate or cost missing",IF(ISNUMBER(Items!G17)*ISNUMBER(Items!I17)*ISNUMBER(Items!J17)=0,"CHECK: text in a number column",IF(AND($L17="Y",UPPER(TRIM(act_RateType&amp;""))="REPLACE",$N17&lt;N(act_PriorRate)),"CHECK: current rate is below the rate being replaced",IF(AND($L17="Y",$W17=0),"NOTE: in scope, no volume","OK"))))))))</f>
        <v/>
      </c>
      <c r="AC17" s="20">
        <f>IF($A17="","",IF(AND($L17="Y",$X17&lt;&gt;0),ABS($X17)+ROW()/1000000000,""))</f>
        <v/>
      </c>
    </row>
    <row r="18">
      <c r="A18" s="10">
        <f>IF(TRIM(Items!A18&amp;"")="","",TRIM(Items!A18&amp;""))</f>
        <v/>
      </c>
      <c r="B18" s="10">
        <f>IF($A18="","",Items!B18&amp;"")</f>
        <v/>
      </c>
      <c r="C18" s="10">
        <f>IF($A18="","",SUBSTITUTE(SUBSTITUTE(SUBSTITUTE(TRIM(Items!D18&amp;""),".","")," ",""),"-",""))</f>
        <v/>
      </c>
      <c r="D18" s="10">
        <f>IF($A18="","",LEFT($C18,2))</f>
        <v/>
      </c>
      <c r="E18" s="10">
        <f>IF($A18="","",UPPER(TRIM(Items!E18&amp;"")))</f>
        <v/>
      </c>
      <c r="F18" s="10">
        <f>IF($A18="","",IF(UPPER(TRIM(Items!C18&amp;""))=UPPER(TRIM(act_Country&amp;"")),"Y","N"))</f>
        <v/>
      </c>
      <c r="G18" s="10">
        <f>IF($A18="","",IF(SUMPRODUCT((scope_HTS&lt;&gt;"")*(LEFT($C18,LEN(scope_HTS))=scope_HTS))&gt;0,"Y","N"))</f>
        <v/>
      </c>
      <c r="H18" s="10">
        <f>IF($A18="","",IF(SUMPRODUCT((excl_HTS&lt;&gt;"")*(LEFT($C18,LEN(excl_HTS))=excl_HTS))&gt;0,"Y","N"))</f>
        <v/>
      </c>
      <c r="I18" s="10">
        <f>IF($A18="","",IF($E18="","N",IF(COUNTIF(scope_COO,$E18)&gt;0,"Y","N")))</f>
        <v/>
      </c>
      <c r="J18" s="10">
        <f>IF($A18="","",IF(AND(UPPER(TRIM(act_USMCAExempt&amp;""))="Y",UPPER(TRIM(Items!F18&amp;""))="Y"),"Y","N"))</f>
        <v/>
      </c>
      <c r="K18" s="10">
        <f>IF($A18="","",IFERROR(UPPER(TRIM(INDEX(det_Status,MATCH($A18,det_Item,0))&amp;"")),""))</f>
        <v/>
      </c>
      <c r="L18" s="10">
        <f>IF($A18="","",IF($K18="IN","Y",IF($K18="OUT","N",IF(AND($F18="Y",$G18="Y",$H18="N",$I18="Y",$J18="N"),"Y","N"))))</f>
        <v/>
      </c>
      <c r="M18" s="10">
        <f>IF($A18="","",IF($K18="IN","In: Research determination",IF($K18="OUT","Out: Research determination",IF($F18="N","Out: different import country",IF($G18="N","Out: HTS not on scope list",IF($H18="Y","Out: HTS on exclusion list",IF($I18="N","Out: origin not on scope list",IF($J18="Y","Out: USMCA-qualifying, exempt","In: matches scope rules"))))))))</f>
        <v/>
      </c>
      <c r="N18" s="16">
        <f>IF($A18="","",N(Items!I18))</f>
        <v/>
      </c>
      <c r="O18" s="16">
        <f>IF($A18="","",IF($L18="Y",$N18+N(act_Rate)-IF(UPPER(TRIM(act_RateType&amp;""))="REPLACE",N(act_PriorRate),0),$N18))</f>
        <v/>
      </c>
      <c r="P18" s="17">
        <f>IF($A18="","",N(Items!G18)*$N18)</f>
        <v/>
      </c>
      <c r="Q18" s="17">
        <f>IF($A18="","",N(Items!G18)*$O18)</f>
        <v/>
      </c>
      <c r="R18" s="17">
        <f>IF($A18="","",$Q18-$P18)</f>
        <v/>
      </c>
      <c r="S18" s="17">
        <f>IF($A18="","",N(Items!J18)+$R18)</f>
        <v/>
      </c>
      <c r="T18" s="16">
        <f>IF($A18="","",IF(N(Items!K18)=0,"",(N(Items!K18)-N(Items!J18))/N(Items!K18)))</f>
        <v/>
      </c>
      <c r="U18" s="16">
        <f>IF($A18="","",IF(N(Items!K18)=0,"",(N(Items!K18)-$S18)/N(Items!K18)))</f>
        <v/>
      </c>
      <c r="V18" s="16">
        <f>IF(OR($T18="",$U18=""),"",$U18-$T18)</f>
        <v/>
      </c>
      <c r="W18" s="18">
        <f>IF($A18="","",N(Items!H18))</f>
        <v/>
      </c>
      <c r="X18" s="19">
        <f>IF($A18="","",$R18*$W18)</f>
        <v/>
      </c>
      <c r="Y18" s="19">
        <f>IF($A18="","",N(Items!K18)*$W18)</f>
        <v/>
      </c>
      <c r="Z18" s="19">
        <f>IF($A18="","",(N(Items!K18)-N(Items!J18))*$W18)</f>
        <v/>
      </c>
      <c r="AA18" s="19">
        <f>IF($A18="","",$Z18-$X18)</f>
        <v/>
      </c>
      <c r="AB18" s="10">
        <f>IF($A18="","",IF(TRIM(Items!C18&amp;"")="","CHECK: import country missing",IF(OR(LEN($C18)&lt;&gt;10,ISERROR(VALUE($C18))),"CHECK: HTS must be 10 digits",IF(LEN($E18)&lt;&gt;2,"CHECK: origin code missing or not 2 letters",IF(OR(Items!G18="",Items!I18="",Items!J18=""),"CHECK: value, rate or cost missing",IF(ISNUMBER(Items!G18)*ISNUMBER(Items!I18)*ISNUMBER(Items!J18)=0,"CHECK: text in a number column",IF(AND($L18="Y",UPPER(TRIM(act_RateType&amp;""))="REPLACE",$N18&lt;N(act_PriorRate)),"CHECK: current rate is below the rate being replaced",IF(AND($L18="Y",$W18=0),"NOTE: in scope, no volume","OK"))))))))</f>
        <v/>
      </c>
      <c r="AC18" s="20">
        <f>IF($A18="","",IF(AND($L18="Y",$X18&lt;&gt;0),ABS($X18)+ROW()/1000000000,""))</f>
        <v/>
      </c>
    </row>
    <row r="19">
      <c r="A19" s="10">
        <f>IF(TRIM(Items!A19&amp;"")="","",TRIM(Items!A19&amp;""))</f>
        <v/>
      </c>
      <c r="B19" s="10">
        <f>IF($A19="","",Items!B19&amp;"")</f>
        <v/>
      </c>
      <c r="C19" s="10">
        <f>IF($A19="","",SUBSTITUTE(SUBSTITUTE(SUBSTITUTE(TRIM(Items!D19&amp;""),".","")," ",""),"-",""))</f>
        <v/>
      </c>
      <c r="D19" s="10">
        <f>IF($A19="","",LEFT($C19,2))</f>
        <v/>
      </c>
      <c r="E19" s="10">
        <f>IF($A19="","",UPPER(TRIM(Items!E19&amp;"")))</f>
        <v/>
      </c>
      <c r="F19" s="10">
        <f>IF($A19="","",IF(UPPER(TRIM(Items!C19&amp;""))=UPPER(TRIM(act_Country&amp;"")),"Y","N"))</f>
        <v/>
      </c>
      <c r="G19" s="10">
        <f>IF($A19="","",IF(SUMPRODUCT((scope_HTS&lt;&gt;"")*(LEFT($C19,LEN(scope_HTS))=scope_HTS))&gt;0,"Y","N"))</f>
        <v/>
      </c>
      <c r="H19" s="10">
        <f>IF($A19="","",IF(SUMPRODUCT((excl_HTS&lt;&gt;"")*(LEFT($C19,LEN(excl_HTS))=excl_HTS))&gt;0,"Y","N"))</f>
        <v/>
      </c>
      <c r="I19" s="10">
        <f>IF($A19="","",IF($E19="","N",IF(COUNTIF(scope_COO,$E19)&gt;0,"Y","N")))</f>
        <v/>
      </c>
      <c r="J19" s="10">
        <f>IF($A19="","",IF(AND(UPPER(TRIM(act_USMCAExempt&amp;""))="Y",UPPER(TRIM(Items!F19&amp;""))="Y"),"Y","N"))</f>
        <v/>
      </c>
      <c r="K19" s="10">
        <f>IF($A19="","",IFERROR(UPPER(TRIM(INDEX(det_Status,MATCH($A19,det_Item,0))&amp;"")),""))</f>
        <v/>
      </c>
      <c r="L19" s="10">
        <f>IF($A19="","",IF($K19="IN","Y",IF($K19="OUT","N",IF(AND($F19="Y",$G19="Y",$H19="N",$I19="Y",$J19="N"),"Y","N"))))</f>
        <v/>
      </c>
      <c r="M19" s="10">
        <f>IF($A19="","",IF($K19="IN","In: Research determination",IF($K19="OUT","Out: Research determination",IF($F19="N","Out: different import country",IF($G19="N","Out: HTS not on scope list",IF($H19="Y","Out: HTS on exclusion list",IF($I19="N","Out: origin not on scope list",IF($J19="Y","Out: USMCA-qualifying, exempt","In: matches scope rules"))))))))</f>
        <v/>
      </c>
      <c r="N19" s="16">
        <f>IF($A19="","",N(Items!I19))</f>
        <v/>
      </c>
      <c r="O19" s="16">
        <f>IF($A19="","",IF($L19="Y",$N19+N(act_Rate)-IF(UPPER(TRIM(act_RateType&amp;""))="REPLACE",N(act_PriorRate),0),$N19))</f>
        <v/>
      </c>
      <c r="P19" s="17">
        <f>IF($A19="","",N(Items!G19)*$N19)</f>
        <v/>
      </c>
      <c r="Q19" s="17">
        <f>IF($A19="","",N(Items!G19)*$O19)</f>
        <v/>
      </c>
      <c r="R19" s="17">
        <f>IF($A19="","",$Q19-$P19)</f>
        <v/>
      </c>
      <c r="S19" s="17">
        <f>IF($A19="","",N(Items!J19)+$R19)</f>
        <v/>
      </c>
      <c r="T19" s="16">
        <f>IF($A19="","",IF(N(Items!K19)=0,"",(N(Items!K19)-N(Items!J19))/N(Items!K19)))</f>
        <v/>
      </c>
      <c r="U19" s="16">
        <f>IF($A19="","",IF(N(Items!K19)=0,"",(N(Items!K19)-$S19)/N(Items!K19)))</f>
        <v/>
      </c>
      <c r="V19" s="16">
        <f>IF(OR($T19="",$U19=""),"",$U19-$T19)</f>
        <v/>
      </c>
      <c r="W19" s="18">
        <f>IF($A19="","",N(Items!H19))</f>
        <v/>
      </c>
      <c r="X19" s="19">
        <f>IF($A19="","",$R19*$W19)</f>
        <v/>
      </c>
      <c r="Y19" s="19">
        <f>IF($A19="","",N(Items!K19)*$W19)</f>
        <v/>
      </c>
      <c r="Z19" s="19">
        <f>IF($A19="","",(N(Items!K19)-N(Items!J19))*$W19)</f>
        <v/>
      </c>
      <c r="AA19" s="19">
        <f>IF($A19="","",$Z19-$X19)</f>
        <v/>
      </c>
      <c r="AB19" s="10">
        <f>IF($A19="","",IF(TRIM(Items!C19&amp;"")="","CHECK: import country missing",IF(OR(LEN($C19)&lt;&gt;10,ISERROR(VALUE($C19))),"CHECK: HTS must be 10 digits",IF(LEN($E19)&lt;&gt;2,"CHECK: origin code missing or not 2 letters",IF(OR(Items!G19="",Items!I19="",Items!J19=""),"CHECK: value, rate or cost missing",IF(ISNUMBER(Items!G19)*ISNUMBER(Items!I19)*ISNUMBER(Items!J19)=0,"CHECK: text in a number column",IF(AND($L19="Y",UPPER(TRIM(act_RateType&amp;""))="REPLACE",$N19&lt;N(act_PriorRate)),"CHECK: current rate is below the rate being replaced",IF(AND($L19="Y",$W19=0),"NOTE: in scope, no volume","OK"))))))))</f>
        <v/>
      </c>
      <c r="AC19" s="20">
        <f>IF($A19="","",IF(AND($L19="Y",$X19&lt;&gt;0),ABS($X19)+ROW()/1000000000,""))</f>
        <v/>
      </c>
    </row>
    <row r="20">
      <c r="A20" s="10">
        <f>IF(TRIM(Items!A20&amp;"")="","",TRIM(Items!A20&amp;""))</f>
        <v/>
      </c>
      <c r="B20" s="10">
        <f>IF($A20="","",Items!B20&amp;"")</f>
        <v/>
      </c>
      <c r="C20" s="10">
        <f>IF($A20="","",SUBSTITUTE(SUBSTITUTE(SUBSTITUTE(TRIM(Items!D20&amp;""),".","")," ",""),"-",""))</f>
        <v/>
      </c>
      <c r="D20" s="10">
        <f>IF($A20="","",LEFT($C20,2))</f>
        <v/>
      </c>
      <c r="E20" s="10">
        <f>IF($A20="","",UPPER(TRIM(Items!E20&amp;"")))</f>
        <v/>
      </c>
      <c r="F20" s="10">
        <f>IF($A20="","",IF(UPPER(TRIM(Items!C20&amp;""))=UPPER(TRIM(act_Country&amp;"")),"Y","N"))</f>
        <v/>
      </c>
      <c r="G20" s="10">
        <f>IF($A20="","",IF(SUMPRODUCT((scope_HTS&lt;&gt;"")*(LEFT($C20,LEN(scope_HTS))=scope_HTS))&gt;0,"Y","N"))</f>
        <v/>
      </c>
      <c r="H20" s="10">
        <f>IF($A20="","",IF(SUMPRODUCT((excl_HTS&lt;&gt;"")*(LEFT($C20,LEN(excl_HTS))=excl_HTS))&gt;0,"Y","N"))</f>
        <v/>
      </c>
      <c r="I20" s="10">
        <f>IF($A20="","",IF($E20="","N",IF(COUNTIF(scope_COO,$E20)&gt;0,"Y","N")))</f>
        <v/>
      </c>
      <c r="J20" s="10">
        <f>IF($A20="","",IF(AND(UPPER(TRIM(act_USMCAExempt&amp;""))="Y",UPPER(TRIM(Items!F20&amp;""))="Y"),"Y","N"))</f>
        <v/>
      </c>
      <c r="K20" s="10">
        <f>IF($A20="","",IFERROR(UPPER(TRIM(INDEX(det_Status,MATCH($A20,det_Item,0))&amp;"")),""))</f>
        <v/>
      </c>
      <c r="L20" s="10">
        <f>IF($A20="","",IF($K20="IN","Y",IF($K20="OUT","N",IF(AND($F20="Y",$G20="Y",$H20="N",$I20="Y",$J20="N"),"Y","N"))))</f>
        <v/>
      </c>
      <c r="M20" s="10">
        <f>IF($A20="","",IF($K20="IN","In: Research determination",IF($K20="OUT","Out: Research determination",IF($F20="N","Out: different import country",IF($G20="N","Out: HTS not on scope list",IF($H20="Y","Out: HTS on exclusion list",IF($I20="N","Out: origin not on scope list",IF($J20="Y","Out: USMCA-qualifying, exempt","In: matches scope rules"))))))))</f>
        <v/>
      </c>
      <c r="N20" s="16">
        <f>IF($A20="","",N(Items!I20))</f>
        <v/>
      </c>
      <c r="O20" s="16">
        <f>IF($A20="","",IF($L20="Y",$N20+N(act_Rate)-IF(UPPER(TRIM(act_RateType&amp;""))="REPLACE",N(act_PriorRate),0),$N20))</f>
        <v/>
      </c>
      <c r="P20" s="17">
        <f>IF($A20="","",N(Items!G20)*$N20)</f>
        <v/>
      </c>
      <c r="Q20" s="17">
        <f>IF($A20="","",N(Items!G20)*$O20)</f>
        <v/>
      </c>
      <c r="R20" s="17">
        <f>IF($A20="","",$Q20-$P20)</f>
        <v/>
      </c>
      <c r="S20" s="17">
        <f>IF($A20="","",N(Items!J20)+$R20)</f>
        <v/>
      </c>
      <c r="T20" s="16">
        <f>IF($A20="","",IF(N(Items!K20)=0,"",(N(Items!K20)-N(Items!J20))/N(Items!K20)))</f>
        <v/>
      </c>
      <c r="U20" s="16">
        <f>IF($A20="","",IF(N(Items!K20)=0,"",(N(Items!K20)-$S20)/N(Items!K20)))</f>
        <v/>
      </c>
      <c r="V20" s="16">
        <f>IF(OR($T20="",$U20=""),"",$U20-$T20)</f>
        <v/>
      </c>
      <c r="W20" s="18">
        <f>IF($A20="","",N(Items!H20))</f>
        <v/>
      </c>
      <c r="X20" s="19">
        <f>IF($A20="","",$R20*$W20)</f>
        <v/>
      </c>
      <c r="Y20" s="19">
        <f>IF($A20="","",N(Items!K20)*$W20)</f>
        <v/>
      </c>
      <c r="Z20" s="19">
        <f>IF($A20="","",(N(Items!K20)-N(Items!J20))*$W20)</f>
        <v/>
      </c>
      <c r="AA20" s="19">
        <f>IF($A20="","",$Z20-$X20)</f>
        <v/>
      </c>
      <c r="AB20" s="10">
        <f>IF($A20="","",IF(TRIM(Items!C20&amp;"")="","CHECK: import country missing",IF(OR(LEN($C20)&lt;&gt;10,ISERROR(VALUE($C20))),"CHECK: HTS must be 10 digits",IF(LEN($E20)&lt;&gt;2,"CHECK: origin code missing or not 2 letters",IF(OR(Items!G20="",Items!I20="",Items!J20=""),"CHECK: value, rate or cost missing",IF(ISNUMBER(Items!G20)*ISNUMBER(Items!I20)*ISNUMBER(Items!J20)=0,"CHECK: text in a number column",IF(AND($L20="Y",UPPER(TRIM(act_RateType&amp;""))="REPLACE",$N20&lt;N(act_PriorRate)),"CHECK: current rate is below the rate being replaced",IF(AND($L20="Y",$W20=0),"NOTE: in scope, no volume","OK"))))))))</f>
        <v/>
      </c>
      <c r="AC20" s="20">
        <f>IF($A20="","",IF(AND($L20="Y",$X20&lt;&gt;0),ABS($X20)+ROW()/1000000000,""))</f>
        <v/>
      </c>
    </row>
    <row r="21">
      <c r="A21" s="10">
        <f>IF(TRIM(Items!A21&amp;"")="","",TRIM(Items!A21&amp;""))</f>
        <v/>
      </c>
      <c r="B21" s="10">
        <f>IF($A21="","",Items!B21&amp;"")</f>
        <v/>
      </c>
      <c r="C21" s="10">
        <f>IF($A21="","",SUBSTITUTE(SUBSTITUTE(SUBSTITUTE(TRIM(Items!D21&amp;""),".","")," ",""),"-",""))</f>
        <v/>
      </c>
      <c r="D21" s="10">
        <f>IF($A21="","",LEFT($C21,2))</f>
        <v/>
      </c>
      <c r="E21" s="10">
        <f>IF($A21="","",UPPER(TRIM(Items!E21&amp;"")))</f>
        <v/>
      </c>
      <c r="F21" s="10">
        <f>IF($A21="","",IF(UPPER(TRIM(Items!C21&amp;""))=UPPER(TRIM(act_Country&amp;"")),"Y","N"))</f>
        <v/>
      </c>
      <c r="G21" s="10">
        <f>IF($A21="","",IF(SUMPRODUCT((scope_HTS&lt;&gt;"")*(LEFT($C21,LEN(scope_HTS))=scope_HTS))&gt;0,"Y","N"))</f>
        <v/>
      </c>
      <c r="H21" s="10">
        <f>IF($A21="","",IF(SUMPRODUCT((excl_HTS&lt;&gt;"")*(LEFT($C21,LEN(excl_HTS))=excl_HTS))&gt;0,"Y","N"))</f>
        <v/>
      </c>
      <c r="I21" s="10">
        <f>IF($A21="","",IF($E21="","N",IF(COUNTIF(scope_COO,$E21)&gt;0,"Y","N")))</f>
        <v/>
      </c>
      <c r="J21" s="10">
        <f>IF($A21="","",IF(AND(UPPER(TRIM(act_USMCAExempt&amp;""))="Y",UPPER(TRIM(Items!F21&amp;""))="Y"),"Y","N"))</f>
        <v/>
      </c>
      <c r="K21" s="10">
        <f>IF($A21="","",IFERROR(UPPER(TRIM(INDEX(det_Status,MATCH($A21,det_Item,0))&amp;"")),""))</f>
        <v/>
      </c>
      <c r="L21" s="10">
        <f>IF($A21="","",IF($K21="IN","Y",IF($K21="OUT","N",IF(AND($F21="Y",$G21="Y",$H21="N",$I21="Y",$J21="N"),"Y","N"))))</f>
        <v/>
      </c>
      <c r="M21" s="10">
        <f>IF($A21="","",IF($K21="IN","In: Research determination",IF($K21="OUT","Out: Research determination",IF($F21="N","Out: different import country",IF($G21="N","Out: HTS not on scope list",IF($H21="Y","Out: HTS on exclusion list",IF($I21="N","Out: origin not on scope list",IF($J21="Y","Out: USMCA-qualifying, exempt","In: matches scope rules"))))))))</f>
        <v/>
      </c>
      <c r="N21" s="16">
        <f>IF($A21="","",N(Items!I21))</f>
        <v/>
      </c>
      <c r="O21" s="16">
        <f>IF($A21="","",IF($L21="Y",$N21+N(act_Rate)-IF(UPPER(TRIM(act_RateType&amp;""))="REPLACE",N(act_PriorRate),0),$N21))</f>
        <v/>
      </c>
      <c r="P21" s="17">
        <f>IF($A21="","",N(Items!G21)*$N21)</f>
        <v/>
      </c>
      <c r="Q21" s="17">
        <f>IF($A21="","",N(Items!G21)*$O21)</f>
        <v/>
      </c>
      <c r="R21" s="17">
        <f>IF($A21="","",$Q21-$P21)</f>
        <v/>
      </c>
      <c r="S21" s="17">
        <f>IF($A21="","",N(Items!J21)+$R21)</f>
        <v/>
      </c>
      <c r="T21" s="16">
        <f>IF($A21="","",IF(N(Items!K21)=0,"",(N(Items!K21)-N(Items!J21))/N(Items!K21)))</f>
        <v/>
      </c>
      <c r="U21" s="16">
        <f>IF($A21="","",IF(N(Items!K21)=0,"",(N(Items!K21)-$S21)/N(Items!K21)))</f>
        <v/>
      </c>
      <c r="V21" s="16">
        <f>IF(OR($T21="",$U21=""),"",$U21-$T21)</f>
        <v/>
      </c>
      <c r="W21" s="18">
        <f>IF($A21="","",N(Items!H21))</f>
        <v/>
      </c>
      <c r="X21" s="19">
        <f>IF($A21="","",$R21*$W21)</f>
        <v/>
      </c>
      <c r="Y21" s="19">
        <f>IF($A21="","",N(Items!K21)*$W21)</f>
        <v/>
      </c>
      <c r="Z21" s="19">
        <f>IF($A21="","",(N(Items!K21)-N(Items!J21))*$W21)</f>
        <v/>
      </c>
      <c r="AA21" s="19">
        <f>IF($A21="","",$Z21-$X21)</f>
        <v/>
      </c>
      <c r="AB21" s="10">
        <f>IF($A21="","",IF(TRIM(Items!C21&amp;"")="","CHECK: import country missing",IF(OR(LEN($C21)&lt;&gt;10,ISERROR(VALUE($C21))),"CHECK: HTS must be 10 digits",IF(LEN($E21)&lt;&gt;2,"CHECK: origin code missing or not 2 letters",IF(OR(Items!G21="",Items!I21="",Items!J21=""),"CHECK: value, rate or cost missing",IF(ISNUMBER(Items!G21)*ISNUMBER(Items!I21)*ISNUMBER(Items!J21)=0,"CHECK: text in a number column",IF(AND($L21="Y",UPPER(TRIM(act_RateType&amp;""))="REPLACE",$N21&lt;N(act_PriorRate)),"CHECK: current rate is below the rate being replaced",IF(AND($L21="Y",$W21=0),"NOTE: in scope, no volume","OK"))))))))</f>
        <v/>
      </c>
      <c r="AC21" s="20">
        <f>IF($A21="","",IF(AND($L21="Y",$X21&lt;&gt;0),ABS($X21)+ROW()/1000000000,""))</f>
        <v/>
      </c>
    </row>
    <row r="22">
      <c r="A22" s="10">
        <f>IF(TRIM(Items!A22&amp;"")="","",TRIM(Items!A22&amp;""))</f>
        <v/>
      </c>
      <c r="B22" s="10">
        <f>IF($A22="","",Items!B22&amp;"")</f>
        <v/>
      </c>
      <c r="C22" s="10">
        <f>IF($A22="","",SUBSTITUTE(SUBSTITUTE(SUBSTITUTE(TRIM(Items!D22&amp;""),".","")," ",""),"-",""))</f>
        <v/>
      </c>
      <c r="D22" s="10">
        <f>IF($A22="","",LEFT($C22,2))</f>
        <v/>
      </c>
      <c r="E22" s="10">
        <f>IF($A22="","",UPPER(TRIM(Items!E22&amp;"")))</f>
        <v/>
      </c>
      <c r="F22" s="10">
        <f>IF($A22="","",IF(UPPER(TRIM(Items!C22&amp;""))=UPPER(TRIM(act_Country&amp;"")),"Y","N"))</f>
        <v/>
      </c>
      <c r="G22" s="10">
        <f>IF($A22="","",IF(SUMPRODUCT((scope_HTS&lt;&gt;"")*(LEFT($C22,LEN(scope_HTS))=scope_HTS))&gt;0,"Y","N"))</f>
        <v/>
      </c>
      <c r="H22" s="10">
        <f>IF($A22="","",IF(SUMPRODUCT((excl_HTS&lt;&gt;"")*(LEFT($C22,LEN(excl_HTS))=excl_HTS))&gt;0,"Y","N"))</f>
        <v/>
      </c>
      <c r="I22" s="10">
        <f>IF($A22="","",IF($E22="","N",IF(COUNTIF(scope_COO,$E22)&gt;0,"Y","N")))</f>
        <v/>
      </c>
      <c r="J22" s="10">
        <f>IF($A22="","",IF(AND(UPPER(TRIM(act_USMCAExempt&amp;""))="Y",UPPER(TRIM(Items!F22&amp;""))="Y"),"Y","N"))</f>
        <v/>
      </c>
      <c r="K22" s="10">
        <f>IF($A22="","",IFERROR(UPPER(TRIM(INDEX(det_Status,MATCH($A22,det_Item,0))&amp;"")),""))</f>
        <v/>
      </c>
      <c r="L22" s="10">
        <f>IF($A22="","",IF($K22="IN","Y",IF($K22="OUT","N",IF(AND($F22="Y",$G22="Y",$H22="N",$I22="Y",$J22="N"),"Y","N"))))</f>
        <v/>
      </c>
      <c r="M22" s="10">
        <f>IF($A22="","",IF($K22="IN","In: Research determination",IF($K22="OUT","Out: Research determination",IF($F22="N","Out: different import country",IF($G22="N","Out: HTS not on scope list",IF($H22="Y","Out: HTS on exclusion list",IF($I22="N","Out: origin not on scope list",IF($J22="Y","Out: USMCA-qualifying, exempt","In: matches scope rules"))))))))</f>
        <v/>
      </c>
      <c r="N22" s="16">
        <f>IF($A22="","",N(Items!I22))</f>
        <v/>
      </c>
      <c r="O22" s="16">
        <f>IF($A22="","",IF($L22="Y",$N22+N(act_Rate)-IF(UPPER(TRIM(act_RateType&amp;""))="REPLACE",N(act_PriorRate),0),$N22))</f>
        <v/>
      </c>
      <c r="P22" s="17">
        <f>IF($A22="","",N(Items!G22)*$N22)</f>
        <v/>
      </c>
      <c r="Q22" s="17">
        <f>IF($A22="","",N(Items!G22)*$O22)</f>
        <v/>
      </c>
      <c r="R22" s="17">
        <f>IF($A22="","",$Q22-$P22)</f>
        <v/>
      </c>
      <c r="S22" s="17">
        <f>IF($A22="","",N(Items!J22)+$R22)</f>
        <v/>
      </c>
      <c r="T22" s="16">
        <f>IF($A22="","",IF(N(Items!K22)=0,"",(N(Items!K22)-N(Items!J22))/N(Items!K22)))</f>
        <v/>
      </c>
      <c r="U22" s="16">
        <f>IF($A22="","",IF(N(Items!K22)=0,"",(N(Items!K22)-$S22)/N(Items!K22)))</f>
        <v/>
      </c>
      <c r="V22" s="16">
        <f>IF(OR($T22="",$U22=""),"",$U22-$T22)</f>
        <v/>
      </c>
      <c r="W22" s="18">
        <f>IF($A22="","",N(Items!H22))</f>
        <v/>
      </c>
      <c r="X22" s="19">
        <f>IF($A22="","",$R22*$W22)</f>
        <v/>
      </c>
      <c r="Y22" s="19">
        <f>IF($A22="","",N(Items!K22)*$W22)</f>
        <v/>
      </c>
      <c r="Z22" s="19">
        <f>IF($A22="","",(N(Items!K22)-N(Items!J22))*$W22)</f>
        <v/>
      </c>
      <c r="AA22" s="19">
        <f>IF($A22="","",$Z22-$X22)</f>
        <v/>
      </c>
      <c r="AB22" s="10">
        <f>IF($A22="","",IF(TRIM(Items!C22&amp;"")="","CHECK: import country missing",IF(OR(LEN($C22)&lt;&gt;10,ISERROR(VALUE($C22))),"CHECK: HTS must be 10 digits",IF(LEN($E22)&lt;&gt;2,"CHECK: origin code missing or not 2 letters",IF(OR(Items!G22="",Items!I22="",Items!J22=""),"CHECK: value, rate or cost missing",IF(ISNUMBER(Items!G22)*ISNUMBER(Items!I22)*ISNUMBER(Items!J22)=0,"CHECK: text in a number column",IF(AND($L22="Y",UPPER(TRIM(act_RateType&amp;""))="REPLACE",$N22&lt;N(act_PriorRate)),"CHECK: current rate is below the rate being replaced",IF(AND($L22="Y",$W22=0),"NOTE: in scope, no volume","OK"))))))))</f>
        <v/>
      </c>
      <c r="AC22" s="20">
        <f>IF($A22="","",IF(AND($L22="Y",$X22&lt;&gt;0),ABS($X22)+ROW()/1000000000,""))</f>
        <v/>
      </c>
    </row>
    <row r="23">
      <c r="A23" s="10">
        <f>IF(TRIM(Items!A23&amp;"")="","",TRIM(Items!A23&amp;""))</f>
        <v/>
      </c>
      <c r="B23" s="10">
        <f>IF($A23="","",Items!B23&amp;"")</f>
        <v/>
      </c>
      <c r="C23" s="10">
        <f>IF($A23="","",SUBSTITUTE(SUBSTITUTE(SUBSTITUTE(TRIM(Items!D23&amp;""),".","")," ",""),"-",""))</f>
        <v/>
      </c>
      <c r="D23" s="10">
        <f>IF($A23="","",LEFT($C23,2))</f>
        <v/>
      </c>
      <c r="E23" s="10">
        <f>IF($A23="","",UPPER(TRIM(Items!E23&amp;"")))</f>
        <v/>
      </c>
      <c r="F23" s="10">
        <f>IF($A23="","",IF(UPPER(TRIM(Items!C23&amp;""))=UPPER(TRIM(act_Country&amp;"")),"Y","N"))</f>
        <v/>
      </c>
      <c r="G23" s="10">
        <f>IF($A23="","",IF(SUMPRODUCT((scope_HTS&lt;&gt;"")*(LEFT($C23,LEN(scope_HTS))=scope_HTS))&gt;0,"Y","N"))</f>
        <v/>
      </c>
      <c r="H23" s="10">
        <f>IF($A23="","",IF(SUMPRODUCT((excl_HTS&lt;&gt;"")*(LEFT($C23,LEN(excl_HTS))=excl_HTS))&gt;0,"Y","N"))</f>
        <v/>
      </c>
      <c r="I23" s="10">
        <f>IF($A23="","",IF($E23="","N",IF(COUNTIF(scope_COO,$E23)&gt;0,"Y","N")))</f>
        <v/>
      </c>
      <c r="J23" s="10">
        <f>IF($A23="","",IF(AND(UPPER(TRIM(act_USMCAExempt&amp;""))="Y",UPPER(TRIM(Items!F23&amp;""))="Y"),"Y","N"))</f>
        <v/>
      </c>
      <c r="K23" s="10">
        <f>IF($A23="","",IFERROR(UPPER(TRIM(INDEX(det_Status,MATCH($A23,det_Item,0))&amp;"")),""))</f>
        <v/>
      </c>
      <c r="L23" s="10">
        <f>IF($A23="","",IF($K23="IN","Y",IF($K23="OUT","N",IF(AND($F23="Y",$G23="Y",$H23="N",$I23="Y",$J23="N"),"Y","N"))))</f>
        <v/>
      </c>
      <c r="M23" s="10">
        <f>IF($A23="","",IF($K23="IN","In: Research determination",IF($K23="OUT","Out: Research determination",IF($F23="N","Out: different import country",IF($G23="N","Out: HTS not on scope list",IF($H23="Y","Out: HTS on exclusion list",IF($I23="N","Out: origin not on scope list",IF($J23="Y","Out: USMCA-qualifying, exempt","In: matches scope rules"))))))))</f>
        <v/>
      </c>
      <c r="N23" s="16">
        <f>IF($A23="","",N(Items!I23))</f>
        <v/>
      </c>
      <c r="O23" s="16">
        <f>IF($A23="","",IF($L23="Y",$N23+N(act_Rate)-IF(UPPER(TRIM(act_RateType&amp;""))="REPLACE",N(act_PriorRate),0),$N23))</f>
        <v/>
      </c>
      <c r="P23" s="17">
        <f>IF($A23="","",N(Items!G23)*$N23)</f>
        <v/>
      </c>
      <c r="Q23" s="17">
        <f>IF($A23="","",N(Items!G23)*$O23)</f>
        <v/>
      </c>
      <c r="R23" s="17">
        <f>IF($A23="","",$Q23-$P23)</f>
        <v/>
      </c>
      <c r="S23" s="17">
        <f>IF($A23="","",N(Items!J23)+$R23)</f>
        <v/>
      </c>
      <c r="T23" s="16">
        <f>IF($A23="","",IF(N(Items!K23)=0,"",(N(Items!K23)-N(Items!J23))/N(Items!K23)))</f>
        <v/>
      </c>
      <c r="U23" s="16">
        <f>IF($A23="","",IF(N(Items!K23)=0,"",(N(Items!K23)-$S23)/N(Items!K23)))</f>
        <v/>
      </c>
      <c r="V23" s="16">
        <f>IF(OR($T23="",$U23=""),"",$U23-$T23)</f>
        <v/>
      </c>
      <c r="W23" s="18">
        <f>IF($A23="","",N(Items!H23))</f>
        <v/>
      </c>
      <c r="X23" s="19">
        <f>IF($A23="","",$R23*$W23)</f>
        <v/>
      </c>
      <c r="Y23" s="19">
        <f>IF($A23="","",N(Items!K23)*$W23)</f>
        <v/>
      </c>
      <c r="Z23" s="19">
        <f>IF($A23="","",(N(Items!K23)-N(Items!J23))*$W23)</f>
        <v/>
      </c>
      <c r="AA23" s="19">
        <f>IF($A23="","",$Z23-$X23)</f>
        <v/>
      </c>
      <c r="AB23" s="10">
        <f>IF($A23="","",IF(TRIM(Items!C23&amp;"")="","CHECK: import country missing",IF(OR(LEN($C23)&lt;&gt;10,ISERROR(VALUE($C23))),"CHECK: HTS must be 10 digits",IF(LEN($E23)&lt;&gt;2,"CHECK: origin code missing or not 2 letters",IF(OR(Items!G23="",Items!I23="",Items!J23=""),"CHECK: value, rate or cost missing",IF(ISNUMBER(Items!G23)*ISNUMBER(Items!I23)*ISNUMBER(Items!J23)=0,"CHECK: text in a number column",IF(AND($L23="Y",UPPER(TRIM(act_RateType&amp;""))="REPLACE",$N23&lt;N(act_PriorRate)),"CHECK: current rate is below the rate being replaced",IF(AND($L23="Y",$W23=0),"NOTE: in scope, no volume","OK"))))))))</f>
        <v/>
      </c>
      <c r="AC23" s="20">
        <f>IF($A23="","",IF(AND($L23="Y",$X23&lt;&gt;0),ABS($X23)+ROW()/1000000000,""))</f>
        <v/>
      </c>
    </row>
    <row r="24">
      <c r="A24" s="10">
        <f>IF(TRIM(Items!A24&amp;"")="","",TRIM(Items!A24&amp;""))</f>
        <v/>
      </c>
      <c r="B24" s="10">
        <f>IF($A24="","",Items!B24&amp;"")</f>
        <v/>
      </c>
      <c r="C24" s="10">
        <f>IF($A24="","",SUBSTITUTE(SUBSTITUTE(SUBSTITUTE(TRIM(Items!D24&amp;""),".","")," ",""),"-",""))</f>
        <v/>
      </c>
      <c r="D24" s="10">
        <f>IF($A24="","",LEFT($C24,2))</f>
        <v/>
      </c>
      <c r="E24" s="10">
        <f>IF($A24="","",UPPER(TRIM(Items!E24&amp;"")))</f>
        <v/>
      </c>
      <c r="F24" s="10">
        <f>IF($A24="","",IF(UPPER(TRIM(Items!C24&amp;""))=UPPER(TRIM(act_Country&amp;"")),"Y","N"))</f>
        <v/>
      </c>
      <c r="G24" s="10">
        <f>IF($A24="","",IF(SUMPRODUCT((scope_HTS&lt;&gt;"")*(LEFT($C24,LEN(scope_HTS))=scope_HTS))&gt;0,"Y","N"))</f>
        <v/>
      </c>
      <c r="H24" s="10">
        <f>IF($A24="","",IF(SUMPRODUCT((excl_HTS&lt;&gt;"")*(LEFT($C24,LEN(excl_HTS))=excl_HTS))&gt;0,"Y","N"))</f>
        <v/>
      </c>
      <c r="I24" s="10">
        <f>IF($A24="","",IF($E24="","N",IF(COUNTIF(scope_COO,$E24)&gt;0,"Y","N")))</f>
        <v/>
      </c>
      <c r="J24" s="10">
        <f>IF($A24="","",IF(AND(UPPER(TRIM(act_USMCAExempt&amp;""))="Y",UPPER(TRIM(Items!F24&amp;""))="Y"),"Y","N"))</f>
        <v/>
      </c>
      <c r="K24" s="10">
        <f>IF($A24="","",IFERROR(UPPER(TRIM(INDEX(det_Status,MATCH($A24,det_Item,0))&amp;"")),""))</f>
        <v/>
      </c>
      <c r="L24" s="10">
        <f>IF($A24="","",IF($K24="IN","Y",IF($K24="OUT","N",IF(AND($F24="Y",$G24="Y",$H24="N",$I24="Y",$J24="N"),"Y","N"))))</f>
        <v/>
      </c>
      <c r="M24" s="10">
        <f>IF($A24="","",IF($K24="IN","In: Research determination",IF($K24="OUT","Out: Research determination",IF($F24="N","Out: different import country",IF($G24="N","Out: HTS not on scope list",IF($H24="Y","Out: HTS on exclusion list",IF($I24="N","Out: origin not on scope list",IF($J24="Y","Out: USMCA-qualifying, exempt","In: matches scope rules"))))))))</f>
        <v/>
      </c>
      <c r="N24" s="16">
        <f>IF($A24="","",N(Items!I24))</f>
        <v/>
      </c>
      <c r="O24" s="16">
        <f>IF($A24="","",IF($L24="Y",$N24+N(act_Rate)-IF(UPPER(TRIM(act_RateType&amp;""))="REPLACE",N(act_PriorRate),0),$N24))</f>
        <v/>
      </c>
      <c r="P24" s="17">
        <f>IF($A24="","",N(Items!G24)*$N24)</f>
        <v/>
      </c>
      <c r="Q24" s="17">
        <f>IF($A24="","",N(Items!G24)*$O24)</f>
        <v/>
      </c>
      <c r="R24" s="17">
        <f>IF($A24="","",$Q24-$P24)</f>
        <v/>
      </c>
      <c r="S24" s="17">
        <f>IF($A24="","",N(Items!J24)+$R24)</f>
        <v/>
      </c>
      <c r="T24" s="16">
        <f>IF($A24="","",IF(N(Items!K24)=0,"",(N(Items!K24)-N(Items!J24))/N(Items!K24)))</f>
        <v/>
      </c>
      <c r="U24" s="16">
        <f>IF($A24="","",IF(N(Items!K24)=0,"",(N(Items!K24)-$S24)/N(Items!K24)))</f>
        <v/>
      </c>
      <c r="V24" s="16">
        <f>IF(OR($T24="",$U24=""),"",$U24-$T24)</f>
        <v/>
      </c>
      <c r="W24" s="18">
        <f>IF($A24="","",N(Items!H24))</f>
        <v/>
      </c>
      <c r="X24" s="19">
        <f>IF($A24="","",$R24*$W24)</f>
        <v/>
      </c>
      <c r="Y24" s="19">
        <f>IF($A24="","",N(Items!K24)*$W24)</f>
        <v/>
      </c>
      <c r="Z24" s="19">
        <f>IF($A24="","",(N(Items!K24)-N(Items!J24))*$W24)</f>
        <v/>
      </c>
      <c r="AA24" s="19">
        <f>IF($A24="","",$Z24-$X24)</f>
        <v/>
      </c>
      <c r="AB24" s="10">
        <f>IF($A24="","",IF(TRIM(Items!C24&amp;"")="","CHECK: import country missing",IF(OR(LEN($C24)&lt;&gt;10,ISERROR(VALUE($C24))),"CHECK: HTS must be 10 digits",IF(LEN($E24)&lt;&gt;2,"CHECK: origin code missing or not 2 letters",IF(OR(Items!G24="",Items!I24="",Items!J24=""),"CHECK: value, rate or cost missing",IF(ISNUMBER(Items!G24)*ISNUMBER(Items!I24)*ISNUMBER(Items!J24)=0,"CHECK: text in a number column",IF(AND($L24="Y",UPPER(TRIM(act_RateType&amp;""))="REPLACE",$N24&lt;N(act_PriorRate)),"CHECK: current rate is below the rate being replaced",IF(AND($L24="Y",$W24=0),"NOTE: in scope, no volume","OK"))))))))</f>
        <v/>
      </c>
      <c r="AC24" s="20">
        <f>IF($A24="","",IF(AND($L24="Y",$X24&lt;&gt;0),ABS($X24)+ROW()/1000000000,""))</f>
        <v/>
      </c>
    </row>
    <row r="25">
      <c r="A25" s="10">
        <f>IF(TRIM(Items!A25&amp;"")="","",TRIM(Items!A25&amp;""))</f>
        <v/>
      </c>
      <c r="B25" s="10">
        <f>IF($A25="","",Items!B25&amp;"")</f>
        <v/>
      </c>
      <c r="C25" s="10">
        <f>IF($A25="","",SUBSTITUTE(SUBSTITUTE(SUBSTITUTE(TRIM(Items!D25&amp;""),".","")," ",""),"-",""))</f>
        <v/>
      </c>
      <c r="D25" s="10">
        <f>IF($A25="","",LEFT($C25,2))</f>
        <v/>
      </c>
      <c r="E25" s="10">
        <f>IF($A25="","",UPPER(TRIM(Items!E25&amp;"")))</f>
        <v/>
      </c>
      <c r="F25" s="10">
        <f>IF($A25="","",IF(UPPER(TRIM(Items!C25&amp;""))=UPPER(TRIM(act_Country&amp;"")),"Y","N"))</f>
        <v/>
      </c>
      <c r="G25" s="10">
        <f>IF($A25="","",IF(SUMPRODUCT((scope_HTS&lt;&gt;"")*(LEFT($C25,LEN(scope_HTS))=scope_HTS))&gt;0,"Y","N"))</f>
        <v/>
      </c>
      <c r="H25" s="10">
        <f>IF($A25="","",IF(SUMPRODUCT((excl_HTS&lt;&gt;"")*(LEFT($C25,LEN(excl_HTS))=excl_HTS))&gt;0,"Y","N"))</f>
        <v/>
      </c>
      <c r="I25" s="10">
        <f>IF($A25="","",IF($E25="","N",IF(COUNTIF(scope_COO,$E25)&gt;0,"Y","N")))</f>
        <v/>
      </c>
      <c r="J25" s="10">
        <f>IF($A25="","",IF(AND(UPPER(TRIM(act_USMCAExempt&amp;""))="Y",UPPER(TRIM(Items!F25&amp;""))="Y"),"Y","N"))</f>
        <v/>
      </c>
      <c r="K25" s="10">
        <f>IF($A25="","",IFERROR(UPPER(TRIM(INDEX(det_Status,MATCH($A25,det_Item,0))&amp;"")),""))</f>
        <v/>
      </c>
      <c r="L25" s="10">
        <f>IF($A25="","",IF($K25="IN","Y",IF($K25="OUT","N",IF(AND($F25="Y",$G25="Y",$H25="N",$I25="Y",$J25="N"),"Y","N"))))</f>
        <v/>
      </c>
      <c r="M25" s="10">
        <f>IF($A25="","",IF($K25="IN","In: Research determination",IF($K25="OUT","Out: Research determination",IF($F25="N","Out: different import country",IF($G25="N","Out: HTS not on scope list",IF($H25="Y","Out: HTS on exclusion list",IF($I25="N","Out: origin not on scope list",IF($J25="Y","Out: USMCA-qualifying, exempt","In: matches scope rules"))))))))</f>
        <v/>
      </c>
      <c r="N25" s="16">
        <f>IF($A25="","",N(Items!I25))</f>
        <v/>
      </c>
      <c r="O25" s="16">
        <f>IF($A25="","",IF($L25="Y",$N25+N(act_Rate)-IF(UPPER(TRIM(act_RateType&amp;""))="REPLACE",N(act_PriorRate),0),$N25))</f>
        <v/>
      </c>
      <c r="P25" s="17">
        <f>IF($A25="","",N(Items!G25)*$N25)</f>
        <v/>
      </c>
      <c r="Q25" s="17">
        <f>IF($A25="","",N(Items!G25)*$O25)</f>
        <v/>
      </c>
      <c r="R25" s="17">
        <f>IF($A25="","",$Q25-$P25)</f>
        <v/>
      </c>
      <c r="S25" s="17">
        <f>IF($A25="","",N(Items!J25)+$R25)</f>
        <v/>
      </c>
      <c r="T25" s="16">
        <f>IF($A25="","",IF(N(Items!K25)=0,"",(N(Items!K25)-N(Items!J25))/N(Items!K25)))</f>
        <v/>
      </c>
      <c r="U25" s="16">
        <f>IF($A25="","",IF(N(Items!K25)=0,"",(N(Items!K25)-$S25)/N(Items!K25)))</f>
        <v/>
      </c>
      <c r="V25" s="16">
        <f>IF(OR($T25="",$U25=""),"",$U25-$T25)</f>
        <v/>
      </c>
      <c r="W25" s="18">
        <f>IF($A25="","",N(Items!H25))</f>
        <v/>
      </c>
      <c r="X25" s="19">
        <f>IF($A25="","",$R25*$W25)</f>
        <v/>
      </c>
      <c r="Y25" s="19">
        <f>IF($A25="","",N(Items!K25)*$W25)</f>
        <v/>
      </c>
      <c r="Z25" s="19">
        <f>IF($A25="","",(N(Items!K25)-N(Items!J25))*$W25)</f>
        <v/>
      </c>
      <c r="AA25" s="19">
        <f>IF($A25="","",$Z25-$X25)</f>
        <v/>
      </c>
      <c r="AB25" s="10">
        <f>IF($A25="","",IF(TRIM(Items!C25&amp;"")="","CHECK: import country missing",IF(OR(LEN($C25)&lt;&gt;10,ISERROR(VALUE($C25))),"CHECK: HTS must be 10 digits",IF(LEN($E25)&lt;&gt;2,"CHECK: origin code missing or not 2 letters",IF(OR(Items!G25="",Items!I25="",Items!J25=""),"CHECK: value, rate or cost missing",IF(ISNUMBER(Items!G25)*ISNUMBER(Items!I25)*ISNUMBER(Items!J25)=0,"CHECK: text in a number column",IF(AND($L25="Y",UPPER(TRIM(act_RateType&amp;""))="REPLACE",$N25&lt;N(act_PriorRate)),"CHECK: current rate is below the rate being replaced",IF(AND($L25="Y",$W25=0),"NOTE: in scope, no volume","OK"))))))))</f>
        <v/>
      </c>
      <c r="AC25" s="20">
        <f>IF($A25="","",IF(AND($L25="Y",$X25&lt;&gt;0),ABS($X25)+ROW()/1000000000,""))</f>
        <v/>
      </c>
    </row>
    <row r="26">
      <c r="A26" s="10">
        <f>IF(TRIM(Items!A26&amp;"")="","",TRIM(Items!A26&amp;""))</f>
        <v/>
      </c>
      <c r="B26" s="10">
        <f>IF($A26="","",Items!B26&amp;"")</f>
        <v/>
      </c>
      <c r="C26" s="10">
        <f>IF($A26="","",SUBSTITUTE(SUBSTITUTE(SUBSTITUTE(TRIM(Items!D26&amp;""),".","")," ",""),"-",""))</f>
        <v/>
      </c>
      <c r="D26" s="10">
        <f>IF($A26="","",LEFT($C26,2))</f>
        <v/>
      </c>
      <c r="E26" s="10">
        <f>IF($A26="","",UPPER(TRIM(Items!E26&amp;"")))</f>
        <v/>
      </c>
      <c r="F26" s="10">
        <f>IF($A26="","",IF(UPPER(TRIM(Items!C26&amp;""))=UPPER(TRIM(act_Country&amp;"")),"Y","N"))</f>
        <v/>
      </c>
      <c r="G26" s="10">
        <f>IF($A26="","",IF(SUMPRODUCT((scope_HTS&lt;&gt;"")*(LEFT($C26,LEN(scope_HTS))=scope_HTS))&gt;0,"Y","N"))</f>
        <v/>
      </c>
      <c r="H26" s="10">
        <f>IF($A26="","",IF(SUMPRODUCT((excl_HTS&lt;&gt;"")*(LEFT($C26,LEN(excl_HTS))=excl_HTS))&gt;0,"Y","N"))</f>
        <v/>
      </c>
      <c r="I26" s="10">
        <f>IF($A26="","",IF($E26="","N",IF(COUNTIF(scope_COO,$E26)&gt;0,"Y","N")))</f>
        <v/>
      </c>
      <c r="J26" s="10">
        <f>IF($A26="","",IF(AND(UPPER(TRIM(act_USMCAExempt&amp;""))="Y",UPPER(TRIM(Items!F26&amp;""))="Y"),"Y","N"))</f>
        <v/>
      </c>
      <c r="K26" s="10">
        <f>IF($A26="","",IFERROR(UPPER(TRIM(INDEX(det_Status,MATCH($A26,det_Item,0))&amp;"")),""))</f>
        <v/>
      </c>
      <c r="L26" s="10">
        <f>IF($A26="","",IF($K26="IN","Y",IF($K26="OUT","N",IF(AND($F26="Y",$G26="Y",$H26="N",$I26="Y",$J26="N"),"Y","N"))))</f>
        <v/>
      </c>
      <c r="M26" s="10">
        <f>IF($A26="","",IF($K26="IN","In: Research determination",IF($K26="OUT","Out: Research determination",IF($F26="N","Out: different import country",IF($G26="N","Out: HTS not on scope list",IF($H26="Y","Out: HTS on exclusion list",IF($I26="N","Out: origin not on scope list",IF($J26="Y","Out: USMCA-qualifying, exempt","In: matches scope rules"))))))))</f>
        <v/>
      </c>
      <c r="N26" s="16">
        <f>IF($A26="","",N(Items!I26))</f>
        <v/>
      </c>
      <c r="O26" s="16">
        <f>IF($A26="","",IF($L26="Y",$N26+N(act_Rate)-IF(UPPER(TRIM(act_RateType&amp;""))="REPLACE",N(act_PriorRate),0),$N26))</f>
        <v/>
      </c>
      <c r="P26" s="17">
        <f>IF($A26="","",N(Items!G26)*$N26)</f>
        <v/>
      </c>
      <c r="Q26" s="17">
        <f>IF($A26="","",N(Items!G26)*$O26)</f>
        <v/>
      </c>
      <c r="R26" s="17">
        <f>IF($A26="","",$Q26-$P26)</f>
        <v/>
      </c>
      <c r="S26" s="17">
        <f>IF($A26="","",N(Items!J26)+$R26)</f>
        <v/>
      </c>
      <c r="T26" s="16">
        <f>IF($A26="","",IF(N(Items!K26)=0,"",(N(Items!K26)-N(Items!J26))/N(Items!K26)))</f>
        <v/>
      </c>
      <c r="U26" s="16">
        <f>IF($A26="","",IF(N(Items!K26)=0,"",(N(Items!K26)-$S26)/N(Items!K26)))</f>
        <v/>
      </c>
      <c r="V26" s="16">
        <f>IF(OR($T26="",$U26=""),"",$U26-$T26)</f>
        <v/>
      </c>
      <c r="W26" s="18">
        <f>IF($A26="","",N(Items!H26))</f>
        <v/>
      </c>
      <c r="X26" s="19">
        <f>IF($A26="","",$R26*$W26)</f>
        <v/>
      </c>
      <c r="Y26" s="19">
        <f>IF($A26="","",N(Items!K26)*$W26)</f>
        <v/>
      </c>
      <c r="Z26" s="19">
        <f>IF($A26="","",(N(Items!K26)-N(Items!J26))*$W26)</f>
        <v/>
      </c>
      <c r="AA26" s="19">
        <f>IF($A26="","",$Z26-$X26)</f>
        <v/>
      </c>
      <c r="AB26" s="10">
        <f>IF($A26="","",IF(TRIM(Items!C26&amp;"")="","CHECK: import country missing",IF(OR(LEN($C26)&lt;&gt;10,ISERROR(VALUE($C26))),"CHECK: HTS must be 10 digits",IF(LEN($E26)&lt;&gt;2,"CHECK: origin code missing or not 2 letters",IF(OR(Items!G26="",Items!I26="",Items!J26=""),"CHECK: value, rate or cost missing",IF(ISNUMBER(Items!G26)*ISNUMBER(Items!I26)*ISNUMBER(Items!J26)=0,"CHECK: text in a number column",IF(AND($L26="Y",UPPER(TRIM(act_RateType&amp;""))="REPLACE",$N26&lt;N(act_PriorRate)),"CHECK: current rate is below the rate being replaced",IF(AND($L26="Y",$W26=0),"NOTE: in scope, no volume","OK"))))))))</f>
        <v/>
      </c>
      <c r="AC26" s="20">
        <f>IF($A26="","",IF(AND($L26="Y",$X26&lt;&gt;0),ABS($X26)+ROW()/1000000000,""))</f>
        <v/>
      </c>
    </row>
    <row r="27">
      <c r="A27" s="10">
        <f>IF(TRIM(Items!A27&amp;"")="","",TRIM(Items!A27&amp;""))</f>
        <v/>
      </c>
      <c r="B27" s="10">
        <f>IF($A27="","",Items!B27&amp;"")</f>
        <v/>
      </c>
      <c r="C27" s="10">
        <f>IF($A27="","",SUBSTITUTE(SUBSTITUTE(SUBSTITUTE(TRIM(Items!D27&amp;""),".","")," ",""),"-",""))</f>
        <v/>
      </c>
      <c r="D27" s="10">
        <f>IF($A27="","",LEFT($C27,2))</f>
        <v/>
      </c>
      <c r="E27" s="10">
        <f>IF($A27="","",UPPER(TRIM(Items!E27&amp;"")))</f>
        <v/>
      </c>
      <c r="F27" s="10">
        <f>IF($A27="","",IF(UPPER(TRIM(Items!C27&amp;""))=UPPER(TRIM(act_Country&amp;"")),"Y","N"))</f>
        <v/>
      </c>
      <c r="G27" s="10">
        <f>IF($A27="","",IF(SUMPRODUCT((scope_HTS&lt;&gt;"")*(LEFT($C27,LEN(scope_HTS))=scope_HTS))&gt;0,"Y","N"))</f>
        <v/>
      </c>
      <c r="H27" s="10">
        <f>IF($A27="","",IF(SUMPRODUCT((excl_HTS&lt;&gt;"")*(LEFT($C27,LEN(excl_HTS))=excl_HTS))&gt;0,"Y","N"))</f>
        <v/>
      </c>
      <c r="I27" s="10">
        <f>IF($A27="","",IF($E27="","N",IF(COUNTIF(scope_COO,$E27)&gt;0,"Y","N")))</f>
        <v/>
      </c>
      <c r="J27" s="10">
        <f>IF($A27="","",IF(AND(UPPER(TRIM(act_USMCAExempt&amp;""))="Y",UPPER(TRIM(Items!F27&amp;""))="Y"),"Y","N"))</f>
        <v/>
      </c>
      <c r="K27" s="10">
        <f>IF($A27="","",IFERROR(UPPER(TRIM(INDEX(det_Status,MATCH($A27,det_Item,0))&amp;"")),""))</f>
        <v/>
      </c>
      <c r="L27" s="10">
        <f>IF($A27="","",IF($K27="IN","Y",IF($K27="OUT","N",IF(AND($F27="Y",$G27="Y",$H27="N",$I27="Y",$J27="N"),"Y","N"))))</f>
        <v/>
      </c>
      <c r="M27" s="10">
        <f>IF($A27="","",IF($K27="IN","In: Research determination",IF($K27="OUT","Out: Research determination",IF($F27="N","Out: different import country",IF($G27="N","Out: HTS not on scope list",IF($H27="Y","Out: HTS on exclusion list",IF($I27="N","Out: origin not on scope list",IF($J27="Y","Out: USMCA-qualifying, exempt","In: matches scope rules"))))))))</f>
        <v/>
      </c>
      <c r="N27" s="16">
        <f>IF($A27="","",N(Items!I27))</f>
        <v/>
      </c>
      <c r="O27" s="16">
        <f>IF($A27="","",IF($L27="Y",$N27+N(act_Rate)-IF(UPPER(TRIM(act_RateType&amp;""))="REPLACE",N(act_PriorRate),0),$N27))</f>
        <v/>
      </c>
      <c r="P27" s="17">
        <f>IF($A27="","",N(Items!G27)*$N27)</f>
        <v/>
      </c>
      <c r="Q27" s="17">
        <f>IF($A27="","",N(Items!G27)*$O27)</f>
        <v/>
      </c>
      <c r="R27" s="17">
        <f>IF($A27="","",$Q27-$P27)</f>
        <v/>
      </c>
      <c r="S27" s="17">
        <f>IF($A27="","",N(Items!J27)+$R27)</f>
        <v/>
      </c>
      <c r="T27" s="16">
        <f>IF($A27="","",IF(N(Items!K27)=0,"",(N(Items!K27)-N(Items!J27))/N(Items!K27)))</f>
        <v/>
      </c>
      <c r="U27" s="16">
        <f>IF($A27="","",IF(N(Items!K27)=0,"",(N(Items!K27)-$S27)/N(Items!K27)))</f>
        <v/>
      </c>
      <c r="V27" s="16">
        <f>IF(OR($T27="",$U27=""),"",$U27-$T27)</f>
        <v/>
      </c>
      <c r="W27" s="18">
        <f>IF($A27="","",N(Items!H27))</f>
        <v/>
      </c>
      <c r="X27" s="19">
        <f>IF($A27="","",$R27*$W27)</f>
        <v/>
      </c>
      <c r="Y27" s="19">
        <f>IF($A27="","",N(Items!K27)*$W27)</f>
        <v/>
      </c>
      <c r="Z27" s="19">
        <f>IF($A27="","",(N(Items!K27)-N(Items!J27))*$W27)</f>
        <v/>
      </c>
      <c r="AA27" s="19">
        <f>IF($A27="","",$Z27-$X27)</f>
        <v/>
      </c>
      <c r="AB27" s="10">
        <f>IF($A27="","",IF(TRIM(Items!C27&amp;"")="","CHECK: import country missing",IF(OR(LEN($C27)&lt;&gt;10,ISERROR(VALUE($C27))),"CHECK: HTS must be 10 digits",IF(LEN($E27)&lt;&gt;2,"CHECK: origin code missing or not 2 letters",IF(OR(Items!G27="",Items!I27="",Items!J27=""),"CHECK: value, rate or cost missing",IF(ISNUMBER(Items!G27)*ISNUMBER(Items!I27)*ISNUMBER(Items!J27)=0,"CHECK: text in a number column",IF(AND($L27="Y",UPPER(TRIM(act_RateType&amp;""))="REPLACE",$N27&lt;N(act_PriorRate)),"CHECK: current rate is below the rate being replaced",IF(AND($L27="Y",$W27=0),"NOTE: in scope, no volume","OK"))))))))</f>
        <v/>
      </c>
      <c r="AC27" s="20">
        <f>IF($A27="","",IF(AND($L27="Y",$X27&lt;&gt;0),ABS($X27)+ROW()/1000000000,""))</f>
        <v/>
      </c>
    </row>
    <row r="28">
      <c r="A28" s="10">
        <f>IF(TRIM(Items!A28&amp;"")="","",TRIM(Items!A28&amp;""))</f>
        <v/>
      </c>
      <c r="B28" s="10">
        <f>IF($A28="","",Items!B28&amp;"")</f>
        <v/>
      </c>
      <c r="C28" s="10">
        <f>IF($A28="","",SUBSTITUTE(SUBSTITUTE(SUBSTITUTE(TRIM(Items!D28&amp;""),".","")," ",""),"-",""))</f>
        <v/>
      </c>
      <c r="D28" s="10">
        <f>IF($A28="","",LEFT($C28,2))</f>
        <v/>
      </c>
      <c r="E28" s="10">
        <f>IF($A28="","",UPPER(TRIM(Items!E28&amp;"")))</f>
        <v/>
      </c>
      <c r="F28" s="10">
        <f>IF($A28="","",IF(UPPER(TRIM(Items!C28&amp;""))=UPPER(TRIM(act_Country&amp;"")),"Y","N"))</f>
        <v/>
      </c>
      <c r="G28" s="10">
        <f>IF($A28="","",IF(SUMPRODUCT((scope_HTS&lt;&gt;"")*(LEFT($C28,LEN(scope_HTS))=scope_HTS))&gt;0,"Y","N"))</f>
        <v/>
      </c>
      <c r="H28" s="10">
        <f>IF($A28="","",IF(SUMPRODUCT((excl_HTS&lt;&gt;"")*(LEFT($C28,LEN(excl_HTS))=excl_HTS))&gt;0,"Y","N"))</f>
        <v/>
      </c>
      <c r="I28" s="10">
        <f>IF($A28="","",IF($E28="","N",IF(COUNTIF(scope_COO,$E28)&gt;0,"Y","N")))</f>
        <v/>
      </c>
      <c r="J28" s="10">
        <f>IF($A28="","",IF(AND(UPPER(TRIM(act_USMCAExempt&amp;""))="Y",UPPER(TRIM(Items!F28&amp;""))="Y"),"Y","N"))</f>
        <v/>
      </c>
      <c r="K28" s="10">
        <f>IF($A28="","",IFERROR(UPPER(TRIM(INDEX(det_Status,MATCH($A28,det_Item,0))&amp;"")),""))</f>
        <v/>
      </c>
      <c r="L28" s="10">
        <f>IF($A28="","",IF($K28="IN","Y",IF($K28="OUT","N",IF(AND($F28="Y",$G28="Y",$H28="N",$I28="Y",$J28="N"),"Y","N"))))</f>
        <v/>
      </c>
      <c r="M28" s="10">
        <f>IF($A28="","",IF($K28="IN","In: Research determination",IF($K28="OUT","Out: Research determination",IF($F28="N","Out: different import country",IF($G28="N","Out: HTS not on scope list",IF($H28="Y","Out: HTS on exclusion list",IF($I28="N","Out: origin not on scope list",IF($J28="Y","Out: USMCA-qualifying, exempt","In: matches scope rules"))))))))</f>
        <v/>
      </c>
      <c r="N28" s="16">
        <f>IF($A28="","",N(Items!I28))</f>
        <v/>
      </c>
      <c r="O28" s="16">
        <f>IF($A28="","",IF($L28="Y",$N28+N(act_Rate)-IF(UPPER(TRIM(act_RateType&amp;""))="REPLACE",N(act_PriorRate),0),$N28))</f>
        <v/>
      </c>
      <c r="P28" s="17">
        <f>IF($A28="","",N(Items!G28)*$N28)</f>
        <v/>
      </c>
      <c r="Q28" s="17">
        <f>IF($A28="","",N(Items!G28)*$O28)</f>
        <v/>
      </c>
      <c r="R28" s="17">
        <f>IF($A28="","",$Q28-$P28)</f>
        <v/>
      </c>
      <c r="S28" s="17">
        <f>IF($A28="","",N(Items!J28)+$R28)</f>
        <v/>
      </c>
      <c r="T28" s="16">
        <f>IF($A28="","",IF(N(Items!K28)=0,"",(N(Items!K28)-N(Items!J28))/N(Items!K28)))</f>
        <v/>
      </c>
      <c r="U28" s="16">
        <f>IF($A28="","",IF(N(Items!K28)=0,"",(N(Items!K28)-$S28)/N(Items!K28)))</f>
        <v/>
      </c>
      <c r="V28" s="16">
        <f>IF(OR($T28="",$U28=""),"",$U28-$T28)</f>
        <v/>
      </c>
      <c r="W28" s="18">
        <f>IF($A28="","",N(Items!H28))</f>
        <v/>
      </c>
      <c r="X28" s="19">
        <f>IF($A28="","",$R28*$W28)</f>
        <v/>
      </c>
      <c r="Y28" s="19">
        <f>IF($A28="","",N(Items!K28)*$W28)</f>
        <v/>
      </c>
      <c r="Z28" s="19">
        <f>IF($A28="","",(N(Items!K28)-N(Items!J28))*$W28)</f>
        <v/>
      </c>
      <c r="AA28" s="19">
        <f>IF($A28="","",$Z28-$X28)</f>
        <v/>
      </c>
      <c r="AB28" s="10">
        <f>IF($A28="","",IF(TRIM(Items!C28&amp;"")="","CHECK: import country missing",IF(OR(LEN($C28)&lt;&gt;10,ISERROR(VALUE($C28))),"CHECK: HTS must be 10 digits",IF(LEN($E28)&lt;&gt;2,"CHECK: origin code missing or not 2 letters",IF(OR(Items!G28="",Items!I28="",Items!J28=""),"CHECK: value, rate or cost missing",IF(ISNUMBER(Items!G28)*ISNUMBER(Items!I28)*ISNUMBER(Items!J28)=0,"CHECK: text in a number column",IF(AND($L28="Y",UPPER(TRIM(act_RateType&amp;""))="REPLACE",$N28&lt;N(act_PriorRate)),"CHECK: current rate is below the rate being replaced",IF(AND($L28="Y",$W28=0),"NOTE: in scope, no volume","OK"))))))))</f>
        <v/>
      </c>
      <c r="AC28" s="20">
        <f>IF($A28="","",IF(AND($L28="Y",$X28&lt;&gt;0),ABS($X28)+ROW()/1000000000,""))</f>
        <v/>
      </c>
    </row>
    <row r="29">
      <c r="A29" s="10">
        <f>IF(TRIM(Items!A29&amp;"")="","",TRIM(Items!A29&amp;""))</f>
        <v/>
      </c>
      <c r="B29" s="10">
        <f>IF($A29="","",Items!B29&amp;"")</f>
        <v/>
      </c>
      <c r="C29" s="10">
        <f>IF($A29="","",SUBSTITUTE(SUBSTITUTE(SUBSTITUTE(TRIM(Items!D29&amp;""),".","")," ",""),"-",""))</f>
        <v/>
      </c>
      <c r="D29" s="10">
        <f>IF($A29="","",LEFT($C29,2))</f>
        <v/>
      </c>
      <c r="E29" s="10">
        <f>IF($A29="","",UPPER(TRIM(Items!E29&amp;"")))</f>
        <v/>
      </c>
      <c r="F29" s="10">
        <f>IF($A29="","",IF(UPPER(TRIM(Items!C29&amp;""))=UPPER(TRIM(act_Country&amp;"")),"Y","N"))</f>
        <v/>
      </c>
      <c r="G29" s="10">
        <f>IF($A29="","",IF(SUMPRODUCT((scope_HTS&lt;&gt;"")*(LEFT($C29,LEN(scope_HTS))=scope_HTS))&gt;0,"Y","N"))</f>
        <v/>
      </c>
      <c r="H29" s="10">
        <f>IF($A29="","",IF(SUMPRODUCT((excl_HTS&lt;&gt;"")*(LEFT($C29,LEN(excl_HTS))=excl_HTS))&gt;0,"Y","N"))</f>
        <v/>
      </c>
      <c r="I29" s="10">
        <f>IF($A29="","",IF($E29="","N",IF(COUNTIF(scope_COO,$E29)&gt;0,"Y","N")))</f>
        <v/>
      </c>
      <c r="J29" s="10">
        <f>IF($A29="","",IF(AND(UPPER(TRIM(act_USMCAExempt&amp;""))="Y",UPPER(TRIM(Items!F29&amp;""))="Y"),"Y","N"))</f>
        <v/>
      </c>
      <c r="K29" s="10">
        <f>IF($A29="","",IFERROR(UPPER(TRIM(INDEX(det_Status,MATCH($A29,det_Item,0))&amp;"")),""))</f>
        <v/>
      </c>
      <c r="L29" s="10">
        <f>IF($A29="","",IF($K29="IN","Y",IF($K29="OUT","N",IF(AND($F29="Y",$G29="Y",$H29="N",$I29="Y",$J29="N"),"Y","N"))))</f>
        <v/>
      </c>
      <c r="M29" s="10">
        <f>IF($A29="","",IF($K29="IN","In: Research determination",IF($K29="OUT","Out: Research determination",IF($F29="N","Out: different import country",IF($G29="N","Out: HTS not on scope list",IF($H29="Y","Out: HTS on exclusion list",IF($I29="N","Out: origin not on scope list",IF($J29="Y","Out: USMCA-qualifying, exempt","In: matches scope rules"))))))))</f>
        <v/>
      </c>
      <c r="N29" s="16">
        <f>IF($A29="","",N(Items!I29))</f>
        <v/>
      </c>
      <c r="O29" s="16">
        <f>IF($A29="","",IF($L29="Y",$N29+N(act_Rate)-IF(UPPER(TRIM(act_RateType&amp;""))="REPLACE",N(act_PriorRate),0),$N29))</f>
        <v/>
      </c>
      <c r="P29" s="17">
        <f>IF($A29="","",N(Items!G29)*$N29)</f>
        <v/>
      </c>
      <c r="Q29" s="17">
        <f>IF($A29="","",N(Items!G29)*$O29)</f>
        <v/>
      </c>
      <c r="R29" s="17">
        <f>IF($A29="","",$Q29-$P29)</f>
        <v/>
      </c>
      <c r="S29" s="17">
        <f>IF($A29="","",N(Items!J29)+$R29)</f>
        <v/>
      </c>
      <c r="T29" s="16">
        <f>IF($A29="","",IF(N(Items!K29)=0,"",(N(Items!K29)-N(Items!J29))/N(Items!K29)))</f>
        <v/>
      </c>
      <c r="U29" s="16">
        <f>IF($A29="","",IF(N(Items!K29)=0,"",(N(Items!K29)-$S29)/N(Items!K29)))</f>
        <v/>
      </c>
      <c r="V29" s="16">
        <f>IF(OR($T29="",$U29=""),"",$U29-$T29)</f>
        <v/>
      </c>
      <c r="W29" s="18">
        <f>IF($A29="","",N(Items!H29))</f>
        <v/>
      </c>
      <c r="X29" s="19">
        <f>IF($A29="","",$R29*$W29)</f>
        <v/>
      </c>
      <c r="Y29" s="19">
        <f>IF($A29="","",N(Items!K29)*$W29)</f>
        <v/>
      </c>
      <c r="Z29" s="19">
        <f>IF($A29="","",(N(Items!K29)-N(Items!J29))*$W29)</f>
        <v/>
      </c>
      <c r="AA29" s="19">
        <f>IF($A29="","",$Z29-$X29)</f>
        <v/>
      </c>
      <c r="AB29" s="10">
        <f>IF($A29="","",IF(TRIM(Items!C29&amp;"")="","CHECK: import country missing",IF(OR(LEN($C29)&lt;&gt;10,ISERROR(VALUE($C29))),"CHECK: HTS must be 10 digits",IF(LEN($E29)&lt;&gt;2,"CHECK: origin code missing or not 2 letters",IF(OR(Items!G29="",Items!I29="",Items!J29=""),"CHECK: value, rate or cost missing",IF(ISNUMBER(Items!G29)*ISNUMBER(Items!I29)*ISNUMBER(Items!J29)=0,"CHECK: text in a number column",IF(AND($L29="Y",UPPER(TRIM(act_RateType&amp;""))="REPLACE",$N29&lt;N(act_PriorRate)),"CHECK: current rate is below the rate being replaced",IF(AND($L29="Y",$W29=0),"NOTE: in scope, no volume","OK"))))))))</f>
        <v/>
      </c>
      <c r="AC29" s="20">
        <f>IF($A29="","",IF(AND($L29="Y",$X29&lt;&gt;0),ABS($X29)+ROW()/1000000000,""))</f>
        <v/>
      </c>
    </row>
    <row r="30">
      <c r="A30" s="10">
        <f>IF(TRIM(Items!A30&amp;"")="","",TRIM(Items!A30&amp;""))</f>
        <v/>
      </c>
      <c r="B30" s="10">
        <f>IF($A30="","",Items!B30&amp;"")</f>
        <v/>
      </c>
      <c r="C30" s="10">
        <f>IF($A30="","",SUBSTITUTE(SUBSTITUTE(SUBSTITUTE(TRIM(Items!D30&amp;""),".","")," ",""),"-",""))</f>
        <v/>
      </c>
      <c r="D30" s="10">
        <f>IF($A30="","",LEFT($C30,2))</f>
        <v/>
      </c>
      <c r="E30" s="10">
        <f>IF($A30="","",UPPER(TRIM(Items!E30&amp;"")))</f>
        <v/>
      </c>
      <c r="F30" s="10">
        <f>IF($A30="","",IF(UPPER(TRIM(Items!C30&amp;""))=UPPER(TRIM(act_Country&amp;"")),"Y","N"))</f>
        <v/>
      </c>
      <c r="G30" s="10">
        <f>IF($A30="","",IF(SUMPRODUCT((scope_HTS&lt;&gt;"")*(LEFT($C30,LEN(scope_HTS))=scope_HTS))&gt;0,"Y","N"))</f>
        <v/>
      </c>
      <c r="H30" s="10">
        <f>IF($A30="","",IF(SUMPRODUCT((excl_HTS&lt;&gt;"")*(LEFT($C30,LEN(excl_HTS))=excl_HTS))&gt;0,"Y","N"))</f>
        <v/>
      </c>
      <c r="I30" s="10">
        <f>IF($A30="","",IF($E30="","N",IF(COUNTIF(scope_COO,$E30)&gt;0,"Y","N")))</f>
        <v/>
      </c>
      <c r="J30" s="10">
        <f>IF($A30="","",IF(AND(UPPER(TRIM(act_USMCAExempt&amp;""))="Y",UPPER(TRIM(Items!F30&amp;""))="Y"),"Y","N"))</f>
        <v/>
      </c>
      <c r="K30" s="10">
        <f>IF($A30="","",IFERROR(UPPER(TRIM(INDEX(det_Status,MATCH($A30,det_Item,0))&amp;"")),""))</f>
        <v/>
      </c>
      <c r="L30" s="10">
        <f>IF($A30="","",IF($K30="IN","Y",IF($K30="OUT","N",IF(AND($F30="Y",$G30="Y",$H30="N",$I30="Y",$J30="N"),"Y","N"))))</f>
        <v/>
      </c>
      <c r="M30" s="10">
        <f>IF($A30="","",IF($K30="IN","In: Research determination",IF($K30="OUT","Out: Research determination",IF($F30="N","Out: different import country",IF($G30="N","Out: HTS not on scope list",IF($H30="Y","Out: HTS on exclusion list",IF($I30="N","Out: origin not on scope list",IF($J30="Y","Out: USMCA-qualifying, exempt","In: matches scope rules"))))))))</f>
        <v/>
      </c>
      <c r="N30" s="16">
        <f>IF($A30="","",N(Items!I30))</f>
        <v/>
      </c>
      <c r="O30" s="16">
        <f>IF($A30="","",IF($L30="Y",$N30+N(act_Rate)-IF(UPPER(TRIM(act_RateType&amp;""))="REPLACE",N(act_PriorRate),0),$N30))</f>
        <v/>
      </c>
      <c r="P30" s="17">
        <f>IF($A30="","",N(Items!G30)*$N30)</f>
        <v/>
      </c>
      <c r="Q30" s="17">
        <f>IF($A30="","",N(Items!G30)*$O30)</f>
        <v/>
      </c>
      <c r="R30" s="17">
        <f>IF($A30="","",$Q30-$P30)</f>
        <v/>
      </c>
      <c r="S30" s="17">
        <f>IF($A30="","",N(Items!J30)+$R30)</f>
        <v/>
      </c>
      <c r="T30" s="16">
        <f>IF($A30="","",IF(N(Items!K30)=0,"",(N(Items!K30)-N(Items!J30))/N(Items!K30)))</f>
        <v/>
      </c>
      <c r="U30" s="16">
        <f>IF($A30="","",IF(N(Items!K30)=0,"",(N(Items!K30)-$S30)/N(Items!K30)))</f>
        <v/>
      </c>
      <c r="V30" s="16">
        <f>IF(OR($T30="",$U30=""),"",$U30-$T30)</f>
        <v/>
      </c>
      <c r="W30" s="18">
        <f>IF($A30="","",N(Items!H30))</f>
        <v/>
      </c>
      <c r="X30" s="19">
        <f>IF($A30="","",$R30*$W30)</f>
        <v/>
      </c>
      <c r="Y30" s="19">
        <f>IF($A30="","",N(Items!K30)*$W30)</f>
        <v/>
      </c>
      <c r="Z30" s="19">
        <f>IF($A30="","",(N(Items!K30)-N(Items!J30))*$W30)</f>
        <v/>
      </c>
      <c r="AA30" s="19">
        <f>IF($A30="","",$Z30-$X30)</f>
        <v/>
      </c>
      <c r="AB30" s="10">
        <f>IF($A30="","",IF(TRIM(Items!C30&amp;"")="","CHECK: import country missing",IF(OR(LEN($C30)&lt;&gt;10,ISERROR(VALUE($C30))),"CHECK: HTS must be 10 digits",IF(LEN($E30)&lt;&gt;2,"CHECK: origin code missing or not 2 letters",IF(OR(Items!G30="",Items!I30="",Items!J30=""),"CHECK: value, rate or cost missing",IF(ISNUMBER(Items!G30)*ISNUMBER(Items!I30)*ISNUMBER(Items!J30)=0,"CHECK: text in a number column",IF(AND($L30="Y",UPPER(TRIM(act_RateType&amp;""))="REPLACE",$N30&lt;N(act_PriorRate)),"CHECK: current rate is below the rate being replaced",IF(AND($L30="Y",$W30=0),"NOTE: in scope, no volume","OK"))))))))</f>
        <v/>
      </c>
      <c r="AC30" s="20">
        <f>IF($A30="","",IF(AND($L30="Y",$X30&lt;&gt;0),ABS($X30)+ROW()/1000000000,""))</f>
        <v/>
      </c>
    </row>
    <row r="31">
      <c r="A31" s="10">
        <f>IF(TRIM(Items!A31&amp;"")="","",TRIM(Items!A31&amp;""))</f>
        <v/>
      </c>
      <c r="B31" s="10">
        <f>IF($A31="","",Items!B31&amp;"")</f>
        <v/>
      </c>
      <c r="C31" s="10">
        <f>IF($A31="","",SUBSTITUTE(SUBSTITUTE(SUBSTITUTE(TRIM(Items!D31&amp;""),".","")," ",""),"-",""))</f>
        <v/>
      </c>
      <c r="D31" s="10">
        <f>IF($A31="","",LEFT($C31,2))</f>
        <v/>
      </c>
      <c r="E31" s="10">
        <f>IF($A31="","",UPPER(TRIM(Items!E31&amp;"")))</f>
        <v/>
      </c>
      <c r="F31" s="10">
        <f>IF($A31="","",IF(UPPER(TRIM(Items!C31&amp;""))=UPPER(TRIM(act_Country&amp;"")),"Y","N"))</f>
        <v/>
      </c>
      <c r="G31" s="10">
        <f>IF($A31="","",IF(SUMPRODUCT((scope_HTS&lt;&gt;"")*(LEFT($C31,LEN(scope_HTS))=scope_HTS))&gt;0,"Y","N"))</f>
        <v/>
      </c>
      <c r="H31" s="10">
        <f>IF($A31="","",IF(SUMPRODUCT((excl_HTS&lt;&gt;"")*(LEFT($C31,LEN(excl_HTS))=excl_HTS))&gt;0,"Y","N"))</f>
        <v/>
      </c>
      <c r="I31" s="10">
        <f>IF($A31="","",IF($E31="","N",IF(COUNTIF(scope_COO,$E31)&gt;0,"Y","N")))</f>
        <v/>
      </c>
      <c r="J31" s="10">
        <f>IF($A31="","",IF(AND(UPPER(TRIM(act_USMCAExempt&amp;""))="Y",UPPER(TRIM(Items!F31&amp;""))="Y"),"Y","N"))</f>
        <v/>
      </c>
      <c r="K31" s="10">
        <f>IF($A31="","",IFERROR(UPPER(TRIM(INDEX(det_Status,MATCH($A31,det_Item,0))&amp;"")),""))</f>
        <v/>
      </c>
      <c r="L31" s="10">
        <f>IF($A31="","",IF($K31="IN","Y",IF($K31="OUT","N",IF(AND($F31="Y",$G31="Y",$H31="N",$I31="Y",$J31="N"),"Y","N"))))</f>
        <v/>
      </c>
      <c r="M31" s="10">
        <f>IF($A31="","",IF($K31="IN","In: Research determination",IF($K31="OUT","Out: Research determination",IF($F31="N","Out: different import country",IF($G31="N","Out: HTS not on scope list",IF($H31="Y","Out: HTS on exclusion list",IF($I31="N","Out: origin not on scope list",IF($J31="Y","Out: USMCA-qualifying, exempt","In: matches scope rules"))))))))</f>
        <v/>
      </c>
      <c r="N31" s="16">
        <f>IF($A31="","",N(Items!I31))</f>
        <v/>
      </c>
      <c r="O31" s="16">
        <f>IF($A31="","",IF($L31="Y",$N31+N(act_Rate)-IF(UPPER(TRIM(act_RateType&amp;""))="REPLACE",N(act_PriorRate),0),$N31))</f>
        <v/>
      </c>
      <c r="P31" s="17">
        <f>IF($A31="","",N(Items!G31)*$N31)</f>
        <v/>
      </c>
      <c r="Q31" s="17">
        <f>IF($A31="","",N(Items!G31)*$O31)</f>
        <v/>
      </c>
      <c r="R31" s="17">
        <f>IF($A31="","",$Q31-$P31)</f>
        <v/>
      </c>
      <c r="S31" s="17">
        <f>IF($A31="","",N(Items!J31)+$R31)</f>
        <v/>
      </c>
      <c r="T31" s="16">
        <f>IF($A31="","",IF(N(Items!K31)=0,"",(N(Items!K31)-N(Items!J31))/N(Items!K31)))</f>
        <v/>
      </c>
      <c r="U31" s="16">
        <f>IF($A31="","",IF(N(Items!K31)=0,"",(N(Items!K31)-$S31)/N(Items!K31)))</f>
        <v/>
      </c>
      <c r="V31" s="16">
        <f>IF(OR($T31="",$U31=""),"",$U31-$T31)</f>
        <v/>
      </c>
      <c r="W31" s="18">
        <f>IF($A31="","",N(Items!H31))</f>
        <v/>
      </c>
      <c r="X31" s="19">
        <f>IF($A31="","",$R31*$W31)</f>
        <v/>
      </c>
      <c r="Y31" s="19">
        <f>IF($A31="","",N(Items!K31)*$W31)</f>
        <v/>
      </c>
      <c r="Z31" s="19">
        <f>IF($A31="","",(N(Items!K31)-N(Items!J31))*$W31)</f>
        <v/>
      </c>
      <c r="AA31" s="19">
        <f>IF($A31="","",$Z31-$X31)</f>
        <v/>
      </c>
      <c r="AB31" s="10">
        <f>IF($A31="","",IF(TRIM(Items!C31&amp;"")="","CHECK: import country missing",IF(OR(LEN($C31)&lt;&gt;10,ISERROR(VALUE($C31))),"CHECK: HTS must be 10 digits",IF(LEN($E31)&lt;&gt;2,"CHECK: origin code missing or not 2 letters",IF(OR(Items!G31="",Items!I31="",Items!J31=""),"CHECK: value, rate or cost missing",IF(ISNUMBER(Items!G31)*ISNUMBER(Items!I31)*ISNUMBER(Items!J31)=0,"CHECK: text in a number column",IF(AND($L31="Y",UPPER(TRIM(act_RateType&amp;""))="REPLACE",$N31&lt;N(act_PriorRate)),"CHECK: current rate is below the rate being replaced",IF(AND($L31="Y",$W31=0),"NOTE: in scope, no volume","OK"))))))))</f>
        <v/>
      </c>
      <c r="AC31" s="20">
        <f>IF($A31="","",IF(AND($L31="Y",$X31&lt;&gt;0),ABS($X31)+ROW()/1000000000,""))</f>
        <v/>
      </c>
    </row>
    <row r="32">
      <c r="A32" s="10">
        <f>IF(TRIM(Items!A32&amp;"")="","",TRIM(Items!A32&amp;""))</f>
        <v/>
      </c>
      <c r="B32" s="10">
        <f>IF($A32="","",Items!B32&amp;"")</f>
        <v/>
      </c>
      <c r="C32" s="10">
        <f>IF($A32="","",SUBSTITUTE(SUBSTITUTE(SUBSTITUTE(TRIM(Items!D32&amp;""),".","")," ",""),"-",""))</f>
        <v/>
      </c>
      <c r="D32" s="10">
        <f>IF($A32="","",LEFT($C32,2))</f>
        <v/>
      </c>
      <c r="E32" s="10">
        <f>IF($A32="","",UPPER(TRIM(Items!E32&amp;"")))</f>
        <v/>
      </c>
      <c r="F32" s="10">
        <f>IF($A32="","",IF(UPPER(TRIM(Items!C32&amp;""))=UPPER(TRIM(act_Country&amp;"")),"Y","N"))</f>
        <v/>
      </c>
      <c r="G32" s="10">
        <f>IF($A32="","",IF(SUMPRODUCT((scope_HTS&lt;&gt;"")*(LEFT($C32,LEN(scope_HTS))=scope_HTS))&gt;0,"Y","N"))</f>
        <v/>
      </c>
      <c r="H32" s="10">
        <f>IF($A32="","",IF(SUMPRODUCT((excl_HTS&lt;&gt;"")*(LEFT($C32,LEN(excl_HTS))=excl_HTS))&gt;0,"Y","N"))</f>
        <v/>
      </c>
      <c r="I32" s="10">
        <f>IF($A32="","",IF($E32="","N",IF(COUNTIF(scope_COO,$E32)&gt;0,"Y","N")))</f>
        <v/>
      </c>
      <c r="J32" s="10">
        <f>IF($A32="","",IF(AND(UPPER(TRIM(act_USMCAExempt&amp;""))="Y",UPPER(TRIM(Items!F32&amp;""))="Y"),"Y","N"))</f>
        <v/>
      </c>
      <c r="K32" s="10">
        <f>IF($A32="","",IFERROR(UPPER(TRIM(INDEX(det_Status,MATCH($A32,det_Item,0))&amp;"")),""))</f>
        <v/>
      </c>
      <c r="L32" s="10">
        <f>IF($A32="","",IF($K32="IN","Y",IF($K32="OUT","N",IF(AND($F32="Y",$G32="Y",$H32="N",$I32="Y",$J32="N"),"Y","N"))))</f>
        <v/>
      </c>
      <c r="M32" s="10">
        <f>IF($A32="","",IF($K32="IN","In: Research determination",IF($K32="OUT","Out: Research determination",IF($F32="N","Out: different import country",IF($G32="N","Out: HTS not on scope list",IF($H32="Y","Out: HTS on exclusion list",IF($I32="N","Out: origin not on scope list",IF($J32="Y","Out: USMCA-qualifying, exempt","In: matches scope rules"))))))))</f>
        <v/>
      </c>
      <c r="N32" s="16">
        <f>IF($A32="","",N(Items!I32))</f>
        <v/>
      </c>
      <c r="O32" s="16">
        <f>IF($A32="","",IF($L32="Y",$N32+N(act_Rate)-IF(UPPER(TRIM(act_RateType&amp;""))="REPLACE",N(act_PriorRate),0),$N32))</f>
        <v/>
      </c>
      <c r="P32" s="17">
        <f>IF($A32="","",N(Items!G32)*$N32)</f>
        <v/>
      </c>
      <c r="Q32" s="17">
        <f>IF($A32="","",N(Items!G32)*$O32)</f>
        <v/>
      </c>
      <c r="R32" s="17">
        <f>IF($A32="","",$Q32-$P32)</f>
        <v/>
      </c>
      <c r="S32" s="17">
        <f>IF($A32="","",N(Items!J32)+$R32)</f>
        <v/>
      </c>
      <c r="T32" s="16">
        <f>IF($A32="","",IF(N(Items!K32)=0,"",(N(Items!K32)-N(Items!J32))/N(Items!K32)))</f>
        <v/>
      </c>
      <c r="U32" s="16">
        <f>IF($A32="","",IF(N(Items!K32)=0,"",(N(Items!K32)-$S32)/N(Items!K32)))</f>
        <v/>
      </c>
      <c r="V32" s="16">
        <f>IF(OR($T32="",$U32=""),"",$U32-$T32)</f>
        <v/>
      </c>
      <c r="W32" s="18">
        <f>IF($A32="","",N(Items!H32))</f>
        <v/>
      </c>
      <c r="X32" s="19">
        <f>IF($A32="","",$R32*$W32)</f>
        <v/>
      </c>
      <c r="Y32" s="19">
        <f>IF($A32="","",N(Items!K32)*$W32)</f>
        <v/>
      </c>
      <c r="Z32" s="19">
        <f>IF($A32="","",(N(Items!K32)-N(Items!J32))*$W32)</f>
        <v/>
      </c>
      <c r="AA32" s="19">
        <f>IF($A32="","",$Z32-$X32)</f>
        <v/>
      </c>
      <c r="AB32" s="10">
        <f>IF($A32="","",IF(TRIM(Items!C32&amp;"")="","CHECK: import country missing",IF(OR(LEN($C32)&lt;&gt;10,ISERROR(VALUE($C32))),"CHECK: HTS must be 10 digits",IF(LEN($E32)&lt;&gt;2,"CHECK: origin code missing or not 2 letters",IF(OR(Items!G32="",Items!I32="",Items!J32=""),"CHECK: value, rate or cost missing",IF(ISNUMBER(Items!G32)*ISNUMBER(Items!I32)*ISNUMBER(Items!J32)=0,"CHECK: text in a number column",IF(AND($L32="Y",UPPER(TRIM(act_RateType&amp;""))="REPLACE",$N32&lt;N(act_PriorRate)),"CHECK: current rate is below the rate being replaced",IF(AND($L32="Y",$W32=0),"NOTE: in scope, no volume","OK"))))))))</f>
        <v/>
      </c>
      <c r="AC32" s="20">
        <f>IF($A32="","",IF(AND($L32="Y",$X32&lt;&gt;0),ABS($X32)+ROW()/1000000000,""))</f>
        <v/>
      </c>
    </row>
    <row r="33">
      <c r="A33" s="10">
        <f>IF(TRIM(Items!A33&amp;"")="","",TRIM(Items!A33&amp;""))</f>
        <v/>
      </c>
      <c r="B33" s="10">
        <f>IF($A33="","",Items!B33&amp;"")</f>
        <v/>
      </c>
      <c r="C33" s="10">
        <f>IF($A33="","",SUBSTITUTE(SUBSTITUTE(SUBSTITUTE(TRIM(Items!D33&amp;""),".","")," ",""),"-",""))</f>
        <v/>
      </c>
      <c r="D33" s="10">
        <f>IF($A33="","",LEFT($C33,2))</f>
        <v/>
      </c>
      <c r="E33" s="10">
        <f>IF($A33="","",UPPER(TRIM(Items!E33&amp;"")))</f>
        <v/>
      </c>
      <c r="F33" s="10">
        <f>IF($A33="","",IF(UPPER(TRIM(Items!C33&amp;""))=UPPER(TRIM(act_Country&amp;"")),"Y","N"))</f>
        <v/>
      </c>
      <c r="G33" s="10">
        <f>IF($A33="","",IF(SUMPRODUCT((scope_HTS&lt;&gt;"")*(LEFT($C33,LEN(scope_HTS))=scope_HTS))&gt;0,"Y","N"))</f>
        <v/>
      </c>
      <c r="H33" s="10">
        <f>IF($A33="","",IF(SUMPRODUCT((excl_HTS&lt;&gt;"")*(LEFT($C33,LEN(excl_HTS))=excl_HTS))&gt;0,"Y","N"))</f>
        <v/>
      </c>
      <c r="I33" s="10">
        <f>IF($A33="","",IF($E33="","N",IF(COUNTIF(scope_COO,$E33)&gt;0,"Y","N")))</f>
        <v/>
      </c>
      <c r="J33" s="10">
        <f>IF($A33="","",IF(AND(UPPER(TRIM(act_USMCAExempt&amp;""))="Y",UPPER(TRIM(Items!F33&amp;""))="Y"),"Y","N"))</f>
        <v/>
      </c>
      <c r="K33" s="10">
        <f>IF($A33="","",IFERROR(UPPER(TRIM(INDEX(det_Status,MATCH($A33,det_Item,0))&amp;"")),""))</f>
        <v/>
      </c>
      <c r="L33" s="10">
        <f>IF($A33="","",IF($K33="IN","Y",IF($K33="OUT","N",IF(AND($F33="Y",$G33="Y",$H33="N",$I33="Y",$J33="N"),"Y","N"))))</f>
        <v/>
      </c>
      <c r="M33" s="10">
        <f>IF($A33="","",IF($K33="IN","In: Research determination",IF($K33="OUT","Out: Research determination",IF($F33="N","Out: different import country",IF($G33="N","Out: HTS not on scope list",IF($H33="Y","Out: HTS on exclusion list",IF($I33="N","Out: origin not on scope list",IF($J33="Y","Out: USMCA-qualifying, exempt","In: matches scope rules"))))))))</f>
        <v/>
      </c>
      <c r="N33" s="16">
        <f>IF($A33="","",N(Items!I33))</f>
        <v/>
      </c>
      <c r="O33" s="16">
        <f>IF($A33="","",IF($L33="Y",$N33+N(act_Rate)-IF(UPPER(TRIM(act_RateType&amp;""))="REPLACE",N(act_PriorRate),0),$N33))</f>
        <v/>
      </c>
      <c r="P33" s="17">
        <f>IF($A33="","",N(Items!G33)*$N33)</f>
        <v/>
      </c>
      <c r="Q33" s="17">
        <f>IF($A33="","",N(Items!G33)*$O33)</f>
        <v/>
      </c>
      <c r="R33" s="17">
        <f>IF($A33="","",$Q33-$P33)</f>
        <v/>
      </c>
      <c r="S33" s="17">
        <f>IF($A33="","",N(Items!J33)+$R33)</f>
        <v/>
      </c>
      <c r="T33" s="16">
        <f>IF($A33="","",IF(N(Items!K33)=0,"",(N(Items!K33)-N(Items!J33))/N(Items!K33)))</f>
        <v/>
      </c>
      <c r="U33" s="16">
        <f>IF($A33="","",IF(N(Items!K33)=0,"",(N(Items!K33)-$S33)/N(Items!K33)))</f>
        <v/>
      </c>
      <c r="V33" s="16">
        <f>IF(OR($T33="",$U33=""),"",$U33-$T33)</f>
        <v/>
      </c>
      <c r="W33" s="18">
        <f>IF($A33="","",N(Items!H33))</f>
        <v/>
      </c>
      <c r="X33" s="19">
        <f>IF($A33="","",$R33*$W33)</f>
        <v/>
      </c>
      <c r="Y33" s="19">
        <f>IF($A33="","",N(Items!K33)*$W33)</f>
        <v/>
      </c>
      <c r="Z33" s="19">
        <f>IF($A33="","",(N(Items!K33)-N(Items!J33))*$W33)</f>
        <v/>
      </c>
      <c r="AA33" s="19">
        <f>IF($A33="","",$Z33-$X33)</f>
        <v/>
      </c>
      <c r="AB33" s="10">
        <f>IF($A33="","",IF(TRIM(Items!C33&amp;"")="","CHECK: import country missing",IF(OR(LEN($C33)&lt;&gt;10,ISERROR(VALUE($C33))),"CHECK: HTS must be 10 digits",IF(LEN($E33)&lt;&gt;2,"CHECK: origin code missing or not 2 letters",IF(OR(Items!G33="",Items!I33="",Items!J33=""),"CHECK: value, rate or cost missing",IF(ISNUMBER(Items!G33)*ISNUMBER(Items!I33)*ISNUMBER(Items!J33)=0,"CHECK: text in a number column",IF(AND($L33="Y",UPPER(TRIM(act_RateType&amp;""))="REPLACE",$N33&lt;N(act_PriorRate)),"CHECK: current rate is below the rate being replaced",IF(AND($L33="Y",$W33=0),"NOTE: in scope, no volume","OK"))))))))</f>
        <v/>
      </c>
      <c r="AC33" s="20">
        <f>IF($A33="","",IF(AND($L33="Y",$X33&lt;&gt;0),ABS($X33)+ROW()/1000000000,""))</f>
        <v/>
      </c>
    </row>
    <row r="34">
      <c r="A34" s="10">
        <f>IF(TRIM(Items!A34&amp;"")="","",TRIM(Items!A34&amp;""))</f>
        <v/>
      </c>
      <c r="B34" s="10">
        <f>IF($A34="","",Items!B34&amp;"")</f>
        <v/>
      </c>
      <c r="C34" s="10">
        <f>IF($A34="","",SUBSTITUTE(SUBSTITUTE(SUBSTITUTE(TRIM(Items!D34&amp;""),".","")," ",""),"-",""))</f>
        <v/>
      </c>
      <c r="D34" s="10">
        <f>IF($A34="","",LEFT($C34,2))</f>
        <v/>
      </c>
      <c r="E34" s="10">
        <f>IF($A34="","",UPPER(TRIM(Items!E34&amp;"")))</f>
        <v/>
      </c>
      <c r="F34" s="10">
        <f>IF($A34="","",IF(UPPER(TRIM(Items!C34&amp;""))=UPPER(TRIM(act_Country&amp;"")),"Y","N"))</f>
        <v/>
      </c>
      <c r="G34" s="10">
        <f>IF($A34="","",IF(SUMPRODUCT((scope_HTS&lt;&gt;"")*(LEFT($C34,LEN(scope_HTS))=scope_HTS))&gt;0,"Y","N"))</f>
        <v/>
      </c>
      <c r="H34" s="10">
        <f>IF($A34="","",IF(SUMPRODUCT((excl_HTS&lt;&gt;"")*(LEFT($C34,LEN(excl_HTS))=excl_HTS))&gt;0,"Y","N"))</f>
        <v/>
      </c>
      <c r="I34" s="10">
        <f>IF($A34="","",IF($E34="","N",IF(COUNTIF(scope_COO,$E34)&gt;0,"Y","N")))</f>
        <v/>
      </c>
      <c r="J34" s="10">
        <f>IF($A34="","",IF(AND(UPPER(TRIM(act_USMCAExempt&amp;""))="Y",UPPER(TRIM(Items!F34&amp;""))="Y"),"Y","N"))</f>
        <v/>
      </c>
      <c r="K34" s="10">
        <f>IF($A34="","",IFERROR(UPPER(TRIM(INDEX(det_Status,MATCH($A34,det_Item,0))&amp;"")),""))</f>
        <v/>
      </c>
      <c r="L34" s="10">
        <f>IF($A34="","",IF($K34="IN","Y",IF($K34="OUT","N",IF(AND($F34="Y",$G34="Y",$H34="N",$I34="Y",$J34="N"),"Y","N"))))</f>
        <v/>
      </c>
      <c r="M34" s="10">
        <f>IF($A34="","",IF($K34="IN","In: Research determination",IF($K34="OUT","Out: Research determination",IF($F34="N","Out: different import country",IF($G34="N","Out: HTS not on scope list",IF($H34="Y","Out: HTS on exclusion list",IF($I34="N","Out: origin not on scope list",IF($J34="Y","Out: USMCA-qualifying, exempt","In: matches scope rules"))))))))</f>
        <v/>
      </c>
      <c r="N34" s="16">
        <f>IF($A34="","",N(Items!I34))</f>
        <v/>
      </c>
      <c r="O34" s="16">
        <f>IF($A34="","",IF($L34="Y",$N34+N(act_Rate)-IF(UPPER(TRIM(act_RateType&amp;""))="REPLACE",N(act_PriorRate),0),$N34))</f>
        <v/>
      </c>
      <c r="P34" s="17">
        <f>IF($A34="","",N(Items!G34)*$N34)</f>
        <v/>
      </c>
      <c r="Q34" s="17">
        <f>IF($A34="","",N(Items!G34)*$O34)</f>
        <v/>
      </c>
      <c r="R34" s="17">
        <f>IF($A34="","",$Q34-$P34)</f>
        <v/>
      </c>
      <c r="S34" s="17">
        <f>IF($A34="","",N(Items!J34)+$R34)</f>
        <v/>
      </c>
      <c r="T34" s="16">
        <f>IF($A34="","",IF(N(Items!K34)=0,"",(N(Items!K34)-N(Items!J34))/N(Items!K34)))</f>
        <v/>
      </c>
      <c r="U34" s="16">
        <f>IF($A34="","",IF(N(Items!K34)=0,"",(N(Items!K34)-$S34)/N(Items!K34)))</f>
        <v/>
      </c>
      <c r="V34" s="16">
        <f>IF(OR($T34="",$U34=""),"",$U34-$T34)</f>
        <v/>
      </c>
      <c r="W34" s="18">
        <f>IF($A34="","",N(Items!H34))</f>
        <v/>
      </c>
      <c r="X34" s="19">
        <f>IF($A34="","",$R34*$W34)</f>
        <v/>
      </c>
      <c r="Y34" s="19">
        <f>IF($A34="","",N(Items!K34)*$W34)</f>
        <v/>
      </c>
      <c r="Z34" s="19">
        <f>IF($A34="","",(N(Items!K34)-N(Items!J34))*$W34)</f>
        <v/>
      </c>
      <c r="AA34" s="19">
        <f>IF($A34="","",$Z34-$X34)</f>
        <v/>
      </c>
      <c r="AB34" s="10">
        <f>IF($A34="","",IF(TRIM(Items!C34&amp;"")="","CHECK: import country missing",IF(OR(LEN($C34)&lt;&gt;10,ISERROR(VALUE($C34))),"CHECK: HTS must be 10 digits",IF(LEN($E34)&lt;&gt;2,"CHECK: origin code missing or not 2 letters",IF(OR(Items!G34="",Items!I34="",Items!J34=""),"CHECK: value, rate or cost missing",IF(ISNUMBER(Items!G34)*ISNUMBER(Items!I34)*ISNUMBER(Items!J34)=0,"CHECK: text in a number column",IF(AND($L34="Y",UPPER(TRIM(act_RateType&amp;""))="REPLACE",$N34&lt;N(act_PriorRate)),"CHECK: current rate is below the rate being replaced",IF(AND($L34="Y",$W34=0),"NOTE: in scope, no volume","OK"))))))))</f>
        <v/>
      </c>
      <c r="AC34" s="20">
        <f>IF($A34="","",IF(AND($L34="Y",$X34&lt;&gt;0),ABS($X34)+ROW()/1000000000,""))</f>
        <v/>
      </c>
    </row>
    <row r="35">
      <c r="A35" s="10">
        <f>IF(TRIM(Items!A35&amp;"")="","",TRIM(Items!A35&amp;""))</f>
        <v/>
      </c>
      <c r="B35" s="10">
        <f>IF($A35="","",Items!B35&amp;"")</f>
        <v/>
      </c>
      <c r="C35" s="10">
        <f>IF($A35="","",SUBSTITUTE(SUBSTITUTE(SUBSTITUTE(TRIM(Items!D35&amp;""),".","")," ",""),"-",""))</f>
        <v/>
      </c>
      <c r="D35" s="10">
        <f>IF($A35="","",LEFT($C35,2))</f>
        <v/>
      </c>
      <c r="E35" s="10">
        <f>IF($A35="","",UPPER(TRIM(Items!E35&amp;"")))</f>
        <v/>
      </c>
      <c r="F35" s="10">
        <f>IF($A35="","",IF(UPPER(TRIM(Items!C35&amp;""))=UPPER(TRIM(act_Country&amp;"")),"Y","N"))</f>
        <v/>
      </c>
      <c r="G35" s="10">
        <f>IF($A35="","",IF(SUMPRODUCT((scope_HTS&lt;&gt;"")*(LEFT($C35,LEN(scope_HTS))=scope_HTS))&gt;0,"Y","N"))</f>
        <v/>
      </c>
      <c r="H35" s="10">
        <f>IF($A35="","",IF(SUMPRODUCT((excl_HTS&lt;&gt;"")*(LEFT($C35,LEN(excl_HTS))=excl_HTS))&gt;0,"Y","N"))</f>
        <v/>
      </c>
      <c r="I35" s="10">
        <f>IF($A35="","",IF($E35="","N",IF(COUNTIF(scope_COO,$E35)&gt;0,"Y","N")))</f>
        <v/>
      </c>
      <c r="J35" s="10">
        <f>IF($A35="","",IF(AND(UPPER(TRIM(act_USMCAExempt&amp;""))="Y",UPPER(TRIM(Items!F35&amp;""))="Y"),"Y","N"))</f>
        <v/>
      </c>
      <c r="K35" s="10">
        <f>IF($A35="","",IFERROR(UPPER(TRIM(INDEX(det_Status,MATCH($A35,det_Item,0))&amp;"")),""))</f>
        <v/>
      </c>
      <c r="L35" s="10">
        <f>IF($A35="","",IF($K35="IN","Y",IF($K35="OUT","N",IF(AND($F35="Y",$G35="Y",$H35="N",$I35="Y",$J35="N"),"Y","N"))))</f>
        <v/>
      </c>
      <c r="M35" s="10">
        <f>IF($A35="","",IF($K35="IN","In: Research determination",IF($K35="OUT","Out: Research determination",IF($F35="N","Out: different import country",IF($G35="N","Out: HTS not on scope list",IF($H35="Y","Out: HTS on exclusion list",IF($I35="N","Out: origin not on scope list",IF($J35="Y","Out: USMCA-qualifying, exempt","In: matches scope rules"))))))))</f>
        <v/>
      </c>
      <c r="N35" s="16">
        <f>IF($A35="","",N(Items!I35))</f>
        <v/>
      </c>
      <c r="O35" s="16">
        <f>IF($A35="","",IF($L35="Y",$N35+N(act_Rate)-IF(UPPER(TRIM(act_RateType&amp;""))="REPLACE",N(act_PriorRate),0),$N35))</f>
        <v/>
      </c>
      <c r="P35" s="17">
        <f>IF($A35="","",N(Items!G35)*$N35)</f>
        <v/>
      </c>
      <c r="Q35" s="17">
        <f>IF($A35="","",N(Items!G35)*$O35)</f>
        <v/>
      </c>
      <c r="R35" s="17">
        <f>IF($A35="","",$Q35-$P35)</f>
        <v/>
      </c>
      <c r="S35" s="17">
        <f>IF($A35="","",N(Items!J35)+$R35)</f>
        <v/>
      </c>
      <c r="T35" s="16">
        <f>IF($A35="","",IF(N(Items!K35)=0,"",(N(Items!K35)-N(Items!J35))/N(Items!K35)))</f>
        <v/>
      </c>
      <c r="U35" s="16">
        <f>IF($A35="","",IF(N(Items!K35)=0,"",(N(Items!K35)-$S35)/N(Items!K35)))</f>
        <v/>
      </c>
      <c r="V35" s="16">
        <f>IF(OR($T35="",$U35=""),"",$U35-$T35)</f>
        <v/>
      </c>
      <c r="W35" s="18">
        <f>IF($A35="","",N(Items!H35))</f>
        <v/>
      </c>
      <c r="X35" s="19">
        <f>IF($A35="","",$R35*$W35)</f>
        <v/>
      </c>
      <c r="Y35" s="19">
        <f>IF($A35="","",N(Items!K35)*$W35)</f>
        <v/>
      </c>
      <c r="Z35" s="19">
        <f>IF($A35="","",(N(Items!K35)-N(Items!J35))*$W35)</f>
        <v/>
      </c>
      <c r="AA35" s="19">
        <f>IF($A35="","",$Z35-$X35)</f>
        <v/>
      </c>
      <c r="AB35" s="10">
        <f>IF($A35="","",IF(TRIM(Items!C35&amp;"")="","CHECK: import country missing",IF(OR(LEN($C35)&lt;&gt;10,ISERROR(VALUE($C35))),"CHECK: HTS must be 10 digits",IF(LEN($E35)&lt;&gt;2,"CHECK: origin code missing or not 2 letters",IF(OR(Items!G35="",Items!I35="",Items!J35=""),"CHECK: value, rate or cost missing",IF(ISNUMBER(Items!G35)*ISNUMBER(Items!I35)*ISNUMBER(Items!J35)=0,"CHECK: text in a number column",IF(AND($L35="Y",UPPER(TRIM(act_RateType&amp;""))="REPLACE",$N35&lt;N(act_PriorRate)),"CHECK: current rate is below the rate being replaced",IF(AND($L35="Y",$W35=0),"NOTE: in scope, no volume","OK"))))))))</f>
        <v/>
      </c>
      <c r="AC35" s="20">
        <f>IF($A35="","",IF(AND($L35="Y",$X35&lt;&gt;0),ABS($X35)+ROW()/1000000000,""))</f>
        <v/>
      </c>
    </row>
    <row r="36">
      <c r="A36" s="10">
        <f>IF(TRIM(Items!A36&amp;"")="","",TRIM(Items!A36&amp;""))</f>
        <v/>
      </c>
      <c r="B36" s="10">
        <f>IF($A36="","",Items!B36&amp;"")</f>
        <v/>
      </c>
      <c r="C36" s="10">
        <f>IF($A36="","",SUBSTITUTE(SUBSTITUTE(SUBSTITUTE(TRIM(Items!D36&amp;""),".","")," ",""),"-",""))</f>
        <v/>
      </c>
      <c r="D36" s="10">
        <f>IF($A36="","",LEFT($C36,2))</f>
        <v/>
      </c>
      <c r="E36" s="10">
        <f>IF($A36="","",UPPER(TRIM(Items!E36&amp;"")))</f>
        <v/>
      </c>
      <c r="F36" s="10">
        <f>IF($A36="","",IF(UPPER(TRIM(Items!C36&amp;""))=UPPER(TRIM(act_Country&amp;"")),"Y","N"))</f>
        <v/>
      </c>
      <c r="G36" s="10">
        <f>IF($A36="","",IF(SUMPRODUCT((scope_HTS&lt;&gt;"")*(LEFT($C36,LEN(scope_HTS))=scope_HTS))&gt;0,"Y","N"))</f>
        <v/>
      </c>
      <c r="H36" s="10">
        <f>IF($A36="","",IF(SUMPRODUCT((excl_HTS&lt;&gt;"")*(LEFT($C36,LEN(excl_HTS))=excl_HTS))&gt;0,"Y","N"))</f>
        <v/>
      </c>
      <c r="I36" s="10">
        <f>IF($A36="","",IF($E36="","N",IF(COUNTIF(scope_COO,$E36)&gt;0,"Y","N")))</f>
        <v/>
      </c>
      <c r="J36" s="10">
        <f>IF($A36="","",IF(AND(UPPER(TRIM(act_USMCAExempt&amp;""))="Y",UPPER(TRIM(Items!F36&amp;""))="Y"),"Y","N"))</f>
        <v/>
      </c>
      <c r="K36" s="10">
        <f>IF($A36="","",IFERROR(UPPER(TRIM(INDEX(det_Status,MATCH($A36,det_Item,0))&amp;"")),""))</f>
        <v/>
      </c>
      <c r="L36" s="10">
        <f>IF($A36="","",IF($K36="IN","Y",IF($K36="OUT","N",IF(AND($F36="Y",$G36="Y",$H36="N",$I36="Y",$J36="N"),"Y","N"))))</f>
        <v/>
      </c>
      <c r="M36" s="10">
        <f>IF($A36="","",IF($K36="IN","In: Research determination",IF($K36="OUT","Out: Research determination",IF($F36="N","Out: different import country",IF($G36="N","Out: HTS not on scope list",IF($H36="Y","Out: HTS on exclusion list",IF($I36="N","Out: origin not on scope list",IF($J36="Y","Out: USMCA-qualifying, exempt","In: matches scope rules"))))))))</f>
        <v/>
      </c>
      <c r="N36" s="16">
        <f>IF($A36="","",N(Items!I36))</f>
        <v/>
      </c>
      <c r="O36" s="16">
        <f>IF($A36="","",IF($L36="Y",$N36+N(act_Rate)-IF(UPPER(TRIM(act_RateType&amp;""))="REPLACE",N(act_PriorRate),0),$N36))</f>
        <v/>
      </c>
      <c r="P36" s="17">
        <f>IF($A36="","",N(Items!G36)*$N36)</f>
        <v/>
      </c>
      <c r="Q36" s="17">
        <f>IF($A36="","",N(Items!G36)*$O36)</f>
        <v/>
      </c>
      <c r="R36" s="17">
        <f>IF($A36="","",$Q36-$P36)</f>
        <v/>
      </c>
      <c r="S36" s="17">
        <f>IF($A36="","",N(Items!J36)+$R36)</f>
        <v/>
      </c>
      <c r="T36" s="16">
        <f>IF($A36="","",IF(N(Items!K36)=0,"",(N(Items!K36)-N(Items!J36))/N(Items!K36)))</f>
        <v/>
      </c>
      <c r="U36" s="16">
        <f>IF($A36="","",IF(N(Items!K36)=0,"",(N(Items!K36)-$S36)/N(Items!K36)))</f>
        <v/>
      </c>
      <c r="V36" s="16">
        <f>IF(OR($T36="",$U36=""),"",$U36-$T36)</f>
        <v/>
      </c>
      <c r="W36" s="18">
        <f>IF($A36="","",N(Items!H36))</f>
        <v/>
      </c>
      <c r="X36" s="19">
        <f>IF($A36="","",$R36*$W36)</f>
        <v/>
      </c>
      <c r="Y36" s="19">
        <f>IF($A36="","",N(Items!K36)*$W36)</f>
        <v/>
      </c>
      <c r="Z36" s="19">
        <f>IF($A36="","",(N(Items!K36)-N(Items!J36))*$W36)</f>
        <v/>
      </c>
      <c r="AA36" s="19">
        <f>IF($A36="","",$Z36-$X36)</f>
        <v/>
      </c>
      <c r="AB36" s="10">
        <f>IF($A36="","",IF(TRIM(Items!C36&amp;"")="","CHECK: import country missing",IF(OR(LEN($C36)&lt;&gt;10,ISERROR(VALUE($C36))),"CHECK: HTS must be 10 digits",IF(LEN($E36)&lt;&gt;2,"CHECK: origin code missing or not 2 letters",IF(OR(Items!G36="",Items!I36="",Items!J36=""),"CHECK: value, rate or cost missing",IF(ISNUMBER(Items!G36)*ISNUMBER(Items!I36)*ISNUMBER(Items!J36)=0,"CHECK: text in a number column",IF(AND($L36="Y",UPPER(TRIM(act_RateType&amp;""))="REPLACE",$N36&lt;N(act_PriorRate)),"CHECK: current rate is below the rate being replaced",IF(AND($L36="Y",$W36=0),"NOTE: in scope, no volume","OK"))))))))</f>
        <v/>
      </c>
      <c r="AC36" s="20">
        <f>IF($A36="","",IF(AND($L36="Y",$X36&lt;&gt;0),ABS($X36)+ROW()/1000000000,""))</f>
        <v/>
      </c>
    </row>
    <row r="37">
      <c r="A37" s="10">
        <f>IF(TRIM(Items!A37&amp;"")="","",TRIM(Items!A37&amp;""))</f>
        <v/>
      </c>
      <c r="B37" s="10">
        <f>IF($A37="","",Items!B37&amp;"")</f>
        <v/>
      </c>
      <c r="C37" s="10">
        <f>IF($A37="","",SUBSTITUTE(SUBSTITUTE(SUBSTITUTE(TRIM(Items!D37&amp;""),".","")," ",""),"-",""))</f>
        <v/>
      </c>
      <c r="D37" s="10">
        <f>IF($A37="","",LEFT($C37,2))</f>
        <v/>
      </c>
      <c r="E37" s="10">
        <f>IF($A37="","",UPPER(TRIM(Items!E37&amp;"")))</f>
        <v/>
      </c>
      <c r="F37" s="10">
        <f>IF($A37="","",IF(UPPER(TRIM(Items!C37&amp;""))=UPPER(TRIM(act_Country&amp;"")),"Y","N"))</f>
        <v/>
      </c>
      <c r="G37" s="10">
        <f>IF($A37="","",IF(SUMPRODUCT((scope_HTS&lt;&gt;"")*(LEFT($C37,LEN(scope_HTS))=scope_HTS))&gt;0,"Y","N"))</f>
        <v/>
      </c>
      <c r="H37" s="10">
        <f>IF($A37="","",IF(SUMPRODUCT((excl_HTS&lt;&gt;"")*(LEFT($C37,LEN(excl_HTS))=excl_HTS))&gt;0,"Y","N"))</f>
        <v/>
      </c>
      <c r="I37" s="10">
        <f>IF($A37="","",IF($E37="","N",IF(COUNTIF(scope_COO,$E37)&gt;0,"Y","N")))</f>
        <v/>
      </c>
      <c r="J37" s="10">
        <f>IF($A37="","",IF(AND(UPPER(TRIM(act_USMCAExempt&amp;""))="Y",UPPER(TRIM(Items!F37&amp;""))="Y"),"Y","N"))</f>
        <v/>
      </c>
      <c r="K37" s="10">
        <f>IF($A37="","",IFERROR(UPPER(TRIM(INDEX(det_Status,MATCH($A37,det_Item,0))&amp;"")),""))</f>
        <v/>
      </c>
      <c r="L37" s="10">
        <f>IF($A37="","",IF($K37="IN","Y",IF($K37="OUT","N",IF(AND($F37="Y",$G37="Y",$H37="N",$I37="Y",$J37="N"),"Y","N"))))</f>
        <v/>
      </c>
      <c r="M37" s="10">
        <f>IF($A37="","",IF($K37="IN","In: Research determination",IF($K37="OUT","Out: Research determination",IF($F37="N","Out: different import country",IF($G37="N","Out: HTS not on scope list",IF($H37="Y","Out: HTS on exclusion list",IF($I37="N","Out: origin not on scope list",IF($J37="Y","Out: USMCA-qualifying, exempt","In: matches scope rules"))))))))</f>
        <v/>
      </c>
      <c r="N37" s="16">
        <f>IF($A37="","",N(Items!I37))</f>
        <v/>
      </c>
      <c r="O37" s="16">
        <f>IF($A37="","",IF($L37="Y",$N37+N(act_Rate)-IF(UPPER(TRIM(act_RateType&amp;""))="REPLACE",N(act_PriorRate),0),$N37))</f>
        <v/>
      </c>
      <c r="P37" s="17">
        <f>IF($A37="","",N(Items!G37)*$N37)</f>
        <v/>
      </c>
      <c r="Q37" s="17">
        <f>IF($A37="","",N(Items!G37)*$O37)</f>
        <v/>
      </c>
      <c r="R37" s="17">
        <f>IF($A37="","",$Q37-$P37)</f>
        <v/>
      </c>
      <c r="S37" s="17">
        <f>IF($A37="","",N(Items!J37)+$R37)</f>
        <v/>
      </c>
      <c r="T37" s="16">
        <f>IF($A37="","",IF(N(Items!K37)=0,"",(N(Items!K37)-N(Items!J37))/N(Items!K37)))</f>
        <v/>
      </c>
      <c r="U37" s="16">
        <f>IF($A37="","",IF(N(Items!K37)=0,"",(N(Items!K37)-$S37)/N(Items!K37)))</f>
        <v/>
      </c>
      <c r="V37" s="16">
        <f>IF(OR($T37="",$U37=""),"",$U37-$T37)</f>
        <v/>
      </c>
      <c r="W37" s="18">
        <f>IF($A37="","",N(Items!H37))</f>
        <v/>
      </c>
      <c r="X37" s="19">
        <f>IF($A37="","",$R37*$W37)</f>
        <v/>
      </c>
      <c r="Y37" s="19">
        <f>IF($A37="","",N(Items!K37)*$W37)</f>
        <v/>
      </c>
      <c r="Z37" s="19">
        <f>IF($A37="","",(N(Items!K37)-N(Items!J37))*$W37)</f>
        <v/>
      </c>
      <c r="AA37" s="19">
        <f>IF($A37="","",$Z37-$X37)</f>
        <v/>
      </c>
      <c r="AB37" s="10">
        <f>IF($A37="","",IF(TRIM(Items!C37&amp;"")="","CHECK: import country missing",IF(OR(LEN($C37)&lt;&gt;10,ISERROR(VALUE($C37))),"CHECK: HTS must be 10 digits",IF(LEN($E37)&lt;&gt;2,"CHECK: origin code missing or not 2 letters",IF(OR(Items!G37="",Items!I37="",Items!J37=""),"CHECK: value, rate or cost missing",IF(ISNUMBER(Items!G37)*ISNUMBER(Items!I37)*ISNUMBER(Items!J37)=0,"CHECK: text in a number column",IF(AND($L37="Y",UPPER(TRIM(act_RateType&amp;""))="REPLACE",$N37&lt;N(act_PriorRate)),"CHECK: current rate is below the rate being replaced",IF(AND($L37="Y",$W37=0),"NOTE: in scope, no volume","OK"))))))))</f>
        <v/>
      </c>
      <c r="AC37" s="20">
        <f>IF($A37="","",IF(AND($L37="Y",$X37&lt;&gt;0),ABS($X37)+ROW()/1000000000,""))</f>
        <v/>
      </c>
    </row>
    <row r="38">
      <c r="A38" s="10">
        <f>IF(TRIM(Items!A38&amp;"")="","",TRIM(Items!A38&amp;""))</f>
        <v/>
      </c>
      <c r="B38" s="10">
        <f>IF($A38="","",Items!B38&amp;"")</f>
        <v/>
      </c>
      <c r="C38" s="10">
        <f>IF($A38="","",SUBSTITUTE(SUBSTITUTE(SUBSTITUTE(TRIM(Items!D38&amp;""),".","")," ",""),"-",""))</f>
        <v/>
      </c>
      <c r="D38" s="10">
        <f>IF($A38="","",LEFT($C38,2))</f>
        <v/>
      </c>
      <c r="E38" s="10">
        <f>IF($A38="","",UPPER(TRIM(Items!E38&amp;"")))</f>
        <v/>
      </c>
      <c r="F38" s="10">
        <f>IF($A38="","",IF(UPPER(TRIM(Items!C38&amp;""))=UPPER(TRIM(act_Country&amp;"")),"Y","N"))</f>
        <v/>
      </c>
      <c r="G38" s="10">
        <f>IF($A38="","",IF(SUMPRODUCT((scope_HTS&lt;&gt;"")*(LEFT($C38,LEN(scope_HTS))=scope_HTS))&gt;0,"Y","N"))</f>
        <v/>
      </c>
      <c r="H38" s="10">
        <f>IF($A38="","",IF(SUMPRODUCT((excl_HTS&lt;&gt;"")*(LEFT($C38,LEN(excl_HTS))=excl_HTS))&gt;0,"Y","N"))</f>
        <v/>
      </c>
      <c r="I38" s="10">
        <f>IF($A38="","",IF($E38="","N",IF(COUNTIF(scope_COO,$E38)&gt;0,"Y","N")))</f>
        <v/>
      </c>
      <c r="J38" s="10">
        <f>IF($A38="","",IF(AND(UPPER(TRIM(act_USMCAExempt&amp;""))="Y",UPPER(TRIM(Items!F38&amp;""))="Y"),"Y","N"))</f>
        <v/>
      </c>
      <c r="K38" s="10">
        <f>IF($A38="","",IFERROR(UPPER(TRIM(INDEX(det_Status,MATCH($A38,det_Item,0))&amp;"")),""))</f>
        <v/>
      </c>
      <c r="L38" s="10">
        <f>IF($A38="","",IF($K38="IN","Y",IF($K38="OUT","N",IF(AND($F38="Y",$G38="Y",$H38="N",$I38="Y",$J38="N"),"Y","N"))))</f>
        <v/>
      </c>
      <c r="M38" s="10">
        <f>IF($A38="","",IF($K38="IN","In: Research determination",IF($K38="OUT","Out: Research determination",IF($F38="N","Out: different import country",IF($G38="N","Out: HTS not on scope list",IF($H38="Y","Out: HTS on exclusion list",IF($I38="N","Out: origin not on scope list",IF($J38="Y","Out: USMCA-qualifying, exempt","In: matches scope rules"))))))))</f>
        <v/>
      </c>
      <c r="N38" s="16">
        <f>IF($A38="","",N(Items!I38))</f>
        <v/>
      </c>
      <c r="O38" s="16">
        <f>IF($A38="","",IF($L38="Y",$N38+N(act_Rate)-IF(UPPER(TRIM(act_RateType&amp;""))="REPLACE",N(act_PriorRate),0),$N38))</f>
        <v/>
      </c>
      <c r="P38" s="17">
        <f>IF($A38="","",N(Items!G38)*$N38)</f>
        <v/>
      </c>
      <c r="Q38" s="17">
        <f>IF($A38="","",N(Items!G38)*$O38)</f>
        <v/>
      </c>
      <c r="R38" s="17">
        <f>IF($A38="","",$Q38-$P38)</f>
        <v/>
      </c>
      <c r="S38" s="17">
        <f>IF($A38="","",N(Items!J38)+$R38)</f>
        <v/>
      </c>
      <c r="T38" s="16">
        <f>IF($A38="","",IF(N(Items!K38)=0,"",(N(Items!K38)-N(Items!J38))/N(Items!K38)))</f>
        <v/>
      </c>
      <c r="U38" s="16">
        <f>IF($A38="","",IF(N(Items!K38)=0,"",(N(Items!K38)-$S38)/N(Items!K38)))</f>
        <v/>
      </c>
      <c r="V38" s="16">
        <f>IF(OR($T38="",$U38=""),"",$U38-$T38)</f>
        <v/>
      </c>
      <c r="W38" s="18">
        <f>IF($A38="","",N(Items!H38))</f>
        <v/>
      </c>
      <c r="X38" s="19">
        <f>IF($A38="","",$R38*$W38)</f>
        <v/>
      </c>
      <c r="Y38" s="19">
        <f>IF($A38="","",N(Items!K38)*$W38)</f>
        <v/>
      </c>
      <c r="Z38" s="19">
        <f>IF($A38="","",(N(Items!K38)-N(Items!J38))*$W38)</f>
        <v/>
      </c>
      <c r="AA38" s="19">
        <f>IF($A38="","",$Z38-$X38)</f>
        <v/>
      </c>
      <c r="AB38" s="10">
        <f>IF($A38="","",IF(TRIM(Items!C38&amp;"")="","CHECK: import country missing",IF(OR(LEN($C38)&lt;&gt;10,ISERROR(VALUE($C38))),"CHECK: HTS must be 10 digits",IF(LEN($E38)&lt;&gt;2,"CHECK: origin code missing or not 2 letters",IF(OR(Items!G38="",Items!I38="",Items!J38=""),"CHECK: value, rate or cost missing",IF(ISNUMBER(Items!G38)*ISNUMBER(Items!I38)*ISNUMBER(Items!J38)=0,"CHECK: text in a number column",IF(AND($L38="Y",UPPER(TRIM(act_RateType&amp;""))="REPLACE",$N38&lt;N(act_PriorRate)),"CHECK: current rate is below the rate being replaced",IF(AND($L38="Y",$W38=0),"NOTE: in scope, no volume","OK"))))))))</f>
        <v/>
      </c>
      <c r="AC38" s="20">
        <f>IF($A38="","",IF(AND($L38="Y",$X38&lt;&gt;0),ABS($X38)+ROW()/1000000000,""))</f>
        <v/>
      </c>
    </row>
    <row r="39">
      <c r="A39" s="10">
        <f>IF(TRIM(Items!A39&amp;"")="","",TRIM(Items!A39&amp;""))</f>
        <v/>
      </c>
      <c r="B39" s="10">
        <f>IF($A39="","",Items!B39&amp;"")</f>
        <v/>
      </c>
      <c r="C39" s="10">
        <f>IF($A39="","",SUBSTITUTE(SUBSTITUTE(SUBSTITUTE(TRIM(Items!D39&amp;""),".","")," ",""),"-",""))</f>
        <v/>
      </c>
      <c r="D39" s="10">
        <f>IF($A39="","",LEFT($C39,2))</f>
        <v/>
      </c>
      <c r="E39" s="10">
        <f>IF($A39="","",UPPER(TRIM(Items!E39&amp;"")))</f>
        <v/>
      </c>
      <c r="F39" s="10">
        <f>IF($A39="","",IF(UPPER(TRIM(Items!C39&amp;""))=UPPER(TRIM(act_Country&amp;"")),"Y","N"))</f>
        <v/>
      </c>
      <c r="G39" s="10">
        <f>IF($A39="","",IF(SUMPRODUCT((scope_HTS&lt;&gt;"")*(LEFT($C39,LEN(scope_HTS))=scope_HTS))&gt;0,"Y","N"))</f>
        <v/>
      </c>
      <c r="H39" s="10">
        <f>IF($A39="","",IF(SUMPRODUCT((excl_HTS&lt;&gt;"")*(LEFT($C39,LEN(excl_HTS))=excl_HTS))&gt;0,"Y","N"))</f>
        <v/>
      </c>
      <c r="I39" s="10">
        <f>IF($A39="","",IF($E39="","N",IF(COUNTIF(scope_COO,$E39)&gt;0,"Y","N")))</f>
        <v/>
      </c>
      <c r="J39" s="10">
        <f>IF($A39="","",IF(AND(UPPER(TRIM(act_USMCAExempt&amp;""))="Y",UPPER(TRIM(Items!F39&amp;""))="Y"),"Y","N"))</f>
        <v/>
      </c>
      <c r="K39" s="10">
        <f>IF($A39="","",IFERROR(UPPER(TRIM(INDEX(det_Status,MATCH($A39,det_Item,0))&amp;"")),""))</f>
        <v/>
      </c>
      <c r="L39" s="10">
        <f>IF($A39="","",IF($K39="IN","Y",IF($K39="OUT","N",IF(AND($F39="Y",$G39="Y",$H39="N",$I39="Y",$J39="N"),"Y","N"))))</f>
        <v/>
      </c>
      <c r="M39" s="10">
        <f>IF($A39="","",IF($K39="IN","In: Research determination",IF($K39="OUT","Out: Research determination",IF($F39="N","Out: different import country",IF($G39="N","Out: HTS not on scope list",IF($H39="Y","Out: HTS on exclusion list",IF($I39="N","Out: origin not on scope list",IF($J39="Y","Out: USMCA-qualifying, exempt","In: matches scope rules"))))))))</f>
        <v/>
      </c>
      <c r="N39" s="16">
        <f>IF($A39="","",N(Items!I39))</f>
        <v/>
      </c>
      <c r="O39" s="16">
        <f>IF($A39="","",IF($L39="Y",$N39+N(act_Rate)-IF(UPPER(TRIM(act_RateType&amp;""))="REPLACE",N(act_PriorRate),0),$N39))</f>
        <v/>
      </c>
      <c r="P39" s="17">
        <f>IF($A39="","",N(Items!G39)*$N39)</f>
        <v/>
      </c>
      <c r="Q39" s="17">
        <f>IF($A39="","",N(Items!G39)*$O39)</f>
        <v/>
      </c>
      <c r="R39" s="17">
        <f>IF($A39="","",$Q39-$P39)</f>
        <v/>
      </c>
      <c r="S39" s="17">
        <f>IF($A39="","",N(Items!J39)+$R39)</f>
        <v/>
      </c>
      <c r="T39" s="16">
        <f>IF($A39="","",IF(N(Items!K39)=0,"",(N(Items!K39)-N(Items!J39))/N(Items!K39)))</f>
        <v/>
      </c>
      <c r="U39" s="16">
        <f>IF($A39="","",IF(N(Items!K39)=0,"",(N(Items!K39)-$S39)/N(Items!K39)))</f>
        <v/>
      </c>
      <c r="V39" s="16">
        <f>IF(OR($T39="",$U39=""),"",$U39-$T39)</f>
        <v/>
      </c>
      <c r="W39" s="18">
        <f>IF($A39="","",N(Items!H39))</f>
        <v/>
      </c>
      <c r="X39" s="19">
        <f>IF($A39="","",$R39*$W39)</f>
        <v/>
      </c>
      <c r="Y39" s="19">
        <f>IF($A39="","",N(Items!K39)*$W39)</f>
        <v/>
      </c>
      <c r="Z39" s="19">
        <f>IF($A39="","",(N(Items!K39)-N(Items!J39))*$W39)</f>
        <v/>
      </c>
      <c r="AA39" s="19">
        <f>IF($A39="","",$Z39-$X39)</f>
        <v/>
      </c>
      <c r="AB39" s="10">
        <f>IF($A39="","",IF(TRIM(Items!C39&amp;"")="","CHECK: import country missing",IF(OR(LEN($C39)&lt;&gt;10,ISERROR(VALUE($C39))),"CHECK: HTS must be 10 digits",IF(LEN($E39)&lt;&gt;2,"CHECK: origin code missing or not 2 letters",IF(OR(Items!G39="",Items!I39="",Items!J39=""),"CHECK: value, rate or cost missing",IF(ISNUMBER(Items!G39)*ISNUMBER(Items!I39)*ISNUMBER(Items!J39)=0,"CHECK: text in a number column",IF(AND($L39="Y",UPPER(TRIM(act_RateType&amp;""))="REPLACE",$N39&lt;N(act_PriorRate)),"CHECK: current rate is below the rate being replaced",IF(AND($L39="Y",$W39=0),"NOTE: in scope, no volume","OK"))))))))</f>
        <v/>
      </c>
      <c r="AC39" s="20">
        <f>IF($A39="","",IF(AND($L39="Y",$X39&lt;&gt;0),ABS($X39)+ROW()/1000000000,""))</f>
        <v/>
      </c>
    </row>
    <row r="40">
      <c r="A40" s="10">
        <f>IF(TRIM(Items!A40&amp;"")="","",TRIM(Items!A40&amp;""))</f>
        <v/>
      </c>
      <c r="B40" s="10">
        <f>IF($A40="","",Items!B40&amp;"")</f>
        <v/>
      </c>
      <c r="C40" s="10">
        <f>IF($A40="","",SUBSTITUTE(SUBSTITUTE(SUBSTITUTE(TRIM(Items!D40&amp;""),".","")," ",""),"-",""))</f>
        <v/>
      </c>
      <c r="D40" s="10">
        <f>IF($A40="","",LEFT($C40,2))</f>
        <v/>
      </c>
      <c r="E40" s="10">
        <f>IF($A40="","",UPPER(TRIM(Items!E40&amp;"")))</f>
        <v/>
      </c>
      <c r="F40" s="10">
        <f>IF($A40="","",IF(UPPER(TRIM(Items!C40&amp;""))=UPPER(TRIM(act_Country&amp;"")),"Y","N"))</f>
        <v/>
      </c>
      <c r="G40" s="10">
        <f>IF($A40="","",IF(SUMPRODUCT((scope_HTS&lt;&gt;"")*(LEFT($C40,LEN(scope_HTS))=scope_HTS))&gt;0,"Y","N"))</f>
        <v/>
      </c>
      <c r="H40" s="10">
        <f>IF($A40="","",IF(SUMPRODUCT((excl_HTS&lt;&gt;"")*(LEFT($C40,LEN(excl_HTS))=excl_HTS))&gt;0,"Y","N"))</f>
        <v/>
      </c>
      <c r="I40" s="10">
        <f>IF($A40="","",IF($E40="","N",IF(COUNTIF(scope_COO,$E40)&gt;0,"Y","N")))</f>
        <v/>
      </c>
      <c r="J40" s="10">
        <f>IF($A40="","",IF(AND(UPPER(TRIM(act_USMCAExempt&amp;""))="Y",UPPER(TRIM(Items!F40&amp;""))="Y"),"Y","N"))</f>
        <v/>
      </c>
      <c r="K40" s="10">
        <f>IF($A40="","",IFERROR(UPPER(TRIM(INDEX(det_Status,MATCH($A40,det_Item,0))&amp;"")),""))</f>
        <v/>
      </c>
      <c r="L40" s="10">
        <f>IF($A40="","",IF($K40="IN","Y",IF($K40="OUT","N",IF(AND($F40="Y",$G40="Y",$H40="N",$I40="Y",$J40="N"),"Y","N"))))</f>
        <v/>
      </c>
      <c r="M40" s="10">
        <f>IF($A40="","",IF($K40="IN","In: Research determination",IF($K40="OUT","Out: Research determination",IF($F40="N","Out: different import country",IF($G40="N","Out: HTS not on scope list",IF($H40="Y","Out: HTS on exclusion list",IF($I40="N","Out: origin not on scope list",IF($J40="Y","Out: USMCA-qualifying, exempt","In: matches scope rules"))))))))</f>
        <v/>
      </c>
      <c r="N40" s="16">
        <f>IF($A40="","",N(Items!I40))</f>
        <v/>
      </c>
      <c r="O40" s="16">
        <f>IF($A40="","",IF($L40="Y",$N40+N(act_Rate)-IF(UPPER(TRIM(act_RateType&amp;""))="REPLACE",N(act_PriorRate),0),$N40))</f>
        <v/>
      </c>
      <c r="P40" s="17">
        <f>IF($A40="","",N(Items!G40)*$N40)</f>
        <v/>
      </c>
      <c r="Q40" s="17">
        <f>IF($A40="","",N(Items!G40)*$O40)</f>
        <v/>
      </c>
      <c r="R40" s="17">
        <f>IF($A40="","",$Q40-$P40)</f>
        <v/>
      </c>
      <c r="S40" s="17">
        <f>IF($A40="","",N(Items!J40)+$R40)</f>
        <v/>
      </c>
      <c r="T40" s="16">
        <f>IF($A40="","",IF(N(Items!K40)=0,"",(N(Items!K40)-N(Items!J40))/N(Items!K40)))</f>
        <v/>
      </c>
      <c r="U40" s="16">
        <f>IF($A40="","",IF(N(Items!K40)=0,"",(N(Items!K40)-$S40)/N(Items!K40)))</f>
        <v/>
      </c>
      <c r="V40" s="16">
        <f>IF(OR($T40="",$U40=""),"",$U40-$T40)</f>
        <v/>
      </c>
      <c r="W40" s="18">
        <f>IF($A40="","",N(Items!H40))</f>
        <v/>
      </c>
      <c r="X40" s="19">
        <f>IF($A40="","",$R40*$W40)</f>
        <v/>
      </c>
      <c r="Y40" s="19">
        <f>IF($A40="","",N(Items!K40)*$W40)</f>
        <v/>
      </c>
      <c r="Z40" s="19">
        <f>IF($A40="","",(N(Items!K40)-N(Items!J40))*$W40)</f>
        <v/>
      </c>
      <c r="AA40" s="19">
        <f>IF($A40="","",$Z40-$X40)</f>
        <v/>
      </c>
      <c r="AB40" s="10">
        <f>IF($A40="","",IF(TRIM(Items!C40&amp;"")="","CHECK: import country missing",IF(OR(LEN($C40)&lt;&gt;10,ISERROR(VALUE($C40))),"CHECK: HTS must be 10 digits",IF(LEN($E40)&lt;&gt;2,"CHECK: origin code missing or not 2 letters",IF(OR(Items!G40="",Items!I40="",Items!J40=""),"CHECK: value, rate or cost missing",IF(ISNUMBER(Items!G40)*ISNUMBER(Items!I40)*ISNUMBER(Items!J40)=0,"CHECK: text in a number column",IF(AND($L40="Y",UPPER(TRIM(act_RateType&amp;""))="REPLACE",$N40&lt;N(act_PriorRate)),"CHECK: current rate is below the rate being replaced",IF(AND($L40="Y",$W40=0),"NOTE: in scope, no volume","OK"))))))))</f>
        <v/>
      </c>
      <c r="AC40" s="20">
        <f>IF($A40="","",IF(AND($L40="Y",$X40&lt;&gt;0),ABS($X40)+ROW()/1000000000,""))</f>
        <v/>
      </c>
    </row>
    <row r="41">
      <c r="A41" s="10">
        <f>IF(TRIM(Items!A41&amp;"")="","",TRIM(Items!A41&amp;""))</f>
        <v/>
      </c>
      <c r="B41" s="10">
        <f>IF($A41="","",Items!B41&amp;"")</f>
        <v/>
      </c>
      <c r="C41" s="10">
        <f>IF($A41="","",SUBSTITUTE(SUBSTITUTE(SUBSTITUTE(TRIM(Items!D41&amp;""),".","")," ",""),"-",""))</f>
        <v/>
      </c>
      <c r="D41" s="10">
        <f>IF($A41="","",LEFT($C41,2))</f>
        <v/>
      </c>
      <c r="E41" s="10">
        <f>IF($A41="","",UPPER(TRIM(Items!E41&amp;"")))</f>
        <v/>
      </c>
      <c r="F41" s="10">
        <f>IF($A41="","",IF(UPPER(TRIM(Items!C41&amp;""))=UPPER(TRIM(act_Country&amp;"")),"Y","N"))</f>
        <v/>
      </c>
      <c r="G41" s="10">
        <f>IF($A41="","",IF(SUMPRODUCT((scope_HTS&lt;&gt;"")*(LEFT($C41,LEN(scope_HTS))=scope_HTS))&gt;0,"Y","N"))</f>
        <v/>
      </c>
      <c r="H41" s="10">
        <f>IF($A41="","",IF(SUMPRODUCT((excl_HTS&lt;&gt;"")*(LEFT($C41,LEN(excl_HTS))=excl_HTS))&gt;0,"Y","N"))</f>
        <v/>
      </c>
      <c r="I41" s="10">
        <f>IF($A41="","",IF($E41="","N",IF(COUNTIF(scope_COO,$E41)&gt;0,"Y","N")))</f>
        <v/>
      </c>
      <c r="J41" s="10">
        <f>IF($A41="","",IF(AND(UPPER(TRIM(act_USMCAExempt&amp;""))="Y",UPPER(TRIM(Items!F41&amp;""))="Y"),"Y","N"))</f>
        <v/>
      </c>
      <c r="K41" s="10">
        <f>IF($A41="","",IFERROR(UPPER(TRIM(INDEX(det_Status,MATCH($A41,det_Item,0))&amp;"")),""))</f>
        <v/>
      </c>
      <c r="L41" s="10">
        <f>IF($A41="","",IF($K41="IN","Y",IF($K41="OUT","N",IF(AND($F41="Y",$G41="Y",$H41="N",$I41="Y",$J41="N"),"Y","N"))))</f>
        <v/>
      </c>
      <c r="M41" s="10">
        <f>IF($A41="","",IF($K41="IN","In: Research determination",IF($K41="OUT","Out: Research determination",IF($F41="N","Out: different import country",IF($G41="N","Out: HTS not on scope list",IF($H41="Y","Out: HTS on exclusion list",IF($I41="N","Out: origin not on scope list",IF($J41="Y","Out: USMCA-qualifying, exempt","In: matches scope rules"))))))))</f>
        <v/>
      </c>
      <c r="N41" s="16">
        <f>IF($A41="","",N(Items!I41))</f>
        <v/>
      </c>
      <c r="O41" s="16">
        <f>IF($A41="","",IF($L41="Y",$N41+N(act_Rate)-IF(UPPER(TRIM(act_RateType&amp;""))="REPLACE",N(act_PriorRate),0),$N41))</f>
        <v/>
      </c>
      <c r="P41" s="17">
        <f>IF($A41="","",N(Items!G41)*$N41)</f>
        <v/>
      </c>
      <c r="Q41" s="17">
        <f>IF($A41="","",N(Items!G41)*$O41)</f>
        <v/>
      </c>
      <c r="R41" s="17">
        <f>IF($A41="","",$Q41-$P41)</f>
        <v/>
      </c>
      <c r="S41" s="17">
        <f>IF($A41="","",N(Items!J41)+$R41)</f>
        <v/>
      </c>
      <c r="T41" s="16">
        <f>IF($A41="","",IF(N(Items!K41)=0,"",(N(Items!K41)-N(Items!J41))/N(Items!K41)))</f>
        <v/>
      </c>
      <c r="U41" s="16">
        <f>IF($A41="","",IF(N(Items!K41)=0,"",(N(Items!K41)-$S41)/N(Items!K41)))</f>
        <v/>
      </c>
      <c r="V41" s="16">
        <f>IF(OR($T41="",$U41=""),"",$U41-$T41)</f>
        <v/>
      </c>
      <c r="W41" s="18">
        <f>IF($A41="","",N(Items!H41))</f>
        <v/>
      </c>
      <c r="X41" s="19">
        <f>IF($A41="","",$R41*$W41)</f>
        <v/>
      </c>
      <c r="Y41" s="19">
        <f>IF($A41="","",N(Items!K41)*$W41)</f>
        <v/>
      </c>
      <c r="Z41" s="19">
        <f>IF($A41="","",(N(Items!K41)-N(Items!J41))*$W41)</f>
        <v/>
      </c>
      <c r="AA41" s="19">
        <f>IF($A41="","",$Z41-$X41)</f>
        <v/>
      </c>
      <c r="AB41" s="10">
        <f>IF($A41="","",IF(TRIM(Items!C41&amp;"")="","CHECK: import country missing",IF(OR(LEN($C41)&lt;&gt;10,ISERROR(VALUE($C41))),"CHECK: HTS must be 10 digits",IF(LEN($E41)&lt;&gt;2,"CHECK: origin code missing or not 2 letters",IF(OR(Items!G41="",Items!I41="",Items!J41=""),"CHECK: value, rate or cost missing",IF(ISNUMBER(Items!G41)*ISNUMBER(Items!I41)*ISNUMBER(Items!J41)=0,"CHECK: text in a number column",IF(AND($L41="Y",UPPER(TRIM(act_RateType&amp;""))="REPLACE",$N41&lt;N(act_PriorRate)),"CHECK: current rate is below the rate being replaced",IF(AND($L41="Y",$W41=0),"NOTE: in scope, no volume","OK"))))))))</f>
        <v/>
      </c>
      <c r="AC41" s="20">
        <f>IF($A41="","",IF(AND($L41="Y",$X41&lt;&gt;0),ABS($X41)+ROW()/1000000000,""))</f>
        <v/>
      </c>
    </row>
    <row r="42">
      <c r="A42" s="10">
        <f>IF(TRIM(Items!A42&amp;"")="","",TRIM(Items!A42&amp;""))</f>
        <v/>
      </c>
      <c r="B42" s="10">
        <f>IF($A42="","",Items!B42&amp;"")</f>
        <v/>
      </c>
      <c r="C42" s="10">
        <f>IF($A42="","",SUBSTITUTE(SUBSTITUTE(SUBSTITUTE(TRIM(Items!D42&amp;""),".","")," ",""),"-",""))</f>
        <v/>
      </c>
      <c r="D42" s="10">
        <f>IF($A42="","",LEFT($C42,2))</f>
        <v/>
      </c>
      <c r="E42" s="10">
        <f>IF($A42="","",UPPER(TRIM(Items!E42&amp;"")))</f>
        <v/>
      </c>
      <c r="F42" s="10">
        <f>IF($A42="","",IF(UPPER(TRIM(Items!C42&amp;""))=UPPER(TRIM(act_Country&amp;"")),"Y","N"))</f>
        <v/>
      </c>
      <c r="G42" s="10">
        <f>IF($A42="","",IF(SUMPRODUCT((scope_HTS&lt;&gt;"")*(LEFT($C42,LEN(scope_HTS))=scope_HTS))&gt;0,"Y","N"))</f>
        <v/>
      </c>
      <c r="H42" s="10">
        <f>IF($A42="","",IF(SUMPRODUCT((excl_HTS&lt;&gt;"")*(LEFT($C42,LEN(excl_HTS))=excl_HTS))&gt;0,"Y","N"))</f>
        <v/>
      </c>
      <c r="I42" s="10">
        <f>IF($A42="","",IF($E42="","N",IF(COUNTIF(scope_COO,$E42)&gt;0,"Y","N")))</f>
        <v/>
      </c>
      <c r="J42" s="10">
        <f>IF($A42="","",IF(AND(UPPER(TRIM(act_USMCAExempt&amp;""))="Y",UPPER(TRIM(Items!F42&amp;""))="Y"),"Y","N"))</f>
        <v/>
      </c>
      <c r="K42" s="10">
        <f>IF($A42="","",IFERROR(UPPER(TRIM(INDEX(det_Status,MATCH($A42,det_Item,0))&amp;"")),""))</f>
        <v/>
      </c>
      <c r="L42" s="10">
        <f>IF($A42="","",IF($K42="IN","Y",IF($K42="OUT","N",IF(AND($F42="Y",$G42="Y",$H42="N",$I42="Y",$J42="N"),"Y","N"))))</f>
        <v/>
      </c>
      <c r="M42" s="10">
        <f>IF($A42="","",IF($K42="IN","In: Research determination",IF($K42="OUT","Out: Research determination",IF($F42="N","Out: different import country",IF($G42="N","Out: HTS not on scope list",IF($H42="Y","Out: HTS on exclusion list",IF($I42="N","Out: origin not on scope list",IF($J42="Y","Out: USMCA-qualifying, exempt","In: matches scope rules"))))))))</f>
        <v/>
      </c>
      <c r="N42" s="16">
        <f>IF($A42="","",N(Items!I42))</f>
        <v/>
      </c>
      <c r="O42" s="16">
        <f>IF($A42="","",IF($L42="Y",$N42+N(act_Rate)-IF(UPPER(TRIM(act_RateType&amp;""))="REPLACE",N(act_PriorRate),0),$N42))</f>
        <v/>
      </c>
      <c r="P42" s="17">
        <f>IF($A42="","",N(Items!G42)*$N42)</f>
        <v/>
      </c>
      <c r="Q42" s="17">
        <f>IF($A42="","",N(Items!G42)*$O42)</f>
        <v/>
      </c>
      <c r="R42" s="17">
        <f>IF($A42="","",$Q42-$P42)</f>
        <v/>
      </c>
      <c r="S42" s="17">
        <f>IF($A42="","",N(Items!J42)+$R42)</f>
        <v/>
      </c>
      <c r="T42" s="16">
        <f>IF($A42="","",IF(N(Items!K42)=0,"",(N(Items!K42)-N(Items!J42))/N(Items!K42)))</f>
        <v/>
      </c>
      <c r="U42" s="16">
        <f>IF($A42="","",IF(N(Items!K42)=0,"",(N(Items!K42)-$S42)/N(Items!K42)))</f>
        <v/>
      </c>
      <c r="V42" s="16">
        <f>IF(OR($T42="",$U42=""),"",$U42-$T42)</f>
        <v/>
      </c>
      <c r="W42" s="18">
        <f>IF($A42="","",N(Items!H42))</f>
        <v/>
      </c>
      <c r="X42" s="19">
        <f>IF($A42="","",$R42*$W42)</f>
        <v/>
      </c>
      <c r="Y42" s="19">
        <f>IF($A42="","",N(Items!K42)*$W42)</f>
        <v/>
      </c>
      <c r="Z42" s="19">
        <f>IF($A42="","",(N(Items!K42)-N(Items!J42))*$W42)</f>
        <v/>
      </c>
      <c r="AA42" s="19">
        <f>IF($A42="","",$Z42-$X42)</f>
        <v/>
      </c>
      <c r="AB42" s="10">
        <f>IF($A42="","",IF(TRIM(Items!C42&amp;"")="","CHECK: import country missing",IF(OR(LEN($C42)&lt;&gt;10,ISERROR(VALUE($C42))),"CHECK: HTS must be 10 digits",IF(LEN($E42)&lt;&gt;2,"CHECK: origin code missing or not 2 letters",IF(OR(Items!G42="",Items!I42="",Items!J42=""),"CHECK: value, rate or cost missing",IF(ISNUMBER(Items!G42)*ISNUMBER(Items!I42)*ISNUMBER(Items!J42)=0,"CHECK: text in a number column",IF(AND($L42="Y",UPPER(TRIM(act_RateType&amp;""))="REPLACE",$N42&lt;N(act_PriorRate)),"CHECK: current rate is below the rate being replaced",IF(AND($L42="Y",$W42=0),"NOTE: in scope, no volume","OK"))))))))</f>
        <v/>
      </c>
      <c r="AC42" s="20">
        <f>IF($A42="","",IF(AND($L42="Y",$X42&lt;&gt;0),ABS($X42)+ROW()/1000000000,""))</f>
        <v/>
      </c>
    </row>
    <row r="43">
      <c r="A43" s="10">
        <f>IF(TRIM(Items!A43&amp;"")="","",TRIM(Items!A43&amp;""))</f>
        <v/>
      </c>
      <c r="B43" s="10">
        <f>IF($A43="","",Items!B43&amp;"")</f>
        <v/>
      </c>
      <c r="C43" s="10">
        <f>IF($A43="","",SUBSTITUTE(SUBSTITUTE(SUBSTITUTE(TRIM(Items!D43&amp;""),".","")," ",""),"-",""))</f>
        <v/>
      </c>
      <c r="D43" s="10">
        <f>IF($A43="","",LEFT($C43,2))</f>
        <v/>
      </c>
      <c r="E43" s="10">
        <f>IF($A43="","",UPPER(TRIM(Items!E43&amp;"")))</f>
        <v/>
      </c>
      <c r="F43" s="10">
        <f>IF($A43="","",IF(UPPER(TRIM(Items!C43&amp;""))=UPPER(TRIM(act_Country&amp;"")),"Y","N"))</f>
        <v/>
      </c>
      <c r="G43" s="10">
        <f>IF($A43="","",IF(SUMPRODUCT((scope_HTS&lt;&gt;"")*(LEFT($C43,LEN(scope_HTS))=scope_HTS))&gt;0,"Y","N"))</f>
        <v/>
      </c>
      <c r="H43" s="10">
        <f>IF($A43="","",IF(SUMPRODUCT((excl_HTS&lt;&gt;"")*(LEFT($C43,LEN(excl_HTS))=excl_HTS))&gt;0,"Y","N"))</f>
        <v/>
      </c>
      <c r="I43" s="10">
        <f>IF($A43="","",IF($E43="","N",IF(COUNTIF(scope_COO,$E43)&gt;0,"Y","N")))</f>
        <v/>
      </c>
      <c r="J43" s="10">
        <f>IF($A43="","",IF(AND(UPPER(TRIM(act_USMCAExempt&amp;""))="Y",UPPER(TRIM(Items!F43&amp;""))="Y"),"Y","N"))</f>
        <v/>
      </c>
      <c r="K43" s="10">
        <f>IF($A43="","",IFERROR(UPPER(TRIM(INDEX(det_Status,MATCH($A43,det_Item,0))&amp;"")),""))</f>
        <v/>
      </c>
      <c r="L43" s="10">
        <f>IF($A43="","",IF($K43="IN","Y",IF($K43="OUT","N",IF(AND($F43="Y",$G43="Y",$H43="N",$I43="Y",$J43="N"),"Y","N"))))</f>
        <v/>
      </c>
      <c r="M43" s="10">
        <f>IF($A43="","",IF($K43="IN","In: Research determination",IF($K43="OUT","Out: Research determination",IF($F43="N","Out: different import country",IF($G43="N","Out: HTS not on scope list",IF($H43="Y","Out: HTS on exclusion list",IF($I43="N","Out: origin not on scope list",IF($J43="Y","Out: USMCA-qualifying, exempt","In: matches scope rules"))))))))</f>
        <v/>
      </c>
      <c r="N43" s="16">
        <f>IF($A43="","",N(Items!I43))</f>
        <v/>
      </c>
      <c r="O43" s="16">
        <f>IF($A43="","",IF($L43="Y",$N43+N(act_Rate)-IF(UPPER(TRIM(act_RateType&amp;""))="REPLACE",N(act_PriorRate),0),$N43))</f>
        <v/>
      </c>
      <c r="P43" s="17">
        <f>IF($A43="","",N(Items!G43)*$N43)</f>
        <v/>
      </c>
      <c r="Q43" s="17">
        <f>IF($A43="","",N(Items!G43)*$O43)</f>
        <v/>
      </c>
      <c r="R43" s="17">
        <f>IF($A43="","",$Q43-$P43)</f>
        <v/>
      </c>
      <c r="S43" s="17">
        <f>IF($A43="","",N(Items!J43)+$R43)</f>
        <v/>
      </c>
      <c r="T43" s="16">
        <f>IF($A43="","",IF(N(Items!K43)=0,"",(N(Items!K43)-N(Items!J43))/N(Items!K43)))</f>
        <v/>
      </c>
      <c r="U43" s="16">
        <f>IF($A43="","",IF(N(Items!K43)=0,"",(N(Items!K43)-$S43)/N(Items!K43)))</f>
        <v/>
      </c>
      <c r="V43" s="16">
        <f>IF(OR($T43="",$U43=""),"",$U43-$T43)</f>
        <v/>
      </c>
      <c r="W43" s="18">
        <f>IF($A43="","",N(Items!H43))</f>
        <v/>
      </c>
      <c r="X43" s="19">
        <f>IF($A43="","",$R43*$W43)</f>
        <v/>
      </c>
      <c r="Y43" s="19">
        <f>IF($A43="","",N(Items!K43)*$W43)</f>
        <v/>
      </c>
      <c r="Z43" s="19">
        <f>IF($A43="","",(N(Items!K43)-N(Items!J43))*$W43)</f>
        <v/>
      </c>
      <c r="AA43" s="19">
        <f>IF($A43="","",$Z43-$X43)</f>
        <v/>
      </c>
      <c r="AB43" s="10">
        <f>IF($A43="","",IF(TRIM(Items!C43&amp;"")="","CHECK: import country missing",IF(OR(LEN($C43)&lt;&gt;10,ISERROR(VALUE($C43))),"CHECK: HTS must be 10 digits",IF(LEN($E43)&lt;&gt;2,"CHECK: origin code missing or not 2 letters",IF(OR(Items!G43="",Items!I43="",Items!J43=""),"CHECK: value, rate or cost missing",IF(ISNUMBER(Items!G43)*ISNUMBER(Items!I43)*ISNUMBER(Items!J43)=0,"CHECK: text in a number column",IF(AND($L43="Y",UPPER(TRIM(act_RateType&amp;""))="REPLACE",$N43&lt;N(act_PriorRate)),"CHECK: current rate is below the rate being replaced",IF(AND($L43="Y",$W43=0),"NOTE: in scope, no volume","OK"))))))))</f>
        <v/>
      </c>
      <c r="AC43" s="20">
        <f>IF($A43="","",IF(AND($L43="Y",$X43&lt;&gt;0),ABS($X43)+ROW()/1000000000,""))</f>
        <v/>
      </c>
    </row>
    <row r="44">
      <c r="A44" s="10">
        <f>IF(TRIM(Items!A44&amp;"")="","",TRIM(Items!A44&amp;""))</f>
        <v/>
      </c>
      <c r="B44" s="10">
        <f>IF($A44="","",Items!B44&amp;"")</f>
        <v/>
      </c>
      <c r="C44" s="10">
        <f>IF($A44="","",SUBSTITUTE(SUBSTITUTE(SUBSTITUTE(TRIM(Items!D44&amp;""),".","")," ",""),"-",""))</f>
        <v/>
      </c>
      <c r="D44" s="10">
        <f>IF($A44="","",LEFT($C44,2))</f>
        <v/>
      </c>
      <c r="E44" s="10">
        <f>IF($A44="","",UPPER(TRIM(Items!E44&amp;"")))</f>
        <v/>
      </c>
      <c r="F44" s="10">
        <f>IF($A44="","",IF(UPPER(TRIM(Items!C44&amp;""))=UPPER(TRIM(act_Country&amp;"")),"Y","N"))</f>
        <v/>
      </c>
      <c r="G44" s="10">
        <f>IF($A44="","",IF(SUMPRODUCT((scope_HTS&lt;&gt;"")*(LEFT($C44,LEN(scope_HTS))=scope_HTS))&gt;0,"Y","N"))</f>
        <v/>
      </c>
      <c r="H44" s="10">
        <f>IF($A44="","",IF(SUMPRODUCT((excl_HTS&lt;&gt;"")*(LEFT($C44,LEN(excl_HTS))=excl_HTS))&gt;0,"Y","N"))</f>
        <v/>
      </c>
      <c r="I44" s="10">
        <f>IF($A44="","",IF($E44="","N",IF(COUNTIF(scope_COO,$E44)&gt;0,"Y","N")))</f>
        <v/>
      </c>
      <c r="J44" s="10">
        <f>IF($A44="","",IF(AND(UPPER(TRIM(act_USMCAExempt&amp;""))="Y",UPPER(TRIM(Items!F44&amp;""))="Y"),"Y","N"))</f>
        <v/>
      </c>
      <c r="K44" s="10">
        <f>IF($A44="","",IFERROR(UPPER(TRIM(INDEX(det_Status,MATCH($A44,det_Item,0))&amp;"")),""))</f>
        <v/>
      </c>
      <c r="L44" s="10">
        <f>IF($A44="","",IF($K44="IN","Y",IF($K44="OUT","N",IF(AND($F44="Y",$G44="Y",$H44="N",$I44="Y",$J44="N"),"Y","N"))))</f>
        <v/>
      </c>
      <c r="M44" s="10">
        <f>IF($A44="","",IF($K44="IN","In: Research determination",IF($K44="OUT","Out: Research determination",IF($F44="N","Out: different import country",IF($G44="N","Out: HTS not on scope list",IF($H44="Y","Out: HTS on exclusion list",IF($I44="N","Out: origin not on scope list",IF($J44="Y","Out: USMCA-qualifying, exempt","In: matches scope rules"))))))))</f>
        <v/>
      </c>
      <c r="N44" s="16">
        <f>IF($A44="","",N(Items!I44))</f>
        <v/>
      </c>
      <c r="O44" s="16">
        <f>IF($A44="","",IF($L44="Y",$N44+N(act_Rate)-IF(UPPER(TRIM(act_RateType&amp;""))="REPLACE",N(act_PriorRate),0),$N44))</f>
        <v/>
      </c>
      <c r="P44" s="17">
        <f>IF($A44="","",N(Items!G44)*$N44)</f>
        <v/>
      </c>
      <c r="Q44" s="17">
        <f>IF($A44="","",N(Items!G44)*$O44)</f>
        <v/>
      </c>
      <c r="R44" s="17">
        <f>IF($A44="","",$Q44-$P44)</f>
        <v/>
      </c>
      <c r="S44" s="17">
        <f>IF($A44="","",N(Items!J44)+$R44)</f>
        <v/>
      </c>
      <c r="T44" s="16">
        <f>IF($A44="","",IF(N(Items!K44)=0,"",(N(Items!K44)-N(Items!J44))/N(Items!K44)))</f>
        <v/>
      </c>
      <c r="U44" s="16">
        <f>IF($A44="","",IF(N(Items!K44)=0,"",(N(Items!K44)-$S44)/N(Items!K44)))</f>
        <v/>
      </c>
      <c r="V44" s="16">
        <f>IF(OR($T44="",$U44=""),"",$U44-$T44)</f>
        <v/>
      </c>
      <c r="W44" s="18">
        <f>IF($A44="","",N(Items!H44))</f>
        <v/>
      </c>
      <c r="X44" s="19">
        <f>IF($A44="","",$R44*$W44)</f>
        <v/>
      </c>
      <c r="Y44" s="19">
        <f>IF($A44="","",N(Items!K44)*$W44)</f>
        <v/>
      </c>
      <c r="Z44" s="19">
        <f>IF($A44="","",(N(Items!K44)-N(Items!J44))*$W44)</f>
        <v/>
      </c>
      <c r="AA44" s="19">
        <f>IF($A44="","",$Z44-$X44)</f>
        <v/>
      </c>
      <c r="AB44" s="10">
        <f>IF($A44="","",IF(TRIM(Items!C44&amp;"")="","CHECK: import country missing",IF(OR(LEN($C44)&lt;&gt;10,ISERROR(VALUE($C44))),"CHECK: HTS must be 10 digits",IF(LEN($E44)&lt;&gt;2,"CHECK: origin code missing or not 2 letters",IF(OR(Items!G44="",Items!I44="",Items!J44=""),"CHECK: value, rate or cost missing",IF(ISNUMBER(Items!G44)*ISNUMBER(Items!I44)*ISNUMBER(Items!J44)=0,"CHECK: text in a number column",IF(AND($L44="Y",UPPER(TRIM(act_RateType&amp;""))="REPLACE",$N44&lt;N(act_PriorRate)),"CHECK: current rate is below the rate being replaced",IF(AND($L44="Y",$W44=0),"NOTE: in scope, no volume","OK"))))))))</f>
        <v/>
      </c>
      <c r="AC44" s="20">
        <f>IF($A44="","",IF(AND($L44="Y",$X44&lt;&gt;0),ABS($X44)+ROW()/1000000000,""))</f>
        <v/>
      </c>
    </row>
    <row r="45">
      <c r="A45" s="10">
        <f>IF(TRIM(Items!A45&amp;"")="","",TRIM(Items!A45&amp;""))</f>
        <v/>
      </c>
      <c r="B45" s="10">
        <f>IF($A45="","",Items!B45&amp;"")</f>
        <v/>
      </c>
      <c r="C45" s="10">
        <f>IF($A45="","",SUBSTITUTE(SUBSTITUTE(SUBSTITUTE(TRIM(Items!D45&amp;""),".","")," ",""),"-",""))</f>
        <v/>
      </c>
      <c r="D45" s="10">
        <f>IF($A45="","",LEFT($C45,2))</f>
        <v/>
      </c>
      <c r="E45" s="10">
        <f>IF($A45="","",UPPER(TRIM(Items!E45&amp;"")))</f>
        <v/>
      </c>
      <c r="F45" s="10">
        <f>IF($A45="","",IF(UPPER(TRIM(Items!C45&amp;""))=UPPER(TRIM(act_Country&amp;"")),"Y","N"))</f>
        <v/>
      </c>
      <c r="G45" s="10">
        <f>IF($A45="","",IF(SUMPRODUCT((scope_HTS&lt;&gt;"")*(LEFT($C45,LEN(scope_HTS))=scope_HTS))&gt;0,"Y","N"))</f>
        <v/>
      </c>
      <c r="H45" s="10">
        <f>IF($A45="","",IF(SUMPRODUCT((excl_HTS&lt;&gt;"")*(LEFT($C45,LEN(excl_HTS))=excl_HTS))&gt;0,"Y","N"))</f>
        <v/>
      </c>
      <c r="I45" s="10">
        <f>IF($A45="","",IF($E45="","N",IF(COUNTIF(scope_COO,$E45)&gt;0,"Y","N")))</f>
        <v/>
      </c>
      <c r="J45" s="10">
        <f>IF($A45="","",IF(AND(UPPER(TRIM(act_USMCAExempt&amp;""))="Y",UPPER(TRIM(Items!F45&amp;""))="Y"),"Y","N"))</f>
        <v/>
      </c>
      <c r="K45" s="10">
        <f>IF($A45="","",IFERROR(UPPER(TRIM(INDEX(det_Status,MATCH($A45,det_Item,0))&amp;"")),""))</f>
        <v/>
      </c>
      <c r="L45" s="10">
        <f>IF($A45="","",IF($K45="IN","Y",IF($K45="OUT","N",IF(AND($F45="Y",$G45="Y",$H45="N",$I45="Y",$J45="N"),"Y","N"))))</f>
        <v/>
      </c>
      <c r="M45" s="10">
        <f>IF($A45="","",IF($K45="IN","In: Research determination",IF($K45="OUT","Out: Research determination",IF($F45="N","Out: different import country",IF($G45="N","Out: HTS not on scope list",IF($H45="Y","Out: HTS on exclusion list",IF($I45="N","Out: origin not on scope list",IF($J45="Y","Out: USMCA-qualifying, exempt","In: matches scope rules"))))))))</f>
        <v/>
      </c>
      <c r="N45" s="16">
        <f>IF($A45="","",N(Items!I45))</f>
        <v/>
      </c>
      <c r="O45" s="16">
        <f>IF($A45="","",IF($L45="Y",$N45+N(act_Rate)-IF(UPPER(TRIM(act_RateType&amp;""))="REPLACE",N(act_PriorRate),0),$N45))</f>
        <v/>
      </c>
      <c r="P45" s="17">
        <f>IF($A45="","",N(Items!G45)*$N45)</f>
        <v/>
      </c>
      <c r="Q45" s="17">
        <f>IF($A45="","",N(Items!G45)*$O45)</f>
        <v/>
      </c>
      <c r="R45" s="17">
        <f>IF($A45="","",$Q45-$P45)</f>
        <v/>
      </c>
      <c r="S45" s="17">
        <f>IF($A45="","",N(Items!J45)+$R45)</f>
        <v/>
      </c>
      <c r="T45" s="16">
        <f>IF($A45="","",IF(N(Items!K45)=0,"",(N(Items!K45)-N(Items!J45))/N(Items!K45)))</f>
        <v/>
      </c>
      <c r="U45" s="16">
        <f>IF($A45="","",IF(N(Items!K45)=0,"",(N(Items!K45)-$S45)/N(Items!K45)))</f>
        <v/>
      </c>
      <c r="V45" s="16">
        <f>IF(OR($T45="",$U45=""),"",$U45-$T45)</f>
        <v/>
      </c>
      <c r="W45" s="18">
        <f>IF($A45="","",N(Items!H45))</f>
        <v/>
      </c>
      <c r="X45" s="19">
        <f>IF($A45="","",$R45*$W45)</f>
        <v/>
      </c>
      <c r="Y45" s="19">
        <f>IF($A45="","",N(Items!K45)*$W45)</f>
        <v/>
      </c>
      <c r="Z45" s="19">
        <f>IF($A45="","",(N(Items!K45)-N(Items!J45))*$W45)</f>
        <v/>
      </c>
      <c r="AA45" s="19">
        <f>IF($A45="","",$Z45-$X45)</f>
        <v/>
      </c>
      <c r="AB45" s="10">
        <f>IF($A45="","",IF(TRIM(Items!C45&amp;"")="","CHECK: import country missing",IF(OR(LEN($C45)&lt;&gt;10,ISERROR(VALUE($C45))),"CHECK: HTS must be 10 digits",IF(LEN($E45)&lt;&gt;2,"CHECK: origin code missing or not 2 letters",IF(OR(Items!G45="",Items!I45="",Items!J45=""),"CHECK: value, rate or cost missing",IF(ISNUMBER(Items!G45)*ISNUMBER(Items!I45)*ISNUMBER(Items!J45)=0,"CHECK: text in a number column",IF(AND($L45="Y",UPPER(TRIM(act_RateType&amp;""))="REPLACE",$N45&lt;N(act_PriorRate)),"CHECK: current rate is below the rate being replaced",IF(AND($L45="Y",$W45=0),"NOTE: in scope, no volume","OK"))))))))</f>
        <v/>
      </c>
      <c r="AC45" s="20">
        <f>IF($A45="","",IF(AND($L45="Y",$X45&lt;&gt;0),ABS($X45)+ROW()/1000000000,""))</f>
        <v/>
      </c>
    </row>
    <row r="46">
      <c r="A46" s="10">
        <f>IF(TRIM(Items!A46&amp;"")="","",TRIM(Items!A46&amp;""))</f>
        <v/>
      </c>
      <c r="B46" s="10">
        <f>IF($A46="","",Items!B46&amp;"")</f>
        <v/>
      </c>
      <c r="C46" s="10">
        <f>IF($A46="","",SUBSTITUTE(SUBSTITUTE(SUBSTITUTE(TRIM(Items!D46&amp;""),".","")," ",""),"-",""))</f>
        <v/>
      </c>
      <c r="D46" s="10">
        <f>IF($A46="","",LEFT($C46,2))</f>
        <v/>
      </c>
      <c r="E46" s="10">
        <f>IF($A46="","",UPPER(TRIM(Items!E46&amp;"")))</f>
        <v/>
      </c>
      <c r="F46" s="10">
        <f>IF($A46="","",IF(UPPER(TRIM(Items!C46&amp;""))=UPPER(TRIM(act_Country&amp;"")),"Y","N"))</f>
        <v/>
      </c>
      <c r="G46" s="10">
        <f>IF($A46="","",IF(SUMPRODUCT((scope_HTS&lt;&gt;"")*(LEFT($C46,LEN(scope_HTS))=scope_HTS))&gt;0,"Y","N"))</f>
        <v/>
      </c>
      <c r="H46" s="10">
        <f>IF($A46="","",IF(SUMPRODUCT((excl_HTS&lt;&gt;"")*(LEFT($C46,LEN(excl_HTS))=excl_HTS))&gt;0,"Y","N"))</f>
        <v/>
      </c>
      <c r="I46" s="10">
        <f>IF($A46="","",IF($E46="","N",IF(COUNTIF(scope_COO,$E46)&gt;0,"Y","N")))</f>
        <v/>
      </c>
      <c r="J46" s="10">
        <f>IF($A46="","",IF(AND(UPPER(TRIM(act_USMCAExempt&amp;""))="Y",UPPER(TRIM(Items!F46&amp;""))="Y"),"Y","N"))</f>
        <v/>
      </c>
      <c r="K46" s="10">
        <f>IF($A46="","",IFERROR(UPPER(TRIM(INDEX(det_Status,MATCH($A46,det_Item,0))&amp;"")),""))</f>
        <v/>
      </c>
      <c r="L46" s="10">
        <f>IF($A46="","",IF($K46="IN","Y",IF($K46="OUT","N",IF(AND($F46="Y",$G46="Y",$H46="N",$I46="Y",$J46="N"),"Y","N"))))</f>
        <v/>
      </c>
      <c r="M46" s="10">
        <f>IF($A46="","",IF($K46="IN","In: Research determination",IF($K46="OUT","Out: Research determination",IF($F46="N","Out: different import country",IF($G46="N","Out: HTS not on scope list",IF($H46="Y","Out: HTS on exclusion list",IF($I46="N","Out: origin not on scope list",IF($J46="Y","Out: USMCA-qualifying, exempt","In: matches scope rules"))))))))</f>
        <v/>
      </c>
      <c r="N46" s="16">
        <f>IF($A46="","",N(Items!I46))</f>
        <v/>
      </c>
      <c r="O46" s="16">
        <f>IF($A46="","",IF($L46="Y",$N46+N(act_Rate)-IF(UPPER(TRIM(act_RateType&amp;""))="REPLACE",N(act_PriorRate),0),$N46))</f>
        <v/>
      </c>
      <c r="P46" s="17">
        <f>IF($A46="","",N(Items!G46)*$N46)</f>
        <v/>
      </c>
      <c r="Q46" s="17">
        <f>IF($A46="","",N(Items!G46)*$O46)</f>
        <v/>
      </c>
      <c r="R46" s="17">
        <f>IF($A46="","",$Q46-$P46)</f>
        <v/>
      </c>
      <c r="S46" s="17">
        <f>IF($A46="","",N(Items!J46)+$R46)</f>
        <v/>
      </c>
      <c r="T46" s="16">
        <f>IF($A46="","",IF(N(Items!K46)=0,"",(N(Items!K46)-N(Items!J46))/N(Items!K46)))</f>
        <v/>
      </c>
      <c r="U46" s="16">
        <f>IF($A46="","",IF(N(Items!K46)=0,"",(N(Items!K46)-$S46)/N(Items!K46)))</f>
        <v/>
      </c>
      <c r="V46" s="16">
        <f>IF(OR($T46="",$U46=""),"",$U46-$T46)</f>
        <v/>
      </c>
      <c r="W46" s="18">
        <f>IF($A46="","",N(Items!H46))</f>
        <v/>
      </c>
      <c r="X46" s="19">
        <f>IF($A46="","",$R46*$W46)</f>
        <v/>
      </c>
      <c r="Y46" s="19">
        <f>IF($A46="","",N(Items!K46)*$W46)</f>
        <v/>
      </c>
      <c r="Z46" s="19">
        <f>IF($A46="","",(N(Items!K46)-N(Items!J46))*$W46)</f>
        <v/>
      </c>
      <c r="AA46" s="19">
        <f>IF($A46="","",$Z46-$X46)</f>
        <v/>
      </c>
      <c r="AB46" s="10">
        <f>IF($A46="","",IF(TRIM(Items!C46&amp;"")="","CHECK: import country missing",IF(OR(LEN($C46)&lt;&gt;10,ISERROR(VALUE($C46))),"CHECK: HTS must be 10 digits",IF(LEN($E46)&lt;&gt;2,"CHECK: origin code missing or not 2 letters",IF(OR(Items!G46="",Items!I46="",Items!J46=""),"CHECK: value, rate or cost missing",IF(ISNUMBER(Items!G46)*ISNUMBER(Items!I46)*ISNUMBER(Items!J46)=0,"CHECK: text in a number column",IF(AND($L46="Y",UPPER(TRIM(act_RateType&amp;""))="REPLACE",$N46&lt;N(act_PriorRate)),"CHECK: current rate is below the rate being replaced",IF(AND($L46="Y",$W46=0),"NOTE: in scope, no volume","OK"))))))))</f>
        <v/>
      </c>
      <c r="AC46" s="20">
        <f>IF($A46="","",IF(AND($L46="Y",$X46&lt;&gt;0),ABS($X46)+ROW()/1000000000,""))</f>
        <v/>
      </c>
    </row>
    <row r="47">
      <c r="A47" s="10">
        <f>IF(TRIM(Items!A47&amp;"")="","",TRIM(Items!A47&amp;""))</f>
        <v/>
      </c>
      <c r="B47" s="10">
        <f>IF($A47="","",Items!B47&amp;"")</f>
        <v/>
      </c>
      <c r="C47" s="10">
        <f>IF($A47="","",SUBSTITUTE(SUBSTITUTE(SUBSTITUTE(TRIM(Items!D47&amp;""),".","")," ",""),"-",""))</f>
        <v/>
      </c>
      <c r="D47" s="10">
        <f>IF($A47="","",LEFT($C47,2))</f>
        <v/>
      </c>
      <c r="E47" s="10">
        <f>IF($A47="","",UPPER(TRIM(Items!E47&amp;"")))</f>
        <v/>
      </c>
      <c r="F47" s="10">
        <f>IF($A47="","",IF(UPPER(TRIM(Items!C47&amp;""))=UPPER(TRIM(act_Country&amp;"")),"Y","N"))</f>
        <v/>
      </c>
      <c r="G47" s="10">
        <f>IF($A47="","",IF(SUMPRODUCT((scope_HTS&lt;&gt;"")*(LEFT($C47,LEN(scope_HTS))=scope_HTS))&gt;0,"Y","N"))</f>
        <v/>
      </c>
      <c r="H47" s="10">
        <f>IF($A47="","",IF(SUMPRODUCT((excl_HTS&lt;&gt;"")*(LEFT($C47,LEN(excl_HTS))=excl_HTS))&gt;0,"Y","N"))</f>
        <v/>
      </c>
      <c r="I47" s="10">
        <f>IF($A47="","",IF($E47="","N",IF(COUNTIF(scope_COO,$E47)&gt;0,"Y","N")))</f>
        <v/>
      </c>
      <c r="J47" s="10">
        <f>IF($A47="","",IF(AND(UPPER(TRIM(act_USMCAExempt&amp;""))="Y",UPPER(TRIM(Items!F47&amp;""))="Y"),"Y","N"))</f>
        <v/>
      </c>
      <c r="K47" s="10">
        <f>IF($A47="","",IFERROR(UPPER(TRIM(INDEX(det_Status,MATCH($A47,det_Item,0))&amp;"")),""))</f>
        <v/>
      </c>
      <c r="L47" s="10">
        <f>IF($A47="","",IF($K47="IN","Y",IF($K47="OUT","N",IF(AND($F47="Y",$G47="Y",$H47="N",$I47="Y",$J47="N"),"Y","N"))))</f>
        <v/>
      </c>
      <c r="M47" s="10">
        <f>IF($A47="","",IF($K47="IN","In: Research determination",IF($K47="OUT","Out: Research determination",IF($F47="N","Out: different import country",IF($G47="N","Out: HTS not on scope list",IF($H47="Y","Out: HTS on exclusion list",IF($I47="N","Out: origin not on scope list",IF($J47="Y","Out: USMCA-qualifying, exempt","In: matches scope rules"))))))))</f>
        <v/>
      </c>
      <c r="N47" s="16">
        <f>IF($A47="","",N(Items!I47))</f>
        <v/>
      </c>
      <c r="O47" s="16">
        <f>IF($A47="","",IF($L47="Y",$N47+N(act_Rate)-IF(UPPER(TRIM(act_RateType&amp;""))="REPLACE",N(act_PriorRate),0),$N47))</f>
        <v/>
      </c>
      <c r="P47" s="17">
        <f>IF($A47="","",N(Items!G47)*$N47)</f>
        <v/>
      </c>
      <c r="Q47" s="17">
        <f>IF($A47="","",N(Items!G47)*$O47)</f>
        <v/>
      </c>
      <c r="R47" s="17">
        <f>IF($A47="","",$Q47-$P47)</f>
        <v/>
      </c>
      <c r="S47" s="17">
        <f>IF($A47="","",N(Items!J47)+$R47)</f>
        <v/>
      </c>
      <c r="T47" s="16">
        <f>IF($A47="","",IF(N(Items!K47)=0,"",(N(Items!K47)-N(Items!J47))/N(Items!K47)))</f>
        <v/>
      </c>
      <c r="U47" s="16">
        <f>IF($A47="","",IF(N(Items!K47)=0,"",(N(Items!K47)-$S47)/N(Items!K47)))</f>
        <v/>
      </c>
      <c r="V47" s="16">
        <f>IF(OR($T47="",$U47=""),"",$U47-$T47)</f>
        <v/>
      </c>
      <c r="W47" s="18">
        <f>IF($A47="","",N(Items!H47))</f>
        <v/>
      </c>
      <c r="X47" s="19">
        <f>IF($A47="","",$R47*$W47)</f>
        <v/>
      </c>
      <c r="Y47" s="19">
        <f>IF($A47="","",N(Items!K47)*$W47)</f>
        <v/>
      </c>
      <c r="Z47" s="19">
        <f>IF($A47="","",(N(Items!K47)-N(Items!J47))*$W47)</f>
        <v/>
      </c>
      <c r="AA47" s="19">
        <f>IF($A47="","",$Z47-$X47)</f>
        <v/>
      </c>
      <c r="AB47" s="10">
        <f>IF($A47="","",IF(TRIM(Items!C47&amp;"")="","CHECK: import country missing",IF(OR(LEN($C47)&lt;&gt;10,ISERROR(VALUE($C47))),"CHECK: HTS must be 10 digits",IF(LEN($E47)&lt;&gt;2,"CHECK: origin code missing or not 2 letters",IF(OR(Items!G47="",Items!I47="",Items!J47=""),"CHECK: value, rate or cost missing",IF(ISNUMBER(Items!G47)*ISNUMBER(Items!I47)*ISNUMBER(Items!J47)=0,"CHECK: text in a number column",IF(AND($L47="Y",UPPER(TRIM(act_RateType&amp;""))="REPLACE",$N47&lt;N(act_PriorRate)),"CHECK: current rate is below the rate being replaced",IF(AND($L47="Y",$W47=0),"NOTE: in scope, no volume","OK"))))))))</f>
        <v/>
      </c>
      <c r="AC47" s="20">
        <f>IF($A47="","",IF(AND($L47="Y",$X47&lt;&gt;0),ABS($X47)+ROW()/1000000000,""))</f>
        <v/>
      </c>
    </row>
    <row r="48">
      <c r="A48" s="10">
        <f>IF(TRIM(Items!A48&amp;"")="","",TRIM(Items!A48&amp;""))</f>
        <v/>
      </c>
      <c r="B48" s="10">
        <f>IF($A48="","",Items!B48&amp;"")</f>
        <v/>
      </c>
      <c r="C48" s="10">
        <f>IF($A48="","",SUBSTITUTE(SUBSTITUTE(SUBSTITUTE(TRIM(Items!D48&amp;""),".","")," ",""),"-",""))</f>
        <v/>
      </c>
      <c r="D48" s="10">
        <f>IF($A48="","",LEFT($C48,2))</f>
        <v/>
      </c>
      <c r="E48" s="10">
        <f>IF($A48="","",UPPER(TRIM(Items!E48&amp;"")))</f>
        <v/>
      </c>
      <c r="F48" s="10">
        <f>IF($A48="","",IF(UPPER(TRIM(Items!C48&amp;""))=UPPER(TRIM(act_Country&amp;"")),"Y","N"))</f>
        <v/>
      </c>
      <c r="G48" s="10">
        <f>IF($A48="","",IF(SUMPRODUCT((scope_HTS&lt;&gt;"")*(LEFT($C48,LEN(scope_HTS))=scope_HTS))&gt;0,"Y","N"))</f>
        <v/>
      </c>
      <c r="H48" s="10">
        <f>IF($A48="","",IF(SUMPRODUCT((excl_HTS&lt;&gt;"")*(LEFT($C48,LEN(excl_HTS))=excl_HTS))&gt;0,"Y","N"))</f>
        <v/>
      </c>
      <c r="I48" s="10">
        <f>IF($A48="","",IF($E48="","N",IF(COUNTIF(scope_COO,$E48)&gt;0,"Y","N")))</f>
        <v/>
      </c>
      <c r="J48" s="10">
        <f>IF($A48="","",IF(AND(UPPER(TRIM(act_USMCAExempt&amp;""))="Y",UPPER(TRIM(Items!F48&amp;""))="Y"),"Y","N"))</f>
        <v/>
      </c>
      <c r="K48" s="10">
        <f>IF($A48="","",IFERROR(UPPER(TRIM(INDEX(det_Status,MATCH($A48,det_Item,0))&amp;"")),""))</f>
        <v/>
      </c>
      <c r="L48" s="10">
        <f>IF($A48="","",IF($K48="IN","Y",IF($K48="OUT","N",IF(AND($F48="Y",$G48="Y",$H48="N",$I48="Y",$J48="N"),"Y","N"))))</f>
        <v/>
      </c>
      <c r="M48" s="10">
        <f>IF($A48="","",IF($K48="IN","In: Research determination",IF($K48="OUT","Out: Research determination",IF($F48="N","Out: different import country",IF($G48="N","Out: HTS not on scope list",IF($H48="Y","Out: HTS on exclusion list",IF($I48="N","Out: origin not on scope list",IF($J48="Y","Out: USMCA-qualifying, exempt","In: matches scope rules"))))))))</f>
        <v/>
      </c>
      <c r="N48" s="16">
        <f>IF($A48="","",N(Items!I48))</f>
        <v/>
      </c>
      <c r="O48" s="16">
        <f>IF($A48="","",IF($L48="Y",$N48+N(act_Rate)-IF(UPPER(TRIM(act_RateType&amp;""))="REPLACE",N(act_PriorRate),0),$N48))</f>
        <v/>
      </c>
      <c r="P48" s="17">
        <f>IF($A48="","",N(Items!G48)*$N48)</f>
        <v/>
      </c>
      <c r="Q48" s="17">
        <f>IF($A48="","",N(Items!G48)*$O48)</f>
        <v/>
      </c>
      <c r="R48" s="17">
        <f>IF($A48="","",$Q48-$P48)</f>
        <v/>
      </c>
      <c r="S48" s="17">
        <f>IF($A48="","",N(Items!J48)+$R48)</f>
        <v/>
      </c>
      <c r="T48" s="16">
        <f>IF($A48="","",IF(N(Items!K48)=0,"",(N(Items!K48)-N(Items!J48))/N(Items!K48)))</f>
        <v/>
      </c>
      <c r="U48" s="16">
        <f>IF($A48="","",IF(N(Items!K48)=0,"",(N(Items!K48)-$S48)/N(Items!K48)))</f>
        <v/>
      </c>
      <c r="V48" s="16">
        <f>IF(OR($T48="",$U48=""),"",$U48-$T48)</f>
        <v/>
      </c>
      <c r="W48" s="18">
        <f>IF($A48="","",N(Items!H48))</f>
        <v/>
      </c>
      <c r="X48" s="19">
        <f>IF($A48="","",$R48*$W48)</f>
        <v/>
      </c>
      <c r="Y48" s="19">
        <f>IF($A48="","",N(Items!K48)*$W48)</f>
        <v/>
      </c>
      <c r="Z48" s="19">
        <f>IF($A48="","",(N(Items!K48)-N(Items!J48))*$W48)</f>
        <v/>
      </c>
      <c r="AA48" s="19">
        <f>IF($A48="","",$Z48-$X48)</f>
        <v/>
      </c>
      <c r="AB48" s="10">
        <f>IF($A48="","",IF(TRIM(Items!C48&amp;"")="","CHECK: import country missing",IF(OR(LEN($C48)&lt;&gt;10,ISERROR(VALUE($C48))),"CHECK: HTS must be 10 digits",IF(LEN($E48)&lt;&gt;2,"CHECK: origin code missing or not 2 letters",IF(OR(Items!G48="",Items!I48="",Items!J48=""),"CHECK: value, rate or cost missing",IF(ISNUMBER(Items!G48)*ISNUMBER(Items!I48)*ISNUMBER(Items!J48)=0,"CHECK: text in a number column",IF(AND($L48="Y",UPPER(TRIM(act_RateType&amp;""))="REPLACE",$N48&lt;N(act_PriorRate)),"CHECK: current rate is below the rate being replaced",IF(AND($L48="Y",$W48=0),"NOTE: in scope, no volume","OK"))))))))</f>
        <v/>
      </c>
      <c r="AC48" s="20">
        <f>IF($A48="","",IF(AND($L48="Y",$X48&lt;&gt;0),ABS($X48)+ROW()/1000000000,""))</f>
        <v/>
      </c>
    </row>
    <row r="49">
      <c r="A49" s="10">
        <f>IF(TRIM(Items!A49&amp;"")="","",TRIM(Items!A49&amp;""))</f>
        <v/>
      </c>
      <c r="B49" s="10">
        <f>IF($A49="","",Items!B49&amp;"")</f>
        <v/>
      </c>
      <c r="C49" s="10">
        <f>IF($A49="","",SUBSTITUTE(SUBSTITUTE(SUBSTITUTE(TRIM(Items!D49&amp;""),".","")," ",""),"-",""))</f>
        <v/>
      </c>
      <c r="D49" s="10">
        <f>IF($A49="","",LEFT($C49,2))</f>
        <v/>
      </c>
      <c r="E49" s="10">
        <f>IF($A49="","",UPPER(TRIM(Items!E49&amp;"")))</f>
        <v/>
      </c>
      <c r="F49" s="10">
        <f>IF($A49="","",IF(UPPER(TRIM(Items!C49&amp;""))=UPPER(TRIM(act_Country&amp;"")),"Y","N"))</f>
        <v/>
      </c>
      <c r="G49" s="10">
        <f>IF($A49="","",IF(SUMPRODUCT((scope_HTS&lt;&gt;"")*(LEFT($C49,LEN(scope_HTS))=scope_HTS))&gt;0,"Y","N"))</f>
        <v/>
      </c>
      <c r="H49" s="10">
        <f>IF($A49="","",IF(SUMPRODUCT((excl_HTS&lt;&gt;"")*(LEFT($C49,LEN(excl_HTS))=excl_HTS))&gt;0,"Y","N"))</f>
        <v/>
      </c>
      <c r="I49" s="10">
        <f>IF($A49="","",IF($E49="","N",IF(COUNTIF(scope_COO,$E49)&gt;0,"Y","N")))</f>
        <v/>
      </c>
      <c r="J49" s="10">
        <f>IF($A49="","",IF(AND(UPPER(TRIM(act_USMCAExempt&amp;""))="Y",UPPER(TRIM(Items!F49&amp;""))="Y"),"Y","N"))</f>
        <v/>
      </c>
      <c r="K49" s="10">
        <f>IF($A49="","",IFERROR(UPPER(TRIM(INDEX(det_Status,MATCH($A49,det_Item,0))&amp;"")),""))</f>
        <v/>
      </c>
      <c r="L49" s="10">
        <f>IF($A49="","",IF($K49="IN","Y",IF($K49="OUT","N",IF(AND($F49="Y",$G49="Y",$H49="N",$I49="Y",$J49="N"),"Y","N"))))</f>
        <v/>
      </c>
      <c r="M49" s="10">
        <f>IF($A49="","",IF($K49="IN","In: Research determination",IF($K49="OUT","Out: Research determination",IF($F49="N","Out: different import country",IF($G49="N","Out: HTS not on scope list",IF($H49="Y","Out: HTS on exclusion list",IF($I49="N","Out: origin not on scope list",IF($J49="Y","Out: USMCA-qualifying, exempt","In: matches scope rules"))))))))</f>
        <v/>
      </c>
      <c r="N49" s="16">
        <f>IF($A49="","",N(Items!I49))</f>
        <v/>
      </c>
      <c r="O49" s="16">
        <f>IF($A49="","",IF($L49="Y",$N49+N(act_Rate)-IF(UPPER(TRIM(act_RateType&amp;""))="REPLACE",N(act_PriorRate),0),$N49))</f>
        <v/>
      </c>
      <c r="P49" s="17">
        <f>IF($A49="","",N(Items!G49)*$N49)</f>
        <v/>
      </c>
      <c r="Q49" s="17">
        <f>IF($A49="","",N(Items!G49)*$O49)</f>
        <v/>
      </c>
      <c r="R49" s="17">
        <f>IF($A49="","",$Q49-$P49)</f>
        <v/>
      </c>
      <c r="S49" s="17">
        <f>IF($A49="","",N(Items!J49)+$R49)</f>
        <v/>
      </c>
      <c r="T49" s="16">
        <f>IF($A49="","",IF(N(Items!K49)=0,"",(N(Items!K49)-N(Items!J49))/N(Items!K49)))</f>
        <v/>
      </c>
      <c r="U49" s="16">
        <f>IF($A49="","",IF(N(Items!K49)=0,"",(N(Items!K49)-$S49)/N(Items!K49)))</f>
        <v/>
      </c>
      <c r="V49" s="16">
        <f>IF(OR($T49="",$U49=""),"",$U49-$T49)</f>
        <v/>
      </c>
      <c r="W49" s="18">
        <f>IF($A49="","",N(Items!H49))</f>
        <v/>
      </c>
      <c r="X49" s="19">
        <f>IF($A49="","",$R49*$W49)</f>
        <v/>
      </c>
      <c r="Y49" s="19">
        <f>IF($A49="","",N(Items!K49)*$W49)</f>
        <v/>
      </c>
      <c r="Z49" s="19">
        <f>IF($A49="","",(N(Items!K49)-N(Items!J49))*$W49)</f>
        <v/>
      </c>
      <c r="AA49" s="19">
        <f>IF($A49="","",$Z49-$X49)</f>
        <v/>
      </c>
      <c r="AB49" s="10">
        <f>IF($A49="","",IF(TRIM(Items!C49&amp;"")="","CHECK: import country missing",IF(OR(LEN($C49)&lt;&gt;10,ISERROR(VALUE($C49))),"CHECK: HTS must be 10 digits",IF(LEN($E49)&lt;&gt;2,"CHECK: origin code missing or not 2 letters",IF(OR(Items!G49="",Items!I49="",Items!J49=""),"CHECK: value, rate or cost missing",IF(ISNUMBER(Items!G49)*ISNUMBER(Items!I49)*ISNUMBER(Items!J49)=0,"CHECK: text in a number column",IF(AND($L49="Y",UPPER(TRIM(act_RateType&amp;""))="REPLACE",$N49&lt;N(act_PriorRate)),"CHECK: current rate is below the rate being replaced",IF(AND($L49="Y",$W49=0),"NOTE: in scope, no volume","OK"))))))))</f>
        <v/>
      </c>
      <c r="AC49" s="20">
        <f>IF($A49="","",IF(AND($L49="Y",$X49&lt;&gt;0),ABS($X49)+ROW()/1000000000,""))</f>
        <v/>
      </c>
    </row>
    <row r="50">
      <c r="A50" s="10">
        <f>IF(TRIM(Items!A50&amp;"")="","",TRIM(Items!A50&amp;""))</f>
        <v/>
      </c>
      <c r="B50" s="10">
        <f>IF($A50="","",Items!B50&amp;"")</f>
        <v/>
      </c>
      <c r="C50" s="10">
        <f>IF($A50="","",SUBSTITUTE(SUBSTITUTE(SUBSTITUTE(TRIM(Items!D50&amp;""),".","")," ",""),"-",""))</f>
        <v/>
      </c>
      <c r="D50" s="10">
        <f>IF($A50="","",LEFT($C50,2))</f>
        <v/>
      </c>
      <c r="E50" s="10">
        <f>IF($A50="","",UPPER(TRIM(Items!E50&amp;"")))</f>
        <v/>
      </c>
      <c r="F50" s="10">
        <f>IF($A50="","",IF(UPPER(TRIM(Items!C50&amp;""))=UPPER(TRIM(act_Country&amp;"")),"Y","N"))</f>
        <v/>
      </c>
      <c r="G50" s="10">
        <f>IF($A50="","",IF(SUMPRODUCT((scope_HTS&lt;&gt;"")*(LEFT($C50,LEN(scope_HTS))=scope_HTS))&gt;0,"Y","N"))</f>
        <v/>
      </c>
      <c r="H50" s="10">
        <f>IF($A50="","",IF(SUMPRODUCT((excl_HTS&lt;&gt;"")*(LEFT($C50,LEN(excl_HTS))=excl_HTS))&gt;0,"Y","N"))</f>
        <v/>
      </c>
      <c r="I50" s="10">
        <f>IF($A50="","",IF($E50="","N",IF(COUNTIF(scope_COO,$E50)&gt;0,"Y","N")))</f>
        <v/>
      </c>
      <c r="J50" s="10">
        <f>IF($A50="","",IF(AND(UPPER(TRIM(act_USMCAExempt&amp;""))="Y",UPPER(TRIM(Items!F50&amp;""))="Y"),"Y","N"))</f>
        <v/>
      </c>
      <c r="K50" s="10">
        <f>IF($A50="","",IFERROR(UPPER(TRIM(INDEX(det_Status,MATCH($A50,det_Item,0))&amp;"")),""))</f>
        <v/>
      </c>
      <c r="L50" s="10">
        <f>IF($A50="","",IF($K50="IN","Y",IF($K50="OUT","N",IF(AND($F50="Y",$G50="Y",$H50="N",$I50="Y",$J50="N"),"Y","N"))))</f>
        <v/>
      </c>
      <c r="M50" s="10">
        <f>IF($A50="","",IF($K50="IN","In: Research determination",IF($K50="OUT","Out: Research determination",IF($F50="N","Out: different import country",IF($G50="N","Out: HTS not on scope list",IF($H50="Y","Out: HTS on exclusion list",IF($I50="N","Out: origin not on scope list",IF($J50="Y","Out: USMCA-qualifying, exempt","In: matches scope rules"))))))))</f>
        <v/>
      </c>
      <c r="N50" s="16">
        <f>IF($A50="","",N(Items!I50))</f>
        <v/>
      </c>
      <c r="O50" s="16">
        <f>IF($A50="","",IF($L50="Y",$N50+N(act_Rate)-IF(UPPER(TRIM(act_RateType&amp;""))="REPLACE",N(act_PriorRate),0),$N50))</f>
        <v/>
      </c>
      <c r="P50" s="17">
        <f>IF($A50="","",N(Items!G50)*$N50)</f>
        <v/>
      </c>
      <c r="Q50" s="17">
        <f>IF($A50="","",N(Items!G50)*$O50)</f>
        <v/>
      </c>
      <c r="R50" s="17">
        <f>IF($A50="","",$Q50-$P50)</f>
        <v/>
      </c>
      <c r="S50" s="17">
        <f>IF($A50="","",N(Items!J50)+$R50)</f>
        <v/>
      </c>
      <c r="T50" s="16">
        <f>IF($A50="","",IF(N(Items!K50)=0,"",(N(Items!K50)-N(Items!J50))/N(Items!K50)))</f>
        <v/>
      </c>
      <c r="U50" s="16">
        <f>IF($A50="","",IF(N(Items!K50)=0,"",(N(Items!K50)-$S50)/N(Items!K50)))</f>
        <v/>
      </c>
      <c r="V50" s="16">
        <f>IF(OR($T50="",$U50=""),"",$U50-$T50)</f>
        <v/>
      </c>
      <c r="W50" s="18">
        <f>IF($A50="","",N(Items!H50))</f>
        <v/>
      </c>
      <c r="X50" s="19">
        <f>IF($A50="","",$R50*$W50)</f>
        <v/>
      </c>
      <c r="Y50" s="19">
        <f>IF($A50="","",N(Items!K50)*$W50)</f>
        <v/>
      </c>
      <c r="Z50" s="19">
        <f>IF($A50="","",(N(Items!K50)-N(Items!J50))*$W50)</f>
        <v/>
      </c>
      <c r="AA50" s="19">
        <f>IF($A50="","",$Z50-$X50)</f>
        <v/>
      </c>
      <c r="AB50" s="10">
        <f>IF($A50="","",IF(TRIM(Items!C50&amp;"")="","CHECK: import country missing",IF(OR(LEN($C50)&lt;&gt;10,ISERROR(VALUE($C50))),"CHECK: HTS must be 10 digits",IF(LEN($E50)&lt;&gt;2,"CHECK: origin code missing or not 2 letters",IF(OR(Items!G50="",Items!I50="",Items!J50=""),"CHECK: value, rate or cost missing",IF(ISNUMBER(Items!G50)*ISNUMBER(Items!I50)*ISNUMBER(Items!J50)=0,"CHECK: text in a number column",IF(AND($L50="Y",UPPER(TRIM(act_RateType&amp;""))="REPLACE",$N50&lt;N(act_PriorRate)),"CHECK: current rate is below the rate being replaced",IF(AND($L50="Y",$W50=0),"NOTE: in scope, no volume","OK"))))))))</f>
        <v/>
      </c>
      <c r="AC50" s="20">
        <f>IF($A50="","",IF(AND($L50="Y",$X50&lt;&gt;0),ABS($X50)+ROW()/1000000000,""))</f>
        <v/>
      </c>
    </row>
    <row r="51">
      <c r="A51" s="10">
        <f>IF(TRIM(Items!A51&amp;"")="","",TRIM(Items!A51&amp;""))</f>
        <v/>
      </c>
      <c r="B51" s="10">
        <f>IF($A51="","",Items!B51&amp;"")</f>
        <v/>
      </c>
      <c r="C51" s="10">
        <f>IF($A51="","",SUBSTITUTE(SUBSTITUTE(SUBSTITUTE(TRIM(Items!D51&amp;""),".","")," ",""),"-",""))</f>
        <v/>
      </c>
      <c r="D51" s="10">
        <f>IF($A51="","",LEFT($C51,2))</f>
        <v/>
      </c>
      <c r="E51" s="10">
        <f>IF($A51="","",UPPER(TRIM(Items!E51&amp;"")))</f>
        <v/>
      </c>
      <c r="F51" s="10">
        <f>IF($A51="","",IF(UPPER(TRIM(Items!C51&amp;""))=UPPER(TRIM(act_Country&amp;"")),"Y","N"))</f>
        <v/>
      </c>
      <c r="G51" s="10">
        <f>IF($A51="","",IF(SUMPRODUCT((scope_HTS&lt;&gt;"")*(LEFT($C51,LEN(scope_HTS))=scope_HTS))&gt;0,"Y","N"))</f>
        <v/>
      </c>
      <c r="H51" s="10">
        <f>IF($A51="","",IF(SUMPRODUCT((excl_HTS&lt;&gt;"")*(LEFT($C51,LEN(excl_HTS))=excl_HTS))&gt;0,"Y","N"))</f>
        <v/>
      </c>
      <c r="I51" s="10">
        <f>IF($A51="","",IF($E51="","N",IF(COUNTIF(scope_COO,$E51)&gt;0,"Y","N")))</f>
        <v/>
      </c>
      <c r="J51" s="10">
        <f>IF($A51="","",IF(AND(UPPER(TRIM(act_USMCAExempt&amp;""))="Y",UPPER(TRIM(Items!F51&amp;""))="Y"),"Y","N"))</f>
        <v/>
      </c>
      <c r="K51" s="10">
        <f>IF($A51="","",IFERROR(UPPER(TRIM(INDEX(det_Status,MATCH($A51,det_Item,0))&amp;"")),""))</f>
        <v/>
      </c>
      <c r="L51" s="10">
        <f>IF($A51="","",IF($K51="IN","Y",IF($K51="OUT","N",IF(AND($F51="Y",$G51="Y",$H51="N",$I51="Y",$J51="N"),"Y","N"))))</f>
        <v/>
      </c>
      <c r="M51" s="10">
        <f>IF($A51="","",IF($K51="IN","In: Research determination",IF($K51="OUT","Out: Research determination",IF($F51="N","Out: different import country",IF($G51="N","Out: HTS not on scope list",IF($H51="Y","Out: HTS on exclusion list",IF($I51="N","Out: origin not on scope list",IF($J51="Y","Out: USMCA-qualifying, exempt","In: matches scope rules"))))))))</f>
        <v/>
      </c>
      <c r="N51" s="16">
        <f>IF($A51="","",N(Items!I51))</f>
        <v/>
      </c>
      <c r="O51" s="16">
        <f>IF($A51="","",IF($L51="Y",$N51+N(act_Rate)-IF(UPPER(TRIM(act_RateType&amp;""))="REPLACE",N(act_PriorRate),0),$N51))</f>
        <v/>
      </c>
      <c r="P51" s="17">
        <f>IF($A51="","",N(Items!G51)*$N51)</f>
        <v/>
      </c>
      <c r="Q51" s="17">
        <f>IF($A51="","",N(Items!G51)*$O51)</f>
        <v/>
      </c>
      <c r="R51" s="17">
        <f>IF($A51="","",$Q51-$P51)</f>
        <v/>
      </c>
      <c r="S51" s="17">
        <f>IF($A51="","",N(Items!J51)+$R51)</f>
        <v/>
      </c>
      <c r="T51" s="16">
        <f>IF($A51="","",IF(N(Items!K51)=0,"",(N(Items!K51)-N(Items!J51))/N(Items!K51)))</f>
        <v/>
      </c>
      <c r="U51" s="16">
        <f>IF($A51="","",IF(N(Items!K51)=0,"",(N(Items!K51)-$S51)/N(Items!K51)))</f>
        <v/>
      </c>
      <c r="V51" s="16">
        <f>IF(OR($T51="",$U51=""),"",$U51-$T51)</f>
        <v/>
      </c>
      <c r="W51" s="18">
        <f>IF($A51="","",N(Items!H51))</f>
        <v/>
      </c>
      <c r="X51" s="19">
        <f>IF($A51="","",$R51*$W51)</f>
        <v/>
      </c>
      <c r="Y51" s="19">
        <f>IF($A51="","",N(Items!K51)*$W51)</f>
        <v/>
      </c>
      <c r="Z51" s="19">
        <f>IF($A51="","",(N(Items!K51)-N(Items!J51))*$W51)</f>
        <v/>
      </c>
      <c r="AA51" s="19">
        <f>IF($A51="","",$Z51-$X51)</f>
        <v/>
      </c>
      <c r="AB51" s="10">
        <f>IF($A51="","",IF(TRIM(Items!C51&amp;"")="","CHECK: import country missing",IF(OR(LEN($C51)&lt;&gt;10,ISERROR(VALUE($C51))),"CHECK: HTS must be 10 digits",IF(LEN($E51)&lt;&gt;2,"CHECK: origin code missing or not 2 letters",IF(OR(Items!G51="",Items!I51="",Items!J51=""),"CHECK: value, rate or cost missing",IF(ISNUMBER(Items!G51)*ISNUMBER(Items!I51)*ISNUMBER(Items!J51)=0,"CHECK: text in a number column",IF(AND($L51="Y",UPPER(TRIM(act_RateType&amp;""))="REPLACE",$N51&lt;N(act_PriorRate)),"CHECK: current rate is below the rate being replaced",IF(AND($L51="Y",$W51=0),"NOTE: in scope, no volume","OK"))))))))</f>
        <v/>
      </c>
      <c r="AC51" s="20">
        <f>IF($A51="","",IF(AND($L51="Y",$X51&lt;&gt;0),ABS($X51)+ROW()/1000000000,""))</f>
        <v/>
      </c>
    </row>
    <row r="52">
      <c r="A52" s="10">
        <f>IF(TRIM(Items!A52&amp;"")="","",TRIM(Items!A52&amp;""))</f>
        <v/>
      </c>
      <c r="B52" s="10">
        <f>IF($A52="","",Items!B52&amp;"")</f>
        <v/>
      </c>
      <c r="C52" s="10">
        <f>IF($A52="","",SUBSTITUTE(SUBSTITUTE(SUBSTITUTE(TRIM(Items!D52&amp;""),".","")," ",""),"-",""))</f>
        <v/>
      </c>
      <c r="D52" s="10">
        <f>IF($A52="","",LEFT($C52,2))</f>
        <v/>
      </c>
      <c r="E52" s="10">
        <f>IF($A52="","",UPPER(TRIM(Items!E52&amp;"")))</f>
        <v/>
      </c>
      <c r="F52" s="10">
        <f>IF($A52="","",IF(UPPER(TRIM(Items!C52&amp;""))=UPPER(TRIM(act_Country&amp;"")),"Y","N"))</f>
        <v/>
      </c>
      <c r="G52" s="10">
        <f>IF($A52="","",IF(SUMPRODUCT((scope_HTS&lt;&gt;"")*(LEFT($C52,LEN(scope_HTS))=scope_HTS))&gt;0,"Y","N"))</f>
        <v/>
      </c>
      <c r="H52" s="10">
        <f>IF($A52="","",IF(SUMPRODUCT((excl_HTS&lt;&gt;"")*(LEFT($C52,LEN(excl_HTS))=excl_HTS))&gt;0,"Y","N"))</f>
        <v/>
      </c>
      <c r="I52" s="10">
        <f>IF($A52="","",IF($E52="","N",IF(COUNTIF(scope_COO,$E52)&gt;0,"Y","N")))</f>
        <v/>
      </c>
      <c r="J52" s="10">
        <f>IF($A52="","",IF(AND(UPPER(TRIM(act_USMCAExempt&amp;""))="Y",UPPER(TRIM(Items!F52&amp;""))="Y"),"Y","N"))</f>
        <v/>
      </c>
      <c r="K52" s="10">
        <f>IF($A52="","",IFERROR(UPPER(TRIM(INDEX(det_Status,MATCH($A52,det_Item,0))&amp;"")),""))</f>
        <v/>
      </c>
      <c r="L52" s="10">
        <f>IF($A52="","",IF($K52="IN","Y",IF($K52="OUT","N",IF(AND($F52="Y",$G52="Y",$H52="N",$I52="Y",$J52="N"),"Y","N"))))</f>
        <v/>
      </c>
      <c r="M52" s="10">
        <f>IF($A52="","",IF($K52="IN","In: Research determination",IF($K52="OUT","Out: Research determination",IF($F52="N","Out: different import country",IF($G52="N","Out: HTS not on scope list",IF($H52="Y","Out: HTS on exclusion list",IF($I52="N","Out: origin not on scope list",IF($J52="Y","Out: USMCA-qualifying, exempt","In: matches scope rules"))))))))</f>
        <v/>
      </c>
      <c r="N52" s="16">
        <f>IF($A52="","",N(Items!I52))</f>
        <v/>
      </c>
      <c r="O52" s="16">
        <f>IF($A52="","",IF($L52="Y",$N52+N(act_Rate)-IF(UPPER(TRIM(act_RateType&amp;""))="REPLACE",N(act_PriorRate),0),$N52))</f>
        <v/>
      </c>
      <c r="P52" s="17">
        <f>IF($A52="","",N(Items!G52)*$N52)</f>
        <v/>
      </c>
      <c r="Q52" s="17">
        <f>IF($A52="","",N(Items!G52)*$O52)</f>
        <v/>
      </c>
      <c r="R52" s="17">
        <f>IF($A52="","",$Q52-$P52)</f>
        <v/>
      </c>
      <c r="S52" s="17">
        <f>IF($A52="","",N(Items!J52)+$R52)</f>
        <v/>
      </c>
      <c r="T52" s="16">
        <f>IF($A52="","",IF(N(Items!K52)=0,"",(N(Items!K52)-N(Items!J52))/N(Items!K52)))</f>
        <v/>
      </c>
      <c r="U52" s="16">
        <f>IF($A52="","",IF(N(Items!K52)=0,"",(N(Items!K52)-$S52)/N(Items!K52)))</f>
        <v/>
      </c>
      <c r="V52" s="16">
        <f>IF(OR($T52="",$U52=""),"",$U52-$T52)</f>
        <v/>
      </c>
      <c r="W52" s="18">
        <f>IF($A52="","",N(Items!H52))</f>
        <v/>
      </c>
      <c r="X52" s="19">
        <f>IF($A52="","",$R52*$W52)</f>
        <v/>
      </c>
      <c r="Y52" s="19">
        <f>IF($A52="","",N(Items!K52)*$W52)</f>
        <v/>
      </c>
      <c r="Z52" s="19">
        <f>IF($A52="","",(N(Items!K52)-N(Items!J52))*$W52)</f>
        <v/>
      </c>
      <c r="AA52" s="19">
        <f>IF($A52="","",$Z52-$X52)</f>
        <v/>
      </c>
      <c r="AB52" s="10">
        <f>IF($A52="","",IF(TRIM(Items!C52&amp;"")="","CHECK: import country missing",IF(OR(LEN($C52)&lt;&gt;10,ISERROR(VALUE($C52))),"CHECK: HTS must be 10 digits",IF(LEN($E52)&lt;&gt;2,"CHECK: origin code missing or not 2 letters",IF(OR(Items!G52="",Items!I52="",Items!J52=""),"CHECK: value, rate or cost missing",IF(ISNUMBER(Items!G52)*ISNUMBER(Items!I52)*ISNUMBER(Items!J52)=0,"CHECK: text in a number column",IF(AND($L52="Y",UPPER(TRIM(act_RateType&amp;""))="REPLACE",$N52&lt;N(act_PriorRate)),"CHECK: current rate is below the rate being replaced",IF(AND($L52="Y",$W52=0),"NOTE: in scope, no volume","OK"))))))))</f>
        <v/>
      </c>
      <c r="AC52" s="20">
        <f>IF($A52="","",IF(AND($L52="Y",$X52&lt;&gt;0),ABS($X52)+ROW()/1000000000,""))</f>
        <v/>
      </c>
    </row>
    <row r="53">
      <c r="A53" s="10">
        <f>IF(TRIM(Items!A53&amp;"")="","",TRIM(Items!A53&amp;""))</f>
        <v/>
      </c>
      <c r="B53" s="10">
        <f>IF($A53="","",Items!B53&amp;"")</f>
        <v/>
      </c>
      <c r="C53" s="10">
        <f>IF($A53="","",SUBSTITUTE(SUBSTITUTE(SUBSTITUTE(TRIM(Items!D53&amp;""),".","")," ",""),"-",""))</f>
        <v/>
      </c>
      <c r="D53" s="10">
        <f>IF($A53="","",LEFT($C53,2))</f>
        <v/>
      </c>
      <c r="E53" s="10">
        <f>IF($A53="","",UPPER(TRIM(Items!E53&amp;"")))</f>
        <v/>
      </c>
      <c r="F53" s="10">
        <f>IF($A53="","",IF(UPPER(TRIM(Items!C53&amp;""))=UPPER(TRIM(act_Country&amp;"")),"Y","N"))</f>
        <v/>
      </c>
      <c r="G53" s="10">
        <f>IF($A53="","",IF(SUMPRODUCT((scope_HTS&lt;&gt;"")*(LEFT($C53,LEN(scope_HTS))=scope_HTS))&gt;0,"Y","N"))</f>
        <v/>
      </c>
      <c r="H53" s="10">
        <f>IF($A53="","",IF(SUMPRODUCT((excl_HTS&lt;&gt;"")*(LEFT($C53,LEN(excl_HTS))=excl_HTS))&gt;0,"Y","N"))</f>
        <v/>
      </c>
      <c r="I53" s="10">
        <f>IF($A53="","",IF($E53="","N",IF(COUNTIF(scope_COO,$E53)&gt;0,"Y","N")))</f>
        <v/>
      </c>
      <c r="J53" s="10">
        <f>IF($A53="","",IF(AND(UPPER(TRIM(act_USMCAExempt&amp;""))="Y",UPPER(TRIM(Items!F53&amp;""))="Y"),"Y","N"))</f>
        <v/>
      </c>
      <c r="K53" s="10">
        <f>IF($A53="","",IFERROR(UPPER(TRIM(INDEX(det_Status,MATCH($A53,det_Item,0))&amp;"")),""))</f>
        <v/>
      </c>
      <c r="L53" s="10">
        <f>IF($A53="","",IF($K53="IN","Y",IF($K53="OUT","N",IF(AND($F53="Y",$G53="Y",$H53="N",$I53="Y",$J53="N"),"Y","N"))))</f>
        <v/>
      </c>
      <c r="M53" s="10">
        <f>IF($A53="","",IF($K53="IN","In: Research determination",IF($K53="OUT","Out: Research determination",IF($F53="N","Out: different import country",IF($G53="N","Out: HTS not on scope list",IF($H53="Y","Out: HTS on exclusion list",IF($I53="N","Out: origin not on scope list",IF($J53="Y","Out: USMCA-qualifying, exempt","In: matches scope rules"))))))))</f>
        <v/>
      </c>
      <c r="N53" s="16">
        <f>IF($A53="","",N(Items!I53))</f>
        <v/>
      </c>
      <c r="O53" s="16">
        <f>IF($A53="","",IF($L53="Y",$N53+N(act_Rate)-IF(UPPER(TRIM(act_RateType&amp;""))="REPLACE",N(act_PriorRate),0),$N53))</f>
        <v/>
      </c>
      <c r="P53" s="17">
        <f>IF($A53="","",N(Items!G53)*$N53)</f>
        <v/>
      </c>
      <c r="Q53" s="17">
        <f>IF($A53="","",N(Items!G53)*$O53)</f>
        <v/>
      </c>
      <c r="R53" s="17">
        <f>IF($A53="","",$Q53-$P53)</f>
        <v/>
      </c>
      <c r="S53" s="17">
        <f>IF($A53="","",N(Items!J53)+$R53)</f>
        <v/>
      </c>
      <c r="T53" s="16">
        <f>IF($A53="","",IF(N(Items!K53)=0,"",(N(Items!K53)-N(Items!J53))/N(Items!K53)))</f>
        <v/>
      </c>
      <c r="U53" s="16">
        <f>IF($A53="","",IF(N(Items!K53)=0,"",(N(Items!K53)-$S53)/N(Items!K53)))</f>
        <v/>
      </c>
      <c r="V53" s="16">
        <f>IF(OR($T53="",$U53=""),"",$U53-$T53)</f>
        <v/>
      </c>
      <c r="W53" s="18">
        <f>IF($A53="","",N(Items!H53))</f>
        <v/>
      </c>
      <c r="X53" s="19">
        <f>IF($A53="","",$R53*$W53)</f>
        <v/>
      </c>
      <c r="Y53" s="19">
        <f>IF($A53="","",N(Items!K53)*$W53)</f>
        <v/>
      </c>
      <c r="Z53" s="19">
        <f>IF($A53="","",(N(Items!K53)-N(Items!J53))*$W53)</f>
        <v/>
      </c>
      <c r="AA53" s="19">
        <f>IF($A53="","",$Z53-$X53)</f>
        <v/>
      </c>
      <c r="AB53" s="10">
        <f>IF($A53="","",IF(TRIM(Items!C53&amp;"")="","CHECK: import country missing",IF(OR(LEN($C53)&lt;&gt;10,ISERROR(VALUE($C53))),"CHECK: HTS must be 10 digits",IF(LEN($E53)&lt;&gt;2,"CHECK: origin code missing or not 2 letters",IF(OR(Items!G53="",Items!I53="",Items!J53=""),"CHECK: value, rate or cost missing",IF(ISNUMBER(Items!G53)*ISNUMBER(Items!I53)*ISNUMBER(Items!J53)=0,"CHECK: text in a number column",IF(AND($L53="Y",UPPER(TRIM(act_RateType&amp;""))="REPLACE",$N53&lt;N(act_PriorRate)),"CHECK: current rate is below the rate being replaced",IF(AND($L53="Y",$W53=0),"NOTE: in scope, no volume","OK"))))))))</f>
        <v/>
      </c>
      <c r="AC53" s="20">
        <f>IF($A53="","",IF(AND($L53="Y",$X53&lt;&gt;0),ABS($X53)+ROW()/1000000000,""))</f>
        <v/>
      </c>
    </row>
    <row r="54">
      <c r="A54" s="10">
        <f>IF(TRIM(Items!A54&amp;"")="","",TRIM(Items!A54&amp;""))</f>
        <v/>
      </c>
      <c r="B54" s="10">
        <f>IF($A54="","",Items!B54&amp;"")</f>
        <v/>
      </c>
      <c r="C54" s="10">
        <f>IF($A54="","",SUBSTITUTE(SUBSTITUTE(SUBSTITUTE(TRIM(Items!D54&amp;""),".","")," ",""),"-",""))</f>
        <v/>
      </c>
      <c r="D54" s="10">
        <f>IF($A54="","",LEFT($C54,2))</f>
        <v/>
      </c>
      <c r="E54" s="10">
        <f>IF($A54="","",UPPER(TRIM(Items!E54&amp;"")))</f>
        <v/>
      </c>
      <c r="F54" s="10">
        <f>IF($A54="","",IF(UPPER(TRIM(Items!C54&amp;""))=UPPER(TRIM(act_Country&amp;"")),"Y","N"))</f>
        <v/>
      </c>
      <c r="G54" s="10">
        <f>IF($A54="","",IF(SUMPRODUCT((scope_HTS&lt;&gt;"")*(LEFT($C54,LEN(scope_HTS))=scope_HTS))&gt;0,"Y","N"))</f>
        <v/>
      </c>
      <c r="H54" s="10">
        <f>IF($A54="","",IF(SUMPRODUCT((excl_HTS&lt;&gt;"")*(LEFT($C54,LEN(excl_HTS))=excl_HTS))&gt;0,"Y","N"))</f>
        <v/>
      </c>
      <c r="I54" s="10">
        <f>IF($A54="","",IF($E54="","N",IF(COUNTIF(scope_COO,$E54)&gt;0,"Y","N")))</f>
        <v/>
      </c>
      <c r="J54" s="10">
        <f>IF($A54="","",IF(AND(UPPER(TRIM(act_USMCAExempt&amp;""))="Y",UPPER(TRIM(Items!F54&amp;""))="Y"),"Y","N"))</f>
        <v/>
      </c>
      <c r="K54" s="10">
        <f>IF($A54="","",IFERROR(UPPER(TRIM(INDEX(det_Status,MATCH($A54,det_Item,0))&amp;"")),""))</f>
        <v/>
      </c>
      <c r="L54" s="10">
        <f>IF($A54="","",IF($K54="IN","Y",IF($K54="OUT","N",IF(AND($F54="Y",$G54="Y",$H54="N",$I54="Y",$J54="N"),"Y","N"))))</f>
        <v/>
      </c>
      <c r="M54" s="10">
        <f>IF($A54="","",IF($K54="IN","In: Research determination",IF($K54="OUT","Out: Research determination",IF($F54="N","Out: different import country",IF($G54="N","Out: HTS not on scope list",IF($H54="Y","Out: HTS on exclusion list",IF($I54="N","Out: origin not on scope list",IF($J54="Y","Out: USMCA-qualifying, exempt","In: matches scope rules"))))))))</f>
        <v/>
      </c>
      <c r="N54" s="16">
        <f>IF($A54="","",N(Items!I54))</f>
        <v/>
      </c>
      <c r="O54" s="16">
        <f>IF($A54="","",IF($L54="Y",$N54+N(act_Rate)-IF(UPPER(TRIM(act_RateType&amp;""))="REPLACE",N(act_PriorRate),0),$N54))</f>
        <v/>
      </c>
      <c r="P54" s="17">
        <f>IF($A54="","",N(Items!G54)*$N54)</f>
        <v/>
      </c>
      <c r="Q54" s="17">
        <f>IF($A54="","",N(Items!G54)*$O54)</f>
        <v/>
      </c>
      <c r="R54" s="17">
        <f>IF($A54="","",$Q54-$P54)</f>
        <v/>
      </c>
      <c r="S54" s="17">
        <f>IF($A54="","",N(Items!J54)+$R54)</f>
        <v/>
      </c>
      <c r="T54" s="16">
        <f>IF($A54="","",IF(N(Items!K54)=0,"",(N(Items!K54)-N(Items!J54))/N(Items!K54)))</f>
        <v/>
      </c>
      <c r="U54" s="16">
        <f>IF($A54="","",IF(N(Items!K54)=0,"",(N(Items!K54)-$S54)/N(Items!K54)))</f>
        <v/>
      </c>
      <c r="V54" s="16">
        <f>IF(OR($T54="",$U54=""),"",$U54-$T54)</f>
        <v/>
      </c>
      <c r="W54" s="18">
        <f>IF($A54="","",N(Items!H54))</f>
        <v/>
      </c>
      <c r="X54" s="19">
        <f>IF($A54="","",$R54*$W54)</f>
        <v/>
      </c>
      <c r="Y54" s="19">
        <f>IF($A54="","",N(Items!K54)*$W54)</f>
        <v/>
      </c>
      <c r="Z54" s="19">
        <f>IF($A54="","",(N(Items!K54)-N(Items!J54))*$W54)</f>
        <v/>
      </c>
      <c r="AA54" s="19">
        <f>IF($A54="","",$Z54-$X54)</f>
        <v/>
      </c>
      <c r="AB54" s="10">
        <f>IF($A54="","",IF(TRIM(Items!C54&amp;"")="","CHECK: import country missing",IF(OR(LEN($C54)&lt;&gt;10,ISERROR(VALUE($C54))),"CHECK: HTS must be 10 digits",IF(LEN($E54)&lt;&gt;2,"CHECK: origin code missing or not 2 letters",IF(OR(Items!G54="",Items!I54="",Items!J54=""),"CHECK: value, rate or cost missing",IF(ISNUMBER(Items!G54)*ISNUMBER(Items!I54)*ISNUMBER(Items!J54)=0,"CHECK: text in a number column",IF(AND($L54="Y",UPPER(TRIM(act_RateType&amp;""))="REPLACE",$N54&lt;N(act_PriorRate)),"CHECK: current rate is below the rate being replaced",IF(AND($L54="Y",$W54=0),"NOTE: in scope, no volume","OK"))))))))</f>
        <v/>
      </c>
      <c r="AC54" s="20">
        <f>IF($A54="","",IF(AND($L54="Y",$X54&lt;&gt;0),ABS($X54)+ROW()/1000000000,""))</f>
        <v/>
      </c>
    </row>
    <row r="55">
      <c r="A55" s="10">
        <f>IF(TRIM(Items!A55&amp;"")="","",TRIM(Items!A55&amp;""))</f>
        <v/>
      </c>
      <c r="B55" s="10">
        <f>IF($A55="","",Items!B55&amp;"")</f>
        <v/>
      </c>
      <c r="C55" s="10">
        <f>IF($A55="","",SUBSTITUTE(SUBSTITUTE(SUBSTITUTE(TRIM(Items!D55&amp;""),".","")," ",""),"-",""))</f>
        <v/>
      </c>
      <c r="D55" s="10">
        <f>IF($A55="","",LEFT($C55,2))</f>
        <v/>
      </c>
      <c r="E55" s="10">
        <f>IF($A55="","",UPPER(TRIM(Items!E55&amp;"")))</f>
        <v/>
      </c>
      <c r="F55" s="10">
        <f>IF($A55="","",IF(UPPER(TRIM(Items!C55&amp;""))=UPPER(TRIM(act_Country&amp;"")),"Y","N"))</f>
        <v/>
      </c>
      <c r="G55" s="10">
        <f>IF($A55="","",IF(SUMPRODUCT((scope_HTS&lt;&gt;"")*(LEFT($C55,LEN(scope_HTS))=scope_HTS))&gt;0,"Y","N"))</f>
        <v/>
      </c>
      <c r="H55" s="10">
        <f>IF($A55="","",IF(SUMPRODUCT((excl_HTS&lt;&gt;"")*(LEFT($C55,LEN(excl_HTS))=excl_HTS))&gt;0,"Y","N"))</f>
        <v/>
      </c>
      <c r="I55" s="10">
        <f>IF($A55="","",IF($E55="","N",IF(COUNTIF(scope_COO,$E55)&gt;0,"Y","N")))</f>
        <v/>
      </c>
      <c r="J55" s="10">
        <f>IF($A55="","",IF(AND(UPPER(TRIM(act_USMCAExempt&amp;""))="Y",UPPER(TRIM(Items!F55&amp;""))="Y"),"Y","N"))</f>
        <v/>
      </c>
      <c r="K55" s="10">
        <f>IF($A55="","",IFERROR(UPPER(TRIM(INDEX(det_Status,MATCH($A55,det_Item,0))&amp;"")),""))</f>
        <v/>
      </c>
      <c r="L55" s="10">
        <f>IF($A55="","",IF($K55="IN","Y",IF($K55="OUT","N",IF(AND($F55="Y",$G55="Y",$H55="N",$I55="Y",$J55="N"),"Y","N"))))</f>
        <v/>
      </c>
      <c r="M55" s="10">
        <f>IF($A55="","",IF($K55="IN","In: Research determination",IF($K55="OUT","Out: Research determination",IF($F55="N","Out: different import country",IF($G55="N","Out: HTS not on scope list",IF($H55="Y","Out: HTS on exclusion list",IF($I55="N","Out: origin not on scope list",IF($J55="Y","Out: USMCA-qualifying, exempt","In: matches scope rules"))))))))</f>
        <v/>
      </c>
      <c r="N55" s="16">
        <f>IF($A55="","",N(Items!I55))</f>
        <v/>
      </c>
      <c r="O55" s="16">
        <f>IF($A55="","",IF($L55="Y",$N55+N(act_Rate)-IF(UPPER(TRIM(act_RateType&amp;""))="REPLACE",N(act_PriorRate),0),$N55))</f>
        <v/>
      </c>
      <c r="P55" s="17">
        <f>IF($A55="","",N(Items!G55)*$N55)</f>
        <v/>
      </c>
      <c r="Q55" s="17">
        <f>IF($A55="","",N(Items!G55)*$O55)</f>
        <v/>
      </c>
      <c r="R55" s="17">
        <f>IF($A55="","",$Q55-$P55)</f>
        <v/>
      </c>
      <c r="S55" s="17">
        <f>IF($A55="","",N(Items!J55)+$R55)</f>
        <v/>
      </c>
      <c r="T55" s="16">
        <f>IF($A55="","",IF(N(Items!K55)=0,"",(N(Items!K55)-N(Items!J55))/N(Items!K55)))</f>
        <v/>
      </c>
      <c r="U55" s="16">
        <f>IF($A55="","",IF(N(Items!K55)=0,"",(N(Items!K55)-$S55)/N(Items!K55)))</f>
        <v/>
      </c>
      <c r="V55" s="16">
        <f>IF(OR($T55="",$U55=""),"",$U55-$T55)</f>
        <v/>
      </c>
      <c r="W55" s="18">
        <f>IF($A55="","",N(Items!H55))</f>
        <v/>
      </c>
      <c r="X55" s="19">
        <f>IF($A55="","",$R55*$W55)</f>
        <v/>
      </c>
      <c r="Y55" s="19">
        <f>IF($A55="","",N(Items!K55)*$W55)</f>
        <v/>
      </c>
      <c r="Z55" s="19">
        <f>IF($A55="","",(N(Items!K55)-N(Items!J55))*$W55)</f>
        <v/>
      </c>
      <c r="AA55" s="19">
        <f>IF($A55="","",$Z55-$X55)</f>
        <v/>
      </c>
      <c r="AB55" s="10">
        <f>IF($A55="","",IF(TRIM(Items!C55&amp;"")="","CHECK: import country missing",IF(OR(LEN($C55)&lt;&gt;10,ISERROR(VALUE($C55))),"CHECK: HTS must be 10 digits",IF(LEN($E55)&lt;&gt;2,"CHECK: origin code missing or not 2 letters",IF(OR(Items!G55="",Items!I55="",Items!J55=""),"CHECK: value, rate or cost missing",IF(ISNUMBER(Items!G55)*ISNUMBER(Items!I55)*ISNUMBER(Items!J55)=0,"CHECK: text in a number column",IF(AND($L55="Y",UPPER(TRIM(act_RateType&amp;""))="REPLACE",$N55&lt;N(act_PriorRate)),"CHECK: current rate is below the rate being replaced",IF(AND($L55="Y",$W55=0),"NOTE: in scope, no volume","OK"))))))))</f>
        <v/>
      </c>
      <c r="AC55" s="20">
        <f>IF($A55="","",IF(AND($L55="Y",$X55&lt;&gt;0),ABS($X55)+ROW()/1000000000,""))</f>
        <v/>
      </c>
    </row>
    <row r="56">
      <c r="A56" s="10">
        <f>IF(TRIM(Items!A56&amp;"")="","",TRIM(Items!A56&amp;""))</f>
        <v/>
      </c>
      <c r="B56" s="10">
        <f>IF($A56="","",Items!B56&amp;"")</f>
        <v/>
      </c>
      <c r="C56" s="10">
        <f>IF($A56="","",SUBSTITUTE(SUBSTITUTE(SUBSTITUTE(TRIM(Items!D56&amp;""),".","")," ",""),"-",""))</f>
        <v/>
      </c>
      <c r="D56" s="10">
        <f>IF($A56="","",LEFT($C56,2))</f>
        <v/>
      </c>
      <c r="E56" s="10">
        <f>IF($A56="","",UPPER(TRIM(Items!E56&amp;"")))</f>
        <v/>
      </c>
      <c r="F56" s="10">
        <f>IF($A56="","",IF(UPPER(TRIM(Items!C56&amp;""))=UPPER(TRIM(act_Country&amp;"")),"Y","N"))</f>
        <v/>
      </c>
      <c r="G56" s="10">
        <f>IF($A56="","",IF(SUMPRODUCT((scope_HTS&lt;&gt;"")*(LEFT($C56,LEN(scope_HTS))=scope_HTS))&gt;0,"Y","N"))</f>
        <v/>
      </c>
      <c r="H56" s="10">
        <f>IF($A56="","",IF(SUMPRODUCT((excl_HTS&lt;&gt;"")*(LEFT($C56,LEN(excl_HTS))=excl_HTS))&gt;0,"Y","N"))</f>
        <v/>
      </c>
      <c r="I56" s="10">
        <f>IF($A56="","",IF($E56="","N",IF(COUNTIF(scope_COO,$E56)&gt;0,"Y","N")))</f>
        <v/>
      </c>
      <c r="J56" s="10">
        <f>IF($A56="","",IF(AND(UPPER(TRIM(act_USMCAExempt&amp;""))="Y",UPPER(TRIM(Items!F56&amp;""))="Y"),"Y","N"))</f>
        <v/>
      </c>
      <c r="K56" s="10">
        <f>IF($A56="","",IFERROR(UPPER(TRIM(INDEX(det_Status,MATCH($A56,det_Item,0))&amp;"")),""))</f>
        <v/>
      </c>
      <c r="L56" s="10">
        <f>IF($A56="","",IF($K56="IN","Y",IF($K56="OUT","N",IF(AND($F56="Y",$G56="Y",$H56="N",$I56="Y",$J56="N"),"Y","N"))))</f>
        <v/>
      </c>
      <c r="M56" s="10">
        <f>IF($A56="","",IF($K56="IN","In: Research determination",IF($K56="OUT","Out: Research determination",IF($F56="N","Out: different import country",IF($G56="N","Out: HTS not on scope list",IF($H56="Y","Out: HTS on exclusion list",IF($I56="N","Out: origin not on scope list",IF($J56="Y","Out: USMCA-qualifying, exempt","In: matches scope rules"))))))))</f>
        <v/>
      </c>
      <c r="N56" s="16">
        <f>IF($A56="","",N(Items!I56))</f>
        <v/>
      </c>
      <c r="O56" s="16">
        <f>IF($A56="","",IF($L56="Y",$N56+N(act_Rate)-IF(UPPER(TRIM(act_RateType&amp;""))="REPLACE",N(act_PriorRate),0),$N56))</f>
        <v/>
      </c>
      <c r="P56" s="17">
        <f>IF($A56="","",N(Items!G56)*$N56)</f>
        <v/>
      </c>
      <c r="Q56" s="17">
        <f>IF($A56="","",N(Items!G56)*$O56)</f>
        <v/>
      </c>
      <c r="R56" s="17">
        <f>IF($A56="","",$Q56-$P56)</f>
        <v/>
      </c>
      <c r="S56" s="17">
        <f>IF($A56="","",N(Items!J56)+$R56)</f>
        <v/>
      </c>
      <c r="T56" s="16">
        <f>IF($A56="","",IF(N(Items!K56)=0,"",(N(Items!K56)-N(Items!J56))/N(Items!K56)))</f>
        <v/>
      </c>
      <c r="U56" s="16">
        <f>IF($A56="","",IF(N(Items!K56)=0,"",(N(Items!K56)-$S56)/N(Items!K56)))</f>
        <v/>
      </c>
      <c r="V56" s="16">
        <f>IF(OR($T56="",$U56=""),"",$U56-$T56)</f>
        <v/>
      </c>
      <c r="W56" s="18">
        <f>IF($A56="","",N(Items!H56))</f>
        <v/>
      </c>
      <c r="X56" s="19">
        <f>IF($A56="","",$R56*$W56)</f>
        <v/>
      </c>
      <c r="Y56" s="19">
        <f>IF($A56="","",N(Items!K56)*$W56)</f>
        <v/>
      </c>
      <c r="Z56" s="19">
        <f>IF($A56="","",(N(Items!K56)-N(Items!J56))*$W56)</f>
        <v/>
      </c>
      <c r="AA56" s="19">
        <f>IF($A56="","",$Z56-$X56)</f>
        <v/>
      </c>
      <c r="AB56" s="10">
        <f>IF($A56="","",IF(TRIM(Items!C56&amp;"")="","CHECK: import country missing",IF(OR(LEN($C56)&lt;&gt;10,ISERROR(VALUE($C56))),"CHECK: HTS must be 10 digits",IF(LEN($E56)&lt;&gt;2,"CHECK: origin code missing or not 2 letters",IF(OR(Items!G56="",Items!I56="",Items!J56=""),"CHECK: value, rate or cost missing",IF(ISNUMBER(Items!G56)*ISNUMBER(Items!I56)*ISNUMBER(Items!J56)=0,"CHECK: text in a number column",IF(AND($L56="Y",UPPER(TRIM(act_RateType&amp;""))="REPLACE",$N56&lt;N(act_PriorRate)),"CHECK: current rate is below the rate being replaced",IF(AND($L56="Y",$W56=0),"NOTE: in scope, no volume","OK"))))))))</f>
        <v/>
      </c>
      <c r="AC56" s="20">
        <f>IF($A56="","",IF(AND($L56="Y",$X56&lt;&gt;0),ABS($X56)+ROW()/1000000000,""))</f>
        <v/>
      </c>
    </row>
    <row r="57">
      <c r="A57" s="10">
        <f>IF(TRIM(Items!A57&amp;"")="","",TRIM(Items!A57&amp;""))</f>
        <v/>
      </c>
      <c r="B57" s="10">
        <f>IF($A57="","",Items!B57&amp;"")</f>
        <v/>
      </c>
      <c r="C57" s="10">
        <f>IF($A57="","",SUBSTITUTE(SUBSTITUTE(SUBSTITUTE(TRIM(Items!D57&amp;""),".","")," ",""),"-",""))</f>
        <v/>
      </c>
      <c r="D57" s="10">
        <f>IF($A57="","",LEFT($C57,2))</f>
        <v/>
      </c>
      <c r="E57" s="10">
        <f>IF($A57="","",UPPER(TRIM(Items!E57&amp;"")))</f>
        <v/>
      </c>
      <c r="F57" s="10">
        <f>IF($A57="","",IF(UPPER(TRIM(Items!C57&amp;""))=UPPER(TRIM(act_Country&amp;"")),"Y","N"))</f>
        <v/>
      </c>
      <c r="G57" s="10">
        <f>IF($A57="","",IF(SUMPRODUCT((scope_HTS&lt;&gt;"")*(LEFT($C57,LEN(scope_HTS))=scope_HTS))&gt;0,"Y","N"))</f>
        <v/>
      </c>
      <c r="H57" s="10">
        <f>IF($A57="","",IF(SUMPRODUCT((excl_HTS&lt;&gt;"")*(LEFT($C57,LEN(excl_HTS))=excl_HTS))&gt;0,"Y","N"))</f>
        <v/>
      </c>
      <c r="I57" s="10">
        <f>IF($A57="","",IF($E57="","N",IF(COUNTIF(scope_COO,$E57)&gt;0,"Y","N")))</f>
        <v/>
      </c>
      <c r="J57" s="10">
        <f>IF($A57="","",IF(AND(UPPER(TRIM(act_USMCAExempt&amp;""))="Y",UPPER(TRIM(Items!F57&amp;""))="Y"),"Y","N"))</f>
        <v/>
      </c>
      <c r="K57" s="10">
        <f>IF($A57="","",IFERROR(UPPER(TRIM(INDEX(det_Status,MATCH($A57,det_Item,0))&amp;"")),""))</f>
        <v/>
      </c>
      <c r="L57" s="10">
        <f>IF($A57="","",IF($K57="IN","Y",IF($K57="OUT","N",IF(AND($F57="Y",$G57="Y",$H57="N",$I57="Y",$J57="N"),"Y","N"))))</f>
        <v/>
      </c>
      <c r="M57" s="10">
        <f>IF($A57="","",IF($K57="IN","In: Research determination",IF($K57="OUT","Out: Research determination",IF($F57="N","Out: different import country",IF($G57="N","Out: HTS not on scope list",IF($H57="Y","Out: HTS on exclusion list",IF($I57="N","Out: origin not on scope list",IF($J57="Y","Out: USMCA-qualifying, exempt","In: matches scope rules"))))))))</f>
        <v/>
      </c>
      <c r="N57" s="16">
        <f>IF($A57="","",N(Items!I57))</f>
        <v/>
      </c>
      <c r="O57" s="16">
        <f>IF($A57="","",IF($L57="Y",$N57+N(act_Rate)-IF(UPPER(TRIM(act_RateType&amp;""))="REPLACE",N(act_PriorRate),0),$N57))</f>
        <v/>
      </c>
      <c r="P57" s="17">
        <f>IF($A57="","",N(Items!G57)*$N57)</f>
        <v/>
      </c>
      <c r="Q57" s="17">
        <f>IF($A57="","",N(Items!G57)*$O57)</f>
        <v/>
      </c>
      <c r="R57" s="17">
        <f>IF($A57="","",$Q57-$P57)</f>
        <v/>
      </c>
      <c r="S57" s="17">
        <f>IF($A57="","",N(Items!J57)+$R57)</f>
        <v/>
      </c>
      <c r="T57" s="16">
        <f>IF($A57="","",IF(N(Items!K57)=0,"",(N(Items!K57)-N(Items!J57))/N(Items!K57)))</f>
        <v/>
      </c>
      <c r="U57" s="16">
        <f>IF($A57="","",IF(N(Items!K57)=0,"",(N(Items!K57)-$S57)/N(Items!K57)))</f>
        <v/>
      </c>
      <c r="V57" s="16">
        <f>IF(OR($T57="",$U57=""),"",$U57-$T57)</f>
        <v/>
      </c>
      <c r="W57" s="18">
        <f>IF($A57="","",N(Items!H57))</f>
        <v/>
      </c>
      <c r="X57" s="19">
        <f>IF($A57="","",$R57*$W57)</f>
        <v/>
      </c>
      <c r="Y57" s="19">
        <f>IF($A57="","",N(Items!K57)*$W57)</f>
        <v/>
      </c>
      <c r="Z57" s="19">
        <f>IF($A57="","",(N(Items!K57)-N(Items!J57))*$W57)</f>
        <v/>
      </c>
      <c r="AA57" s="19">
        <f>IF($A57="","",$Z57-$X57)</f>
        <v/>
      </c>
      <c r="AB57" s="10">
        <f>IF($A57="","",IF(TRIM(Items!C57&amp;"")="","CHECK: import country missing",IF(OR(LEN($C57)&lt;&gt;10,ISERROR(VALUE($C57))),"CHECK: HTS must be 10 digits",IF(LEN($E57)&lt;&gt;2,"CHECK: origin code missing or not 2 letters",IF(OR(Items!G57="",Items!I57="",Items!J57=""),"CHECK: value, rate or cost missing",IF(ISNUMBER(Items!G57)*ISNUMBER(Items!I57)*ISNUMBER(Items!J57)=0,"CHECK: text in a number column",IF(AND($L57="Y",UPPER(TRIM(act_RateType&amp;""))="REPLACE",$N57&lt;N(act_PriorRate)),"CHECK: current rate is below the rate being replaced",IF(AND($L57="Y",$W57=0),"NOTE: in scope, no volume","OK"))))))))</f>
        <v/>
      </c>
      <c r="AC57" s="20">
        <f>IF($A57="","",IF(AND($L57="Y",$X57&lt;&gt;0),ABS($X57)+ROW()/1000000000,""))</f>
        <v/>
      </c>
    </row>
    <row r="58">
      <c r="A58" s="10">
        <f>IF(TRIM(Items!A58&amp;"")="","",TRIM(Items!A58&amp;""))</f>
        <v/>
      </c>
      <c r="B58" s="10">
        <f>IF($A58="","",Items!B58&amp;"")</f>
        <v/>
      </c>
      <c r="C58" s="10">
        <f>IF($A58="","",SUBSTITUTE(SUBSTITUTE(SUBSTITUTE(TRIM(Items!D58&amp;""),".","")," ",""),"-",""))</f>
        <v/>
      </c>
      <c r="D58" s="10">
        <f>IF($A58="","",LEFT($C58,2))</f>
        <v/>
      </c>
      <c r="E58" s="10">
        <f>IF($A58="","",UPPER(TRIM(Items!E58&amp;"")))</f>
        <v/>
      </c>
      <c r="F58" s="10">
        <f>IF($A58="","",IF(UPPER(TRIM(Items!C58&amp;""))=UPPER(TRIM(act_Country&amp;"")),"Y","N"))</f>
        <v/>
      </c>
      <c r="G58" s="10">
        <f>IF($A58="","",IF(SUMPRODUCT((scope_HTS&lt;&gt;"")*(LEFT($C58,LEN(scope_HTS))=scope_HTS))&gt;0,"Y","N"))</f>
        <v/>
      </c>
      <c r="H58" s="10">
        <f>IF($A58="","",IF(SUMPRODUCT((excl_HTS&lt;&gt;"")*(LEFT($C58,LEN(excl_HTS))=excl_HTS))&gt;0,"Y","N"))</f>
        <v/>
      </c>
      <c r="I58" s="10">
        <f>IF($A58="","",IF($E58="","N",IF(COUNTIF(scope_COO,$E58)&gt;0,"Y","N")))</f>
        <v/>
      </c>
      <c r="J58" s="10">
        <f>IF($A58="","",IF(AND(UPPER(TRIM(act_USMCAExempt&amp;""))="Y",UPPER(TRIM(Items!F58&amp;""))="Y"),"Y","N"))</f>
        <v/>
      </c>
      <c r="K58" s="10">
        <f>IF($A58="","",IFERROR(UPPER(TRIM(INDEX(det_Status,MATCH($A58,det_Item,0))&amp;"")),""))</f>
        <v/>
      </c>
      <c r="L58" s="10">
        <f>IF($A58="","",IF($K58="IN","Y",IF($K58="OUT","N",IF(AND($F58="Y",$G58="Y",$H58="N",$I58="Y",$J58="N"),"Y","N"))))</f>
        <v/>
      </c>
      <c r="M58" s="10">
        <f>IF($A58="","",IF($K58="IN","In: Research determination",IF($K58="OUT","Out: Research determination",IF($F58="N","Out: different import country",IF($G58="N","Out: HTS not on scope list",IF($H58="Y","Out: HTS on exclusion list",IF($I58="N","Out: origin not on scope list",IF($J58="Y","Out: USMCA-qualifying, exempt","In: matches scope rules"))))))))</f>
        <v/>
      </c>
      <c r="N58" s="16">
        <f>IF($A58="","",N(Items!I58))</f>
        <v/>
      </c>
      <c r="O58" s="16">
        <f>IF($A58="","",IF($L58="Y",$N58+N(act_Rate)-IF(UPPER(TRIM(act_RateType&amp;""))="REPLACE",N(act_PriorRate),0),$N58))</f>
        <v/>
      </c>
      <c r="P58" s="17">
        <f>IF($A58="","",N(Items!G58)*$N58)</f>
        <v/>
      </c>
      <c r="Q58" s="17">
        <f>IF($A58="","",N(Items!G58)*$O58)</f>
        <v/>
      </c>
      <c r="R58" s="17">
        <f>IF($A58="","",$Q58-$P58)</f>
        <v/>
      </c>
      <c r="S58" s="17">
        <f>IF($A58="","",N(Items!J58)+$R58)</f>
        <v/>
      </c>
      <c r="T58" s="16">
        <f>IF($A58="","",IF(N(Items!K58)=0,"",(N(Items!K58)-N(Items!J58))/N(Items!K58)))</f>
        <v/>
      </c>
      <c r="U58" s="16">
        <f>IF($A58="","",IF(N(Items!K58)=0,"",(N(Items!K58)-$S58)/N(Items!K58)))</f>
        <v/>
      </c>
      <c r="V58" s="16">
        <f>IF(OR($T58="",$U58=""),"",$U58-$T58)</f>
        <v/>
      </c>
      <c r="W58" s="18">
        <f>IF($A58="","",N(Items!H58))</f>
        <v/>
      </c>
      <c r="X58" s="19">
        <f>IF($A58="","",$R58*$W58)</f>
        <v/>
      </c>
      <c r="Y58" s="19">
        <f>IF($A58="","",N(Items!K58)*$W58)</f>
        <v/>
      </c>
      <c r="Z58" s="19">
        <f>IF($A58="","",(N(Items!K58)-N(Items!J58))*$W58)</f>
        <v/>
      </c>
      <c r="AA58" s="19">
        <f>IF($A58="","",$Z58-$X58)</f>
        <v/>
      </c>
      <c r="AB58" s="10">
        <f>IF($A58="","",IF(TRIM(Items!C58&amp;"")="","CHECK: import country missing",IF(OR(LEN($C58)&lt;&gt;10,ISERROR(VALUE($C58))),"CHECK: HTS must be 10 digits",IF(LEN($E58)&lt;&gt;2,"CHECK: origin code missing or not 2 letters",IF(OR(Items!G58="",Items!I58="",Items!J58=""),"CHECK: value, rate or cost missing",IF(ISNUMBER(Items!G58)*ISNUMBER(Items!I58)*ISNUMBER(Items!J58)=0,"CHECK: text in a number column",IF(AND($L58="Y",UPPER(TRIM(act_RateType&amp;""))="REPLACE",$N58&lt;N(act_PriorRate)),"CHECK: current rate is below the rate being replaced",IF(AND($L58="Y",$W58=0),"NOTE: in scope, no volume","OK"))))))))</f>
        <v/>
      </c>
      <c r="AC58" s="20">
        <f>IF($A58="","",IF(AND($L58="Y",$X58&lt;&gt;0),ABS($X58)+ROW()/1000000000,""))</f>
        <v/>
      </c>
    </row>
    <row r="59">
      <c r="A59" s="10">
        <f>IF(TRIM(Items!A59&amp;"")="","",TRIM(Items!A59&amp;""))</f>
        <v/>
      </c>
      <c r="B59" s="10">
        <f>IF($A59="","",Items!B59&amp;"")</f>
        <v/>
      </c>
      <c r="C59" s="10">
        <f>IF($A59="","",SUBSTITUTE(SUBSTITUTE(SUBSTITUTE(TRIM(Items!D59&amp;""),".","")," ",""),"-",""))</f>
        <v/>
      </c>
      <c r="D59" s="10">
        <f>IF($A59="","",LEFT($C59,2))</f>
        <v/>
      </c>
      <c r="E59" s="10">
        <f>IF($A59="","",UPPER(TRIM(Items!E59&amp;"")))</f>
        <v/>
      </c>
      <c r="F59" s="10">
        <f>IF($A59="","",IF(UPPER(TRIM(Items!C59&amp;""))=UPPER(TRIM(act_Country&amp;"")),"Y","N"))</f>
        <v/>
      </c>
      <c r="G59" s="10">
        <f>IF($A59="","",IF(SUMPRODUCT((scope_HTS&lt;&gt;"")*(LEFT($C59,LEN(scope_HTS))=scope_HTS))&gt;0,"Y","N"))</f>
        <v/>
      </c>
      <c r="H59" s="10">
        <f>IF($A59="","",IF(SUMPRODUCT((excl_HTS&lt;&gt;"")*(LEFT($C59,LEN(excl_HTS))=excl_HTS))&gt;0,"Y","N"))</f>
        <v/>
      </c>
      <c r="I59" s="10">
        <f>IF($A59="","",IF($E59="","N",IF(COUNTIF(scope_COO,$E59)&gt;0,"Y","N")))</f>
        <v/>
      </c>
      <c r="J59" s="10">
        <f>IF($A59="","",IF(AND(UPPER(TRIM(act_USMCAExempt&amp;""))="Y",UPPER(TRIM(Items!F59&amp;""))="Y"),"Y","N"))</f>
        <v/>
      </c>
      <c r="K59" s="10">
        <f>IF($A59="","",IFERROR(UPPER(TRIM(INDEX(det_Status,MATCH($A59,det_Item,0))&amp;"")),""))</f>
        <v/>
      </c>
      <c r="L59" s="10">
        <f>IF($A59="","",IF($K59="IN","Y",IF($K59="OUT","N",IF(AND($F59="Y",$G59="Y",$H59="N",$I59="Y",$J59="N"),"Y","N"))))</f>
        <v/>
      </c>
      <c r="M59" s="10">
        <f>IF($A59="","",IF($K59="IN","In: Research determination",IF($K59="OUT","Out: Research determination",IF($F59="N","Out: different import country",IF($G59="N","Out: HTS not on scope list",IF($H59="Y","Out: HTS on exclusion list",IF($I59="N","Out: origin not on scope list",IF($J59="Y","Out: USMCA-qualifying, exempt","In: matches scope rules"))))))))</f>
        <v/>
      </c>
      <c r="N59" s="16">
        <f>IF($A59="","",N(Items!I59))</f>
        <v/>
      </c>
      <c r="O59" s="16">
        <f>IF($A59="","",IF($L59="Y",$N59+N(act_Rate)-IF(UPPER(TRIM(act_RateType&amp;""))="REPLACE",N(act_PriorRate),0),$N59))</f>
        <v/>
      </c>
      <c r="P59" s="17">
        <f>IF($A59="","",N(Items!G59)*$N59)</f>
        <v/>
      </c>
      <c r="Q59" s="17">
        <f>IF($A59="","",N(Items!G59)*$O59)</f>
        <v/>
      </c>
      <c r="R59" s="17">
        <f>IF($A59="","",$Q59-$P59)</f>
        <v/>
      </c>
      <c r="S59" s="17">
        <f>IF($A59="","",N(Items!J59)+$R59)</f>
        <v/>
      </c>
      <c r="T59" s="16">
        <f>IF($A59="","",IF(N(Items!K59)=0,"",(N(Items!K59)-N(Items!J59))/N(Items!K59)))</f>
        <v/>
      </c>
      <c r="U59" s="16">
        <f>IF($A59="","",IF(N(Items!K59)=0,"",(N(Items!K59)-$S59)/N(Items!K59)))</f>
        <v/>
      </c>
      <c r="V59" s="16">
        <f>IF(OR($T59="",$U59=""),"",$U59-$T59)</f>
        <v/>
      </c>
      <c r="W59" s="18">
        <f>IF($A59="","",N(Items!H59))</f>
        <v/>
      </c>
      <c r="X59" s="19">
        <f>IF($A59="","",$R59*$W59)</f>
        <v/>
      </c>
      <c r="Y59" s="19">
        <f>IF($A59="","",N(Items!K59)*$W59)</f>
        <v/>
      </c>
      <c r="Z59" s="19">
        <f>IF($A59="","",(N(Items!K59)-N(Items!J59))*$W59)</f>
        <v/>
      </c>
      <c r="AA59" s="19">
        <f>IF($A59="","",$Z59-$X59)</f>
        <v/>
      </c>
      <c r="AB59" s="10">
        <f>IF($A59="","",IF(TRIM(Items!C59&amp;"")="","CHECK: import country missing",IF(OR(LEN($C59)&lt;&gt;10,ISERROR(VALUE($C59))),"CHECK: HTS must be 10 digits",IF(LEN($E59)&lt;&gt;2,"CHECK: origin code missing or not 2 letters",IF(OR(Items!G59="",Items!I59="",Items!J59=""),"CHECK: value, rate or cost missing",IF(ISNUMBER(Items!G59)*ISNUMBER(Items!I59)*ISNUMBER(Items!J59)=0,"CHECK: text in a number column",IF(AND($L59="Y",UPPER(TRIM(act_RateType&amp;""))="REPLACE",$N59&lt;N(act_PriorRate)),"CHECK: current rate is below the rate being replaced",IF(AND($L59="Y",$W59=0),"NOTE: in scope, no volume","OK"))))))))</f>
        <v/>
      </c>
      <c r="AC59" s="20">
        <f>IF($A59="","",IF(AND($L59="Y",$X59&lt;&gt;0),ABS($X59)+ROW()/1000000000,""))</f>
        <v/>
      </c>
    </row>
    <row r="60">
      <c r="A60" s="10">
        <f>IF(TRIM(Items!A60&amp;"")="","",TRIM(Items!A60&amp;""))</f>
        <v/>
      </c>
      <c r="B60" s="10">
        <f>IF($A60="","",Items!B60&amp;"")</f>
        <v/>
      </c>
      <c r="C60" s="10">
        <f>IF($A60="","",SUBSTITUTE(SUBSTITUTE(SUBSTITUTE(TRIM(Items!D60&amp;""),".","")," ",""),"-",""))</f>
        <v/>
      </c>
      <c r="D60" s="10">
        <f>IF($A60="","",LEFT($C60,2))</f>
        <v/>
      </c>
      <c r="E60" s="10">
        <f>IF($A60="","",UPPER(TRIM(Items!E60&amp;"")))</f>
        <v/>
      </c>
      <c r="F60" s="10">
        <f>IF($A60="","",IF(UPPER(TRIM(Items!C60&amp;""))=UPPER(TRIM(act_Country&amp;"")),"Y","N"))</f>
        <v/>
      </c>
      <c r="G60" s="10">
        <f>IF($A60="","",IF(SUMPRODUCT((scope_HTS&lt;&gt;"")*(LEFT($C60,LEN(scope_HTS))=scope_HTS))&gt;0,"Y","N"))</f>
        <v/>
      </c>
      <c r="H60" s="10">
        <f>IF($A60="","",IF(SUMPRODUCT((excl_HTS&lt;&gt;"")*(LEFT($C60,LEN(excl_HTS))=excl_HTS))&gt;0,"Y","N"))</f>
        <v/>
      </c>
      <c r="I60" s="10">
        <f>IF($A60="","",IF($E60="","N",IF(COUNTIF(scope_COO,$E60)&gt;0,"Y","N")))</f>
        <v/>
      </c>
      <c r="J60" s="10">
        <f>IF($A60="","",IF(AND(UPPER(TRIM(act_USMCAExempt&amp;""))="Y",UPPER(TRIM(Items!F60&amp;""))="Y"),"Y","N"))</f>
        <v/>
      </c>
      <c r="K60" s="10">
        <f>IF($A60="","",IFERROR(UPPER(TRIM(INDEX(det_Status,MATCH($A60,det_Item,0))&amp;"")),""))</f>
        <v/>
      </c>
      <c r="L60" s="10">
        <f>IF($A60="","",IF($K60="IN","Y",IF($K60="OUT","N",IF(AND($F60="Y",$G60="Y",$H60="N",$I60="Y",$J60="N"),"Y","N"))))</f>
        <v/>
      </c>
      <c r="M60" s="10">
        <f>IF($A60="","",IF($K60="IN","In: Research determination",IF($K60="OUT","Out: Research determination",IF($F60="N","Out: different import country",IF($G60="N","Out: HTS not on scope list",IF($H60="Y","Out: HTS on exclusion list",IF($I60="N","Out: origin not on scope list",IF($J60="Y","Out: USMCA-qualifying, exempt","In: matches scope rules"))))))))</f>
        <v/>
      </c>
      <c r="N60" s="16">
        <f>IF($A60="","",N(Items!I60))</f>
        <v/>
      </c>
      <c r="O60" s="16">
        <f>IF($A60="","",IF($L60="Y",$N60+N(act_Rate)-IF(UPPER(TRIM(act_RateType&amp;""))="REPLACE",N(act_PriorRate),0),$N60))</f>
        <v/>
      </c>
      <c r="P60" s="17">
        <f>IF($A60="","",N(Items!G60)*$N60)</f>
        <v/>
      </c>
      <c r="Q60" s="17">
        <f>IF($A60="","",N(Items!G60)*$O60)</f>
        <v/>
      </c>
      <c r="R60" s="17">
        <f>IF($A60="","",$Q60-$P60)</f>
        <v/>
      </c>
      <c r="S60" s="17">
        <f>IF($A60="","",N(Items!J60)+$R60)</f>
        <v/>
      </c>
      <c r="T60" s="16">
        <f>IF($A60="","",IF(N(Items!K60)=0,"",(N(Items!K60)-N(Items!J60))/N(Items!K60)))</f>
        <v/>
      </c>
      <c r="U60" s="16">
        <f>IF($A60="","",IF(N(Items!K60)=0,"",(N(Items!K60)-$S60)/N(Items!K60)))</f>
        <v/>
      </c>
      <c r="V60" s="16">
        <f>IF(OR($T60="",$U60=""),"",$U60-$T60)</f>
        <v/>
      </c>
      <c r="W60" s="18">
        <f>IF($A60="","",N(Items!H60))</f>
        <v/>
      </c>
      <c r="X60" s="19">
        <f>IF($A60="","",$R60*$W60)</f>
        <v/>
      </c>
      <c r="Y60" s="19">
        <f>IF($A60="","",N(Items!K60)*$W60)</f>
        <v/>
      </c>
      <c r="Z60" s="19">
        <f>IF($A60="","",(N(Items!K60)-N(Items!J60))*$W60)</f>
        <v/>
      </c>
      <c r="AA60" s="19">
        <f>IF($A60="","",$Z60-$X60)</f>
        <v/>
      </c>
      <c r="AB60" s="10">
        <f>IF($A60="","",IF(TRIM(Items!C60&amp;"")="","CHECK: import country missing",IF(OR(LEN($C60)&lt;&gt;10,ISERROR(VALUE($C60))),"CHECK: HTS must be 10 digits",IF(LEN($E60)&lt;&gt;2,"CHECK: origin code missing or not 2 letters",IF(OR(Items!G60="",Items!I60="",Items!J60=""),"CHECK: value, rate or cost missing",IF(ISNUMBER(Items!G60)*ISNUMBER(Items!I60)*ISNUMBER(Items!J60)=0,"CHECK: text in a number column",IF(AND($L60="Y",UPPER(TRIM(act_RateType&amp;""))="REPLACE",$N60&lt;N(act_PriorRate)),"CHECK: current rate is below the rate being replaced",IF(AND($L60="Y",$W60=0),"NOTE: in scope, no volume","OK"))))))))</f>
        <v/>
      </c>
      <c r="AC60" s="20">
        <f>IF($A60="","",IF(AND($L60="Y",$X60&lt;&gt;0),ABS($X60)+ROW()/1000000000,""))</f>
        <v/>
      </c>
    </row>
    <row r="61">
      <c r="A61" s="10">
        <f>IF(TRIM(Items!A61&amp;"")="","",TRIM(Items!A61&amp;""))</f>
        <v/>
      </c>
      <c r="B61" s="10">
        <f>IF($A61="","",Items!B61&amp;"")</f>
        <v/>
      </c>
      <c r="C61" s="10">
        <f>IF($A61="","",SUBSTITUTE(SUBSTITUTE(SUBSTITUTE(TRIM(Items!D61&amp;""),".","")," ",""),"-",""))</f>
        <v/>
      </c>
      <c r="D61" s="10">
        <f>IF($A61="","",LEFT($C61,2))</f>
        <v/>
      </c>
      <c r="E61" s="10">
        <f>IF($A61="","",UPPER(TRIM(Items!E61&amp;"")))</f>
        <v/>
      </c>
      <c r="F61" s="10">
        <f>IF($A61="","",IF(UPPER(TRIM(Items!C61&amp;""))=UPPER(TRIM(act_Country&amp;"")),"Y","N"))</f>
        <v/>
      </c>
      <c r="G61" s="10">
        <f>IF($A61="","",IF(SUMPRODUCT((scope_HTS&lt;&gt;"")*(LEFT($C61,LEN(scope_HTS))=scope_HTS))&gt;0,"Y","N"))</f>
        <v/>
      </c>
      <c r="H61" s="10">
        <f>IF($A61="","",IF(SUMPRODUCT((excl_HTS&lt;&gt;"")*(LEFT($C61,LEN(excl_HTS))=excl_HTS))&gt;0,"Y","N"))</f>
        <v/>
      </c>
      <c r="I61" s="10">
        <f>IF($A61="","",IF($E61="","N",IF(COUNTIF(scope_COO,$E61)&gt;0,"Y","N")))</f>
        <v/>
      </c>
      <c r="J61" s="10">
        <f>IF($A61="","",IF(AND(UPPER(TRIM(act_USMCAExempt&amp;""))="Y",UPPER(TRIM(Items!F61&amp;""))="Y"),"Y","N"))</f>
        <v/>
      </c>
      <c r="K61" s="10">
        <f>IF($A61="","",IFERROR(UPPER(TRIM(INDEX(det_Status,MATCH($A61,det_Item,0))&amp;"")),""))</f>
        <v/>
      </c>
      <c r="L61" s="10">
        <f>IF($A61="","",IF($K61="IN","Y",IF($K61="OUT","N",IF(AND($F61="Y",$G61="Y",$H61="N",$I61="Y",$J61="N"),"Y","N"))))</f>
        <v/>
      </c>
      <c r="M61" s="10">
        <f>IF($A61="","",IF($K61="IN","In: Research determination",IF($K61="OUT","Out: Research determination",IF($F61="N","Out: different import country",IF($G61="N","Out: HTS not on scope list",IF($H61="Y","Out: HTS on exclusion list",IF($I61="N","Out: origin not on scope list",IF($J61="Y","Out: USMCA-qualifying, exempt","In: matches scope rules"))))))))</f>
        <v/>
      </c>
      <c r="N61" s="16">
        <f>IF($A61="","",N(Items!I61))</f>
        <v/>
      </c>
      <c r="O61" s="16">
        <f>IF($A61="","",IF($L61="Y",$N61+N(act_Rate)-IF(UPPER(TRIM(act_RateType&amp;""))="REPLACE",N(act_PriorRate),0),$N61))</f>
        <v/>
      </c>
      <c r="P61" s="17">
        <f>IF($A61="","",N(Items!G61)*$N61)</f>
        <v/>
      </c>
      <c r="Q61" s="17">
        <f>IF($A61="","",N(Items!G61)*$O61)</f>
        <v/>
      </c>
      <c r="R61" s="17">
        <f>IF($A61="","",$Q61-$P61)</f>
        <v/>
      </c>
      <c r="S61" s="17">
        <f>IF($A61="","",N(Items!J61)+$R61)</f>
        <v/>
      </c>
      <c r="T61" s="16">
        <f>IF($A61="","",IF(N(Items!K61)=0,"",(N(Items!K61)-N(Items!J61))/N(Items!K61)))</f>
        <v/>
      </c>
      <c r="U61" s="16">
        <f>IF($A61="","",IF(N(Items!K61)=0,"",(N(Items!K61)-$S61)/N(Items!K61)))</f>
        <v/>
      </c>
      <c r="V61" s="16">
        <f>IF(OR($T61="",$U61=""),"",$U61-$T61)</f>
        <v/>
      </c>
      <c r="W61" s="18">
        <f>IF($A61="","",N(Items!H61))</f>
        <v/>
      </c>
      <c r="X61" s="19">
        <f>IF($A61="","",$R61*$W61)</f>
        <v/>
      </c>
      <c r="Y61" s="19">
        <f>IF($A61="","",N(Items!K61)*$W61)</f>
        <v/>
      </c>
      <c r="Z61" s="19">
        <f>IF($A61="","",(N(Items!K61)-N(Items!J61))*$W61)</f>
        <v/>
      </c>
      <c r="AA61" s="19">
        <f>IF($A61="","",$Z61-$X61)</f>
        <v/>
      </c>
      <c r="AB61" s="10">
        <f>IF($A61="","",IF(TRIM(Items!C61&amp;"")="","CHECK: import country missing",IF(OR(LEN($C61)&lt;&gt;10,ISERROR(VALUE($C61))),"CHECK: HTS must be 10 digits",IF(LEN($E61)&lt;&gt;2,"CHECK: origin code missing or not 2 letters",IF(OR(Items!G61="",Items!I61="",Items!J61=""),"CHECK: value, rate or cost missing",IF(ISNUMBER(Items!G61)*ISNUMBER(Items!I61)*ISNUMBER(Items!J61)=0,"CHECK: text in a number column",IF(AND($L61="Y",UPPER(TRIM(act_RateType&amp;""))="REPLACE",$N61&lt;N(act_PriorRate)),"CHECK: current rate is below the rate being replaced",IF(AND($L61="Y",$W61=0),"NOTE: in scope, no volume","OK"))))))))</f>
        <v/>
      </c>
      <c r="AC61" s="20">
        <f>IF($A61="","",IF(AND($L61="Y",$X61&lt;&gt;0),ABS($X61)+ROW()/1000000000,""))</f>
        <v/>
      </c>
    </row>
    <row r="62">
      <c r="A62" s="10">
        <f>IF(TRIM(Items!A62&amp;"")="","",TRIM(Items!A62&amp;""))</f>
        <v/>
      </c>
      <c r="B62" s="10">
        <f>IF($A62="","",Items!B62&amp;"")</f>
        <v/>
      </c>
      <c r="C62" s="10">
        <f>IF($A62="","",SUBSTITUTE(SUBSTITUTE(SUBSTITUTE(TRIM(Items!D62&amp;""),".","")," ",""),"-",""))</f>
        <v/>
      </c>
      <c r="D62" s="10">
        <f>IF($A62="","",LEFT($C62,2))</f>
        <v/>
      </c>
      <c r="E62" s="10">
        <f>IF($A62="","",UPPER(TRIM(Items!E62&amp;"")))</f>
        <v/>
      </c>
      <c r="F62" s="10">
        <f>IF($A62="","",IF(UPPER(TRIM(Items!C62&amp;""))=UPPER(TRIM(act_Country&amp;"")),"Y","N"))</f>
        <v/>
      </c>
      <c r="G62" s="10">
        <f>IF($A62="","",IF(SUMPRODUCT((scope_HTS&lt;&gt;"")*(LEFT($C62,LEN(scope_HTS))=scope_HTS))&gt;0,"Y","N"))</f>
        <v/>
      </c>
      <c r="H62" s="10">
        <f>IF($A62="","",IF(SUMPRODUCT((excl_HTS&lt;&gt;"")*(LEFT($C62,LEN(excl_HTS))=excl_HTS))&gt;0,"Y","N"))</f>
        <v/>
      </c>
      <c r="I62" s="10">
        <f>IF($A62="","",IF($E62="","N",IF(COUNTIF(scope_COO,$E62)&gt;0,"Y","N")))</f>
        <v/>
      </c>
      <c r="J62" s="10">
        <f>IF($A62="","",IF(AND(UPPER(TRIM(act_USMCAExempt&amp;""))="Y",UPPER(TRIM(Items!F62&amp;""))="Y"),"Y","N"))</f>
        <v/>
      </c>
      <c r="K62" s="10">
        <f>IF($A62="","",IFERROR(UPPER(TRIM(INDEX(det_Status,MATCH($A62,det_Item,0))&amp;"")),""))</f>
        <v/>
      </c>
      <c r="L62" s="10">
        <f>IF($A62="","",IF($K62="IN","Y",IF($K62="OUT","N",IF(AND($F62="Y",$G62="Y",$H62="N",$I62="Y",$J62="N"),"Y","N"))))</f>
        <v/>
      </c>
      <c r="M62" s="10">
        <f>IF($A62="","",IF($K62="IN","In: Research determination",IF($K62="OUT","Out: Research determination",IF($F62="N","Out: different import country",IF($G62="N","Out: HTS not on scope list",IF($H62="Y","Out: HTS on exclusion list",IF($I62="N","Out: origin not on scope list",IF($J62="Y","Out: USMCA-qualifying, exempt","In: matches scope rules"))))))))</f>
        <v/>
      </c>
      <c r="N62" s="16">
        <f>IF($A62="","",N(Items!I62))</f>
        <v/>
      </c>
      <c r="O62" s="16">
        <f>IF($A62="","",IF($L62="Y",$N62+N(act_Rate)-IF(UPPER(TRIM(act_RateType&amp;""))="REPLACE",N(act_PriorRate),0),$N62))</f>
        <v/>
      </c>
      <c r="P62" s="17">
        <f>IF($A62="","",N(Items!G62)*$N62)</f>
        <v/>
      </c>
      <c r="Q62" s="17">
        <f>IF($A62="","",N(Items!G62)*$O62)</f>
        <v/>
      </c>
      <c r="R62" s="17">
        <f>IF($A62="","",$Q62-$P62)</f>
        <v/>
      </c>
      <c r="S62" s="17">
        <f>IF($A62="","",N(Items!J62)+$R62)</f>
        <v/>
      </c>
      <c r="T62" s="16">
        <f>IF($A62="","",IF(N(Items!K62)=0,"",(N(Items!K62)-N(Items!J62))/N(Items!K62)))</f>
        <v/>
      </c>
      <c r="U62" s="16">
        <f>IF($A62="","",IF(N(Items!K62)=0,"",(N(Items!K62)-$S62)/N(Items!K62)))</f>
        <v/>
      </c>
      <c r="V62" s="16">
        <f>IF(OR($T62="",$U62=""),"",$U62-$T62)</f>
        <v/>
      </c>
      <c r="W62" s="18">
        <f>IF($A62="","",N(Items!H62))</f>
        <v/>
      </c>
      <c r="X62" s="19">
        <f>IF($A62="","",$R62*$W62)</f>
        <v/>
      </c>
      <c r="Y62" s="19">
        <f>IF($A62="","",N(Items!K62)*$W62)</f>
        <v/>
      </c>
      <c r="Z62" s="19">
        <f>IF($A62="","",(N(Items!K62)-N(Items!J62))*$W62)</f>
        <v/>
      </c>
      <c r="AA62" s="19">
        <f>IF($A62="","",$Z62-$X62)</f>
        <v/>
      </c>
      <c r="AB62" s="10">
        <f>IF($A62="","",IF(TRIM(Items!C62&amp;"")="","CHECK: import country missing",IF(OR(LEN($C62)&lt;&gt;10,ISERROR(VALUE($C62))),"CHECK: HTS must be 10 digits",IF(LEN($E62)&lt;&gt;2,"CHECK: origin code missing or not 2 letters",IF(OR(Items!G62="",Items!I62="",Items!J62=""),"CHECK: value, rate or cost missing",IF(ISNUMBER(Items!G62)*ISNUMBER(Items!I62)*ISNUMBER(Items!J62)=0,"CHECK: text in a number column",IF(AND($L62="Y",UPPER(TRIM(act_RateType&amp;""))="REPLACE",$N62&lt;N(act_PriorRate)),"CHECK: current rate is below the rate being replaced",IF(AND($L62="Y",$W62=0),"NOTE: in scope, no volume","OK"))))))))</f>
        <v/>
      </c>
      <c r="AC62" s="20">
        <f>IF($A62="","",IF(AND($L62="Y",$X62&lt;&gt;0),ABS($X62)+ROW()/1000000000,""))</f>
        <v/>
      </c>
    </row>
    <row r="63">
      <c r="A63" s="10">
        <f>IF(TRIM(Items!A63&amp;"")="","",TRIM(Items!A63&amp;""))</f>
        <v/>
      </c>
      <c r="B63" s="10">
        <f>IF($A63="","",Items!B63&amp;"")</f>
        <v/>
      </c>
      <c r="C63" s="10">
        <f>IF($A63="","",SUBSTITUTE(SUBSTITUTE(SUBSTITUTE(TRIM(Items!D63&amp;""),".","")," ",""),"-",""))</f>
        <v/>
      </c>
      <c r="D63" s="10">
        <f>IF($A63="","",LEFT($C63,2))</f>
        <v/>
      </c>
      <c r="E63" s="10">
        <f>IF($A63="","",UPPER(TRIM(Items!E63&amp;"")))</f>
        <v/>
      </c>
      <c r="F63" s="10">
        <f>IF($A63="","",IF(UPPER(TRIM(Items!C63&amp;""))=UPPER(TRIM(act_Country&amp;"")),"Y","N"))</f>
        <v/>
      </c>
      <c r="G63" s="10">
        <f>IF($A63="","",IF(SUMPRODUCT((scope_HTS&lt;&gt;"")*(LEFT($C63,LEN(scope_HTS))=scope_HTS))&gt;0,"Y","N"))</f>
        <v/>
      </c>
      <c r="H63" s="10">
        <f>IF($A63="","",IF(SUMPRODUCT((excl_HTS&lt;&gt;"")*(LEFT($C63,LEN(excl_HTS))=excl_HTS))&gt;0,"Y","N"))</f>
        <v/>
      </c>
      <c r="I63" s="10">
        <f>IF($A63="","",IF($E63="","N",IF(COUNTIF(scope_COO,$E63)&gt;0,"Y","N")))</f>
        <v/>
      </c>
      <c r="J63" s="10">
        <f>IF($A63="","",IF(AND(UPPER(TRIM(act_USMCAExempt&amp;""))="Y",UPPER(TRIM(Items!F63&amp;""))="Y"),"Y","N"))</f>
        <v/>
      </c>
      <c r="K63" s="10">
        <f>IF($A63="","",IFERROR(UPPER(TRIM(INDEX(det_Status,MATCH($A63,det_Item,0))&amp;"")),""))</f>
        <v/>
      </c>
      <c r="L63" s="10">
        <f>IF($A63="","",IF($K63="IN","Y",IF($K63="OUT","N",IF(AND($F63="Y",$G63="Y",$H63="N",$I63="Y",$J63="N"),"Y","N"))))</f>
        <v/>
      </c>
      <c r="M63" s="10">
        <f>IF($A63="","",IF($K63="IN","In: Research determination",IF($K63="OUT","Out: Research determination",IF($F63="N","Out: different import country",IF($G63="N","Out: HTS not on scope list",IF($H63="Y","Out: HTS on exclusion list",IF($I63="N","Out: origin not on scope list",IF($J63="Y","Out: USMCA-qualifying, exempt","In: matches scope rules"))))))))</f>
        <v/>
      </c>
      <c r="N63" s="16">
        <f>IF($A63="","",N(Items!I63))</f>
        <v/>
      </c>
      <c r="O63" s="16">
        <f>IF($A63="","",IF($L63="Y",$N63+N(act_Rate)-IF(UPPER(TRIM(act_RateType&amp;""))="REPLACE",N(act_PriorRate),0),$N63))</f>
        <v/>
      </c>
      <c r="P63" s="17">
        <f>IF($A63="","",N(Items!G63)*$N63)</f>
        <v/>
      </c>
      <c r="Q63" s="17">
        <f>IF($A63="","",N(Items!G63)*$O63)</f>
        <v/>
      </c>
      <c r="R63" s="17">
        <f>IF($A63="","",$Q63-$P63)</f>
        <v/>
      </c>
      <c r="S63" s="17">
        <f>IF($A63="","",N(Items!J63)+$R63)</f>
        <v/>
      </c>
      <c r="T63" s="16">
        <f>IF($A63="","",IF(N(Items!K63)=0,"",(N(Items!K63)-N(Items!J63))/N(Items!K63)))</f>
        <v/>
      </c>
      <c r="U63" s="16">
        <f>IF($A63="","",IF(N(Items!K63)=0,"",(N(Items!K63)-$S63)/N(Items!K63)))</f>
        <v/>
      </c>
      <c r="V63" s="16">
        <f>IF(OR($T63="",$U63=""),"",$U63-$T63)</f>
        <v/>
      </c>
      <c r="W63" s="18">
        <f>IF($A63="","",N(Items!H63))</f>
        <v/>
      </c>
      <c r="X63" s="19">
        <f>IF($A63="","",$R63*$W63)</f>
        <v/>
      </c>
      <c r="Y63" s="19">
        <f>IF($A63="","",N(Items!K63)*$W63)</f>
        <v/>
      </c>
      <c r="Z63" s="19">
        <f>IF($A63="","",(N(Items!K63)-N(Items!J63))*$W63)</f>
        <v/>
      </c>
      <c r="AA63" s="19">
        <f>IF($A63="","",$Z63-$X63)</f>
        <v/>
      </c>
      <c r="AB63" s="10">
        <f>IF($A63="","",IF(TRIM(Items!C63&amp;"")="","CHECK: import country missing",IF(OR(LEN($C63)&lt;&gt;10,ISERROR(VALUE($C63))),"CHECK: HTS must be 10 digits",IF(LEN($E63)&lt;&gt;2,"CHECK: origin code missing or not 2 letters",IF(OR(Items!G63="",Items!I63="",Items!J63=""),"CHECK: value, rate or cost missing",IF(ISNUMBER(Items!G63)*ISNUMBER(Items!I63)*ISNUMBER(Items!J63)=0,"CHECK: text in a number column",IF(AND($L63="Y",UPPER(TRIM(act_RateType&amp;""))="REPLACE",$N63&lt;N(act_PriorRate)),"CHECK: current rate is below the rate being replaced",IF(AND($L63="Y",$W63=0),"NOTE: in scope, no volume","OK"))))))))</f>
        <v/>
      </c>
      <c r="AC63" s="20">
        <f>IF($A63="","",IF(AND($L63="Y",$X63&lt;&gt;0),ABS($X63)+ROW()/1000000000,""))</f>
        <v/>
      </c>
    </row>
    <row r="64">
      <c r="A64" s="10">
        <f>IF(TRIM(Items!A64&amp;"")="","",TRIM(Items!A64&amp;""))</f>
        <v/>
      </c>
      <c r="B64" s="10">
        <f>IF($A64="","",Items!B64&amp;"")</f>
        <v/>
      </c>
      <c r="C64" s="10">
        <f>IF($A64="","",SUBSTITUTE(SUBSTITUTE(SUBSTITUTE(TRIM(Items!D64&amp;""),".","")," ",""),"-",""))</f>
        <v/>
      </c>
      <c r="D64" s="10">
        <f>IF($A64="","",LEFT($C64,2))</f>
        <v/>
      </c>
      <c r="E64" s="10">
        <f>IF($A64="","",UPPER(TRIM(Items!E64&amp;"")))</f>
        <v/>
      </c>
      <c r="F64" s="10">
        <f>IF($A64="","",IF(UPPER(TRIM(Items!C64&amp;""))=UPPER(TRIM(act_Country&amp;"")),"Y","N"))</f>
        <v/>
      </c>
      <c r="G64" s="10">
        <f>IF($A64="","",IF(SUMPRODUCT((scope_HTS&lt;&gt;"")*(LEFT($C64,LEN(scope_HTS))=scope_HTS))&gt;0,"Y","N"))</f>
        <v/>
      </c>
      <c r="H64" s="10">
        <f>IF($A64="","",IF(SUMPRODUCT((excl_HTS&lt;&gt;"")*(LEFT($C64,LEN(excl_HTS))=excl_HTS))&gt;0,"Y","N"))</f>
        <v/>
      </c>
      <c r="I64" s="10">
        <f>IF($A64="","",IF($E64="","N",IF(COUNTIF(scope_COO,$E64)&gt;0,"Y","N")))</f>
        <v/>
      </c>
      <c r="J64" s="10">
        <f>IF($A64="","",IF(AND(UPPER(TRIM(act_USMCAExempt&amp;""))="Y",UPPER(TRIM(Items!F64&amp;""))="Y"),"Y","N"))</f>
        <v/>
      </c>
      <c r="K64" s="10">
        <f>IF($A64="","",IFERROR(UPPER(TRIM(INDEX(det_Status,MATCH($A64,det_Item,0))&amp;"")),""))</f>
        <v/>
      </c>
      <c r="L64" s="10">
        <f>IF($A64="","",IF($K64="IN","Y",IF($K64="OUT","N",IF(AND($F64="Y",$G64="Y",$H64="N",$I64="Y",$J64="N"),"Y","N"))))</f>
        <v/>
      </c>
      <c r="M64" s="10">
        <f>IF($A64="","",IF($K64="IN","In: Research determination",IF($K64="OUT","Out: Research determination",IF($F64="N","Out: different import country",IF($G64="N","Out: HTS not on scope list",IF($H64="Y","Out: HTS on exclusion list",IF($I64="N","Out: origin not on scope list",IF($J64="Y","Out: USMCA-qualifying, exempt","In: matches scope rules"))))))))</f>
        <v/>
      </c>
      <c r="N64" s="16">
        <f>IF($A64="","",N(Items!I64))</f>
        <v/>
      </c>
      <c r="O64" s="16">
        <f>IF($A64="","",IF($L64="Y",$N64+N(act_Rate)-IF(UPPER(TRIM(act_RateType&amp;""))="REPLACE",N(act_PriorRate),0),$N64))</f>
        <v/>
      </c>
      <c r="P64" s="17">
        <f>IF($A64="","",N(Items!G64)*$N64)</f>
        <v/>
      </c>
      <c r="Q64" s="17">
        <f>IF($A64="","",N(Items!G64)*$O64)</f>
        <v/>
      </c>
      <c r="R64" s="17">
        <f>IF($A64="","",$Q64-$P64)</f>
        <v/>
      </c>
      <c r="S64" s="17">
        <f>IF($A64="","",N(Items!J64)+$R64)</f>
        <v/>
      </c>
      <c r="T64" s="16">
        <f>IF($A64="","",IF(N(Items!K64)=0,"",(N(Items!K64)-N(Items!J64))/N(Items!K64)))</f>
        <v/>
      </c>
      <c r="U64" s="16">
        <f>IF($A64="","",IF(N(Items!K64)=0,"",(N(Items!K64)-$S64)/N(Items!K64)))</f>
        <v/>
      </c>
      <c r="V64" s="16">
        <f>IF(OR($T64="",$U64=""),"",$U64-$T64)</f>
        <v/>
      </c>
      <c r="W64" s="18">
        <f>IF($A64="","",N(Items!H64))</f>
        <v/>
      </c>
      <c r="X64" s="19">
        <f>IF($A64="","",$R64*$W64)</f>
        <v/>
      </c>
      <c r="Y64" s="19">
        <f>IF($A64="","",N(Items!K64)*$W64)</f>
        <v/>
      </c>
      <c r="Z64" s="19">
        <f>IF($A64="","",(N(Items!K64)-N(Items!J64))*$W64)</f>
        <v/>
      </c>
      <c r="AA64" s="19">
        <f>IF($A64="","",$Z64-$X64)</f>
        <v/>
      </c>
      <c r="AB64" s="10">
        <f>IF($A64="","",IF(TRIM(Items!C64&amp;"")="","CHECK: import country missing",IF(OR(LEN($C64)&lt;&gt;10,ISERROR(VALUE($C64))),"CHECK: HTS must be 10 digits",IF(LEN($E64)&lt;&gt;2,"CHECK: origin code missing or not 2 letters",IF(OR(Items!G64="",Items!I64="",Items!J64=""),"CHECK: value, rate or cost missing",IF(ISNUMBER(Items!G64)*ISNUMBER(Items!I64)*ISNUMBER(Items!J64)=0,"CHECK: text in a number column",IF(AND($L64="Y",UPPER(TRIM(act_RateType&amp;""))="REPLACE",$N64&lt;N(act_PriorRate)),"CHECK: current rate is below the rate being replaced",IF(AND($L64="Y",$W64=0),"NOTE: in scope, no volume","OK"))))))))</f>
        <v/>
      </c>
      <c r="AC64" s="20">
        <f>IF($A64="","",IF(AND($L64="Y",$X64&lt;&gt;0),ABS($X64)+ROW()/1000000000,""))</f>
        <v/>
      </c>
    </row>
    <row r="65">
      <c r="A65" s="10">
        <f>IF(TRIM(Items!A65&amp;"")="","",TRIM(Items!A65&amp;""))</f>
        <v/>
      </c>
      <c r="B65" s="10">
        <f>IF($A65="","",Items!B65&amp;"")</f>
        <v/>
      </c>
      <c r="C65" s="10">
        <f>IF($A65="","",SUBSTITUTE(SUBSTITUTE(SUBSTITUTE(TRIM(Items!D65&amp;""),".","")," ",""),"-",""))</f>
        <v/>
      </c>
      <c r="D65" s="10">
        <f>IF($A65="","",LEFT($C65,2))</f>
        <v/>
      </c>
      <c r="E65" s="10">
        <f>IF($A65="","",UPPER(TRIM(Items!E65&amp;"")))</f>
        <v/>
      </c>
      <c r="F65" s="10">
        <f>IF($A65="","",IF(UPPER(TRIM(Items!C65&amp;""))=UPPER(TRIM(act_Country&amp;"")),"Y","N"))</f>
        <v/>
      </c>
      <c r="G65" s="10">
        <f>IF($A65="","",IF(SUMPRODUCT((scope_HTS&lt;&gt;"")*(LEFT($C65,LEN(scope_HTS))=scope_HTS))&gt;0,"Y","N"))</f>
        <v/>
      </c>
      <c r="H65" s="10">
        <f>IF($A65="","",IF(SUMPRODUCT((excl_HTS&lt;&gt;"")*(LEFT($C65,LEN(excl_HTS))=excl_HTS))&gt;0,"Y","N"))</f>
        <v/>
      </c>
      <c r="I65" s="10">
        <f>IF($A65="","",IF($E65="","N",IF(COUNTIF(scope_COO,$E65)&gt;0,"Y","N")))</f>
        <v/>
      </c>
      <c r="J65" s="10">
        <f>IF($A65="","",IF(AND(UPPER(TRIM(act_USMCAExempt&amp;""))="Y",UPPER(TRIM(Items!F65&amp;""))="Y"),"Y","N"))</f>
        <v/>
      </c>
      <c r="K65" s="10">
        <f>IF($A65="","",IFERROR(UPPER(TRIM(INDEX(det_Status,MATCH($A65,det_Item,0))&amp;"")),""))</f>
        <v/>
      </c>
      <c r="L65" s="10">
        <f>IF($A65="","",IF($K65="IN","Y",IF($K65="OUT","N",IF(AND($F65="Y",$G65="Y",$H65="N",$I65="Y",$J65="N"),"Y","N"))))</f>
        <v/>
      </c>
      <c r="M65" s="10">
        <f>IF($A65="","",IF($K65="IN","In: Research determination",IF($K65="OUT","Out: Research determination",IF($F65="N","Out: different import country",IF($G65="N","Out: HTS not on scope list",IF($H65="Y","Out: HTS on exclusion list",IF($I65="N","Out: origin not on scope list",IF($J65="Y","Out: USMCA-qualifying, exempt","In: matches scope rules"))))))))</f>
        <v/>
      </c>
      <c r="N65" s="16">
        <f>IF($A65="","",N(Items!I65))</f>
        <v/>
      </c>
      <c r="O65" s="16">
        <f>IF($A65="","",IF($L65="Y",$N65+N(act_Rate)-IF(UPPER(TRIM(act_RateType&amp;""))="REPLACE",N(act_PriorRate),0),$N65))</f>
        <v/>
      </c>
      <c r="P65" s="17">
        <f>IF($A65="","",N(Items!G65)*$N65)</f>
        <v/>
      </c>
      <c r="Q65" s="17">
        <f>IF($A65="","",N(Items!G65)*$O65)</f>
        <v/>
      </c>
      <c r="R65" s="17">
        <f>IF($A65="","",$Q65-$P65)</f>
        <v/>
      </c>
      <c r="S65" s="17">
        <f>IF($A65="","",N(Items!J65)+$R65)</f>
        <v/>
      </c>
      <c r="T65" s="16">
        <f>IF($A65="","",IF(N(Items!K65)=0,"",(N(Items!K65)-N(Items!J65))/N(Items!K65)))</f>
        <v/>
      </c>
      <c r="U65" s="16">
        <f>IF($A65="","",IF(N(Items!K65)=0,"",(N(Items!K65)-$S65)/N(Items!K65)))</f>
        <v/>
      </c>
      <c r="V65" s="16">
        <f>IF(OR($T65="",$U65=""),"",$U65-$T65)</f>
        <v/>
      </c>
      <c r="W65" s="18">
        <f>IF($A65="","",N(Items!H65))</f>
        <v/>
      </c>
      <c r="X65" s="19">
        <f>IF($A65="","",$R65*$W65)</f>
        <v/>
      </c>
      <c r="Y65" s="19">
        <f>IF($A65="","",N(Items!K65)*$W65)</f>
        <v/>
      </c>
      <c r="Z65" s="19">
        <f>IF($A65="","",(N(Items!K65)-N(Items!J65))*$W65)</f>
        <v/>
      </c>
      <c r="AA65" s="19">
        <f>IF($A65="","",$Z65-$X65)</f>
        <v/>
      </c>
      <c r="AB65" s="10">
        <f>IF($A65="","",IF(TRIM(Items!C65&amp;"")="","CHECK: import country missing",IF(OR(LEN($C65)&lt;&gt;10,ISERROR(VALUE($C65))),"CHECK: HTS must be 10 digits",IF(LEN($E65)&lt;&gt;2,"CHECK: origin code missing or not 2 letters",IF(OR(Items!G65="",Items!I65="",Items!J65=""),"CHECK: value, rate or cost missing",IF(ISNUMBER(Items!G65)*ISNUMBER(Items!I65)*ISNUMBER(Items!J65)=0,"CHECK: text in a number column",IF(AND($L65="Y",UPPER(TRIM(act_RateType&amp;""))="REPLACE",$N65&lt;N(act_PriorRate)),"CHECK: current rate is below the rate being replaced",IF(AND($L65="Y",$W65=0),"NOTE: in scope, no volume","OK"))))))))</f>
        <v/>
      </c>
      <c r="AC65" s="20">
        <f>IF($A65="","",IF(AND($L65="Y",$X65&lt;&gt;0),ABS($X65)+ROW()/1000000000,""))</f>
        <v/>
      </c>
    </row>
    <row r="66">
      <c r="A66" s="10">
        <f>IF(TRIM(Items!A66&amp;"")="","",TRIM(Items!A66&amp;""))</f>
        <v/>
      </c>
      <c r="B66" s="10">
        <f>IF($A66="","",Items!B66&amp;"")</f>
        <v/>
      </c>
      <c r="C66" s="10">
        <f>IF($A66="","",SUBSTITUTE(SUBSTITUTE(SUBSTITUTE(TRIM(Items!D66&amp;""),".","")," ",""),"-",""))</f>
        <v/>
      </c>
      <c r="D66" s="10">
        <f>IF($A66="","",LEFT($C66,2))</f>
        <v/>
      </c>
      <c r="E66" s="10">
        <f>IF($A66="","",UPPER(TRIM(Items!E66&amp;"")))</f>
        <v/>
      </c>
      <c r="F66" s="10">
        <f>IF($A66="","",IF(UPPER(TRIM(Items!C66&amp;""))=UPPER(TRIM(act_Country&amp;"")),"Y","N"))</f>
        <v/>
      </c>
      <c r="G66" s="10">
        <f>IF($A66="","",IF(SUMPRODUCT((scope_HTS&lt;&gt;"")*(LEFT($C66,LEN(scope_HTS))=scope_HTS))&gt;0,"Y","N"))</f>
        <v/>
      </c>
      <c r="H66" s="10">
        <f>IF($A66="","",IF(SUMPRODUCT((excl_HTS&lt;&gt;"")*(LEFT($C66,LEN(excl_HTS))=excl_HTS))&gt;0,"Y","N"))</f>
        <v/>
      </c>
      <c r="I66" s="10">
        <f>IF($A66="","",IF($E66="","N",IF(COUNTIF(scope_COO,$E66)&gt;0,"Y","N")))</f>
        <v/>
      </c>
      <c r="J66" s="10">
        <f>IF($A66="","",IF(AND(UPPER(TRIM(act_USMCAExempt&amp;""))="Y",UPPER(TRIM(Items!F66&amp;""))="Y"),"Y","N"))</f>
        <v/>
      </c>
      <c r="K66" s="10">
        <f>IF($A66="","",IFERROR(UPPER(TRIM(INDEX(det_Status,MATCH($A66,det_Item,0))&amp;"")),""))</f>
        <v/>
      </c>
      <c r="L66" s="10">
        <f>IF($A66="","",IF($K66="IN","Y",IF($K66="OUT","N",IF(AND($F66="Y",$G66="Y",$H66="N",$I66="Y",$J66="N"),"Y","N"))))</f>
        <v/>
      </c>
      <c r="M66" s="10">
        <f>IF($A66="","",IF($K66="IN","In: Research determination",IF($K66="OUT","Out: Research determination",IF($F66="N","Out: different import country",IF($G66="N","Out: HTS not on scope list",IF($H66="Y","Out: HTS on exclusion list",IF($I66="N","Out: origin not on scope list",IF($J66="Y","Out: USMCA-qualifying, exempt","In: matches scope rules"))))))))</f>
        <v/>
      </c>
      <c r="N66" s="16">
        <f>IF($A66="","",N(Items!I66))</f>
        <v/>
      </c>
      <c r="O66" s="16">
        <f>IF($A66="","",IF($L66="Y",$N66+N(act_Rate)-IF(UPPER(TRIM(act_RateType&amp;""))="REPLACE",N(act_PriorRate),0),$N66))</f>
        <v/>
      </c>
      <c r="P66" s="17">
        <f>IF($A66="","",N(Items!G66)*$N66)</f>
        <v/>
      </c>
      <c r="Q66" s="17">
        <f>IF($A66="","",N(Items!G66)*$O66)</f>
        <v/>
      </c>
      <c r="R66" s="17">
        <f>IF($A66="","",$Q66-$P66)</f>
        <v/>
      </c>
      <c r="S66" s="17">
        <f>IF($A66="","",N(Items!J66)+$R66)</f>
        <v/>
      </c>
      <c r="T66" s="16">
        <f>IF($A66="","",IF(N(Items!K66)=0,"",(N(Items!K66)-N(Items!J66))/N(Items!K66)))</f>
        <v/>
      </c>
      <c r="U66" s="16">
        <f>IF($A66="","",IF(N(Items!K66)=0,"",(N(Items!K66)-$S66)/N(Items!K66)))</f>
        <v/>
      </c>
      <c r="V66" s="16">
        <f>IF(OR($T66="",$U66=""),"",$U66-$T66)</f>
        <v/>
      </c>
      <c r="W66" s="18">
        <f>IF($A66="","",N(Items!H66))</f>
        <v/>
      </c>
      <c r="X66" s="19">
        <f>IF($A66="","",$R66*$W66)</f>
        <v/>
      </c>
      <c r="Y66" s="19">
        <f>IF($A66="","",N(Items!K66)*$W66)</f>
        <v/>
      </c>
      <c r="Z66" s="19">
        <f>IF($A66="","",(N(Items!K66)-N(Items!J66))*$W66)</f>
        <v/>
      </c>
      <c r="AA66" s="19">
        <f>IF($A66="","",$Z66-$X66)</f>
        <v/>
      </c>
      <c r="AB66" s="10">
        <f>IF($A66="","",IF(TRIM(Items!C66&amp;"")="","CHECK: import country missing",IF(OR(LEN($C66)&lt;&gt;10,ISERROR(VALUE($C66))),"CHECK: HTS must be 10 digits",IF(LEN($E66)&lt;&gt;2,"CHECK: origin code missing or not 2 letters",IF(OR(Items!G66="",Items!I66="",Items!J66=""),"CHECK: value, rate or cost missing",IF(ISNUMBER(Items!G66)*ISNUMBER(Items!I66)*ISNUMBER(Items!J66)=0,"CHECK: text in a number column",IF(AND($L66="Y",UPPER(TRIM(act_RateType&amp;""))="REPLACE",$N66&lt;N(act_PriorRate)),"CHECK: current rate is below the rate being replaced",IF(AND($L66="Y",$W66=0),"NOTE: in scope, no volume","OK"))))))))</f>
        <v/>
      </c>
      <c r="AC66" s="20">
        <f>IF($A66="","",IF(AND($L66="Y",$X66&lt;&gt;0),ABS($X66)+ROW()/1000000000,""))</f>
        <v/>
      </c>
    </row>
    <row r="67">
      <c r="A67" s="10">
        <f>IF(TRIM(Items!A67&amp;"")="","",TRIM(Items!A67&amp;""))</f>
        <v/>
      </c>
      <c r="B67" s="10">
        <f>IF($A67="","",Items!B67&amp;"")</f>
        <v/>
      </c>
      <c r="C67" s="10">
        <f>IF($A67="","",SUBSTITUTE(SUBSTITUTE(SUBSTITUTE(TRIM(Items!D67&amp;""),".","")," ",""),"-",""))</f>
        <v/>
      </c>
      <c r="D67" s="10">
        <f>IF($A67="","",LEFT($C67,2))</f>
        <v/>
      </c>
      <c r="E67" s="10">
        <f>IF($A67="","",UPPER(TRIM(Items!E67&amp;"")))</f>
        <v/>
      </c>
      <c r="F67" s="10">
        <f>IF($A67="","",IF(UPPER(TRIM(Items!C67&amp;""))=UPPER(TRIM(act_Country&amp;"")),"Y","N"))</f>
        <v/>
      </c>
      <c r="G67" s="10">
        <f>IF($A67="","",IF(SUMPRODUCT((scope_HTS&lt;&gt;"")*(LEFT($C67,LEN(scope_HTS))=scope_HTS))&gt;0,"Y","N"))</f>
        <v/>
      </c>
      <c r="H67" s="10">
        <f>IF($A67="","",IF(SUMPRODUCT((excl_HTS&lt;&gt;"")*(LEFT($C67,LEN(excl_HTS))=excl_HTS))&gt;0,"Y","N"))</f>
        <v/>
      </c>
      <c r="I67" s="10">
        <f>IF($A67="","",IF($E67="","N",IF(COUNTIF(scope_COO,$E67)&gt;0,"Y","N")))</f>
        <v/>
      </c>
      <c r="J67" s="10">
        <f>IF($A67="","",IF(AND(UPPER(TRIM(act_USMCAExempt&amp;""))="Y",UPPER(TRIM(Items!F67&amp;""))="Y"),"Y","N"))</f>
        <v/>
      </c>
      <c r="K67" s="10">
        <f>IF($A67="","",IFERROR(UPPER(TRIM(INDEX(det_Status,MATCH($A67,det_Item,0))&amp;"")),""))</f>
        <v/>
      </c>
      <c r="L67" s="10">
        <f>IF($A67="","",IF($K67="IN","Y",IF($K67="OUT","N",IF(AND($F67="Y",$G67="Y",$H67="N",$I67="Y",$J67="N"),"Y","N"))))</f>
        <v/>
      </c>
      <c r="M67" s="10">
        <f>IF($A67="","",IF($K67="IN","In: Research determination",IF($K67="OUT","Out: Research determination",IF($F67="N","Out: different import country",IF($G67="N","Out: HTS not on scope list",IF($H67="Y","Out: HTS on exclusion list",IF($I67="N","Out: origin not on scope list",IF($J67="Y","Out: USMCA-qualifying, exempt","In: matches scope rules"))))))))</f>
        <v/>
      </c>
      <c r="N67" s="16">
        <f>IF($A67="","",N(Items!I67))</f>
        <v/>
      </c>
      <c r="O67" s="16">
        <f>IF($A67="","",IF($L67="Y",$N67+N(act_Rate)-IF(UPPER(TRIM(act_RateType&amp;""))="REPLACE",N(act_PriorRate),0),$N67))</f>
        <v/>
      </c>
      <c r="P67" s="17">
        <f>IF($A67="","",N(Items!G67)*$N67)</f>
        <v/>
      </c>
      <c r="Q67" s="17">
        <f>IF($A67="","",N(Items!G67)*$O67)</f>
        <v/>
      </c>
      <c r="R67" s="17">
        <f>IF($A67="","",$Q67-$P67)</f>
        <v/>
      </c>
      <c r="S67" s="17">
        <f>IF($A67="","",N(Items!J67)+$R67)</f>
        <v/>
      </c>
      <c r="T67" s="16">
        <f>IF($A67="","",IF(N(Items!K67)=0,"",(N(Items!K67)-N(Items!J67))/N(Items!K67)))</f>
        <v/>
      </c>
      <c r="U67" s="16">
        <f>IF($A67="","",IF(N(Items!K67)=0,"",(N(Items!K67)-$S67)/N(Items!K67)))</f>
        <v/>
      </c>
      <c r="V67" s="16">
        <f>IF(OR($T67="",$U67=""),"",$U67-$T67)</f>
        <v/>
      </c>
      <c r="W67" s="18">
        <f>IF($A67="","",N(Items!H67))</f>
        <v/>
      </c>
      <c r="X67" s="19">
        <f>IF($A67="","",$R67*$W67)</f>
        <v/>
      </c>
      <c r="Y67" s="19">
        <f>IF($A67="","",N(Items!K67)*$W67)</f>
        <v/>
      </c>
      <c r="Z67" s="19">
        <f>IF($A67="","",(N(Items!K67)-N(Items!J67))*$W67)</f>
        <v/>
      </c>
      <c r="AA67" s="19">
        <f>IF($A67="","",$Z67-$X67)</f>
        <v/>
      </c>
      <c r="AB67" s="10">
        <f>IF($A67="","",IF(TRIM(Items!C67&amp;"")="","CHECK: import country missing",IF(OR(LEN($C67)&lt;&gt;10,ISERROR(VALUE($C67))),"CHECK: HTS must be 10 digits",IF(LEN($E67)&lt;&gt;2,"CHECK: origin code missing or not 2 letters",IF(OR(Items!G67="",Items!I67="",Items!J67=""),"CHECK: value, rate or cost missing",IF(ISNUMBER(Items!G67)*ISNUMBER(Items!I67)*ISNUMBER(Items!J67)=0,"CHECK: text in a number column",IF(AND($L67="Y",UPPER(TRIM(act_RateType&amp;""))="REPLACE",$N67&lt;N(act_PriorRate)),"CHECK: current rate is below the rate being replaced",IF(AND($L67="Y",$W67=0),"NOTE: in scope, no volume","OK"))))))))</f>
        <v/>
      </c>
      <c r="AC67" s="20">
        <f>IF($A67="","",IF(AND($L67="Y",$X67&lt;&gt;0),ABS($X67)+ROW()/1000000000,""))</f>
        <v/>
      </c>
    </row>
    <row r="68">
      <c r="A68" s="10">
        <f>IF(TRIM(Items!A68&amp;"")="","",TRIM(Items!A68&amp;""))</f>
        <v/>
      </c>
      <c r="B68" s="10">
        <f>IF($A68="","",Items!B68&amp;"")</f>
        <v/>
      </c>
      <c r="C68" s="10">
        <f>IF($A68="","",SUBSTITUTE(SUBSTITUTE(SUBSTITUTE(TRIM(Items!D68&amp;""),".","")," ",""),"-",""))</f>
        <v/>
      </c>
      <c r="D68" s="10">
        <f>IF($A68="","",LEFT($C68,2))</f>
        <v/>
      </c>
      <c r="E68" s="10">
        <f>IF($A68="","",UPPER(TRIM(Items!E68&amp;"")))</f>
        <v/>
      </c>
      <c r="F68" s="10">
        <f>IF($A68="","",IF(UPPER(TRIM(Items!C68&amp;""))=UPPER(TRIM(act_Country&amp;"")),"Y","N"))</f>
        <v/>
      </c>
      <c r="G68" s="10">
        <f>IF($A68="","",IF(SUMPRODUCT((scope_HTS&lt;&gt;"")*(LEFT($C68,LEN(scope_HTS))=scope_HTS))&gt;0,"Y","N"))</f>
        <v/>
      </c>
      <c r="H68" s="10">
        <f>IF($A68="","",IF(SUMPRODUCT((excl_HTS&lt;&gt;"")*(LEFT($C68,LEN(excl_HTS))=excl_HTS))&gt;0,"Y","N"))</f>
        <v/>
      </c>
      <c r="I68" s="10">
        <f>IF($A68="","",IF($E68="","N",IF(COUNTIF(scope_COO,$E68)&gt;0,"Y","N")))</f>
        <v/>
      </c>
      <c r="J68" s="10">
        <f>IF($A68="","",IF(AND(UPPER(TRIM(act_USMCAExempt&amp;""))="Y",UPPER(TRIM(Items!F68&amp;""))="Y"),"Y","N"))</f>
        <v/>
      </c>
      <c r="K68" s="10">
        <f>IF($A68="","",IFERROR(UPPER(TRIM(INDEX(det_Status,MATCH($A68,det_Item,0))&amp;"")),""))</f>
        <v/>
      </c>
      <c r="L68" s="10">
        <f>IF($A68="","",IF($K68="IN","Y",IF($K68="OUT","N",IF(AND($F68="Y",$G68="Y",$H68="N",$I68="Y",$J68="N"),"Y","N"))))</f>
        <v/>
      </c>
      <c r="M68" s="10">
        <f>IF($A68="","",IF($K68="IN","In: Research determination",IF($K68="OUT","Out: Research determination",IF($F68="N","Out: different import country",IF($G68="N","Out: HTS not on scope list",IF($H68="Y","Out: HTS on exclusion list",IF($I68="N","Out: origin not on scope list",IF($J68="Y","Out: USMCA-qualifying, exempt","In: matches scope rules"))))))))</f>
        <v/>
      </c>
      <c r="N68" s="16">
        <f>IF($A68="","",N(Items!I68))</f>
        <v/>
      </c>
      <c r="O68" s="16">
        <f>IF($A68="","",IF($L68="Y",$N68+N(act_Rate)-IF(UPPER(TRIM(act_RateType&amp;""))="REPLACE",N(act_PriorRate),0),$N68))</f>
        <v/>
      </c>
      <c r="P68" s="17">
        <f>IF($A68="","",N(Items!G68)*$N68)</f>
        <v/>
      </c>
      <c r="Q68" s="17">
        <f>IF($A68="","",N(Items!G68)*$O68)</f>
        <v/>
      </c>
      <c r="R68" s="17">
        <f>IF($A68="","",$Q68-$P68)</f>
        <v/>
      </c>
      <c r="S68" s="17">
        <f>IF($A68="","",N(Items!J68)+$R68)</f>
        <v/>
      </c>
      <c r="T68" s="16">
        <f>IF($A68="","",IF(N(Items!K68)=0,"",(N(Items!K68)-N(Items!J68))/N(Items!K68)))</f>
        <v/>
      </c>
      <c r="U68" s="16">
        <f>IF($A68="","",IF(N(Items!K68)=0,"",(N(Items!K68)-$S68)/N(Items!K68)))</f>
        <v/>
      </c>
      <c r="V68" s="16">
        <f>IF(OR($T68="",$U68=""),"",$U68-$T68)</f>
        <v/>
      </c>
      <c r="W68" s="18">
        <f>IF($A68="","",N(Items!H68))</f>
        <v/>
      </c>
      <c r="X68" s="19">
        <f>IF($A68="","",$R68*$W68)</f>
        <v/>
      </c>
      <c r="Y68" s="19">
        <f>IF($A68="","",N(Items!K68)*$W68)</f>
        <v/>
      </c>
      <c r="Z68" s="19">
        <f>IF($A68="","",(N(Items!K68)-N(Items!J68))*$W68)</f>
        <v/>
      </c>
      <c r="AA68" s="19">
        <f>IF($A68="","",$Z68-$X68)</f>
        <v/>
      </c>
      <c r="AB68" s="10">
        <f>IF($A68="","",IF(TRIM(Items!C68&amp;"")="","CHECK: import country missing",IF(OR(LEN($C68)&lt;&gt;10,ISERROR(VALUE($C68))),"CHECK: HTS must be 10 digits",IF(LEN($E68)&lt;&gt;2,"CHECK: origin code missing or not 2 letters",IF(OR(Items!G68="",Items!I68="",Items!J68=""),"CHECK: value, rate or cost missing",IF(ISNUMBER(Items!G68)*ISNUMBER(Items!I68)*ISNUMBER(Items!J68)=0,"CHECK: text in a number column",IF(AND($L68="Y",UPPER(TRIM(act_RateType&amp;""))="REPLACE",$N68&lt;N(act_PriorRate)),"CHECK: current rate is below the rate being replaced",IF(AND($L68="Y",$W68=0),"NOTE: in scope, no volume","OK"))))))))</f>
        <v/>
      </c>
      <c r="AC68" s="20">
        <f>IF($A68="","",IF(AND($L68="Y",$X68&lt;&gt;0),ABS($X68)+ROW()/1000000000,""))</f>
        <v/>
      </c>
    </row>
    <row r="69">
      <c r="A69" s="10">
        <f>IF(TRIM(Items!A69&amp;"")="","",TRIM(Items!A69&amp;""))</f>
        <v/>
      </c>
      <c r="B69" s="10">
        <f>IF($A69="","",Items!B69&amp;"")</f>
        <v/>
      </c>
      <c r="C69" s="10">
        <f>IF($A69="","",SUBSTITUTE(SUBSTITUTE(SUBSTITUTE(TRIM(Items!D69&amp;""),".","")," ",""),"-",""))</f>
        <v/>
      </c>
      <c r="D69" s="10">
        <f>IF($A69="","",LEFT($C69,2))</f>
        <v/>
      </c>
      <c r="E69" s="10">
        <f>IF($A69="","",UPPER(TRIM(Items!E69&amp;"")))</f>
        <v/>
      </c>
      <c r="F69" s="10">
        <f>IF($A69="","",IF(UPPER(TRIM(Items!C69&amp;""))=UPPER(TRIM(act_Country&amp;"")),"Y","N"))</f>
        <v/>
      </c>
      <c r="G69" s="10">
        <f>IF($A69="","",IF(SUMPRODUCT((scope_HTS&lt;&gt;"")*(LEFT($C69,LEN(scope_HTS))=scope_HTS))&gt;0,"Y","N"))</f>
        <v/>
      </c>
      <c r="H69" s="10">
        <f>IF($A69="","",IF(SUMPRODUCT((excl_HTS&lt;&gt;"")*(LEFT($C69,LEN(excl_HTS))=excl_HTS))&gt;0,"Y","N"))</f>
        <v/>
      </c>
      <c r="I69" s="10">
        <f>IF($A69="","",IF($E69="","N",IF(COUNTIF(scope_COO,$E69)&gt;0,"Y","N")))</f>
        <v/>
      </c>
      <c r="J69" s="10">
        <f>IF($A69="","",IF(AND(UPPER(TRIM(act_USMCAExempt&amp;""))="Y",UPPER(TRIM(Items!F69&amp;""))="Y"),"Y","N"))</f>
        <v/>
      </c>
      <c r="K69" s="10">
        <f>IF($A69="","",IFERROR(UPPER(TRIM(INDEX(det_Status,MATCH($A69,det_Item,0))&amp;"")),""))</f>
        <v/>
      </c>
      <c r="L69" s="10">
        <f>IF($A69="","",IF($K69="IN","Y",IF($K69="OUT","N",IF(AND($F69="Y",$G69="Y",$H69="N",$I69="Y",$J69="N"),"Y","N"))))</f>
        <v/>
      </c>
      <c r="M69" s="10">
        <f>IF($A69="","",IF($K69="IN","In: Research determination",IF($K69="OUT","Out: Research determination",IF($F69="N","Out: different import country",IF($G69="N","Out: HTS not on scope list",IF($H69="Y","Out: HTS on exclusion list",IF($I69="N","Out: origin not on scope list",IF($J69="Y","Out: USMCA-qualifying, exempt","In: matches scope rules"))))))))</f>
        <v/>
      </c>
      <c r="N69" s="16">
        <f>IF($A69="","",N(Items!I69))</f>
        <v/>
      </c>
      <c r="O69" s="16">
        <f>IF($A69="","",IF($L69="Y",$N69+N(act_Rate)-IF(UPPER(TRIM(act_RateType&amp;""))="REPLACE",N(act_PriorRate),0),$N69))</f>
        <v/>
      </c>
      <c r="P69" s="17">
        <f>IF($A69="","",N(Items!G69)*$N69)</f>
        <v/>
      </c>
      <c r="Q69" s="17">
        <f>IF($A69="","",N(Items!G69)*$O69)</f>
        <v/>
      </c>
      <c r="R69" s="17">
        <f>IF($A69="","",$Q69-$P69)</f>
        <v/>
      </c>
      <c r="S69" s="17">
        <f>IF($A69="","",N(Items!J69)+$R69)</f>
        <v/>
      </c>
      <c r="T69" s="16">
        <f>IF($A69="","",IF(N(Items!K69)=0,"",(N(Items!K69)-N(Items!J69))/N(Items!K69)))</f>
        <v/>
      </c>
      <c r="U69" s="16">
        <f>IF($A69="","",IF(N(Items!K69)=0,"",(N(Items!K69)-$S69)/N(Items!K69)))</f>
        <v/>
      </c>
      <c r="V69" s="16">
        <f>IF(OR($T69="",$U69=""),"",$U69-$T69)</f>
        <v/>
      </c>
      <c r="W69" s="18">
        <f>IF($A69="","",N(Items!H69))</f>
        <v/>
      </c>
      <c r="X69" s="19">
        <f>IF($A69="","",$R69*$W69)</f>
        <v/>
      </c>
      <c r="Y69" s="19">
        <f>IF($A69="","",N(Items!K69)*$W69)</f>
        <v/>
      </c>
      <c r="Z69" s="19">
        <f>IF($A69="","",(N(Items!K69)-N(Items!J69))*$W69)</f>
        <v/>
      </c>
      <c r="AA69" s="19">
        <f>IF($A69="","",$Z69-$X69)</f>
        <v/>
      </c>
      <c r="AB69" s="10">
        <f>IF($A69="","",IF(TRIM(Items!C69&amp;"")="","CHECK: import country missing",IF(OR(LEN($C69)&lt;&gt;10,ISERROR(VALUE($C69))),"CHECK: HTS must be 10 digits",IF(LEN($E69)&lt;&gt;2,"CHECK: origin code missing or not 2 letters",IF(OR(Items!G69="",Items!I69="",Items!J69=""),"CHECK: value, rate or cost missing",IF(ISNUMBER(Items!G69)*ISNUMBER(Items!I69)*ISNUMBER(Items!J69)=0,"CHECK: text in a number column",IF(AND($L69="Y",UPPER(TRIM(act_RateType&amp;""))="REPLACE",$N69&lt;N(act_PriorRate)),"CHECK: current rate is below the rate being replaced",IF(AND($L69="Y",$W69=0),"NOTE: in scope, no volume","OK"))))))))</f>
        <v/>
      </c>
      <c r="AC69" s="20">
        <f>IF($A69="","",IF(AND($L69="Y",$X69&lt;&gt;0),ABS($X69)+ROW()/1000000000,""))</f>
        <v/>
      </c>
    </row>
    <row r="70">
      <c r="A70" s="10">
        <f>IF(TRIM(Items!A70&amp;"")="","",TRIM(Items!A70&amp;""))</f>
        <v/>
      </c>
      <c r="B70" s="10">
        <f>IF($A70="","",Items!B70&amp;"")</f>
        <v/>
      </c>
      <c r="C70" s="10">
        <f>IF($A70="","",SUBSTITUTE(SUBSTITUTE(SUBSTITUTE(TRIM(Items!D70&amp;""),".","")," ",""),"-",""))</f>
        <v/>
      </c>
      <c r="D70" s="10">
        <f>IF($A70="","",LEFT($C70,2))</f>
        <v/>
      </c>
      <c r="E70" s="10">
        <f>IF($A70="","",UPPER(TRIM(Items!E70&amp;"")))</f>
        <v/>
      </c>
      <c r="F70" s="10">
        <f>IF($A70="","",IF(UPPER(TRIM(Items!C70&amp;""))=UPPER(TRIM(act_Country&amp;"")),"Y","N"))</f>
        <v/>
      </c>
      <c r="G70" s="10">
        <f>IF($A70="","",IF(SUMPRODUCT((scope_HTS&lt;&gt;"")*(LEFT($C70,LEN(scope_HTS))=scope_HTS))&gt;0,"Y","N"))</f>
        <v/>
      </c>
      <c r="H70" s="10">
        <f>IF($A70="","",IF(SUMPRODUCT((excl_HTS&lt;&gt;"")*(LEFT($C70,LEN(excl_HTS))=excl_HTS))&gt;0,"Y","N"))</f>
        <v/>
      </c>
      <c r="I70" s="10">
        <f>IF($A70="","",IF($E70="","N",IF(COUNTIF(scope_COO,$E70)&gt;0,"Y","N")))</f>
        <v/>
      </c>
      <c r="J70" s="10">
        <f>IF($A70="","",IF(AND(UPPER(TRIM(act_USMCAExempt&amp;""))="Y",UPPER(TRIM(Items!F70&amp;""))="Y"),"Y","N"))</f>
        <v/>
      </c>
      <c r="K70" s="10">
        <f>IF($A70="","",IFERROR(UPPER(TRIM(INDEX(det_Status,MATCH($A70,det_Item,0))&amp;"")),""))</f>
        <v/>
      </c>
      <c r="L70" s="10">
        <f>IF($A70="","",IF($K70="IN","Y",IF($K70="OUT","N",IF(AND($F70="Y",$G70="Y",$H70="N",$I70="Y",$J70="N"),"Y","N"))))</f>
        <v/>
      </c>
      <c r="M70" s="10">
        <f>IF($A70="","",IF($K70="IN","In: Research determination",IF($K70="OUT","Out: Research determination",IF($F70="N","Out: different import country",IF($G70="N","Out: HTS not on scope list",IF($H70="Y","Out: HTS on exclusion list",IF($I70="N","Out: origin not on scope list",IF($J70="Y","Out: USMCA-qualifying, exempt","In: matches scope rules"))))))))</f>
        <v/>
      </c>
      <c r="N70" s="16">
        <f>IF($A70="","",N(Items!I70))</f>
        <v/>
      </c>
      <c r="O70" s="16">
        <f>IF($A70="","",IF($L70="Y",$N70+N(act_Rate)-IF(UPPER(TRIM(act_RateType&amp;""))="REPLACE",N(act_PriorRate),0),$N70))</f>
        <v/>
      </c>
      <c r="P70" s="17">
        <f>IF($A70="","",N(Items!G70)*$N70)</f>
        <v/>
      </c>
      <c r="Q70" s="17">
        <f>IF($A70="","",N(Items!G70)*$O70)</f>
        <v/>
      </c>
      <c r="R70" s="17">
        <f>IF($A70="","",$Q70-$P70)</f>
        <v/>
      </c>
      <c r="S70" s="17">
        <f>IF($A70="","",N(Items!J70)+$R70)</f>
        <v/>
      </c>
      <c r="T70" s="16">
        <f>IF($A70="","",IF(N(Items!K70)=0,"",(N(Items!K70)-N(Items!J70))/N(Items!K70)))</f>
        <v/>
      </c>
      <c r="U70" s="16">
        <f>IF($A70="","",IF(N(Items!K70)=0,"",(N(Items!K70)-$S70)/N(Items!K70)))</f>
        <v/>
      </c>
      <c r="V70" s="16">
        <f>IF(OR($T70="",$U70=""),"",$U70-$T70)</f>
        <v/>
      </c>
      <c r="W70" s="18">
        <f>IF($A70="","",N(Items!H70))</f>
        <v/>
      </c>
      <c r="X70" s="19">
        <f>IF($A70="","",$R70*$W70)</f>
        <v/>
      </c>
      <c r="Y70" s="19">
        <f>IF($A70="","",N(Items!K70)*$W70)</f>
        <v/>
      </c>
      <c r="Z70" s="19">
        <f>IF($A70="","",(N(Items!K70)-N(Items!J70))*$W70)</f>
        <v/>
      </c>
      <c r="AA70" s="19">
        <f>IF($A70="","",$Z70-$X70)</f>
        <v/>
      </c>
      <c r="AB70" s="10">
        <f>IF($A70="","",IF(TRIM(Items!C70&amp;"")="","CHECK: import country missing",IF(OR(LEN($C70)&lt;&gt;10,ISERROR(VALUE($C70))),"CHECK: HTS must be 10 digits",IF(LEN($E70)&lt;&gt;2,"CHECK: origin code missing or not 2 letters",IF(OR(Items!G70="",Items!I70="",Items!J70=""),"CHECK: value, rate or cost missing",IF(ISNUMBER(Items!G70)*ISNUMBER(Items!I70)*ISNUMBER(Items!J70)=0,"CHECK: text in a number column",IF(AND($L70="Y",UPPER(TRIM(act_RateType&amp;""))="REPLACE",$N70&lt;N(act_PriorRate)),"CHECK: current rate is below the rate being replaced",IF(AND($L70="Y",$W70=0),"NOTE: in scope, no volume","OK"))))))))</f>
        <v/>
      </c>
      <c r="AC70" s="20">
        <f>IF($A70="","",IF(AND($L70="Y",$X70&lt;&gt;0),ABS($X70)+ROW()/1000000000,""))</f>
        <v/>
      </c>
    </row>
    <row r="71">
      <c r="A71" s="10">
        <f>IF(TRIM(Items!A71&amp;"")="","",TRIM(Items!A71&amp;""))</f>
        <v/>
      </c>
      <c r="B71" s="10">
        <f>IF($A71="","",Items!B71&amp;"")</f>
        <v/>
      </c>
      <c r="C71" s="10">
        <f>IF($A71="","",SUBSTITUTE(SUBSTITUTE(SUBSTITUTE(TRIM(Items!D71&amp;""),".","")," ",""),"-",""))</f>
        <v/>
      </c>
      <c r="D71" s="10">
        <f>IF($A71="","",LEFT($C71,2))</f>
        <v/>
      </c>
      <c r="E71" s="10">
        <f>IF($A71="","",UPPER(TRIM(Items!E71&amp;"")))</f>
        <v/>
      </c>
      <c r="F71" s="10">
        <f>IF($A71="","",IF(UPPER(TRIM(Items!C71&amp;""))=UPPER(TRIM(act_Country&amp;"")),"Y","N"))</f>
        <v/>
      </c>
      <c r="G71" s="10">
        <f>IF($A71="","",IF(SUMPRODUCT((scope_HTS&lt;&gt;"")*(LEFT($C71,LEN(scope_HTS))=scope_HTS))&gt;0,"Y","N"))</f>
        <v/>
      </c>
      <c r="H71" s="10">
        <f>IF($A71="","",IF(SUMPRODUCT((excl_HTS&lt;&gt;"")*(LEFT($C71,LEN(excl_HTS))=excl_HTS))&gt;0,"Y","N"))</f>
        <v/>
      </c>
      <c r="I71" s="10">
        <f>IF($A71="","",IF($E71="","N",IF(COUNTIF(scope_COO,$E71)&gt;0,"Y","N")))</f>
        <v/>
      </c>
      <c r="J71" s="10">
        <f>IF($A71="","",IF(AND(UPPER(TRIM(act_USMCAExempt&amp;""))="Y",UPPER(TRIM(Items!F71&amp;""))="Y"),"Y","N"))</f>
        <v/>
      </c>
      <c r="K71" s="10">
        <f>IF($A71="","",IFERROR(UPPER(TRIM(INDEX(det_Status,MATCH($A71,det_Item,0))&amp;"")),""))</f>
        <v/>
      </c>
      <c r="L71" s="10">
        <f>IF($A71="","",IF($K71="IN","Y",IF($K71="OUT","N",IF(AND($F71="Y",$G71="Y",$H71="N",$I71="Y",$J71="N"),"Y","N"))))</f>
        <v/>
      </c>
      <c r="M71" s="10">
        <f>IF($A71="","",IF($K71="IN","In: Research determination",IF($K71="OUT","Out: Research determination",IF($F71="N","Out: different import country",IF($G71="N","Out: HTS not on scope list",IF($H71="Y","Out: HTS on exclusion list",IF($I71="N","Out: origin not on scope list",IF($J71="Y","Out: USMCA-qualifying, exempt","In: matches scope rules"))))))))</f>
        <v/>
      </c>
      <c r="N71" s="16">
        <f>IF($A71="","",N(Items!I71))</f>
        <v/>
      </c>
      <c r="O71" s="16">
        <f>IF($A71="","",IF($L71="Y",$N71+N(act_Rate)-IF(UPPER(TRIM(act_RateType&amp;""))="REPLACE",N(act_PriorRate),0),$N71))</f>
        <v/>
      </c>
      <c r="P71" s="17">
        <f>IF($A71="","",N(Items!G71)*$N71)</f>
        <v/>
      </c>
      <c r="Q71" s="17">
        <f>IF($A71="","",N(Items!G71)*$O71)</f>
        <v/>
      </c>
      <c r="R71" s="17">
        <f>IF($A71="","",$Q71-$P71)</f>
        <v/>
      </c>
      <c r="S71" s="17">
        <f>IF($A71="","",N(Items!J71)+$R71)</f>
        <v/>
      </c>
      <c r="T71" s="16">
        <f>IF($A71="","",IF(N(Items!K71)=0,"",(N(Items!K71)-N(Items!J71))/N(Items!K71)))</f>
        <v/>
      </c>
      <c r="U71" s="16">
        <f>IF($A71="","",IF(N(Items!K71)=0,"",(N(Items!K71)-$S71)/N(Items!K71)))</f>
        <v/>
      </c>
      <c r="V71" s="16">
        <f>IF(OR($T71="",$U71=""),"",$U71-$T71)</f>
        <v/>
      </c>
      <c r="W71" s="18">
        <f>IF($A71="","",N(Items!H71))</f>
        <v/>
      </c>
      <c r="X71" s="19">
        <f>IF($A71="","",$R71*$W71)</f>
        <v/>
      </c>
      <c r="Y71" s="19">
        <f>IF($A71="","",N(Items!K71)*$W71)</f>
        <v/>
      </c>
      <c r="Z71" s="19">
        <f>IF($A71="","",(N(Items!K71)-N(Items!J71))*$W71)</f>
        <v/>
      </c>
      <c r="AA71" s="19">
        <f>IF($A71="","",$Z71-$X71)</f>
        <v/>
      </c>
      <c r="AB71" s="10">
        <f>IF($A71="","",IF(TRIM(Items!C71&amp;"")="","CHECK: import country missing",IF(OR(LEN($C71)&lt;&gt;10,ISERROR(VALUE($C71))),"CHECK: HTS must be 10 digits",IF(LEN($E71)&lt;&gt;2,"CHECK: origin code missing or not 2 letters",IF(OR(Items!G71="",Items!I71="",Items!J71=""),"CHECK: value, rate or cost missing",IF(ISNUMBER(Items!G71)*ISNUMBER(Items!I71)*ISNUMBER(Items!J71)=0,"CHECK: text in a number column",IF(AND($L71="Y",UPPER(TRIM(act_RateType&amp;""))="REPLACE",$N71&lt;N(act_PriorRate)),"CHECK: current rate is below the rate being replaced",IF(AND($L71="Y",$W71=0),"NOTE: in scope, no volume","OK"))))))))</f>
        <v/>
      </c>
      <c r="AC71" s="20">
        <f>IF($A71="","",IF(AND($L71="Y",$X71&lt;&gt;0),ABS($X71)+ROW()/1000000000,""))</f>
        <v/>
      </c>
    </row>
    <row r="72">
      <c r="A72" s="10">
        <f>IF(TRIM(Items!A72&amp;"")="","",TRIM(Items!A72&amp;""))</f>
        <v/>
      </c>
      <c r="B72" s="10">
        <f>IF($A72="","",Items!B72&amp;"")</f>
        <v/>
      </c>
      <c r="C72" s="10">
        <f>IF($A72="","",SUBSTITUTE(SUBSTITUTE(SUBSTITUTE(TRIM(Items!D72&amp;""),".","")," ",""),"-",""))</f>
        <v/>
      </c>
      <c r="D72" s="10">
        <f>IF($A72="","",LEFT($C72,2))</f>
        <v/>
      </c>
      <c r="E72" s="10">
        <f>IF($A72="","",UPPER(TRIM(Items!E72&amp;"")))</f>
        <v/>
      </c>
      <c r="F72" s="10">
        <f>IF($A72="","",IF(UPPER(TRIM(Items!C72&amp;""))=UPPER(TRIM(act_Country&amp;"")),"Y","N"))</f>
        <v/>
      </c>
      <c r="G72" s="10">
        <f>IF($A72="","",IF(SUMPRODUCT((scope_HTS&lt;&gt;"")*(LEFT($C72,LEN(scope_HTS))=scope_HTS))&gt;0,"Y","N"))</f>
        <v/>
      </c>
      <c r="H72" s="10">
        <f>IF($A72="","",IF(SUMPRODUCT((excl_HTS&lt;&gt;"")*(LEFT($C72,LEN(excl_HTS))=excl_HTS))&gt;0,"Y","N"))</f>
        <v/>
      </c>
      <c r="I72" s="10">
        <f>IF($A72="","",IF($E72="","N",IF(COUNTIF(scope_COO,$E72)&gt;0,"Y","N")))</f>
        <v/>
      </c>
      <c r="J72" s="10">
        <f>IF($A72="","",IF(AND(UPPER(TRIM(act_USMCAExempt&amp;""))="Y",UPPER(TRIM(Items!F72&amp;""))="Y"),"Y","N"))</f>
        <v/>
      </c>
      <c r="K72" s="10">
        <f>IF($A72="","",IFERROR(UPPER(TRIM(INDEX(det_Status,MATCH($A72,det_Item,0))&amp;"")),""))</f>
        <v/>
      </c>
      <c r="L72" s="10">
        <f>IF($A72="","",IF($K72="IN","Y",IF($K72="OUT","N",IF(AND($F72="Y",$G72="Y",$H72="N",$I72="Y",$J72="N"),"Y","N"))))</f>
        <v/>
      </c>
      <c r="M72" s="10">
        <f>IF($A72="","",IF($K72="IN","In: Research determination",IF($K72="OUT","Out: Research determination",IF($F72="N","Out: different import country",IF($G72="N","Out: HTS not on scope list",IF($H72="Y","Out: HTS on exclusion list",IF($I72="N","Out: origin not on scope list",IF($J72="Y","Out: USMCA-qualifying, exempt","In: matches scope rules"))))))))</f>
        <v/>
      </c>
      <c r="N72" s="16">
        <f>IF($A72="","",N(Items!I72))</f>
        <v/>
      </c>
      <c r="O72" s="16">
        <f>IF($A72="","",IF($L72="Y",$N72+N(act_Rate)-IF(UPPER(TRIM(act_RateType&amp;""))="REPLACE",N(act_PriorRate),0),$N72))</f>
        <v/>
      </c>
      <c r="P72" s="17">
        <f>IF($A72="","",N(Items!G72)*$N72)</f>
        <v/>
      </c>
      <c r="Q72" s="17">
        <f>IF($A72="","",N(Items!G72)*$O72)</f>
        <v/>
      </c>
      <c r="R72" s="17">
        <f>IF($A72="","",$Q72-$P72)</f>
        <v/>
      </c>
      <c r="S72" s="17">
        <f>IF($A72="","",N(Items!J72)+$R72)</f>
        <v/>
      </c>
      <c r="T72" s="16">
        <f>IF($A72="","",IF(N(Items!K72)=0,"",(N(Items!K72)-N(Items!J72))/N(Items!K72)))</f>
        <v/>
      </c>
      <c r="U72" s="16">
        <f>IF($A72="","",IF(N(Items!K72)=0,"",(N(Items!K72)-$S72)/N(Items!K72)))</f>
        <v/>
      </c>
      <c r="V72" s="16">
        <f>IF(OR($T72="",$U72=""),"",$U72-$T72)</f>
        <v/>
      </c>
      <c r="W72" s="18">
        <f>IF($A72="","",N(Items!H72))</f>
        <v/>
      </c>
      <c r="X72" s="19">
        <f>IF($A72="","",$R72*$W72)</f>
        <v/>
      </c>
      <c r="Y72" s="19">
        <f>IF($A72="","",N(Items!K72)*$W72)</f>
        <v/>
      </c>
      <c r="Z72" s="19">
        <f>IF($A72="","",(N(Items!K72)-N(Items!J72))*$W72)</f>
        <v/>
      </c>
      <c r="AA72" s="19">
        <f>IF($A72="","",$Z72-$X72)</f>
        <v/>
      </c>
      <c r="AB72" s="10">
        <f>IF($A72="","",IF(TRIM(Items!C72&amp;"")="","CHECK: import country missing",IF(OR(LEN($C72)&lt;&gt;10,ISERROR(VALUE($C72))),"CHECK: HTS must be 10 digits",IF(LEN($E72)&lt;&gt;2,"CHECK: origin code missing or not 2 letters",IF(OR(Items!G72="",Items!I72="",Items!J72=""),"CHECK: value, rate or cost missing",IF(ISNUMBER(Items!G72)*ISNUMBER(Items!I72)*ISNUMBER(Items!J72)=0,"CHECK: text in a number column",IF(AND($L72="Y",UPPER(TRIM(act_RateType&amp;""))="REPLACE",$N72&lt;N(act_PriorRate)),"CHECK: current rate is below the rate being replaced",IF(AND($L72="Y",$W72=0),"NOTE: in scope, no volume","OK"))))))))</f>
        <v/>
      </c>
      <c r="AC72" s="20">
        <f>IF($A72="","",IF(AND($L72="Y",$X72&lt;&gt;0),ABS($X72)+ROW()/1000000000,""))</f>
        <v/>
      </c>
    </row>
    <row r="73">
      <c r="A73" s="10">
        <f>IF(TRIM(Items!A73&amp;"")="","",TRIM(Items!A73&amp;""))</f>
        <v/>
      </c>
      <c r="B73" s="10">
        <f>IF($A73="","",Items!B73&amp;"")</f>
        <v/>
      </c>
      <c r="C73" s="10">
        <f>IF($A73="","",SUBSTITUTE(SUBSTITUTE(SUBSTITUTE(TRIM(Items!D73&amp;""),".","")," ",""),"-",""))</f>
        <v/>
      </c>
      <c r="D73" s="10">
        <f>IF($A73="","",LEFT($C73,2))</f>
        <v/>
      </c>
      <c r="E73" s="10">
        <f>IF($A73="","",UPPER(TRIM(Items!E73&amp;"")))</f>
        <v/>
      </c>
      <c r="F73" s="10">
        <f>IF($A73="","",IF(UPPER(TRIM(Items!C73&amp;""))=UPPER(TRIM(act_Country&amp;"")),"Y","N"))</f>
        <v/>
      </c>
      <c r="G73" s="10">
        <f>IF($A73="","",IF(SUMPRODUCT((scope_HTS&lt;&gt;"")*(LEFT($C73,LEN(scope_HTS))=scope_HTS))&gt;0,"Y","N"))</f>
        <v/>
      </c>
      <c r="H73" s="10">
        <f>IF($A73="","",IF(SUMPRODUCT((excl_HTS&lt;&gt;"")*(LEFT($C73,LEN(excl_HTS))=excl_HTS))&gt;0,"Y","N"))</f>
        <v/>
      </c>
      <c r="I73" s="10">
        <f>IF($A73="","",IF($E73="","N",IF(COUNTIF(scope_COO,$E73)&gt;0,"Y","N")))</f>
        <v/>
      </c>
      <c r="J73" s="10">
        <f>IF($A73="","",IF(AND(UPPER(TRIM(act_USMCAExempt&amp;""))="Y",UPPER(TRIM(Items!F73&amp;""))="Y"),"Y","N"))</f>
        <v/>
      </c>
      <c r="K73" s="10">
        <f>IF($A73="","",IFERROR(UPPER(TRIM(INDEX(det_Status,MATCH($A73,det_Item,0))&amp;"")),""))</f>
        <v/>
      </c>
      <c r="L73" s="10">
        <f>IF($A73="","",IF($K73="IN","Y",IF($K73="OUT","N",IF(AND($F73="Y",$G73="Y",$H73="N",$I73="Y",$J73="N"),"Y","N"))))</f>
        <v/>
      </c>
      <c r="M73" s="10">
        <f>IF($A73="","",IF($K73="IN","In: Research determination",IF($K73="OUT","Out: Research determination",IF($F73="N","Out: different import country",IF($G73="N","Out: HTS not on scope list",IF($H73="Y","Out: HTS on exclusion list",IF($I73="N","Out: origin not on scope list",IF($J73="Y","Out: USMCA-qualifying, exempt","In: matches scope rules"))))))))</f>
        <v/>
      </c>
      <c r="N73" s="16">
        <f>IF($A73="","",N(Items!I73))</f>
        <v/>
      </c>
      <c r="O73" s="16">
        <f>IF($A73="","",IF($L73="Y",$N73+N(act_Rate)-IF(UPPER(TRIM(act_RateType&amp;""))="REPLACE",N(act_PriorRate),0),$N73))</f>
        <v/>
      </c>
      <c r="P73" s="17">
        <f>IF($A73="","",N(Items!G73)*$N73)</f>
        <v/>
      </c>
      <c r="Q73" s="17">
        <f>IF($A73="","",N(Items!G73)*$O73)</f>
        <v/>
      </c>
      <c r="R73" s="17">
        <f>IF($A73="","",$Q73-$P73)</f>
        <v/>
      </c>
      <c r="S73" s="17">
        <f>IF($A73="","",N(Items!J73)+$R73)</f>
        <v/>
      </c>
      <c r="T73" s="16">
        <f>IF($A73="","",IF(N(Items!K73)=0,"",(N(Items!K73)-N(Items!J73))/N(Items!K73)))</f>
        <v/>
      </c>
      <c r="U73" s="16">
        <f>IF($A73="","",IF(N(Items!K73)=0,"",(N(Items!K73)-$S73)/N(Items!K73)))</f>
        <v/>
      </c>
      <c r="V73" s="16">
        <f>IF(OR($T73="",$U73=""),"",$U73-$T73)</f>
        <v/>
      </c>
      <c r="W73" s="18">
        <f>IF($A73="","",N(Items!H73))</f>
        <v/>
      </c>
      <c r="X73" s="19">
        <f>IF($A73="","",$R73*$W73)</f>
        <v/>
      </c>
      <c r="Y73" s="19">
        <f>IF($A73="","",N(Items!K73)*$W73)</f>
        <v/>
      </c>
      <c r="Z73" s="19">
        <f>IF($A73="","",(N(Items!K73)-N(Items!J73))*$W73)</f>
        <v/>
      </c>
      <c r="AA73" s="19">
        <f>IF($A73="","",$Z73-$X73)</f>
        <v/>
      </c>
      <c r="AB73" s="10">
        <f>IF($A73="","",IF(TRIM(Items!C73&amp;"")="","CHECK: import country missing",IF(OR(LEN($C73)&lt;&gt;10,ISERROR(VALUE($C73))),"CHECK: HTS must be 10 digits",IF(LEN($E73)&lt;&gt;2,"CHECK: origin code missing or not 2 letters",IF(OR(Items!G73="",Items!I73="",Items!J73=""),"CHECK: value, rate or cost missing",IF(ISNUMBER(Items!G73)*ISNUMBER(Items!I73)*ISNUMBER(Items!J73)=0,"CHECK: text in a number column",IF(AND($L73="Y",UPPER(TRIM(act_RateType&amp;""))="REPLACE",$N73&lt;N(act_PriorRate)),"CHECK: current rate is below the rate being replaced",IF(AND($L73="Y",$W73=0),"NOTE: in scope, no volume","OK"))))))))</f>
        <v/>
      </c>
      <c r="AC73" s="20">
        <f>IF($A73="","",IF(AND($L73="Y",$X73&lt;&gt;0),ABS($X73)+ROW()/1000000000,""))</f>
        <v/>
      </c>
    </row>
    <row r="74">
      <c r="A74" s="10">
        <f>IF(TRIM(Items!A74&amp;"")="","",TRIM(Items!A74&amp;""))</f>
        <v/>
      </c>
      <c r="B74" s="10">
        <f>IF($A74="","",Items!B74&amp;"")</f>
        <v/>
      </c>
      <c r="C74" s="10">
        <f>IF($A74="","",SUBSTITUTE(SUBSTITUTE(SUBSTITUTE(TRIM(Items!D74&amp;""),".","")," ",""),"-",""))</f>
        <v/>
      </c>
      <c r="D74" s="10">
        <f>IF($A74="","",LEFT($C74,2))</f>
        <v/>
      </c>
      <c r="E74" s="10">
        <f>IF($A74="","",UPPER(TRIM(Items!E74&amp;"")))</f>
        <v/>
      </c>
      <c r="F74" s="10">
        <f>IF($A74="","",IF(UPPER(TRIM(Items!C74&amp;""))=UPPER(TRIM(act_Country&amp;"")),"Y","N"))</f>
        <v/>
      </c>
      <c r="G74" s="10">
        <f>IF($A74="","",IF(SUMPRODUCT((scope_HTS&lt;&gt;"")*(LEFT($C74,LEN(scope_HTS))=scope_HTS))&gt;0,"Y","N"))</f>
        <v/>
      </c>
      <c r="H74" s="10">
        <f>IF($A74="","",IF(SUMPRODUCT((excl_HTS&lt;&gt;"")*(LEFT($C74,LEN(excl_HTS))=excl_HTS))&gt;0,"Y","N"))</f>
        <v/>
      </c>
      <c r="I74" s="10">
        <f>IF($A74="","",IF($E74="","N",IF(COUNTIF(scope_COO,$E74)&gt;0,"Y","N")))</f>
        <v/>
      </c>
      <c r="J74" s="10">
        <f>IF($A74="","",IF(AND(UPPER(TRIM(act_USMCAExempt&amp;""))="Y",UPPER(TRIM(Items!F74&amp;""))="Y"),"Y","N"))</f>
        <v/>
      </c>
      <c r="K74" s="10">
        <f>IF($A74="","",IFERROR(UPPER(TRIM(INDEX(det_Status,MATCH($A74,det_Item,0))&amp;"")),""))</f>
        <v/>
      </c>
      <c r="L74" s="10">
        <f>IF($A74="","",IF($K74="IN","Y",IF($K74="OUT","N",IF(AND($F74="Y",$G74="Y",$H74="N",$I74="Y",$J74="N"),"Y","N"))))</f>
        <v/>
      </c>
      <c r="M74" s="10">
        <f>IF($A74="","",IF($K74="IN","In: Research determination",IF($K74="OUT","Out: Research determination",IF($F74="N","Out: different import country",IF($G74="N","Out: HTS not on scope list",IF($H74="Y","Out: HTS on exclusion list",IF($I74="N","Out: origin not on scope list",IF($J74="Y","Out: USMCA-qualifying, exempt","In: matches scope rules"))))))))</f>
        <v/>
      </c>
      <c r="N74" s="16">
        <f>IF($A74="","",N(Items!I74))</f>
        <v/>
      </c>
      <c r="O74" s="16">
        <f>IF($A74="","",IF($L74="Y",$N74+N(act_Rate)-IF(UPPER(TRIM(act_RateType&amp;""))="REPLACE",N(act_PriorRate),0),$N74))</f>
        <v/>
      </c>
      <c r="P74" s="17">
        <f>IF($A74="","",N(Items!G74)*$N74)</f>
        <v/>
      </c>
      <c r="Q74" s="17">
        <f>IF($A74="","",N(Items!G74)*$O74)</f>
        <v/>
      </c>
      <c r="R74" s="17">
        <f>IF($A74="","",$Q74-$P74)</f>
        <v/>
      </c>
      <c r="S74" s="17">
        <f>IF($A74="","",N(Items!J74)+$R74)</f>
        <v/>
      </c>
      <c r="T74" s="16">
        <f>IF($A74="","",IF(N(Items!K74)=0,"",(N(Items!K74)-N(Items!J74))/N(Items!K74)))</f>
        <v/>
      </c>
      <c r="U74" s="16">
        <f>IF($A74="","",IF(N(Items!K74)=0,"",(N(Items!K74)-$S74)/N(Items!K74)))</f>
        <v/>
      </c>
      <c r="V74" s="16">
        <f>IF(OR($T74="",$U74=""),"",$U74-$T74)</f>
        <v/>
      </c>
      <c r="W74" s="18">
        <f>IF($A74="","",N(Items!H74))</f>
        <v/>
      </c>
      <c r="X74" s="19">
        <f>IF($A74="","",$R74*$W74)</f>
        <v/>
      </c>
      <c r="Y74" s="19">
        <f>IF($A74="","",N(Items!K74)*$W74)</f>
        <v/>
      </c>
      <c r="Z74" s="19">
        <f>IF($A74="","",(N(Items!K74)-N(Items!J74))*$W74)</f>
        <v/>
      </c>
      <c r="AA74" s="19">
        <f>IF($A74="","",$Z74-$X74)</f>
        <v/>
      </c>
      <c r="AB74" s="10">
        <f>IF($A74="","",IF(TRIM(Items!C74&amp;"")="","CHECK: import country missing",IF(OR(LEN($C74)&lt;&gt;10,ISERROR(VALUE($C74))),"CHECK: HTS must be 10 digits",IF(LEN($E74)&lt;&gt;2,"CHECK: origin code missing or not 2 letters",IF(OR(Items!G74="",Items!I74="",Items!J74=""),"CHECK: value, rate or cost missing",IF(ISNUMBER(Items!G74)*ISNUMBER(Items!I74)*ISNUMBER(Items!J74)=0,"CHECK: text in a number column",IF(AND($L74="Y",UPPER(TRIM(act_RateType&amp;""))="REPLACE",$N74&lt;N(act_PriorRate)),"CHECK: current rate is below the rate being replaced",IF(AND($L74="Y",$W74=0),"NOTE: in scope, no volume","OK"))))))))</f>
        <v/>
      </c>
      <c r="AC74" s="20">
        <f>IF($A74="","",IF(AND($L74="Y",$X74&lt;&gt;0),ABS($X74)+ROW()/1000000000,""))</f>
        <v/>
      </c>
    </row>
    <row r="75">
      <c r="A75" s="10">
        <f>IF(TRIM(Items!A75&amp;"")="","",TRIM(Items!A75&amp;""))</f>
        <v/>
      </c>
      <c r="B75" s="10">
        <f>IF($A75="","",Items!B75&amp;"")</f>
        <v/>
      </c>
      <c r="C75" s="10">
        <f>IF($A75="","",SUBSTITUTE(SUBSTITUTE(SUBSTITUTE(TRIM(Items!D75&amp;""),".","")," ",""),"-",""))</f>
        <v/>
      </c>
      <c r="D75" s="10">
        <f>IF($A75="","",LEFT($C75,2))</f>
        <v/>
      </c>
      <c r="E75" s="10">
        <f>IF($A75="","",UPPER(TRIM(Items!E75&amp;"")))</f>
        <v/>
      </c>
      <c r="F75" s="10">
        <f>IF($A75="","",IF(UPPER(TRIM(Items!C75&amp;""))=UPPER(TRIM(act_Country&amp;"")),"Y","N"))</f>
        <v/>
      </c>
      <c r="G75" s="10">
        <f>IF($A75="","",IF(SUMPRODUCT((scope_HTS&lt;&gt;"")*(LEFT($C75,LEN(scope_HTS))=scope_HTS))&gt;0,"Y","N"))</f>
        <v/>
      </c>
      <c r="H75" s="10">
        <f>IF($A75="","",IF(SUMPRODUCT((excl_HTS&lt;&gt;"")*(LEFT($C75,LEN(excl_HTS))=excl_HTS))&gt;0,"Y","N"))</f>
        <v/>
      </c>
      <c r="I75" s="10">
        <f>IF($A75="","",IF($E75="","N",IF(COUNTIF(scope_COO,$E75)&gt;0,"Y","N")))</f>
        <v/>
      </c>
      <c r="J75" s="10">
        <f>IF($A75="","",IF(AND(UPPER(TRIM(act_USMCAExempt&amp;""))="Y",UPPER(TRIM(Items!F75&amp;""))="Y"),"Y","N"))</f>
        <v/>
      </c>
      <c r="K75" s="10">
        <f>IF($A75="","",IFERROR(UPPER(TRIM(INDEX(det_Status,MATCH($A75,det_Item,0))&amp;"")),""))</f>
        <v/>
      </c>
      <c r="L75" s="10">
        <f>IF($A75="","",IF($K75="IN","Y",IF($K75="OUT","N",IF(AND($F75="Y",$G75="Y",$H75="N",$I75="Y",$J75="N"),"Y","N"))))</f>
        <v/>
      </c>
      <c r="M75" s="10">
        <f>IF($A75="","",IF($K75="IN","In: Research determination",IF($K75="OUT","Out: Research determination",IF($F75="N","Out: different import country",IF($G75="N","Out: HTS not on scope list",IF($H75="Y","Out: HTS on exclusion list",IF($I75="N","Out: origin not on scope list",IF($J75="Y","Out: USMCA-qualifying, exempt","In: matches scope rules"))))))))</f>
        <v/>
      </c>
      <c r="N75" s="16">
        <f>IF($A75="","",N(Items!I75))</f>
        <v/>
      </c>
      <c r="O75" s="16">
        <f>IF($A75="","",IF($L75="Y",$N75+N(act_Rate)-IF(UPPER(TRIM(act_RateType&amp;""))="REPLACE",N(act_PriorRate),0),$N75))</f>
        <v/>
      </c>
      <c r="P75" s="17">
        <f>IF($A75="","",N(Items!G75)*$N75)</f>
        <v/>
      </c>
      <c r="Q75" s="17">
        <f>IF($A75="","",N(Items!G75)*$O75)</f>
        <v/>
      </c>
      <c r="R75" s="17">
        <f>IF($A75="","",$Q75-$P75)</f>
        <v/>
      </c>
      <c r="S75" s="17">
        <f>IF($A75="","",N(Items!J75)+$R75)</f>
        <v/>
      </c>
      <c r="T75" s="16">
        <f>IF($A75="","",IF(N(Items!K75)=0,"",(N(Items!K75)-N(Items!J75))/N(Items!K75)))</f>
        <v/>
      </c>
      <c r="U75" s="16">
        <f>IF($A75="","",IF(N(Items!K75)=0,"",(N(Items!K75)-$S75)/N(Items!K75)))</f>
        <v/>
      </c>
      <c r="V75" s="16">
        <f>IF(OR($T75="",$U75=""),"",$U75-$T75)</f>
        <v/>
      </c>
      <c r="W75" s="18">
        <f>IF($A75="","",N(Items!H75))</f>
        <v/>
      </c>
      <c r="X75" s="19">
        <f>IF($A75="","",$R75*$W75)</f>
        <v/>
      </c>
      <c r="Y75" s="19">
        <f>IF($A75="","",N(Items!K75)*$W75)</f>
        <v/>
      </c>
      <c r="Z75" s="19">
        <f>IF($A75="","",(N(Items!K75)-N(Items!J75))*$W75)</f>
        <v/>
      </c>
      <c r="AA75" s="19">
        <f>IF($A75="","",$Z75-$X75)</f>
        <v/>
      </c>
      <c r="AB75" s="10">
        <f>IF($A75="","",IF(TRIM(Items!C75&amp;"")="","CHECK: import country missing",IF(OR(LEN($C75)&lt;&gt;10,ISERROR(VALUE($C75))),"CHECK: HTS must be 10 digits",IF(LEN($E75)&lt;&gt;2,"CHECK: origin code missing or not 2 letters",IF(OR(Items!G75="",Items!I75="",Items!J75=""),"CHECK: value, rate or cost missing",IF(ISNUMBER(Items!G75)*ISNUMBER(Items!I75)*ISNUMBER(Items!J75)=0,"CHECK: text in a number column",IF(AND($L75="Y",UPPER(TRIM(act_RateType&amp;""))="REPLACE",$N75&lt;N(act_PriorRate)),"CHECK: current rate is below the rate being replaced",IF(AND($L75="Y",$W75=0),"NOTE: in scope, no volume","OK"))))))))</f>
        <v/>
      </c>
      <c r="AC75" s="20">
        <f>IF($A75="","",IF(AND($L75="Y",$X75&lt;&gt;0),ABS($X75)+ROW()/1000000000,""))</f>
        <v/>
      </c>
    </row>
    <row r="76">
      <c r="A76" s="10">
        <f>IF(TRIM(Items!A76&amp;"")="","",TRIM(Items!A76&amp;""))</f>
        <v/>
      </c>
      <c r="B76" s="10">
        <f>IF($A76="","",Items!B76&amp;"")</f>
        <v/>
      </c>
      <c r="C76" s="10">
        <f>IF($A76="","",SUBSTITUTE(SUBSTITUTE(SUBSTITUTE(TRIM(Items!D76&amp;""),".","")," ",""),"-",""))</f>
        <v/>
      </c>
      <c r="D76" s="10">
        <f>IF($A76="","",LEFT($C76,2))</f>
        <v/>
      </c>
      <c r="E76" s="10">
        <f>IF($A76="","",UPPER(TRIM(Items!E76&amp;"")))</f>
        <v/>
      </c>
      <c r="F76" s="10">
        <f>IF($A76="","",IF(UPPER(TRIM(Items!C76&amp;""))=UPPER(TRIM(act_Country&amp;"")),"Y","N"))</f>
        <v/>
      </c>
      <c r="G76" s="10">
        <f>IF($A76="","",IF(SUMPRODUCT((scope_HTS&lt;&gt;"")*(LEFT($C76,LEN(scope_HTS))=scope_HTS))&gt;0,"Y","N"))</f>
        <v/>
      </c>
      <c r="H76" s="10">
        <f>IF($A76="","",IF(SUMPRODUCT((excl_HTS&lt;&gt;"")*(LEFT($C76,LEN(excl_HTS))=excl_HTS))&gt;0,"Y","N"))</f>
        <v/>
      </c>
      <c r="I76" s="10">
        <f>IF($A76="","",IF($E76="","N",IF(COUNTIF(scope_COO,$E76)&gt;0,"Y","N")))</f>
        <v/>
      </c>
      <c r="J76" s="10">
        <f>IF($A76="","",IF(AND(UPPER(TRIM(act_USMCAExempt&amp;""))="Y",UPPER(TRIM(Items!F76&amp;""))="Y"),"Y","N"))</f>
        <v/>
      </c>
      <c r="K76" s="10">
        <f>IF($A76="","",IFERROR(UPPER(TRIM(INDEX(det_Status,MATCH($A76,det_Item,0))&amp;"")),""))</f>
        <v/>
      </c>
      <c r="L76" s="10">
        <f>IF($A76="","",IF($K76="IN","Y",IF($K76="OUT","N",IF(AND($F76="Y",$G76="Y",$H76="N",$I76="Y",$J76="N"),"Y","N"))))</f>
        <v/>
      </c>
      <c r="M76" s="10">
        <f>IF($A76="","",IF($K76="IN","In: Research determination",IF($K76="OUT","Out: Research determination",IF($F76="N","Out: different import country",IF($G76="N","Out: HTS not on scope list",IF($H76="Y","Out: HTS on exclusion list",IF($I76="N","Out: origin not on scope list",IF($J76="Y","Out: USMCA-qualifying, exempt","In: matches scope rules"))))))))</f>
        <v/>
      </c>
      <c r="N76" s="16">
        <f>IF($A76="","",N(Items!I76))</f>
        <v/>
      </c>
      <c r="O76" s="16">
        <f>IF($A76="","",IF($L76="Y",$N76+N(act_Rate)-IF(UPPER(TRIM(act_RateType&amp;""))="REPLACE",N(act_PriorRate),0),$N76))</f>
        <v/>
      </c>
      <c r="P76" s="17">
        <f>IF($A76="","",N(Items!G76)*$N76)</f>
        <v/>
      </c>
      <c r="Q76" s="17">
        <f>IF($A76="","",N(Items!G76)*$O76)</f>
        <v/>
      </c>
      <c r="R76" s="17">
        <f>IF($A76="","",$Q76-$P76)</f>
        <v/>
      </c>
      <c r="S76" s="17">
        <f>IF($A76="","",N(Items!J76)+$R76)</f>
        <v/>
      </c>
      <c r="T76" s="16">
        <f>IF($A76="","",IF(N(Items!K76)=0,"",(N(Items!K76)-N(Items!J76))/N(Items!K76)))</f>
        <v/>
      </c>
      <c r="U76" s="16">
        <f>IF($A76="","",IF(N(Items!K76)=0,"",(N(Items!K76)-$S76)/N(Items!K76)))</f>
        <v/>
      </c>
      <c r="V76" s="16">
        <f>IF(OR($T76="",$U76=""),"",$U76-$T76)</f>
        <v/>
      </c>
      <c r="W76" s="18">
        <f>IF($A76="","",N(Items!H76))</f>
        <v/>
      </c>
      <c r="X76" s="19">
        <f>IF($A76="","",$R76*$W76)</f>
        <v/>
      </c>
      <c r="Y76" s="19">
        <f>IF($A76="","",N(Items!K76)*$W76)</f>
        <v/>
      </c>
      <c r="Z76" s="19">
        <f>IF($A76="","",(N(Items!K76)-N(Items!J76))*$W76)</f>
        <v/>
      </c>
      <c r="AA76" s="19">
        <f>IF($A76="","",$Z76-$X76)</f>
        <v/>
      </c>
      <c r="AB76" s="10">
        <f>IF($A76="","",IF(TRIM(Items!C76&amp;"")="","CHECK: import country missing",IF(OR(LEN($C76)&lt;&gt;10,ISERROR(VALUE($C76))),"CHECK: HTS must be 10 digits",IF(LEN($E76)&lt;&gt;2,"CHECK: origin code missing or not 2 letters",IF(OR(Items!G76="",Items!I76="",Items!J76=""),"CHECK: value, rate or cost missing",IF(ISNUMBER(Items!G76)*ISNUMBER(Items!I76)*ISNUMBER(Items!J76)=0,"CHECK: text in a number column",IF(AND($L76="Y",UPPER(TRIM(act_RateType&amp;""))="REPLACE",$N76&lt;N(act_PriorRate)),"CHECK: current rate is below the rate being replaced",IF(AND($L76="Y",$W76=0),"NOTE: in scope, no volume","OK"))))))))</f>
        <v/>
      </c>
      <c r="AC76" s="20">
        <f>IF($A76="","",IF(AND($L76="Y",$X76&lt;&gt;0),ABS($X76)+ROW()/1000000000,""))</f>
        <v/>
      </c>
    </row>
    <row r="77">
      <c r="A77" s="10">
        <f>IF(TRIM(Items!A77&amp;"")="","",TRIM(Items!A77&amp;""))</f>
        <v/>
      </c>
      <c r="B77" s="10">
        <f>IF($A77="","",Items!B77&amp;"")</f>
        <v/>
      </c>
      <c r="C77" s="10">
        <f>IF($A77="","",SUBSTITUTE(SUBSTITUTE(SUBSTITUTE(TRIM(Items!D77&amp;""),".","")," ",""),"-",""))</f>
        <v/>
      </c>
      <c r="D77" s="10">
        <f>IF($A77="","",LEFT($C77,2))</f>
        <v/>
      </c>
      <c r="E77" s="10">
        <f>IF($A77="","",UPPER(TRIM(Items!E77&amp;"")))</f>
        <v/>
      </c>
      <c r="F77" s="10">
        <f>IF($A77="","",IF(UPPER(TRIM(Items!C77&amp;""))=UPPER(TRIM(act_Country&amp;"")),"Y","N"))</f>
        <v/>
      </c>
      <c r="G77" s="10">
        <f>IF($A77="","",IF(SUMPRODUCT((scope_HTS&lt;&gt;"")*(LEFT($C77,LEN(scope_HTS))=scope_HTS))&gt;0,"Y","N"))</f>
        <v/>
      </c>
      <c r="H77" s="10">
        <f>IF($A77="","",IF(SUMPRODUCT((excl_HTS&lt;&gt;"")*(LEFT($C77,LEN(excl_HTS))=excl_HTS))&gt;0,"Y","N"))</f>
        <v/>
      </c>
      <c r="I77" s="10">
        <f>IF($A77="","",IF($E77="","N",IF(COUNTIF(scope_COO,$E77)&gt;0,"Y","N")))</f>
        <v/>
      </c>
      <c r="J77" s="10">
        <f>IF($A77="","",IF(AND(UPPER(TRIM(act_USMCAExempt&amp;""))="Y",UPPER(TRIM(Items!F77&amp;""))="Y"),"Y","N"))</f>
        <v/>
      </c>
      <c r="K77" s="10">
        <f>IF($A77="","",IFERROR(UPPER(TRIM(INDEX(det_Status,MATCH($A77,det_Item,0))&amp;"")),""))</f>
        <v/>
      </c>
      <c r="L77" s="10">
        <f>IF($A77="","",IF($K77="IN","Y",IF($K77="OUT","N",IF(AND($F77="Y",$G77="Y",$H77="N",$I77="Y",$J77="N"),"Y","N"))))</f>
        <v/>
      </c>
      <c r="M77" s="10">
        <f>IF($A77="","",IF($K77="IN","In: Research determination",IF($K77="OUT","Out: Research determination",IF($F77="N","Out: different import country",IF($G77="N","Out: HTS not on scope list",IF($H77="Y","Out: HTS on exclusion list",IF($I77="N","Out: origin not on scope list",IF($J77="Y","Out: USMCA-qualifying, exempt","In: matches scope rules"))))))))</f>
        <v/>
      </c>
      <c r="N77" s="16">
        <f>IF($A77="","",N(Items!I77))</f>
        <v/>
      </c>
      <c r="O77" s="16">
        <f>IF($A77="","",IF($L77="Y",$N77+N(act_Rate)-IF(UPPER(TRIM(act_RateType&amp;""))="REPLACE",N(act_PriorRate),0),$N77))</f>
        <v/>
      </c>
      <c r="P77" s="17">
        <f>IF($A77="","",N(Items!G77)*$N77)</f>
        <v/>
      </c>
      <c r="Q77" s="17">
        <f>IF($A77="","",N(Items!G77)*$O77)</f>
        <v/>
      </c>
      <c r="R77" s="17">
        <f>IF($A77="","",$Q77-$P77)</f>
        <v/>
      </c>
      <c r="S77" s="17">
        <f>IF($A77="","",N(Items!J77)+$R77)</f>
        <v/>
      </c>
      <c r="T77" s="16">
        <f>IF($A77="","",IF(N(Items!K77)=0,"",(N(Items!K77)-N(Items!J77))/N(Items!K77)))</f>
        <v/>
      </c>
      <c r="U77" s="16">
        <f>IF($A77="","",IF(N(Items!K77)=0,"",(N(Items!K77)-$S77)/N(Items!K77)))</f>
        <v/>
      </c>
      <c r="V77" s="16">
        <f>IF(OR($T77="",$U77=""),"",$U77-$T77)</f>
        <v/>
      </c>
      <c r="W77" s="18">
        <f>IF($A77="","",N(Items!H77))</f>
        <v/>
      </c>
      <c r="X77" s="19">
        <f>IF($A77="","",$R77*$W77)</f>
        <v/>
      </c>
      <c r="Y77" s="19">
        <f>IF($A77="","",N(Items!K77)*$W77)</f>
        <v/>
      </c>
      <c r="Z77" s="19">
        <f>IF($A77="","",(N(Items!K77)-N(Items!J77))*$W77)</f>
        <v/>
      </c>
      <c r="AA77" s="19">
        <f>IF($A77="","",$Z77-$X77)</f>
        <v/>
      </c>
      <c r="AB77" s="10">
        <f>IF($A77="","",IF(TRIM(Items!C77&amp;"")="","CHECK: import country missing",IF(OR(LEN($C77)&lt;&gt;10,ISERROR(VALUE($C77))),"CHECK: HTS must be 10 digits",IF(LEN($E77)&lt;&gt;2,"CHECK: origin code missing or not 2 letters",IF(OR(Items!G77="",Items!I77="",Items!J77=""),"CHECK: value, rate or cost missing",IF(ISNUMBER(Items!G77)*ISNUMBER(Items!I77)*ISNUMBER(Items!J77)=0,"CHECK: text in a number column",IF(AND($L77="Y",UPPER(TRIM(act_RateType&amp;""))="REPLACE",$N77&lt;N(act_PriorRate)),"CHECK: current rate is below the rate being replaced",IF(AND($L77="Y",$W77=0),"NOTE: in scope, no volume","OK"))))))))</f>
        <v/>
      </c>
      <c r="AC77" s="20">
        <f>IF($A77="","",IF(AND($L77="Y",$X77&lt;&gt;0),ABS($X77)+ROW()/1000000000,""))</f>
        <v/>
      </c>
    </row>
    <row r="78">
      <c r="A78" s="10">
        <f>IF(TRIM(Items!A78&amp;"")="","",TRIM(Items!A78&amp;""))</f>
        <v/>
      </c>
      <c r="B78" s="10">
        <f>IF($A78="","",Items!B78&amp;"")</f>
        <v/>
      </c>
      <c r="C78" s="10">
        <f>IF($A78="","",SUBSTITUTE(SUBSTITUTE(SUBSTITUTE(TRIM(Items!D78&amp;""),".","")," ",""),"-",""))</f>
        <v/>
      </c>
      <c r="D78" s="10">
        <f>IF($A78="","",LEFT($C78,2))</f>
        <v/>
      </c>
      <c r="E78" s="10">
        <f>IF($A78="","",UPPER(TRIM(Items!E78&amp;"")))</f>
        <v/>
      </c>
      <c r="F78" s="10">
        <f>IF($A78="","",IF(UPPER(TRIM(Items!C78&amp;""))=UPPER(TRIM(act_Country&amp;"")),"Y","N"))</f>
        <v/>
      </c>
      <c r="G78" s="10">
        <f>IF($A78="","",IF(SUMPRODUCT((scope_HTS&lt;&gt;"")*(LEFT($C78,LEN(scope_HTS))=scope_HTS))&gt;0,"Y","N"))</f>
        <v/>
      </c>
      <c r="H78" s="10">
        <f>IF($A78="","",IF(SUMPRODUCT((excl_HTS&lt;&gt;"")*(LEFT($C78,LEN(excl_HTS))=excl_HTS))&gt;0,"Y","N"))</f>
        <v/>
      </c>
      <c r="I78" s="10">
        <f>IF($A78="","",IF($E78="","N",IF(COUNTIF(scope_COO,$E78)&gt;0,"Y","N")))</f>
        <v/>
      </c>
      <c r="J78" s="10">
        <f>IF($A78="","",IF(AND(UPPER(TRIM(act_USMCAExempt&amp;""))="Y",UPPER(TRIM(Items!F78&amp;""))="Y"),"Y","N"))</f>
        <v/>
      </c>
      <c r="K78" s="10">
        <f>IF($A78="","",IFERROR(UPPER(TRIM(INDEX(det_Status,MATCH($A78,det_Item,0))&amp;"")),""))</f>
        <v/>
      </c>
      <c r="L78" s="10">
        <f>IF($A78="","",IF($K78="IN","Y",IF($K78="OUT","N",IF(AND($F78="Y",$G78="Y",$H78="N",$I78="Y",$J78="N"),"Y","N"))))</f>
        <v/>
      </c>
      <c r="M78" s="10">
        <f>IF($A78="","",IF($K78="IN","In: Research determination",IF($K78="OUT","Out: Research determination",IF($F78="N","Out: different import country",IF($G78="N","Out: HTS not on scope list",IF($H78="Y","Out: HTS on exclusion list",IF($I78="N","Out: origin not on scope list",IF($J78="Y","Out: USMCA-qualifying, exempt","In: matches scope rules"))))))))</f>
        <v/>
      </c>
      <c r="N78" s="16">
        <f>IF($A78="","",N(Items!I78))</f>
        <v/>
      </c>
      <c r="O78" s="16">
        <f>IF($A78="","",IF($L78="Y",$N78+N(act_Rate)-IF(UPPER(TRIM(act_RateType&amp;""))="REPLACE",N(act_PriorRate),0),$N78))</f>
        <v/>
      </c>
      <c r="P78" s="17">
        <f>IF($A78="","",N(Items!G78)*$N78)</f>
        <v/>
      </c>
      <c r="Q78" s="17">
        <f>IF($A78="","",N(Items!G78)*$O78)</f>
        <v/>
      </c>
      <c r="R78" s="17">
        <f>IF($A78="","",$Q78-$P78)</f>
        <v/>
      </c>
      <c r="S78" s="17">
        <f>IF($A78="","",N(Items!J78)+$R78)</f>
        <v/>
      </c>
      <c r="T78" s="16">
        <f>IF($A78="","",IF(N(Items!K78)=0,"",(N(Items!K78)-N(Items!J78))/N(Items!K78)))</f>
        <v/>
      </c>
      <c r="U78" s="16">
        <f>IF($A78="","",IF(N(Items!K78)=0,"",(N(Items!K78)-$S78)/N(Items!K78)))</f>
        <v/>
      </c>
      <c r="V78" s="16">
        <f>IF(OR($T78="",$U78=""),"",$U78-$T78)</f>
        <v/>
      </c>
      <c r="W78" s="18">
        <f>IF($A78="","",N(Items!H78))</f>
        <v/>
      </c>
      <c r="X78" s="19">
        <f>IF($A78="","",$R78*$W78)</f>
        <v/>
      </c>
      <c r="Y78" s="19">
        <f>IF($A78="","",N(Items!K78)*$W78)</f>
        <v/>
      </c>
      <c r="Z78" s="19">
        <f>IF($A78="","",(N(Items!K78)-N(Items!J78))*$W78)</f>
        <v/>
      </c>
      <c r="AA78" s="19">
        <f>IF($A78="","",$Z78-$X78)</f>
        <v/>
      </c>
      <c r="AB78" s="10">
        <f>IF($A78="","",IF(TRIM(Items!C78&amp;"")="","CHECK: import country missing",IF(OR(LEN($C78)&lt;&gt;10,ISERROR(VALUE($C78))),"CHECK: HTS must be 10 digits",IF(LEN($E78)&lt;&gt;2,"CHECK: origin code missing or not 2 letters",IF(OR(Items!G78="",Items!I78="",Items!J78=""),"CHECK: value, rate or cost missing",IF(ISNUMBER(Items!G78)*ISNUMBER(Items!I78)*ISNUMBER(Items!J78)=0,"CHECK: text in a number column",IF(AND($L78="Y",UPPER(TRIM(act_RateType&amp;""))="REPLACE",$N78&lt;N(act_PriorRate)),"CHECK: current rate is below the rate being replaced",IF(AND($L78="Y",$W78=0),"NOTE: in scope, no volume","OK"))))))))</f>
        <v/>
      </c>
      <c r="AC78" s="20">
        <f>IF($A78="","",IF(AND($L78="Y",$X78&lt;&gt;0),ABS($X78)+ROW()/1000000000,""))</f>
        <v/>
      </c>
    </row>
    <row r="79">
      <c r="A79" s="10">
        <f>IF(TRIM(Items!A79&amp;"")="","",TRIM(Items!A79&amp;""))</f>
        <v/>
      </c>
      <c r="B79" s="10">
        <f>IF($A79="","",Items!B79&amp;"")</f>
        <v/>
      </c>
      <c r="C79" s="10">
        <f>IF($A79="","",SUBSTITUTE(SUBSTITUTE(SUBSTITUTE(TRIM(Items!D79&amp;""),".","")," ",""),"-",""))</f>
        <v/>
      </c>
      <c r="D79" s="10">
        <f>IF($A79="","",LEFT($C79,2))</f>
        <v/>
      </c>
      <c r="E79" s="10">
        <f>IF($A79="","",UPPER(TRIM(Items!E79&amp;"")))</f>
        <v/>
      </c>
      <c r="F79" s="10">
        <f>IF($A79="","",IF(UPPER(TRIM(Items!C79&amp;""))=UPPER(TRIM(act_Country&amp;"")),"Y","N"))</f>
        <v/>
      </c>
      <c r="G79" s="10">
        <f>IF($A79="","",IF(SUMPRODUCT((scope_HTS&lt;&gt;"")*(LEFT($C79,LEN(scope_HTS))=scope_HTS))&gt;0,"Y","N"))</f>
        <v/>
      </c>
      <c r="H79" s="10">
        <f>IF($A79="","",IF(SUMPRODUCT((excl_HTS&lt;&gt;"")*(LEFT($C79,LEN(excl_HTS))=excl_HTS))&gt;0,"Y","N"))</f>
        <v/>
      </c>
      <c r="I79" s="10">
        <f>IF($A79="","",IF($E79="","N",IF(COUNTIF(scope_COO,$E79)&gt;0,"Y","N")))</f>
        <v/>
      </c>
      <c r="J79" s="10">
        <f>IF($A79="","",IF(AND(UPPER(TRIM(act_USMCAExempt&amp;""))="Y",UPPER(TRIM(Items!F79&amp;""))="Y"),"Y","N"))</f>
        <v/>
      </c>
      <c r="K79" s="10">
        <f>IF($A79="","",IFERROR(UPPER(TRIM(INDEX(det_Status,MATCH($A79,det_Item,0))&amp;"")),""))</f>
        <v/>
      </c>
      <c r="L79" s="10">
        <f>IF($A79="","",IF($K79="IN","Y",IF($K79="OUT","N",IF(AND($F79="Y",$G79="Y",$H79="N",$I79="Y",$J79="N"),"Y","N"))))</f>
        <v/>
      </c>
      <c r="M79" s="10">
        <f>IF($A79="","",IF($K79="IN","In: Research determination",IF($K79="OUT","Out: Research determination",IF($F79="N","Out: different import country",IF($G79="N","Out: HTS not on scope list",IF($H79="Y","Out: HTS on exclusion list",IF($I79="N","Out: origin not on scope list",IF($J79="Y","Out: USMCA-qualifying, exempt","In: matches scope rules"))))))))</f>
        <v/>
      </c>
      <c r="N79" s="16">
        <f>IF($A79="","",N(Items!I79))</f>
        <v/>
      </c>
      <c r="O79" s="16">
        <f>IF($A79="","",IF($L79="Y",$N79+N(act_Rate)-IF(UPPER(TRIM(act_RateType&amp;""))="REPLACE",N(act_PriorRate),0),$N79))</f>
        <v/>
      </c>
      <c r="P79" s="17">
        <f>IF($A79="","",N(Items!G79)*$N79)</f>
        <v/>
      </c>
      <c r="Q79" s="17">
        <f>IF($A79="","",N(Items!G79)*$O79)</f>
        <v/>
      </c>
      <c r="R79" s="17">
        <f>IF($A79="","",$Q79-$P79)</f>
        <v/>
      </c>
      <c r="S79" s="17">
        <f>IF($A79="","",N(Items!J79)+$R79)</f>
        <v/>
      </c>
      <c r="T79" s="16">
        <f>IF($A79="","",IF(N(Items!K79)=0,"",(N(Items!K79)-N(Items!J79))/N(Items!K79)))</f>
        <v/>
      </c>
      <c r="U79" s="16">
        <f>IF($A79="","",IF(N(Items!K79)=0,"",(N(Items!K79)-$S79)/N(Items!K79)))</f>
        <v/>
      </c>
      <c r="V79" s="16">
        <f>IF(OR($T79="",$U79=""),"",$U79-$T79)</f>
        <v/>
      </c>
      <c r="W79" s="18">
        <f>IF($A79="","",N(Items!H79))</f>
        <v/>
      </c>
      <c r="X79" s="19">
        <f>IF($A79="","",$R79*$W79)</f>
        <v/>
      </c>
      <c r="Y79" s="19">
        <f>IF($A79="","",N(Items!K79)*$W79)</f>
        <v/>
      </c>
      <c r="Z79" s="19">
        <f>IF($A79="","",(N(Items!K79)-N(Items!J79))*$W79)</f>
        <v/>
      </c>
      <c r="AA79" s="19">
        <f>IF($A79="","",$Z79-$X79)</f>
        <v/>
      </c>
      <c r="AB79" s="10">
        <f>IF($A79="","",IF(TRIM(Items!C79&amp;"")="","CHECK: import country missing",IF(OR(LEN($C79)&lt;&gt;10,ISERROR(VALUE($C79))),"CHECK: HTS must be 10 digits",IF(LEN($E79)&lt;&gt;2,"CHECK: origin code missing or not 2 letters",IF(OR(Items!G79="",Items!I79="",Items!J79=""),"CHECK: value, rate or cost missing",IF(ISNUMBER(Items!G79)*ISNUMBER(Items!I79)*ISNUMBER(Items!J79)=0,"CHECK: text in a number column",IF(AND($L79="Y",UPPER(TRIM(act_RateType&amp;""))="REPLACE",$N79&lt;N(act_PriorRate)),"CHECK: current rate is below the rate being replaced",IF(AND($L79="Y",$W79=0),"NOTE: in scope, no volume","OK"))))))))</f>
        <v/>
      </c>
      <c r="AC79" s="20">
        <f>IF($A79="","",IF(AND($L79="Y",$X79&lt;&gt;0),ABS($X79)+ROW()/1000000000,""))</f>
        <v/>
      </c>
    </row>
    <row r="80">
      <c r="A80" s="10">
        <f>IF(TRIM(Items!A80&amp;"")="","",TRIM(Items!A80&amp;""))</f>
        <v/>
      </c>
      <c r="B80" s="10">
        <f>IF($A80="","",Items!B80&amp;"")</f>
        <v/>
      </c>
      <c r="C80" s="10">
        <f>IF($A80="","",SUBSTITUTE(SUBSTITUTE(SUBSTITUTE(TRIM(Items!D80&amp;""),".","")," ",""),"-",""))</f>
        <v/>
      </c>
      <c r="D80" s="10">
        <f>IF($A80="","",LEFT($C80,2))</f>
        <v/>
      </c>
      <c r="E80" s="10">
        <f>IF($A80="","",UPPER(TRIM(Items!E80&amp;"")))</f>
        <v/>
      </c>
      <c r="F80" s="10">
        <f>IF($A80="","",IF(UPPER(TRIM(Items!C80&amp;""))=UPPER(TRIM(act_Country&amp;"")),"Y","N"))</f>
        <v/>
      </c>
      <c r="G80" s="10">
        <f>IF($A80="","",IF(SUMPRODUCT((scope_HTS&lt;&gt;"")*(LEFT($C80,LEN(scope_HTS))=scope_HTS))&gt;0,"Y","N"))</f>
        <v/>
      </c>
      <c r="H80" s="10">
        <f>IF($A80="","",IF(SUMPRODUCT((excl_HTS&lt;&gt;"")*(LEFT($C80,LEN(excl_HTS))=excl_HTS))&gt;0,"Y","N"))</f>
        <v/>
      </c>
      <c r="I80" s="10">
        <f>IF($A80="","",IF($E80="","N",IF(COUNTIF(scope_COO,$E80)&gt;0,"Y","N")))</f>
        <v/>
      </c>
      <c r="J80" s="10">
        <f>IF($A80="","",IF(AND(UPPER(TRIM(act_USMCAExempt&amp;""))="Y",UPPER(TRIM(Items!F80&amp;""))="Y"),"Y","N"))</f>
        <v/>
      </c>
      <c r="K80" s="10">
        <f>IF($A80="","",IFERROR(UPPER(TRIM(INDEX(det_Status,MATCH($A80,det_Item,0))&amp;"")),""))</f>
        <v/>
      </c>
      <c r="L80" s="10">
        <f>IF($A80="","",IF($K80="IN","Y",IF($K80="OUT","N",IF(AND($F80="Y",$G80="Y",$H80="N",$I80="Y",$J80="N"),"Y","N"))))</f>
        <v/>
      </c>
      <c r="M80" s="10">
        <f>IF($A80="","",IF($K80="IN","In: Research determination",IF($K80="OUT","Out: Research determination",IF($F80="N","Out: different import country",IF($G80="N","Out: HTS not on scope list",IF($H80="Y","Out: HTS on exclusion list",IF($I80="N","Out: origin not on scope list",IF($J80="Y","Out: USMCA-qualifying, exempt","In: matches scope rules"))))))))</f>
        <v/>
      </c>
      <c r="N80" s="16">
        <f>IF($A80="","",N(Items!I80))</f>
        <v/>
      </c>
      <c r="O80" s="16">
        <f>IF($A80="","",IF($L80="Y",$N80+N(act_Rate)-IF(UPPER(TRIM(act_RateType&amp;""))="REPLACE",N(act_PriorRate),0),$N80))</f>
        <v/>
      </c>
      <c r="P80" s="17">
        <f>IF($A80="","",N(Items!G80)*$N80)</f>
        <v/>
      </c>
      <c r="Q80" s="17">
        <f>IF($A80="","",N(Items!G80)*$O80)</f>
        <v/>
      </c>
      <c r="R80" s="17">
        <f>IF($A80="","",$Q80-$P80)</f>
        <v/>
      </c>
      <c r="S80" s="17">
        <f>IF($A80="","",N(Items!J80)+$R80)</f>
        <v/>
      </c>
      <c r="T80" s="16">
        <f>IF($A80="","",IF(N(Items!K80)=0,"",(N(Items!K80)-N(Items!J80))/N(Items!K80)))</f>
        <v/>
      </c>
      <c r="U80" s="16">
        <f>IF($A80="","",IF(N(Items!K80)=0,"",(N(Items!K80)-$S80)/N(Items!K80)))</f>
        <v/>
      </c>
      <c r="V80" s="16">
        <f>IF(OR($T80="",$U80=""),"",$U80-$T80)</f>
        <v/>
      </c>
      <c r="W80" s="18">
        <f>IF($A80="","",N(Items!H80))</f>
        <v/>
      </c>
      <c r="X80" s="19">
        <f>IF($A80="","",$R80*$W80)</f>
        <v/>
      </c>
      <c r="Y80" s="19">
        <f>IF($A80="","",N(Items!K80)*$W80)</f>
        <v/>
      </c>
      <c r="Z80" s="19">
        <f>IF($A80="","",(N(Items!K80)-N(Items!J80))*$W80)</f>
        <v/>
      </c>
      <c r="AA80" s="19">
        <f>IF($A80="","",$Z80-$X80)</f>
        <v/>
      </c>
      <c r="AB80" s="10">
        <f>IF($A80="","",IF(TRIM(Items!C80&amp;"")="","CHECK: import country missing",IF(OR(LEN($C80)&lt;&gt;10,ISERROR(VALUE($C80))),"CHECK: HTS must be 10 digits",IF(LEN($E80)&lt;&gt;2,"CHECK: origin code missing or not 2 letters",IF(OR(Items!G80="",Items!I80="",Items!J80=""),"CHECK: value, rate or cost missing",IF(ISNUMBER(Items!G80)*ISNUMBER(Items!I80)*ISNUMBER(Items!J80)=0,"CHECK: text in a number column",IF(AND($L80="Y",UPPER(TRIM(act_RateType&amp;""))="REPLACE",$N80&lt;N(act_PriorRate)),"CHECK: current rate is below the rate being replaced",IF(AND($L80="Y",$W80=0),"NOTE: in scope, no volume","OK"))))))))</f>
        <v/>
      </c>
      <c r="AC80" s="20">
        <f>IF($A80="","",IF(AND($L80="Y",$X80&lt;&gt;0),ABS($X80)+ROW()/1000000000,""))</f>
        <v/>
      </c>
    </row>
    <row r="81">
      <c r="A81" s="10">
        <f>IF(TRIM(Items!A81&amp;"")="","",TRIM(Items!A81&amp;""))</f>
        <v/>
      </c>
      <c r="B81" s="10">
        <f>IF($A81="","",Items!B81&amp;"")</f>
        <v/>
      </c>
      <c r="C81" s="10">
        <f>IF($A81="","",SUBSTITUTE(SUBSTITUTE(SUBSTITUTE(TRIM(Items!D81&amp;""),".","")," ",""),"-",""))</f>
        <v/>
      </c>
      <c r="D81" s="10">
        <f>IF($A81="","",LEFT($C81,2))</f>
        <v/>
      </c>
      <c r="E81" s="10">
        <f>IF($A81="","",UPPER(TRIM(Items!E81&amp;"")))</f>
        <v/>
      </c>
      <c r="F81" s="10">
        <f>IF($A81="","",IF(UPPER(TRIM(Items!C81&amp;""))=UPPER(TRIM(act_Country&amp;"")),"Y","N"))</f>
        <v/>
      </c>
      <c r="G81" s="10">
        <f>IF($A81="","",IF(SUMPRODUCT((scope_HTS&lt;&gt;"")*(LEFT($C81,LEN(scope_HTS))=scope_HTS))&gt;0,"Y","N"))</f>
        <v/>
      </c>
      <c r="H81" s="10">
        <f>IF($A81="","",IF(SUMPRODUCT((excl_HTS&lt;&gt;"")*(LEFT($C81,LEN(excl_HTS))=excl_HTS))&gt;0,"Y","N"))</f>
        <v/>
      </c>
      <c r="I81" s="10">
        <f>IF($A81="","",IF($E81="","N",IF(COUNTIF(scope_COO,$E81)&gt;0,"Y","N")))</f>
        <v/>
      </c>
      <c r="J81" s="10">
        <f>IF($A81="","",IF(AND(UPPER(TRIM(act_USMCAExempt&amp;""))="Y",UPPER(TRIM(Items!F81&amp;""))="Y"),"Y","N"))</f>
        <v/>
      </c>
      <c r="K81" s="10">
        <f>IF($A81="","",IFERROR(UPPER(TRIM(INDEX(det_Status,MATCH($A81,det_Item,0))&amp;"")),""))</f>
        <v/>
      </c>
      <c r="L81" s="10">
        <f>IF($A81="","",IF($K81="IN","Y",IF($K81="OUT","N",IF(AND($F81="Y",$G81="Y",$H81="N",$I81="Y",$J81="N"),"Y","N"))))</f>
        <v/>
      </c>
      <c r="M81" s="10">
        <f>IF($A81="","",IF($K81="IN","In: Research determination",IF($K81="OUT","Out: Research determination",IF($F81="N","Out: different import country",IF($G81="N","Out: HTS not on scope list",IF($H81="Y","Out: HTS on exclusion list",IF($I81="N","Out: origin not on scope list",IF($J81="Y","Out: USMCA-qualifying, exempt","In: matches scope rules"))))))))</f>
        <v/>
      </c>
      <c r="N81" s="16">
        <f>IF($A81="","",N(Items!I81))</f>
        <v/>
      </c>
      <c r="O81" s="16">
        <f>IF($A81="","",IF($L81="Y",$N81+N(act_Rate)-IF(UPPER(TRIM(act_RateType&amp;""))="REPLACE",N(act_PriorRate),0),$N81))</f>
        <v/>
      </c>
      <c r="P81" s="17">
        <f>IF($A81="","",N(Items!G81)*$N81)</f>
        <v/>
      </c>
      <c r="Q81" s="17">
        <f>IF($A81="","",N(Items!G81)*$O81)</f>
        <v/>
      </c>
      <c r="R81" s="17">
        <f>IF($A81="","",$Q81-$P81)</f>
        <v/>
      </c>
      <c r="S81" s="17">
        <f>IF($A81="","",N(Items!J81)+$R81)</f>
        <v/>
      </c>
      <c r="T81" s="16">
        <f>IF($A81="","",IF(N(Items!K81)=0,"",(N(Items!K81)-N(Items!J81))/N(Items!K81)))</f>
        <v/>
      </c>
      <c r="U81" s="16">
        <f>IF($A81="","",IF(N(Items!K81)=0,"",(N(Items!K81)-$S81)/N(Items!K81)))</f>
        <v/>
      </c>
      <c r="V81" s="16">
        <f>IF(OR($T81="",$U81=""),"",$U81-$T81)</f>
        <v/>
      </c>
      <c r="W81" s="18">
        <f>IF($A81="","",N(Items!H81))</f>
        <v/>
      </c>
      <c r="X81" s="19">
        <f>IF($A81="","",$R81*$W81)</f>
        <v/>
      </c>
      <c r="Y81" s="19">
        <f>IF($A81="","",N(Items!K81)*$W81)</f>
        <v/>
      </c>
      <c r="Z81" s="19">
        <f>IF($A81="","",(N(Items!K81)-N(Items!J81))*$W81)</f>
        <v/>
      </c>
      <c r="AA81" s="19">
        <f>IF($A81="","",$Z81-$X81)</f>
        <v/>
      </c>
      <c r="AB81" s="10">
        <f>IF($A81="","",IF(TRIM(Items!C81&amp;"")="","CHECK: import country missing",IF(OR(LEN($C81)&lt;&gt;10,ISERROR(VALUE($C81))),"CHECK: HTS must be 10 digits",IF(LEN($E81)&lt;&gt;2,"CHECK: origin code missing or not 2 letters",IF(OR(Items!G81="",Items!I81="",Items!J81=""),"CHECK: value, rate or cost missing",IF(ISNUMBER(Items!G81)*ISNUMBER(Items!I81)*ISNUMBER(Items!J81)=0,"CHECK: text in a number column",IF(AND($L81="Y",UPPER(TRIM(act_RateType&amp;""))="REPLACE",$N81&lt;N(act_PriorRate)),"CHECK: current rate is below the rate being replaced",IF(AND($L81="Y",$W81=0),"NOTE: in scope, no volume","OK"))))))))</f>
        <v/>
      </c>
      <c r="AC81" s="20">
        <f>IF($A81="","",IF(AND($L81="Y",$X81&lt;&gt;0),ABS($X81)+ROW()/1000000000,""))</f>
        <v/>
      </c>
    </row>
    <row r="82">
      <c r="A82" s="10">
        <f>IF(TRIM(Items!A82&amp;"")="","",TRIM(Items!A82&amp;""))</f>
        <v/>
      </c>
      <c r="B82" s="10">
        <f>IF($A82="","",Items!B82&amp;"")</f>
        <v/>
      </c>
      <c r="C82" s="10">
        <f>IF($A82="","",SUBSTITUTE(SUBSTITUTE(SUBSTITUTE(TRIM(Items!D82&amp;""),".","")," ",""),"-",""))</f>
        <v/>
      </c>
      <c r="D82" s="10">
        <f>IF($A82="","",LEFT($C82,2))</f>
        <v/>
      </c>
      <c r="E82" s="10">
        <f>IF($A82="","",UPPER(TRIM(Items!E82&amp;"")))</f>
        <v/>
      </c>
      <c r="F82" s="10">
        <f>IF($A82="","",IF(UPPER(TRIM(Items!C82&amp;""))=UPPER(TRIM(act_Country&amp;"")),"Y","N"))</f>
        <v/>
      </c>
      <c r="G82" s="10">
        <f>IF($A82="","",IF(SUMPRODUCT((scope_HTS&lt;&gt;"")*(LEFT($C82,LEN(scope_HTS))=scope_HTS))&gt;0,"Y","N"))</f>
        <v/>
      </c>
      <c r="H82" s="10">
        <f>IF($A82="","",IF(SUMPRODUCT((excl_HTS&lt;&gt;"")*(LEFT($C82,LEN(excl_HTS))=excl_HTS))&gt;0,"Y","N"))</f>
        <v/>
      </c>
      <c r="I82" s="10">
        <f>IF($A82="","",IF($E82="","N",IF(COUNTIF(scope_COO,$E82)&gt;0,"Y","N")))</f>
        <v/>
      </c>
      <c r="J82" s="10">
        <f>IF($A82="","",IF(AND(UPPER(TRIM(act_USMCAExempt&amp;""))="Y",UPPER(TRIM(Items!F82&amp;""))="Y"),"Y","N"))</f>
        <v/>
      </c>
      <c r="K82" s="10">
        <f>IF($A82="","",IFERROR(UPPER(TRIM(INDEX(det_Status,MATCH($A82,det_Item,0))&amp;"")),""))</f>
        <v/>
      </c>
      <c r="L82" s="10">
        <f>IF($A82="","",IF($K82="IN","Y",IF($K82="OUT","N",IF(AND($F82="Y",$G82="Y",$H82="N",$I82="Y",$J82="N"),"Y","N"))))</f>
        <v/>
      </c>
      <c r="M82" s="10">
        <f>IF($A82="","",IF($K82="IN","In: Research determination",IF($K82="OUT","Out: Research determination",IF($F82="N","Out: different import country",IF($G82="N","Out: HTS not on scope list",IF($H82="Y","Out: HTS on exclusion list",IF($I82="N","Out: origin not on scope list",IF($J82="Y","Out: USMCA-qualifying, exempt","In: matches scope rules"))))))))</f>
        <v/>
      </c>
      <c r="N82" s="16">
        <f>IF($A82="","",N(Items!I82))</f>
        <v/>
      </c>
      <c r="O82" s="16">
        <f>IF($A82="","",IF($L82="Y",$N82+N(act_Rate)-IF(UPPER(TRIM(act_RateType&amp;""))="REPLACE",N(act_PriorRate),0),$N82))</f>
        <v/>
      </c>
      <c r="P82" s="17">
        <f>IF($A82="","",N(Items!G82)*$N82)</f>
        <v/>
      </c>
      <c r="Q82" s="17">
        <f>IF($A82="","",N(Items!G82)*$O82)</f>
        <v/>
      </c>
      <c r="R82" s="17">
        <f>IF($A82="","",$Q82-$P82)</f>
        <v/>
      </c>
      <c r="S82" s="17">
        <f>IF($A82="","",N(Items!J82)+$R82)</f>
        <v/>
      </c>
      <c r="T82" s="16">
        <f>IF($A82="","",IF(N(Items!K82)=0,"",(N(Items!K82)-N(Items!J82))/N(Items!K82)))</f>
        <v/>
      </c>
      <c r="U82" s="16">
        <f>IF($A82="","",IF(N(Items!K82)=0,"",(N(Items!K82)-$S82)/N(Items!K82)))</f>
        <v/>
      </c>
      <c r="V82" s="16">
        <f>IF(OR($T82="",$U82=""),"",$U82-$T82)</f>
        <v/>
      </c>
      <c r="W82" s="18">
        <f>IF($A82="","",N(Items!H82))</f>
        <v/>
      </c>
      <c r="X82" s="19">
        <f>IF($A82="","",$R82*$W82)</f>
        <v/>
      </c>
      <c r="Y82" s="19">
        <f>IF($A82="","",N(Items!K82)*$W82)</f>
        <v/>
      </c>
      <c r="Z82" s="19">
        <f>IF($A82="","",(N(Items!K82)-N(Items!J82))*$W82)</f>
        <v/>
      </c>
      <c r="AA82" s="19">
        <f>IF($A82="","",$Z82-$X82)</f>
        <v/>
      </c>
      <c r="AB82" s="10">
        <f>IF($A82="","",IF(TRIM(Items!C82&amp;"")="","CHECK: import country missing",IF(OR(LEN($C82)&lt;&gt;10,ISERROR(VALUE($C82))),"CHECK: HTS must be 10 digits",IF(LEN($E82)&lt;&gt;2,"CHECK: origin code missing or not 2 letters",IF(OR(Items!G82="",Items!I82="",Items!J82=""),"CHECK: value, rate or cost missing",IF(ISNUMBER(Items!G82)*ISNUMBER(Items!I82)*ISNUMBER(Items!J82)=0,"CHECK: text in a number column",IF(AND($L82="Y",UPPER(TRIM(act_RateType&amp;""))="REPLACE",$N82&lt;N(act_PriorRate)),"CHECK: current rate is below the rate being replaced",IF(AND($L82="Y",$W82=0),"NOTE: in scope, no volume","OK"))))))))</f>
        <v/>
      </c>
      <c r="AC82" s="20">
        <f>IF($A82="","",IF(AND($L82="Y",$X82&lt;&gt;0),ABS($X82)+ROW()/1000000000,""))</f>
        <v/>
      </c>
    </row>
    <row r="83">
      <c r="A83" s="10">
        <f>IF(TRIM(Items!A83&amp;"")="","",TRIM(Items!A83&amp;""))</f>
        <v/>
      </c>
      <c r="B83" s="10">
        <f>IF($A83="","",Items!B83&amp;"")</f>
        <v/>
      </c>
      <c r="C83" s="10">
        <f>IF($A83="","",SUBSTITUTE(SUBSTITUTE(SUBSTITUTE(TRIM(Items!D83&amp;""),".","")," ",""),"-",""))</f>
        <v/>
      </c>
      <c r="D83" s="10">
        <f>IF($A83="","",LEFT($C83,2))</f>
        <v/>
      </c>
      <c r="E83" s="10">
        <f>IF($A83="","",UPPER(TRIM(Items!E83&amp;"")))</f>
        <v/>
      </c>
      <c r="F83" s="10">
        <f>IF($A83="","",IF(UPPER(TRIM(Items!C83&amp;""))=UPPER(TRIM(act_Country&amp;"")),"Y","N"))</f>
        <v/>
      </c>
      <c r="G83" s="10">
        <f>IF($A83="","",IF(SUMPRODUCT((scope_HTS&lt;&gt;"")*(LEFT($C83,LEN(scope_HTS))=scope_HTS))&gt;0,"Y","N"))</f>
        <v/>
      </c>
      <c r="H83" s="10">
        <f>IF($A83="","",IF(SUMPRODUCT((excl_HTS&lt;&gt;"")*(LEFT($C83,LEN(excl_HTS))=excl_HTS))&gt;0,"Y","N"))</f>
        <v/>
      </c>
      <c r="I83" s="10">
        <f>IF($A83="","",IF($E83="","N",IF(COUNTIF(scope_COO,$E83)&gt;0,"Y","N")))</f>
        <v/>
      </c>
      <c r="J83" s="10">
        <f>IF($A83="","",IF(AND(UPPER(TRIM(act_USMCAExempt&amp;""))="Y",UPPER(TRIM(Items!F83&amp;""))="Y"),"Y","N"))</f>
        <v/>
      </c>
      <c r="K83" s="10">
        <f>IF($A83="","",IFERROR(UPPER(TRIM(INDEX(det_Status,MATCH($A83,det_Item,0))&amp;"")),""))</f>
        <v/>
      </c>
      <c r="L83" s="10">
        <f>IF($A83="","",IF($K83="IN","Y",IF($K83="OUT","N",IF(AND($F83="Y",$G83="Y",$H83="N",$I83="Y",$J83="N"),"Y","N"))))</f>
        <v/>
      </c>
      <c r="M83" s="10">
        <f>IF($A83="","",IF($K83="IN","In: Research determination",IF($K83="OUT","Out: Research determination",IF($F83="N","Out: different import country",IF($G83="N","Out: HTS not on scope list",IF($H83="Y","Out: HTS on exclusion list",IF($I83="N","Out: origin not on scope list",IF($J83="Y","Out: USMCA-qualifying, exempt","In: matches scope rules"))))))))</f>
        <v/>
      </c>
      <c r="N83" s="16">
        <f>IF($A83="","",N(Items!I83))</f>
        <v/>
      </c>
      <c r="O83" s="16">
        <f>IF($A83="","",IF($L83="Y",$N83+N(act_Rate)-IF(UPPER(TRIM(act_RateType&amp;""))="REPLACE",N(act_PriorRate),0),$N83))</f>
        <v/>
      </c>
      <c r="P83" s="17">
        <f>IF($A83="","",N(Items!G83)*$N83)</f>
        <v/>
      </c>
      <c r="Q83" s="17">
        <f>IF($A83="","",N(Items!G83)*$O83)</f>
        <v/>
      </c>
      <c r="R83" s="17">
        <f>IF($A83="","",$Q83-$P83)</f>
        <v/>
      </c>
      <c r="S83" s="17">
        <f>IF($A83="","",N(Items!J83)+$R83)</f>
        <v/>
      </c>
      <c r="T83" s="16">
        <f>IF($A83="","",IF(N(Items!K83)=0,"",(N(Items!K83)-N(Items!J83))/N(Items!K83)))</f>
        <v/>
      </c>
      <c r="U83" s="16">
        <f>IF($A83="","",IF(N(Items!K83)=0,"",(N(Items!K83)-$S83)/N(Items!K83)))</f>
        <v/>
      </c>
      <c r="V83" s="16">
        <f>IF(OR($T83="",$U83=""),"",$U83-$T83)</f>
        <v/>
      </c>
      <c r="W83" s="18">
        <f>IF($A83="","",N(Items!H83))</f>
        <v/>
      </c>
      <c r="X83" s="19">
        <f>IF($A83="","",$R83*$W83)</f>
        <v/>
      </c>
      <c r="Y83" s="19">
        <f>IF($A83="","",N(Items!K83)*$W83)</f>
        <v/>
      </c>
      <c r="Z83" s="19">
        <f>IF($A83="","",(N(Items!K83)-N(Items!J83))*$W83)</f>
        <v/>
      </c>
      <c r="AA83" s="19">
        <f>IF($A83="","",$Z83-$X83)</f>
        <v/>
      </c>
      <c r="AB83" s="10">
        <f>IF($A83="","",IF(TRIM(Items!C83&amp;"")="","CHECK: import country missing",IF(OR(LEN($C83)&lt;&gt;10,ISERROR(VALUE($C83))),"CHECK: HTS must be 10 digits",IF(LEN($E83)&lt;&gt;2,"CHECK: origin code missing or not 2 letters",IF(OR(Items!G83="",Items!I83="",Items!J83=""),"CHECK: value, rate or cost missing",IF(ISNUMBER(Items!G83)*ISNUMBER(Items!I83)*ISNUMBER(Items!J83)=0,"CHECK: text in a number column",IF(AND($L83="Y",UPPER(TRIM(act_RateType&amp;""))="REPLACE",$N83&lt;N(act_PriorRate)),"CHECK: current rate is below the rate being replaced",IF(AND($L83="Y",$W83=0),"NOTE: in scope, no volume","OK"))))))))</f>
        <v/>
      </c>
      <c r="AC83" s="20">
        <f>IF($A83="","",IF(AND($L83="Y",$X83&lt;&gt;0),ABS($X83)+ROW()/1000000000,""))</f>
        <v/>
      </c>
    </row>
    <row r="84">
      <c r="A84" s="10">
        <f>IF(TRIM(Items!A84&amp;"")="","",TRIM(Items!A84&amp;""))</f>
        <v/>
      </c>
      <c r="B84" s="10">
        <f>IF($A84="","",Items!B84&amp;"")</f>
        <v/>
      </c>
      <c r="C84" s="10">
        <f>IF($A84="","",SUBSTITUTE(SUBSTITUTE(SUBSTITUTE(TRIM(Items!D84&amp;""),".","")," ",""),"-",""))</f>
        <v/>
      </c>
      <c r="D84" s="10">
        <f>IF($A84="","",LEFT($C84,2))</f>
        <v/>
      </c>
      <c r="E84" s="10">
        <f>IF($A84="","",UPPER(TRIM(Items!E84&amp;"")))</f>
        <v/>
      </c>
      <c r="F84" s="10">
        <f>IF($A84="","",IF(UPPER(TRIM(Items!C84&amp;""))=UPPER(TRIM(act_Country&amp;"")),"Y","N"))</f>
        <v/>
      </c>
      <c r="G84" s="10">
        <f>IF($A84="","",IF(SUMPRODUCT((scope_HTS&lt;&gt;"")*(LEFT($C84,LEN(scope_HTS))=scope_HTS))&gt;0,"Y","N"))</f>
        <v/>
      </c>
      <c r="H84" s="10">
        <f>IF($A84="","",IF(SUMPRODUCT((excl_HTS&lt;&gt;"")*(LEFT($C84,LEN(excl_HTS))=excl_HTS))&gt;0,"Y","N"))</f>
        <v/>
      </c>
      <c r="I84" s="10">
        <f>IF($A84="","",IF($E84="","N",IF(COUNTIF(scope_COO,$E84)&gt;0,"Y","N")))</f>
        <v/>
      </c>
      <c r="J84" s="10">
        <f>IF($A84="","",IF(AND(UPPER(TRIM(act_USMCAExempt&amp;""))="Y",UPPER(TRIM(Items!F84&amp;""))="Y"),"Y","N"))</f>
        <v/>
      </c>
      <c r="K84" s="10">
        <f>IF($A84="","",IFERROR(UPPER(TRIM(INDEX(det_Status,MATCH($A84,det_Item,0))&amp;"")),""))</f>
        <v/>
      </c>
      <c r="L84" s="10">
        <f>IF($A84="","",IF($K84="IN","Y",IF($K84="OUT","N",IF(AND($F84="Y",$G84="Y",$H84="N",$I84="Y",$J84="N"),"Y","N"))))</f>
        <v/>
      </c>
      <c r="M84" s="10">
        <f>IF($A84="","",IF($K84="IN","In: Research determination",IF($K84="OUT","Out: Research determination",IF($F84="N","Out: different import country",IF($G84="N","Out: HTS not on scope list",IF($H84="Y","Out: HTS on exclusion list",IF($I84="N","Out: origin not on scope list",IF($J84="Y","Out: USMCA-qualifying, exempt","In: matches scope rules"))))))))</f>
        <v/>
      </c>
      <c r="N84" s="16">
        <f>IF($A84="","",N(Items!I84))</f>
        <v/>
      </c>
      <c r="O84" s="16">
        <f>IF($A84="","",IF($L84="Y",$N84+N(act_Rate)-IF(UPPER(TRIM(act_RateType&amp;""))="REPLACE",N(act_PriorRate),0),$N84))</f>
        <v/>
      </c>
      <c r="P84" s="17">
        <f>IF($A84="","",N(Items!G84)*$N84)</f>
        <v/>
      </c>
      <c r="Q84" s="17">
        <f>IF($A84="","",N(Items!G84)*$O84)</f>
        <v/>
      </c>
      <c r="R84" s="17">
        <f>IF($A84="","",$Q84-$P84)</f>
        <v/>
      </c>
      <c r="S84" s="17">
        <f>IF($A84="","",N(Items!J84)+$R84)</f>
        <v/>
      </c>
      <c r="T84" s="16">
        <f>IF($A84="","",IF(N(Items!K84)=0,"",(N(Items!K84)-N(Items!J84))/N(Items!K84)))</f>
        <v/>
      </c>
      <c r="U84" s="16">
        <f>IF($A84="","",IF(N(Items!K84)=0,"",(N(Items!K84)-$S84)/N(Items!K84)))</f>
        <v/>
      </c>
      <c r="V84" s="16">
        <f>IF(OR($T84="",$U84=""),"",$U84-$T84)</f>
        <v/>
      </c>
      <c r="W84" s="18">
        <f>IF($A84="","",N(Items!H84))</f>
        <v/>
      </c>
      <c r="X84" s="19">
        <f>IF($A84="","",$R84*$W84)</f>
        <v/>
      </c>
      <c r="Y84" s="19">
        <f>IF($A84="","",N(Items!K84)*$W84)</f>
        <v/>
      </c>
      <c r="Z84" s="19">
        <f>IF($A84="","",(N(Items!K84)-N(Items!J84))*$W84)</f>
        <v/>
      </c>
      <c r="AA84" s="19">
        <f>IF($A84="","",$Z84-$X84)</f>
        <v/>
      </c>
      <c r="AB84" s="10">
        <f>IF($A84="","",IF(TRIM(Items!C84&amp;"")="","CHECK: import country missing",IF(OR(LEN($C84)&lt;&gt;10,ISERROR(VALUE($C84))),"CHECK: HTS must be 10 digits",IF(LEN($E84)&lt;&gt;2,"CHECK: origin code missing or not 2 letters",IF(OR(Items!G84="",Items!I84="",Items!J84=""),"CHECK: value, rate or cost missing",IF(ISNUMBER(Items!G84)*ISNUMBER(Items!I84)*ISNUMBER(Items!J84)=0,"CHECK: text in a number column",IF(AND($L84="Y",UPPER(TRIM(act_RateType&amp;""))="REPLACE",$N84&lt;N(act_PriorRate)),"CHECK: current rate is below the rate being replaced",IF(AND($L84="Y",$W84=0),"NOTE: in scope, no volume","OK"))))))))</f>
        <v/>
      </c>
      <c r="AC84" s="20">
        <f>IF($A84="","",IF(AND($L84="Y",$X84&lt;&gt;0),ABS($X84)+ROW()/1000000000,""))</f>
        <v/>
      </c>
    </row>
    <row r="85">
      <c r="A85" s="10">
        <f>IF(TRIM(Items!A85&amp;"")="","",TRIM(Items!A85&amp;""))</f>
        <v/>
      </c>
      <c r="B85" s="10">
        <f>IF($A85="","",Items!B85&amp;"")</f>
        <v/>
      </c>
      <c r="C85" s="10">
        <f>IF($A85="","",SUBSTITUTE(SUBSTITUTE(SUBSTITUTE(TRIM(Items!D85&amp;""),".","")," ",""),"-",""))</f>
        <v/>
      </c>
      <c r="D85" s="10">
        <f>IF($A85="","",LEFT($C85,2))</f>
        <v/>
      </c>
      <c r="E85" s="10">
        <f>IF($A85="","",UPPER(TRIM(Items!E85&amp;"")))</f>
        <v/>
      </c>
      <c r="F85" s="10">
        <f>IF($A85="","",IF(UPPER(TRIM(Items!C85&amp;""))=UPPER(TRIM(act_Country&amp;"")),"Y","N"))</f>
        <v/>
      </c>
      <c r="G85" s="10">
        <f>IF($A85="","",IF(SUMPRODUCT((scope_HTS&lt;&gt;"")*(LEFT($C85,LEN(scope_HTS))=scope_HTS))&gt;0,"Y","N"))</f>
        <v/>
      </c>
      <c r="H85" s="10">
        <f>IF($A85="","",IF(SUMPRODUCT((excl_HTS&lt;&gt;"")*(LEFT($C85,LEN(excl_HTS))=excl_HTS))&gt;0,"Y","N"))</f>
        <v/>
      </c>
      <c r="I85" s="10">
        <f>IF($A85="","",IF($E85="","N",IF(COUNTIF(scope_COO,$E85)&gt;0,"Y","N")))</f>
        <v/>
      </c>
      <c r="J85" s="10">
        <f>IF($A85="","",IF(AND(UPPER(TRIM(act_USMCAExempt&amp;""))="Y",UPPER(TRIM(Items!F85&amp;""))="Y"),"Y","N"))</f>
        <v/>
      </c>
      <c r="K85" s="10">
        <f>IF($A85="","",IFERROR(UPPER(TRIM(INDEX(det_Status,MATCH($A85,det_Item,0))&amp;"")),""))</f>
        <v/>
      </c>
      <c r="L85" s="10">
        <f>IF($A85="","",IF($K85="IN","Y",IF($K85="OUT","N",IF(AND($F85="Y",$G85="Y",$H85="N",$I85="Y",$J85="N"),"Y","N"))))</f>
        <v/>
      </c>
      <c r="M85" s="10">
        <f>IF($A85="","",IF($K85="IN","In: Research determination",IF($K85="OUT","Out: Research determination",IF($F85="N","Out: different import country",IF($G85="N","Out: HTS not on scope list",IF($H85="Y","Out: HTS on exclusion list",IF($I85="N","Out: origin not on scope list",IF($J85="Y","Out: USMCA-qualifying, exempt","In: matches scope rules"))))))))</f>
        <v/>
      </c>
      <c r="N85" s="16">
        <f>IF($A85="","",N(Items!I85))</f>
        <v/>
      </c>
      <c r="O85" s="16">
        <f>IF($A85="","",IF($L85="Y",$N85+N(act_Rate)-IF(UPPER(TRIM(act_RateType&amp;""))="REPLACE",N(act_PriorRate),0),$N85))</f>
        <v/>
      </c>
      <c r="P85" s="17">
        <f>IF($A85="","",N(Items!G85)*$N85)</f>
        <v/>
      </c>
      <c r="Q85" s="17">
        <f>IF($A85="","",N(Items!G85)*$O85)</f>
        <v/>
      </c>
      <c r="R85" s="17">
        <f>IF($A85="","",$Q85-$P85)</f>
        <v/>
      </c>
      <c r="S85" s="17">
        <f>IF($A85="","",N(Items!J85)+$R85)</f>
        <v/>
      </c>
      <c r="T85" s="16">
        <f>IF($A85="","",IF(N(Items!K85)=0,"",(N(Items!K85)-N(Items!J85))/N(Items!K85)))</f>
        <v/>
      </c>
      <c r="U85" s="16">
        <f>IF($A85="","",IF(N(Items!K85)=0,"",(N(Items!K85)-$S85)/N(Items!K85)))</f>
        <v/>
      </c>
      <c r="V85" s="16">
        <f>IF(OR($T85="",$U85=""),"",$U85-$T85)</f>
        <v/>
      </c>
      <c r="W85" s="18">
        <f>IF($A85="","",N(Items!H85))</f>
        <v/>
      </c>
      <c r="X85" s="19">
        <f>IF($A85="","",$R85*$W85)</f>
        <v/>
      </c>
      <c r="Y85" s="19">
        <f>IF($A85="","",N(Items!K85)*$W85)</f>
        <v/>
      </c>
      <c r="Z85" s="19">
        <f>IF($A85="","",(N(Items!K85)-N(Items!J85))*$W85)</f>
        <v/>
      </c>
      <c r="AA85" s="19">
        <f>IF($A85="","",$Z85-$X85)</f>
        <v/>
      </c>
      <c r="AB85" s="10">
        <f>IF($A85="","",IF(TRIM(Items!C85&amp;"")="","CHECK: import country missing",IF(OR(LEN($C85)&lt;&gt;10,ISERROR(VALUE($C85))),"CHECK: HTS must be 10 digits",IF(LEN($E85)&lt;&gt;2,"CHECK: origin code missing or not 2 letters",IF(OR(Items!G85="",Items!I85="",Items!J85=""),"CHECK: value, rate or cost missing",IF(ISNUMBER(Items!G85)*ISNUMBER(Items!I85)*ISNUMBER(Items!J85)=0,"CHECK: text in a number column",IF(AND($L85="Y",UPPER(TRIM(act_RateType&amp;""))="REPLACE",$N85&lt;N(act_PriorRate)),"CHECK: current rate is below the rate being replaced",IF(AND($L85="Y",$W85=0),"NOTE: in scope, no volume","OK"))))))))</f>
        <v/>
      </c>
      <c r="AC85" s="20">
        <f>IF($A85="","",IF(AND($L85="Y",$X85&lt;&gt;0),ABS($X85)+ROW()/1000000000,""))</f>
        <v/>
      </c>
    </row>
    <row r="86">
      <c r="A86" s="10">
        <f>IF(TRIM(Items!A86&amp;"")="","",TRIM(Items!A86&amp;""))</f>
        <v/>
      </c>
      <c r="B86" s="10">
        <f>IF($A86="","",Items!B86&amp;"")</f>
        <v/>
      </c>
      <c r="C86" s="10">
        <f>IF($A86="","",SUBSTITUTE(SUBSTITUTE(SUBSTITUTE(TRIM(Items!D86&amp;""),".","")," ",""),"-",""))</f>
        <v/>
      </c>
      <c r="D86" s="10">
        <f>IF($A86="","",LEFT($C86,2))</f>
        <v/>
      </c>
      <c r="E86" s="10">
        <f>IF($A86="","",UPPER(TRIM(Items!E86&amp;"")))</f>
        <v/>
      </c>
      <c r="F86" s="10">
        <f>IF($A86="","",IF(UPPER(TRIM(Items!C86&amp;""))=UPPER(TRIM(act_Country&amp;"")),"Y","N"))</f>
        <v/>
      </c>
      <c r="G86" s="10">
        <f>IF($A86="","",IF(SUMPRODUCT((scope_HTS&lt;&gt;"")*(LEFT($C86,LEN(scope_HTS))=scope_HTS))&gt;0,"Y","N"))</f>
        <v/>
      </c>
      <c r="H86" s="10">
        <f>IF($A86="","",IF(SUMPRODUCT((excl_HTS&lt;&gt;"")*(LEFT($C86,LEN(excl_HTS))=excl_HTS))&gt;0,"Y","N"))</f>
        <v/>
      </c>
      <c r="I86" s="10">
        <f>IF($A86="","",IF($E86="","N",IF(COUNTIF(scope_COO,$E86)&gt;0,"Y","N")))</f>
        <v/>
      </c>
      <c r="J86" s="10">
        <f>IF($A86="","",IF(AND(UPPER(TRIM(act_USMCAExempt&amp;""))="Y",UPPER(TRIM(Items!F86&amp;""))="Y"),"Y","N"))</f>
        <v/>
      </c>
      <c r="K86" s="10">
        <f>IF($A86="","",IFERROR(UPPER(TRIM(INDEX(det_Status,MATCH($A86,det_Item,0))&amp;"")),""))</f>
        <v/>
      </c>
      <c r="L86" s="10">
        <f>IF($A86="","",IF($K86="IN","Y",IF($K86="OUT","N",IF(AND($F86="Y",$G86="Y",$H86="N",$I86="Y",$J86="N"),"Y","N"))))</f>
        <v/>
      </c>
      <c r="M86" s="10">
        <f>IF($A86="","",IF($K86="IN","In: Research determination",IF($K86="OUT","Out: Research determination",IF($F86="N","Out: different import country",IF($G86="N","Out: HTS not on scope list",IF($H86="Y","Out: HTS on exclusion list",IF($I86="N","Out: origin not on scope list",IF($J86="Y","Out: USMCA-qualifying, exempt","In: matches scope rules"))))))))</f>
        <v/>
      </c>
      <c r="N86" s="16">
        <f>IF($A86="","",N(Items!I86))</f>
        <v/>
      </c>
      <c r="O86" s="16">
        <f>IF($A86="","",IF($L86="Y",$N86+N(act_Rate)-IF(UPPER(TRIM(act_RateType&amp;""))="REPLACE",N(act_PriorRate),0),$N86))</f>
        <v/>
      </c>
      <c r="P86" s="17">
        <f>IF($A86="","",N(Items!G86)*$N86)</f>
        <v/>
      </c>
      <c r="Q86" s="17">
        <f>IF($A86="","",N(Items!G86)*$O86)</f>
        <v/>
      </c>
      <c r="R86" s="17">
        <f>IF($A86="","",$Q86-$P86)</f>
        <v/>
      </c>
      <c r="S86" s="17">
        <f>IF($A86="","",N(Items!J86)+$R86)</f>
        <v/>
      </c>
      <c r="T86" s="16">
        <f>IF($A86="","",IF(N(Items!K86)=0,"",(N(Items!K86)-N(Items!J86))/N(Items!K86)))</f>
        <v/>
      </c>
      <c r="U86" s="16">
        <f>IF($A86="","",IF(N(Items!K86)=0,"",(N(Items!K86)-$S86)/N(Items!K86)))</f>
        <v/>
      </c>
      <c r="V86" s="16">
        <f>IF(OR($T86="",$U86=""),"",$U86-$T86)</f>
        <v/>
      </c>
      <c r="W86" s="18">
        <f>IF($A86="","",N(Items!H86))</f>
        <v/>
      </c>
      <c r="X86" s="19">
        <f>IF($A86="","",$R86*$W86)</f>
        <v/>
      </c>
      <c r="Y86" s="19">
        <f>IF($A86="","",N(Items!K86)*$W86)</f>
        <v/>
      </c>
      <c r="Z86" s="19">
        <f>IF($A86="","",(N(Items!K86)-N(Items!J86))*$W86)</f>
        <v/>
      </c>
      <c r="AA86" s="19">
        <f>IF($A86="","",$Z86-$X86)</f>
        <v/>
      </c>
      <c r="AB86" s="10">
        <f>IF($A86="","",IF(TRIM(Items!C86&amp;"")="","CHECK: import country missing",IF(OR(LEN($C86)&lt;&gt;10,ISERROR(VALUE($C86))),"CHECK: HTS must be 10 digits",IF(LEN($E86)&lt;&gt;2,"CHECK: origin code missing or not 2 letters",IF(OR(Items!G86="",Items!I86="",Items!J86=""),"CHECK: value, rate or cost missing",IF(ISNUMBER(Items!G86)*ISNUMBER(Items!I86)*ISNUMBER(Items!J86)=0,"CHECK: text in a number column",IF(AND($L86="Y",UPPER(TRIM(act_RateType&amp;""))="REPLACE",$N86&lt;N(act_PriorRate)),"CHECK: current rate is below the rate being replaced",IF(AND($L86="Y",$W86=0),"NOTE: in scope, no volume","OK"))))))))</f>
        <v/>
      </c>
      <c r="AC86" s="20">
        <f>IF($A86="","",IF(AND($L86="Y",$X86&lt;&gt;0),ABS($X86)+ROW()/1000000000,""))</f>
        <v/>
      </c>
    </row>
    <row r="87">
      <c r="A87" s="10">
        <f>IF(TRIM(Items!A87&amp;"")="","",TRIM(Items!A87&amp;""))</f>
        <v/>
      </c>
      <c r="B87" s="10">
        <f>IF($A87="","",Items!B87&amp;"")</f>
        <v/>
      </c>
      <c r="C87" s="10">
        <f>IF($A87="","",SUBSTITUTE(SUBSTITUTE(SUBSTITUTE(TRIM(Items!D87&amp;""),".","")," ",""),"-",""))</f>
        <v/>
      </c>
      <c r="D87" s="10">
        <f>IF($A87="","",LEFT($C87,2))</f>
        <v/>
      </c>
      <c r="E87" s="10">
        <f>IF($A87="","",UPPER(TRIM(Items!E87&amp;"")))</f>
        <v/>
      </c>
      <c r="F87" s="10">
        <f>IF($A87="","",IF(UPPER(TRIM(Items!C87&amp;""))=UPPER(TRIM(act_Country&amp;"")),"Y","N"))</f>
        <v/>
      </c>
      <c r="G87" s="10">
        <f>IF($A87="","",IF(SUMPRODUCT((scope_HTS&lt;&gt;"")*(LEFT($C87,LEN(scope_HTS))=scope_HTS))&gt;0,"Y","N"))</f>
        <v/>
      </c>
      <c r="H87" s="10">
        <f>IF($A87="","",IF(SUMPRODUCT((excl_HTS&lt;&gt;"")*(LEFT($C87,LEN(excl_HTS))=excl_HTS))&gt;0,"Y","N"))</f>
        <v/>
      </c>
      <c r="I87" s="10">
        <f>IF($A87="","",IF($E87="","N",IF(COUNTIF(scope_COO,$E87)&gt;0,"Y","N")))</f>
        <v/>
      </c>
      <c r="J87" s="10">
        <f>IF($A87="","",IF(AND(UPPER(TRIM(act_USMCAExempt&amp;""))="Y",UPPER(TRIM(Items!F87&amp;""))="Y"),"Y","N"))</f>
        <v/>
      </c>
      <c r="K87" s="10">
        <f>IF($A87="","",IFERROR(UPPER(TRIM(INDEX(det_Status,MATCH($A87,det_Item,0))&amp;"")),""))</f>
        <v/>
      </c>
      <c r="L87" s="10">
        <f>IF($A87="","",IF($K87="IN","Y",IF($K87="OUT","N",IF(AND($F87="Y",$G87="Y",$H87="N",$I87="Y",$J87="N"),"Y","N"))))</f>
        <v/>
      </c>
      <c r="M87" s="10">
        <f>IF($A87="","",IF($K87="IN","In: Research determination",IF($K87="OUT","Out: Research determination",IF($F87="N","Out: different import country",IF($G87="N","Out: HTS not on scope list",IF($H87="Y","Out: HTS on exclusion list",IF($I87="N","Out: origin not on scope list",IF($J87="Y","Out: USMCA-qualifying, exempt","In: matches scope rules"))))))))</f>
        <v/>
      </c>
      <c r="N87" s="16">
        <f>IF($A87="","",N(Items!I87))</f>
        <v/>
      </c>
      <c r="O87" s="16">
        <f>IF($A87="","",IF($L87="Y",$N87+N(act_Rate)-IF(UPPER(TRIM(act_RateType&amp;""))="REPLACE",N(act_PriorRate),0),$N87))</f>
        <v/>
      </c>
      <c r="P87" s="17">
        <f>IF($A87="","",N(Items!G87)*$N87)</f>
        <v/>
      </c>
      <c r="Q87" s="17">
        <f>IF($A87="","",N(Items!G87)*$O87)</f>
        <v/>
      </c>
      <c r="R87" s="17">
        <f>IF($A87="","",$Q87-$P87)</f>
        <v/>
      </c>
      <c r="S87" s="17">
        <f>IF($A87="","",N(Items!J87)+$R87)</f>
        <v/>
      </c>
      <c r="T87" s="16">
        <f>IF($A87="","",IF(N(Items!K87)=0,"",(N(Items!K87)-N(Items!J87))/N(Items!K87)))</f>
        <v/>
      </c>
      <c r="U87" s="16">
        <f>IF($A87="","",IF(N(Items!K87)=0,"",(N(Items!K87)-$S87)/N(Items!K87)))</f>
        <v/>
      </c>
      <c r="V87" s="16">
        <f>IF(OR($T87="",$U87=""),"",$U87-$T87)</f>
        <v/>
      </c>
      <c r="W87" s="18">
        <f>IF($A87="","",N(Items!H87))</f>
        <v/>
      </c>
      <c r="X87" s="19">
        <f>IF($A87="","",$R87*$W87)</f>
        <v/>
      </c>
      <c r="Y87" s="19">
        <f>IF($A87="","",N(Items!K87)*$W87)</f>
        <v/>
      </c>
      <c r="Z87" s="19">
        <f>IF($A87="","",(N(Items!K87)-N(Items!J87))*$W87)</f>
        <v/>
      </c>
      <c r="AA87" s="19">
        <f>IF($A87="","",$Z87-$X87)</f>
        <v/>
      </c>
      <c r="AB87" s="10">
        <f>IF($A87="","",IF(TRIM(Items!C87&amp;"")="","CHECK: import country missing",IF(OR(LEN($C87)&lt;&gt;10,ISERROR(VALUE($C87))),"CHECK: HTS must be 10 digits",IF(LEN($E87)&lt;&gt;2,"CHECK: origin code missing or not 2 letters",IF(OR(Items!G87="",Items!I87="",Items!J87=""),"CHECK: value, rate or cost missing",IF(ISNUMBER(Items!G87)*ISNUMBER(Items!I87)*ISNUMBER(Items!J87)=0,"CHECK: text in a number column",IF(AND($L87="Y",UPPER(TRIM(act_RateType&amp;""))="REPLACE",$N87&lt;N(act_PriorRate)),"CHECK: current rate is below the rate being replaced",IF(AND($L87="Y",$W87=0),"NOTE: in scope, no volume","OK"))))))))</f>
        <v/>
      </c>
      <c r="AC87" s="20">
        <f>IF($A87="","",IF(AND($L87="Y",$X87&lt;&gt;0),ABS($X87)+ROW()/1000000000,""))</f>
        <v/>
      </c>
    </row>
    <row r="88">
      <c r="A88" s="10">
        <f>IF(TRIM(Items!A88&amp;"")="","",TRIM(Items!A88&amp;""))</f>
        <v/>
      </c>
      <c r="B88" s="10">
        <f>IF($A88="","",Items!B88&amp;"")</f>
        <v/>
      </c>
      <c r="C88" s="10">
        <f>IF($A88="","",SUBSTITUTE(SUBSTITUTE(SUBSTITUTE(TRIM(Items!D88&amp;""),".","")," ",""),"-",""))</f>
        <v/>
      </c>
      <c r="D88" s="10">
        <f>IF($A88="","",LEFT($C88,2))</f>
        <v/>
      </c>
      <c r="E88" s="10">
        <f>IF($A88="","",UPPER(TRIM(Items!E88&amp;"")))</f>
        <v/>
      </c>
      <c r="F88" s="10">
        <f>IF($A88="","",IF(UPPER(TRIM(Items!C88&amp;""))=UPPER(TRIM(act_Country&amp;"")),"Y","N"))</f>
        <v/>
      </c>
      <c r="G88" s="10">
        <f>IF($A88="","",IF(SUMPRODUCT((scope_HTS&lt;&gt;"")*(LEFT($C88,LEN(scope_HTS))=scope_HTS))&gt;0,"Y","N"))</f>
        <v/>
      </c>
      <c r="H88" s="10">
        <f>IF($A88="","",IF(SUMPRODUCT((excl_HTS&lt;&gt;"")*(LEFT($C88,LEN(excl_HTS))=excl_HTS))&gt;0,"Y","N"))</f>
        <v/>
      </c>
      <c r="I88" s="10">
        <f>IF($A88="","",IF($E88="","N",IF(COUNTIF(scope_COO,$E88)&gt;0,"Y","N")))</f>
        <v/>
      </c>
      <c r="J88" s="10">
        <f>IF($A88="","",IF(AND(UPPER(TRIM(act_USMCAExempt&amp;""))="Y",UPPER(TRIM(Items!F88&amp;""))="Y"),"Y","N"))</f>
        <v/>
      </c>
      <c r="K88" s="10">
        <f>IF($A88="","",IFERROR(UPPER(TRIM(INDEX(det_Status,MATCH($A88,det_Item,0))&amp;"")),""))</f>
        <v/>
      </c>
      <c r="L88" s="10">
        <f>IF($A88="","",IF($K88="IN","Y",IF($K88="OUT","N",IF(AND($F88="Y",$G88="Y",$H88="N",$I88="Y",$J88="N"),"Y","N"))))</f>
        <v/>
      </c>
      <c r="M88" s="10">
        <f>IF($A88="","",IF($K88="IN","In: Research determination",IF($K88="OUT","Out: Research determination",IF($F88="N","Out: different import country",IF($G88="N","Out: HTS not on scope list",IF($H88="Y","Out: HTS on exclusion list",IF($I88="N","Out: origin not on scope list",IF($J88="Y","Out: USMCA-qualifying, exempt","In: matches scope rules"))))))))</f>
        <v/>
      </c>
      <c r="N88" s="16">
        <f>IF($A88="","",N(Items!I88))</f>
        <v/>
      </c>
      <c r="O88" s="16">
        <f>IF($A88="","",IF($L88="Y",$N88+N(act_Rate)-IF(UPPER(TRIM(act_RateType&amp;""))="REPLACE",N(act_PriorRate),0),$N88))</f>
        <v/>
      </c>
      <c r="P88" s="17">
        <f>IF($A88="","",N(Items!G88)*$N88)</f>
        <v/>
      </c>
      <c r="Q88" s="17">
        <f>IF($A88="","",N(Items!G88)*$O88)</f>
        <v/>
      </c>
      <c r="R88" s="17">
        <f>IF($A88="","",$Q88-$P88)</f>
        <v/>
      </c>
      <c r="S88" s="17">
        <f>IF($A88="","",N(Items!J88)+$R88)</f>
        <v/>
      </c>
      <c r="T88" s="16">
        <f>IF($A88="","",IF(N(Items!K88)=0,"",(N(Items!K88)-N(Items!J88))/N(Items!K88)))</f>
        <v/>
      </c>
      <c r="U88" s="16">
        <f>IF($A88="","",IF(N(Items!K88)=0,"",(N(Items!K88)-$S88)/N(Items!K88)))</f>
        <v/>
      </c>
      <c r="V88" s="16">
        <f>IF(OR($T88="",$U88=""),"",$U88-$T88)</f>
        <v/>
      </c>
      <c r="W88" s="18">
        <f>IF($A88="","",N(Items!H88))</f>
        <v/>
      </c>
      <c r="X88" s="19">
        <f>IF($A88="","",$R88*$W88)</f>
        <v/>
      </c>
      <c r="Y88" s="19">
        <f>IF($A88="","",N(Items!K88)*$W88)</f>
        <v/>
      </c>
      <c r="Z88" s="19">
        <f>IF($A88="","",(N(Items!K88)-N(Items!J88))*$W88)</f>
        <v/>
      </c>
      <c r="AA88" s="19">
        <f>IF($A88="","",$Z88-$X88)</f>
        <v/>
      </c>
      <c r="AB88" s="10">
        <f>IF($A88="","",IF(TRIM(Items!C88&amp;"")="","CHECK: import country missing",IF(OR(LEN($C88)&lt;&gt;10,ISERROR(VALUE($C88))),"CHECK: HTS must be 10 digits",IF(LEN($E88)&lt;&gt;2,"CHECK: origin code missing or not 2 letters",IF(OR(Items!G88="",Items!I88="",Items!J88=""),"CHECK: value, rate or cost missing",IF(ISNUMBER(Items!G88)*ISNUMBER(Items!I88)*ISNUMBER(Items!J88)=0,"CHECK: text in a number column",IF(AND($L88="Y",UPPER(TRIM(act_RateType&amp;""))="REPLACE",$N88&lt;N(act_PriorRate)),"CHECK: current rate is below the rate being replaced",IF(AND($L88="Y",$W88=0),"NOTE: in scope, no volume","OK"))))))))</f>
        <v/>
      </c>
      <c r="AC88" s="20">
        <f>IF($A88="","",IF(AND($L88="Y",$X88&lt;&gt;0),ABS($X88)+ROW()/1000000000,""))</f>
        <v/>
      </c>
    </row>
    <row r="89">
      <c r="A89" s="10">
        <f>IF(TRIM(Items!A89&amp;"")="","",TRIM(Items!A89&amp;""))</f>
        <v/>
      </c>
      <c r="B89" s="10">
        <f>IF($A89="","",Items!B89&amp;"")</f>
        <v/>
      </c>
      <c r="C89" s="10">
        <f>IF($A89="","",SUBSTITUTE(SUBSTITUTE(SUBSTITUTE(TRIM(Items!D89&amp;""),".","")," ",""),"-",""))</f>
        <v/>
      </c>
      <c r="D89" s="10">
        <f>IF($A89="","",LEFT($C89,2))</f>
        <v/>
      </c>
      <c r="E89" s="10">
        <f>IF($A89="","",UPPER(TRIM(Items!E89&amp;"")))</f>
        <v/>
      </c>
      <c r="F89" s="10">
        <f>IF($A89="","",IF(UPPER(TRIM(Items!C89&amp;""))=UPPER(TRIM(act_Country&amp;"")),"Y","N"))</f>
        <v/>
      </c>
      <c r="G89" s="10">
        <f>IF($A89="","",IF(SUMPRODUCT((scope_HTS&lt;&gt;"")*(LEFT($C89,LEN(scope_HTS))=scope_HTS))&gt;0,"Y","N"))</f>
        <v/>
      </c>
      <c r="H89" s="10">
        <f>IF($A89="","",IF(SUMPRODUCT((excl_HTS&lt;&gt;"")*(LEFT($C89,LEN(excl_HTS))=excl_HTS))&gt;0,"Y","N"))</f>
        <v/>
      </c>
      <c r="I89" s="10">
        <f>IF($A89="","",IF($E89="","N",IF(COUNTIF(scope_COO,$E89)&gt;0,"Y","N")))</f>
        <v/>
      </c>
      <c r="J89" s="10">
        <f>IF($A89="","",IF(AND(UPPER(TRIM(act_USMCAExempt&amp;""))="Y",UPPER(TRIM(Items!F89&amp;""))="Y"),"Y","N"))</f>
        <v/>
      </c>
      <c r="K89" s="10">
        <f>IF($A89="","",IFERROR(UPPER(TRIM(INDEX(det_Status,MATCH($A89,det_Item,0))&amp;"")),""))</f>
        <v/>
      </c>
      <c r="L89" s="10">
        <f>IF($A89="","",IF($K89="IN","Y",IF($K89="OUT","N",IF(AND($F89="Y",$G89="Y",$H89="N",$I89="Y",$J89="N"),"Y","N"))))</f>
        <v/>
      </c>
      <c r="M89" s="10">
        <f>IF($A89="","",IF($K89="IN","In: Research determination",IF($K89="OUT","Out: Research determination",IF($F89="N","Out: different import country",IF($G89="N","Out: HTS not on scope list",IF($H89="Y","Out: HTS on exclusion list",IF($I89="N","Out: origin not on scope list",IF($J89="Y","Out: USMCA-qualifying, exempt","In: matches scope rules"))))))))</f>
        <v/>
      </c>
      <c r="N89" s="16">
        <f>IF($A89="","",N(Items!I89))</f>
        <v/>
      </c>
      <c r="O89" s="16">
        <f>IF($A89="","",IF($L89="Y",$N89+N(act_Rate)-IF(UPPER(TRIM(act_RateType&amp;""))="REPLACE",N(act_PriorRate),0),$N89))</f>
        <v/>
      </c>
      <c r="P89" s="17">
        <f>IF($A89="","",N(Items!G89)*$N89)</f>
        <v/>
      </c>
      <c r="Q89" s="17">
        <f>IF($A89="","",N(Items!G89)*$O89)</f>
        <v/>
      </c>
      <c r="R89" s="17">
        <f>IF($A89="","",$Q89-$P89)</f>
        <v/>
      </c>
      <c r="S89" s="17">
        <f>IF($A89="","",N(Items!J89)+$R89)</f>
        <v/>
      </c>
      <c r="T89" s="16">
        <f>IF($A89="","",IF(N(Items!K89)=0,"",(N(Items!K89)-N(Items!J89))/N(Items!K89)))</f>
        <v/>
      </c>
      <c r="U89" s="16">
        <f>IF($A89="","",IF(N(Items!K89)=0,"",(N(Items!K89)-$S89)/N(Items!K89)))</f>
        <v/>
      </c>
      <c r="V89" s="16">
        <f>IF(OR($T89="",$U89=""),"",$U89-$T89)</f>
        <v/>
      </c>
      <c r="W89" s="18">
        <f>IF($A89="","",N(Items!H89))</f>
        <v/>
      </c>
      <c r="X89" s="19">
        <f>IF($A89="","",$R89*$W89)</f>
        <v/>
      </c>
      <c r="Y89" s="19">
        <f>IF($A89="","",N(Items!K89)*$W89)</f>
        <v/>
      </c>
      <c r="Z89" s="19">
        <f>IF($A89="","",(N(Items!K89)-N(Items!J89))*$W89)</f>
        <v/>
      </c>
      <c r="AA89" s="19">
        <f>IF($A89="","",$Z89-$X89)</f>
        <v/>
      </c>
      <c r="AB89" s="10">
        <f>IF($A89="","",IF(TRIM(Items!C89&amp;"")="","CHECK: import country missing",IF(OR(LEN($C89)&lt;&gt;10,ISERROR(VALUE($C89))),"CHECK: HTS must be 10 digits",IF(LEN($E89)&lt;&gt;2,"CHECK: origin code missing or not 2 letters",IF(OR(Items!G89="",Items!I89="",Items!J89=""),"CHECK: value, rate or cost missing",IF(ISNUMBER(Items!G89)*ISNUMBER(Items!I89)*ISNUMBER(Items!J89)=0,"CHECK: text in a number column",IF(AND($L89="Y",UPPER(TRIM(act_RateType&amp;""))="REPLACE",$N89&lt;N(act_PriorRate)),"CHECK: current rate is below the rate being replaced",IF(AND($L89="Y",$W89=0),"NOTE: in scope, no volume","OK"))))))))</f>
        <v/>
      </c>
      <c r="AC89" s="20">
        <f>IF($A89="","",IF(AND($L89="Y",$X89&lt;&gt;0),ABS($X89)+ROW()/1000000000,""))</f>
        <v/>
      </c>
    </row>
    <row r="90">
      <c r="A90" s="10">
        <f>IF(TRIM(Items!A90&amp;"")="","",TRIM(Items!A90&amp;""))</f>
        <v/>
      </c>
      <c r="B90" s="10">
        <f>IF($A90="","",Items!B90&amp;"")</f>
        <v/>
      </c>
      <c r="C90" s="10">
        <f>IF($A90="","",SUBSTITUTE(SUBSTITUTE(SUBSTITUTE(TRIM(Items!D90&amp;""),".","")," ",""),"-",""))</f>
        <v/>
      </c>
      <c r="D90" s="10">
        <f>IF($A90="","",LEFT($C90,2))</f>
        <v/>
      </c>
      <c r="E90" s="10">
        <f>IF($A90="","",UPPER(TRIM(Items!E90&amp;"")))</f>
        <v/>
      </c>
      <c r="F90" s="10">
        <f>IF($A90="","",IF(UPPER(TRIM(Items!C90&amp;""))=UPPER(TRIM(act_Country&amp;"")),"Y","N"))</f>
        <v/>
      </c>
      <c r="G90" s="10">
        <f>IF($A90="","",IF(SUMPRODUCT((scope_HTS&lt;&gt;"")*(LEFT($C90,LEN(scope_HTS))=scope_HTS))&gt;0,"Y","N"))</f>
        <v/>
      </c>
      <c r="H90" s="10">
        <f>IF($A90="","",IF(SUMPRODUCT((excl_HTS&lt;&gt;"")*(LEFT($C90,LEN(excl_HTS))=excl_HTS))&gt;0,"Y","N"))</f>
        <v/>
      </c>
      <c r="I90" s="10">
        <f>IF($A90="","",IF($E90="","N",IF(COUNTIF(scope_COO,$E90)&gt;0,"Y","N")))</f>
        <v/>
      </c>
      <c r="J90" s="10">
        <f>IF($A90="","",IF(AND(UPPER(TRIM(act_USMCAExempt&amp;""))="Y",UPPER(TRIM(Items!F90&amp;""))="Y"),"Y","N"))</f>
        <v/>
      </c>
      <c r="K90" s="10">
        <f>IF($A90="","",IFERROR(UPPER(TRIM(INDEX(det_Status,MATCH($A90,det_Item,0))&amp;"")),""))</f>
        <v/>
      </c>
      <c r="L90" s="10">
        <f>IF($A90="","",IF($K90="IN","Y",IF($K90="OUT","N",IF(AND($F90="Y",$G90="Y",$H90="N",$I90="Y",$J90="N"),"Y","N"))))</f>
        <v/>
      </c>
      <c r="M90" s="10">
        <f>IF($A90="","",IF($K90="IN","In: Research determination",IF($K90="OUT","Out: Research determination",IF($F90="N","Out: different import country",IF($G90="N","Out: HTS not on scope list",IF($H90="Y","Out: HTS on exclusion list",IF($I90="N","Out: origin not on scope list",IF($J90="Y","Out: USMCA-qualifying, exempt","In: matches scope rules"))))))))</f>
        <v/>
      </c>
      <c r="N90" s="16">
        <f>IF($A90="","",N(Items!I90))</f>
        <v/>
      </c>
      <c r="O90" s="16">
        <f>IF($A90="","",IF($L90="Y",$N90+N(act_Rate)-IF(UPPER(TRIM(act_RateType&amp;""))="REPLACE",N(act_PriorRate),0),$N90))</f>
        <v/>
      </c>
      <c r="P90" s="17">
        <f>IF($A90="","",N(Items!G90)*$N90)</f>
        <v/>
      </c>
      <c r="Q90" s="17">
        <f>IF($A90="","",N(Items!G90)*$O90)</f>
        <v/>
      </c>
      <c r="R90" s="17">
        <f>IF($A90="","",$Q90-$P90)</f>
        <v/>
      </c>
      <c r="S90" s="17">
        <f>IF($A90="","",N(Items!J90)+$R90)</f>
        <v/>
      </c>
      <c r="T90" s="16">
        <f>IF($A90="","",IF(N(Items!K90)=0,"",(N(Items!K90)-N(Items!J90))/N(Items!K90)))</f>
        <v/>
      </c>
      <c r="U90" s="16">
        <f>IF($A90="","",IF(N(Items!K90)=0,"",(N(Items!K90)-$S90)/N(Items!K90)))</f>
        <v/>
      </c>
      <c r="V90" s="16">
        <f>IF(OR($T90="",$U90=""),"",$U90-$T90)</f>
        <v/>
      </c>
      <c r="W90" s="18">
        <f>IF($A90="","",N(Items!H90))</f>
        <v/>
      </c>
      <c r="X90" s="19">
        <f>IF($A90="","",$R90*$W90)</f>
        <v/>
      </c>
      <c r="Y90" s="19">
        <f>IF($A90="","",N(Items!K90)*$W90)</f>
        <v/>
      </c>
      <c r="Z90" s="19">
        <f>IF($A90="","",(N(Items!K90)-N(Items!J90))*$W90)</f>
        <v/>
      </c>
      <c r="AA90" s="19">
        <f>IF($A90="","",$Z90-$X90)</f>
        <v/>
      </c>
      <c r="AB90" s="10">
        <f>IF($A90="","",IF(TRIM(Items!C90&amp;"")="","CHECK: import country missing",IF(OR(LEN($C90)&lt;&gt;10,ISERROR(VALUE($C90))),"CHECK: HTS must be 10 digits",IF(LEN($E90)&lt;&gt;2,"CHECK: origin code missing or not 2 letters",IF(OR(Items!G90="",Items!I90="",Items!J90=""),"CHECK: value, rate or cost missing",IF(ISNUMBER(Items!G90)*ISNUMBER(Items!I90)*ISNUMBER(Items!J90)=0,"CHECK: text in a number column",IF(AND($L90="Y",UPPER(TRIM(act_RateType&amp;""))="REPLACE",$N90&lt;N(act_PriorRate)),"CHECK: current rate is below the rate being replaced",IF(AND($L90="Y",$W90=0),"NOTE: in scope, no volume","OK"))))))))</f>
        <v/>
      </c>
      <c r="AC90" s="20">
        <f>IF($A90="","",IF(AND($L90="Y",$X90&lt;&gt;0),ABS($X90)+ROW()/1000000000,""))</f>
        <v/>
      </c>
    </row>
    <row r="91">
      <c r="A91" s="10">
        <f>IF(TRIM(Items!A91&amp;"")="","",TRIM(Items!A91&amp;""))</f>
        <v/>
      </c>
      <c r="B91" s="10">
        <f>IF($A91="","",Items!B91&amp;"")</f>
        <v/>
      </c>
      <c r="C91" s="10">
        <f>IF($A91="","",SUBSTITUTE(SUBSTITUTE(SUBSTITUTE(TRIM(Items!D91&amp;""),".","")," ",""),"-",""))</f>
        <v/>
      </c>
      <c r="D91" s="10">
        <f>IF($A91="","",LEFT($C91,2))</f>
        <v/>
      </c>
      <c r="E91" s="10">
        <f>IF($A91="","",UPPER(TRIM(Items!E91&amp;"")))</f>
        <v/>
      </c>
      <c r="F91" s="10">
        <f>IF($A91="","",IF(UPPER(TRIM(Items!C91&amp;""))=UPPER(TRIM(act_Country&amp;"")),"Y","N"))</f>
        <v/>
      </c>
      <c r="G91" s="10">
        <f>IF($A91="","",IF(SUMPRODUCT((scope_HTS&lt;&gt;"")*(LEFT($C91,LEN(scope_HTS))=scope_HTS))&gt;0,"Y","N"))</f>
        <v/>
      </c>
      <c r="H91" s="10">
        <f>IF($A91="","",IF(SUMPRODUCT((excl_HTS&lt;&gt;"")*(LEFT($C91,LEN(excl_HTS))=excl_HTS))&gt;0,"Y","N"))</f>
        <v/>
      </c>
      <c r="I91" s="10">
        <f>IF($A91="","",IF($E91="","N",IF(COUNTIF(scope_COO,$E91)&gt;0,"Y","N")))</f>
        <v/>
      </c>
      <c r="J91" s="10">
        <f>IF($A91="","",IF(AND(UPPER(TRIM(act_USMCAExempt&amp;""))="Y",UPPER(TRIM(Items!F91&amp;""))="Y"),"Y","N"))</f>
        <v/>
      </c>
      <c r="K91" s="10">
        <f>IF($A91="","",IFERROR(UPPER(TRIM(INDEX(det_Status,MATCH($A91,det_Item,0))&amp;"")),""))</f>
        <v/>
      </c>
      <c r="L91" s="10">
        <f>IF($A91="","",IF($K91="IN","Y",IF($K91="OUT","N",IF(AND($F91="Y",$G91="Y",$H91="N",$I91="Y",$J91="N"),"Y","N"))))</f>
        <v/>
      </c>
      <c r="M91" s="10">
        <f>IF($A91="","",IF($K91="IN","In: Research determination",IF($K91="OUT","Out: Research determination",IF($F91="N","Out: different import country",IF($G91="N","Out: HTS not on scope list",IF($H91="Y","Out: HTS on exclusion list",IF($I91="N","Out: origin not on scope list",IF($J91="Y","Out: USMCA-qualifying, exempt","In: matches scope rules"))))))))</f>
        <v/>
      </c>
      <c r="N91" s="16">
        <f>IF($A91="","",N(Items!I91))</f>
        <v/>
      </c>
      <c r="O91" s="16">
        <f>IF($A91="","",IF($L91="Y",$N91+N(act_Rate)-IF(UPPER(TRIM(act_RateType&amp;""))="REPLACE",N(act_PriorRate),0),$N91))</f>
        <v/>
      </c>
      <c r="P91" s="17">
        <f>IF($A91="","",N(Items!G91)*$N91)</f>
        <v/>
      </c>
      <c r="Q91" s="17">
        <f>IF($A91="","",N(Items!G91)*$O91)</f>
        <v/>
      </c>
      <c r="R91" s="17">
        <f>IF($A91="","",$Q91-$P91)</f>
        <v/>
      </c>
      <c r="S91" s="17">
        <f>IF($A91="","",N(Items!J91)+$R91)</f>
        <v/>
      </c>
      <c r="T91" s="16">
        <f>IF($A91="","",IF(N(Items!K91)=0,"",(N(Items!K91)-N(Items!J91))/N(Items!K91)))</f>
        <v/>
      </c>
      <c r="U91" s="16">
        <f>IF($A91="","",IF(N(Items!K91)=0,"",(N(Items!K91)-$S91)/N(Items!K91)))</f>
        <v/>
      </c>
      <c r="V91" s="16">
        <f>IF(OR($T91="",$U91=""),"",$U91-$T91)</f>
        <v/>
      </c>
      <c r="W91" s="18">
        <f>IF($A91="","",N(Items!H91))</f>
        <v/>
      </c>
      <c r="X91" s="19">
        <f>IF($A91="","",$R91*$W91)</f>
        <v/>
      </c>
      <c r="Y91" s="19">
        <f>IF($A91="","",N(Items!K91)*$W91)</f>
        <v/>
      </c>
      <c r="Z91" s="19">
        <f>IF($A91="","",(N(Items!K91)-N(Items!J91))*$W91)</f>
        <v/>
      </c>
      <c r="AA91" s="19">
        <f>IF($A91="","",$Z91-$X91)</f>
        <v/>
      </c>
      <c r="AB91" s="10">
        <f>IF($A91="","",IF(TRIM(Items!C91&amp;"")="","CHECK: import country missing",IF(OR(LEN($C91)&lt;&gt;10,ISERROR(VALUE($C91))),"CHECK: HTS must be 10 digits",IF(LEN($E91)&lt;&gt;2,"CHECK: origin code missing or not 2 letters",IF(OR(Items!G91="",Items!I91="",Items!J91=""),"CHECK: value, rate or cost missing",IF(ISNUMBER(Items!G91)*ISNUMBER(Items!I91)*ISNUMBER(Items!J91)=0,"CHECK: text in a number column",IF(AND($L91="Y",UPPER(TRIM(act_RateType&amp;""))="REPLACE",$N91&lt;N(act_PriorRate)),"CHECK: current rate is below the rate being replaced",IF(AND($L91="Y",$W91=0),"NOTE: in scope, no volume","OK"))))))))</f>
        <v/>
      </c>
      <c r="AC91" s="20">
        <f>IF($A91="","",IF(AND($L91="Y",$X91&lt;&gt;0),ABS($X91)+ROW()/1000000000,""))</f>
        <v/>
      </c>
    </row>
    <row r="92">
      <c r="A92" s="10">
        <f>IF(TRIM(Items!A92&amp;"")="","",TRIM(Items!A92&amp;""))</f>
        <v/>
      </c>
      <c r="B92" s="10">
        <f>IF($A92="","",Items!B92&amp;"")</f>
        <v/>
      </c>
      <c r="C92" s="10">
        <f>IF($A92="","",SUBSTITUTE(SUBSTITUTE(SUBSTITUTE(TRIM(Items!D92&amp;""),".","")," ",""),"-",""))</f>
        <v/>
      </c>
      <c r="D92" s="10">
        <f>IF($A92="","",LEFT($C92,2))</f>
        <v/>
      </c>
      <c r="E92" s="10">
        <f>IF($A92="","",UPPER(TRIM(Items!E92&amp;"")))</f>
        <v/>
      </c>
      <c r="F92" s="10">
        <f>IF($A92="","",IF(UPPER(TRIM(Items!C92&amp;""))=UPPER(TRIM(act_Country&amp;"")),"Y","N"))</f>
        <v/>
      </c>
      <c r="G92" s="10">
        <f>IF($A92="","",IF(SUMPRODUCT((scope_HTS&lt;&gt;"")*(LEFT($C92,LEN(scope_HTS))=scope_HTS))&gt;0,"Y","N"))</f>
        <v/>
      </c>
      <c r="H92" s="10">
        <f>IF($A92="","",IF(SUMPRODUCT((excl_HTS&lt;&gt;"")*(LEFT($C92,LEN(excl_HTS))=excl_HTS))&gt;0,"Y","N"))</f>
        <v/>
      </c>
      <c r="I92" s="10">
        <f>IF($A92="","",IF($E92="","N",IF(COUNTIF(scope_COO,$E92)&gt;0,"Y","N")))</f>
        <v/>
      </c>
      <c r="J92" s="10">
        <f>IF($A92="","",IF(AND(UPPER(TRIM(act_USMCAExempt&amp;""))="Y",UPPER(TRIM(Items!F92&amp;""))="Y"),"Y","N"))</f>
        <v/>
      </c>
      <c r="K92" s="10">
        <f>IF($A92="","",IFERROR(UPPER(TRIM(INDEX(det_Status,MATCH($A92,det_Item,0))&amp;"")),""))</f>
        <v/>
      </c>
      <c r="L92" s="10">
        <f>IF($A92="","",IF($K92="IN","Y",IF($K92="OUT","N",IF(AND($F92="Y",$G92="Y",$H92="N",$I92="Y",$J92="N"),"Y","N"))))</f>
        <v/>
      </c>
      <c r="M92" s="10">
        <f>IF($A92="","",IF($K92="IN","In: Research determination",IF($K92="OUT","Out: Research determination",IF($F92="N","Out: different import country",IF($G92="N","Out: HTS not on scope list",IF($H92="Y","Out: HTS on exclusion list",IF($I92="N","Out: origin not on scope list",IF($J92="Y","Out: USMCA-qualifying, exempt","In: matches scope rules"))))))))</f>
        <v/>
      </c>
      <c r="N92" s="16">
        <f>IF($A92="","",N(Items!I92))</f>
        <v/>
      </c>
      <c r="O92" s="16">
        <f>IF($A92="","",IF($L92="Y",$N92+N(act_Rate)-IF(UPPER(TRIM(act_RateType&amp;""))="REPLACE",N(act_PriorRate),0),$N92))</f>
        <v/>
      </c>
      <c r="P92" s="17">
        <f>IF($A92="","",N(Items!G92)*$N92)</f>
        <v/>
      </c>
      <c r="Q92" s="17">
        <f>IF($A92="","",N(Items!G92)*$O92)</f>
        <v/>
      </c>
      <c r="R92" s="17">
        <f>IF($A92="","",$Q92-$P92)</f>
        <v/>
      </c>
      <c r="S92" s="17">
        <f>IF($A92="","",N(Items!J92)+$R92)</f>
        <v/>
      </c>
      <c r="T92" s="16">
        <f>IF($A92="","",IF(N(Items!K92)=0,"",(N(Items!K92)-N(Items!J92))/N(Items!K92)))</f>
        <v/>
      </c>
      <c r="U92" s="16">
        <f>IF($A92="","",IF(N(Items!K92)=0,"",(N(Items!K92)-$S92)/N(Items!K92)))</f>
        <v/>
      </c>
      <c r="V92" s="16">
        <f>IF(OR($T92="",$U92=""),"",$U92-$T92)</f>
        <v/>
      </c>
      <c r="W92" s="18">
        <f>IF($A92="","",N(Items!H92))</f>
        <v/>
      </c>
      <c r="X92" s="19">
        <f>IF($A92="","",$R92*$W92)</f>
        <v/>
      </c>
      <c r="Y92" s="19">
        <f>IF($A92="","",N(Items!K92)*$W92)</f>
        <v/>
      </c>
      <c r="Z92" s="19">
        <f>IF($A92="","",(N(Items!K92)-N(Items!J92))*$W92)</f>
        <v/>
      </c>
      <c r="AA92" s="19">
        <f>IF($A92="","",$Z92-$X92)</f>
        <v/>
      </c>
      <c r="AB92" s="10">
        <f>IF($A92="","",IF(TRIM(Items!C92&amp;"")="","CHECK: import country missing",IF(OR(LEN($C92)&lt;&gt;10,ISERROR(VALUE($C92))),"CHECK: HTS must be 10 digits",IF(LEN($E92)&lt;&gt;2,"CHECK: origin code missing or not 2 letters",IF(OR(Items!G92="",Items!I92="",Items!J92=""),"CHECK: value, rate or cost missing",IF(ISNUMBER(Items!G92)*ISNUMBER(Items!I92)*ISNUMBER(Items!J92)=0,"CHECK: text in a number column",IF(AND($L92="Y",UPPER(TRIM(act_RateType&amp;""))="REPLACE",$N92&lt;N(act_PriorRate)),"CHECK: current rate is below the rate being replaced",IF(AND($L92="Y",$W92=0),"NOTE: in scope, no volume","OK"))))))))</f>
        <v/>
      </c>
      <c r="AC92" s="20">
        <f>IF($A92="","",IF(AND($L92="Y",$X92&lt;&gt;0),ABS($X92)+ROW()/1000000000,""))</f>
        <v/>
      </c>
    </row>
    <row r="93">
      <c r="A93" s="10">
        <f>IF(TRIM(Items!A93&amp;"")="","",TRIM(Items!A93&amp;""))</f>
        <v/>
      </c>
      <c r="B93" s="10">
        <f>IF($A93="","",Items!B93&amp;"")</f>
        <v/>
      </c>
      <c r="C93" s="10">
        <f>IF($A93="","",SUBSTITUTE(SUBSTITUTE(SUBSTITUTE(TRIM(Items!D93&amp;""),".","")," ",""),"-",""))</f>
        <v/>
      </c>
      <c r="D93" s="10">
        <f>IF($A93="","",LEFT($C93,2))</f>
        <v/>
      </c>
      <c r="E93" s="10">
        <f>IF($A93="","",UPPER(TRIM(Items!E93&amp;"")))</f>
        <v/>
      </c>
      <c r="F93" s="10">
        <f>IF($A93="","",IF(UPPER(TRIM(Items!C93&amp;""))=UPPER(TRIM(act_Country&amp;"")),"Y","N"))</f>
        <v/>
      </c>
      <c r="G93" s="10">
        <f>IF($A93="","",IF(SUMPRODUCT((scope_HTS&lt;&gt;"")*(LEFT($C93,LEN(scope_HTS))=scope_HTS))&gt;0,"Y","N"))</f>
        <v/>
      </c>
      <c r="H93" s="10">
        <f>IF($A93="","",IF(SUMPRODUCT((excl_HTS&lt;&gt;"")*(LEFT($C93,LEN(excl_HTS))=excl_HTS))&gt;0,"Y","N"))</f>
        <v/>
      </c>
      <c r="I93" s="10">
        <f>IF($A93="","",IF($E93="","N",IF(COUNTIF(scope_COO,$E93)&gt;0,"Y","N")))</f>
        <v/>
      </c>
      <c r="J93" s="10">
        <f>IF($A93="","",IF(AND(UPPER(TRIM(act_USMCAExempt&amp;""))="Y",UPPER(TRIM(Items!F93&amp;""))="Y"),"Y","N"))</f>
        <v/>
      </c>
      <c r="K93" s="10">
        <f>IF($A93="","",IFERROR(UPPER(TRIM(INDEX(det_Status,MATCH($A93,det_Item,0))&amp;"")),""))</f>
        <v/>
      </c>
      <c r="L93" s="10">
        <f>IF($A93="","",IF($K93="IN","Y",IF($K93="OUT","N",IF(AND($F93="Y",$G93="Y",$H93="N",$I93="Y",$J93="N"),"Y","N"))))</f>
        <v/>
      </c>
      <c r="M93" s="10">
        <f>IF($A93="","",IF($K93="IN","In: Research determination",IF($K93="OUT","Out: Research determination",IF($F93="N","Out: different import country",IF($G93="N","Out: HTS not on scope list",IF($H93="Y","Out: HTS on exclusion list",IF($I93="N","Out: origin not on scope list",IF($J93="Y","Out: USMCA-qualifying, exempt","In: matches scope rules"))))))))</f>
        <v/>
      </c>
      <c r="N93" s="16">
        <f>IF($A93="","",N(Items!I93))</f>
        <v/>
      </c>
      <c r="O93" s="16">
        <f>IF($A93="","",IF($L93="Y",$N93+N(act_Rate)-IF(UPPER(TRIM(act_RateType&amp;""))="REPLACE",N(act_PriorRate),0),$N93))</f>
        <v/>
      </c>
      <c r="P93" s="17">
        <f>IF($A93="","",N(Items!G93)*$N93)</f>
        <v/>
      </c>
      <c r="Q93" s="17">
        <f>IF($A93="","",N(Items!G93)*$O93)</f>
        <v/>
      </c>
      <c r="R93" s="17">
        <f>IF($A93="","",$Q93-$P93)</f>
        <v/>
      </c>
      <c r="S93" s="17">
        <f>IF($A93="","",N(Items!J93)+$R93)</f>
        <v/>
      </c>
      <c r="T93" s="16">
        <f>IF($A93="","",IF(N(Items!K93)=0,"",(N(Items!K93)-N(Items!J93))/N(Items!K93)))</f>
        <v/>
      </c>
      <c r="U93" s="16">
        <f>IF($A93="","",IF(N(Items!K93)=0,"",(N(Items!K93)-$S93)/N(Items!K93)))</f>
        <v/>
      </c>
      <c r="V93" s="16">
        <f>IF(OR($T93="",$U93=""),"",$U93-$T93)</f>
        <v/>
      </c>
      <c r="W93" s="18">
        <f>IF($A93="","",N(Items!H93))</f>
        <v/>
      </c>
      <c r="X93" s="19">
        <f>IF($A93="","",$R93*$W93)</f>
        <v/>
      </c>
      <c r="Y93" s="19">
        <f>IF($A93="","",N(Items!K93)*$W93)</f>
        <v/>
      </c>
      <c r="Z93" s="19">
        <f>IF($A93="","",(N(Items!K93)-N(Items!J93))*$W93)</f>
        <v/>
      </c>
      <c r="AA93" s="19">
        <f>IF($A93="","",$Z93-$X93)</f>
        <v/>
      </c>
      <c r="AB93" s="10">
        <f>IF($A93="","",IF(TRIM(Items!C93&amp;"")="","CHECK: import country missing",IF(OR(LEN($C93)&lt;&gt;10,ISERROR(VALUE($C93))),"CHECK: HTS must be 10 digits",IF(LEN($E93)&lt;&gt;2,"CHECK: origin code missing or not 2 letters",IF(OR(Items!G93="",Items!I93="",Items!J93=""),"CHECK: value, rate or cost missing",IF(ISNUMBER(Items!G93)*ISNUMBER(Items!I93)*ISNUMBER(Items!J93)=0,"CHECK: text in a number column",IF(AND($L93="Y",UPPER(TRIM(act_RateType&amp;""))="REPLACE",$N93&lt;N(act_PriorRate)),"CHECK: current rate is below the rate being replaced",IF(AND($L93="Y",$W93=0),"NOTE: in scope, no volume","OK"))))))))</f>
        <v/>
      </c>
      <c r="AC93" s="20">
        <f>IF($A93="","",IF(AND($L93="Y",$X93&lt;&gt;0),ABS($X93)+ROW()/1000000000,""))</f>
        <v/>
      </c>
    </row>
    <row r="94">
      <c r="A94" s="10">
        <f>IF(TRIM(Items!A94&amp;"")="","",TRIM(Items!A94&amp;""))</f>
        <v/>
      </c>
      <c r="B94" s="10">
        <f>IF($A94="","",Items!B94&amp;"")</f>
        <v/>
      </c>
      <c r="C94" s="10">
        <f>IF($A94="","",SUBSTITUTE(SUBSTITUTE(SUBSTITUTE(TRIM(Items!D94&amp;""),".","")," ",""),"-",""))</f>
        <v/>
      </c>
      <c r="D94" s="10">
        <f>IF($A94="","",LEFT($C94,2))</f>
        <v/>
      </c>
      <c r="E94" s="10">
        <f>IF($A94="","",UPPER(TRIM(Items!E94&amp;"")))</f>
        <v/>
      </c>
      <c r="F94" s="10">
        <f>IF($A94="","",IF(UPPER(TRIM(Items!C94&amp;""))=UPPER(TRIM(act_Country&amp;"")),"Y","N"))</f>
        <v/>
      </c>
      <c r="G94" s="10">
        <f>IF($A94="","",IF(SUMPRODUCT((scope_HTS&lt;&gt;"")*(LEFT($C94,LEN(scope_HTS))=scope_HTS))&gt;0,"Y","N"))</f>
        <v/>
      </c>
      <c r="H94" s="10">
        <f>IF($A94="","",IF(SUMPRODUCT((excl_HTS&lt;&gt;"")*(LEFT($C94,LEN(excl_HTS))=excl_HTS))&gt;0,"Y","N"))</f>
        <v/>
      </c>
      <c r="I94" s="10">
        <f>IF($A94="","",IF($E94="","N",IF(COUNTIF(scope_COO,$E94)&gt;0,"Y","N")))</f>
        <v/>
      </c>
      <c r="J94" s="10">
        <f>IF($A94="","",IF(AND(UPPER(TRIM(act_USMCAExempt&amp;""))="Y",UPPER(TRIM(Items!F94&amp;""))="Y"),"Y","N"))</f>
        <v/>
      </c>
      <c r="K94" s="10">
        <f>IF($A94="","",IFERROR(UPPER(TRIM(INDEX(det_Status,MATCH($A94,det_Item,0))&amp;"")),""))</f>
        <v/>
      </c>
      <c r="L94" s="10">
        <f>IF($A94="","",IF($K94="IN","Y",IF($K94="OUT","N",IF(AND($F94="Y",$G94="Y",$H94="N",$I94="Y",$J94="N"),"Y","N"))))</f>
        <v/>
      </c>
      <c r="M94" s="10">
        <f>IF($A94="","",IF($K94="IN","In: Research determination",IF($K94="OUT","Out: Research determination",IF($F94="N","Out: different import country",IF($G94="N","Out: HTS not on scope list",IF($H94="Y","Out: HTS on exclusion list",IF($I94="N","Out: origin not on scope list",IF($J94="Y","Out: USMCA-qualifying, exempt","In: matches scope rules"))))))))</f>
        <v/>
      </c>
      <c r="N94" s="16">
        <f>IF($A94="","",N(Items!I94))</f>
        <v/>
      </c>
      <c r="O94" s="16">
        <f>IF($A94="","",IF($L94="Y",$N94+N(act_Rate)-IF(UPPER(TRIM(act_RateType&amp;""))="REPLACE",N(act_PriorRate),0),$N94))</f>
        <v/>
      </c>
      <c r="P94" s="17">
        <f>IF($A94="","",N(Items!G94)*$N94)</f>
        <v/>
      </c>
      <c r="Q94" s="17">
        <f>IF($A94="","",N(Items!G94)*$O94)</f>
        <v/>
      </c>
      <c r="R94" s="17">
        <f>IF($A94="","",$Q94-$P94)</f>
        <v/>
      </c>
      <c r="S94" s="17">
        <f>IF($A94="","",N(Items!J94)+$R94)</f>
        <v/>
      </c>
      <c r="T94" s="16">
        <f>IF($A94="","",IF(N(Items!K94)=0,"",(N(Items!K94)-N(Items!J94))/N(Items!K94)))</f>
        <v/>
      </c>
      <c r="U94" s="16">
        <f>IF($A94="","",IF(N(Items!K94)=0,"",(N(Items!K94)-$S94)/N(Items!K94)))</f>
        <v/>
      </c>
      <c r="V94" s="16">
        <f>IF(OR($T94="",$U94=""),"",$U94-$T94)</f>
        <v/>
      </c>
      <c r="W94" s="18">
        <f>IF($A94="","",N(Items!H94))</f>
        <v/>
      </c>
      <c r="X94" s="19">
        <f>IF($A94="","",$R94*$W94)</f>
        <v/>
      </c>
      <c r="Y94" s="19">
        <f>IF($A94="","",N(Items!K94)*$W94)</f>
        <v/>
      </c>
      <c r="Z94" s="19">
        <f>IF($A94="","",(N(Items!K94)-N(Items!J94))*$W94)</f>
        <v/>
      </c>
      <c r="AA94" s="19">
        <f>IF($A94="","",$Z94-$X94)</f>
        <v/>
      </c>
      <c r="AB94" s="10">
        <f>IF($A94="","",IF(TRIM(Items!C94&amp;"")="","CHECK: import country missing",IF(OR(LEN($C94)&lt;&gt;10,ISERROR(VALUE($C94))),"CHECK: HTS must be 10 digits",IF(LEN($E94)&lt;&gt;2,"CHECK: origin code missing or not 2 letters",IF(OR(Items!G94="",Items!I94="",Items!J94=""),"CHECK: value, rate or cost missing",IF(ISNUMBER(Items!G94)*ISNUMBER(Items!I94)*ISNUMBER(Items!J94)=0,"CHECK: text in a number column",IF(AND($L94="Y",UPPER(TRIM(act_RateType&amp;""))="REPLACE",$N94&lt;N(act_PriorRate)),"CHECK: current rate is below the rate being replaced",IF(AND($L94="Y",$W94=0),"NOTE: in scope, no volume","OK"))))))))</f>
        <v/>
      </c>
      <c r="AC94" s="20">
        <f>IF($A94="","",IF(AND($L94="Y",$X94&lt;&gt;0),ABS($X94)+ROW()/1000000000,""))</f>
        <v/>
      </c>
    </row>
    <row r="95">
      <c r="A95" s="10">
        <f>IF(TRIM(Items!A95&amp;"")="","",TRIM(Items!A95&amp;""))</f>
        <v/>
      </c>
      <c r="B95" s="10">
        <f>IF($A95="","",Items!B95&amp;"")</f>
        <v/>
      </c>
      <c r="C95" s="10">
        <f>IF($A95="","",SUBSTITUTE(SUBSTITUTE(SUBSTITUTE(TRIM(Items!D95&amp;""),".","")," ",""),"-",""))</f>
        <v/>
      </c>
      <c r="D95" s="10">
        <f>IF($A95="","",LEFT($C95,2))</f>
        <v/>
      </c>
      <c r="E95" s="10">
        <f>IF($A95="","",UPPER(TRIM(Items!E95&amp;"")))</f>
        <v/>
      </c>
      <c r="F95" s="10">
        <f>IF($A95="","",IF(UPPER(TRIM(Items!C95&amp;""))=UPPER(TRIM(act_Country&amp;"")),"Y","N"))</f>
        <v/>
      </c>
      <c r="G95" s="10">
        <f>IF($A95="","",IF(SUMPRODUCT((scope_HTS&lt;&gt;"")*(LEFT($C95,LEN(scope_HTS))=scope_HTS))&gt;0,"Y","N"))</f>
        <v/>
      </c>
      <c r="H95" s="10">
        <f>IF($A95="","",IF(SUMPRODUCT((excl_HTS&lt;&gt;"")*(LEFT($C95,LEN(excl_HTS))=excl_HTS))&gt;0,"Y","N"))</f>
        <v/>
      </c>
      <c r="I95" s="10">
        <f>IF($A95="","",IF($E95="","N",IF(COUNTIF(scope_COO,$E95)&gt;0,"Y","N")))</f>
        <v/>
      </c>
      <c r="J95" s="10">
        <f>IF($A95="","",IF(AND(UPPER(TRIM(act_USMCAExempt&amp;""))="Y",UPPER(TRIM(Items!F95&amp;""))="Y"),"Y","N"))</f>
        <v/>
      </c>
      <c r="K95" s="10">
        <f>IF($A95="","",IFERROR(UPPER(TRIM(INDEX(det_Status,MATCH($A95,det_Item,0))&amp;"")),""))</f>
        <v/>
      </c>
      <c r="L95" s="10">
        <f>IF($A95="","",IF($K95="IN","Y",IF($K95="OUT","N",IF(AND($F95="Y",$G95="Y",$H95="N",$I95="Y",$J95="N"),"Y","N"))))</f>
        <v/>
      </c>
      <c r="M95" s="10">
        <f>IF($A95="","",IF($K95="IN","In: Research determination",IF($K95="OUT","Out: Research determination",IF($F95="N","Out: different import country",IF($G95="N","Out: HTS not on scope list",IF($H95="Y","Out: HTS on exclusion list",IF($I95="N","Out: origin not on scope list",IF($J95="Y","Out: USMCA-qualifying, exempt","In: matches scope rules"))))))))</f>
        <v/>
      </c>
      <c r="N95" s="16">
        <f>IF($A95="","",N(Items!I95))</f>
        <v/>
      </c>
      <c r="O95" s="16">
        <f>IF($A95="","",IF($L95="Y",$N95+N(act_Rate)-IF(UPPER(TRIM(act_RateType&amp;""))="REPLACE",N(act_PriorRate),0),$N95))</f>
        <v/>
      </c>
      <c r="P95" s="17">
        <f>IF($A95="","",N(Items!G95)*$N95)</f>
        <v/>
      </c>
      <c r="Q95" s="17">
        <f>IF($A95="","",N(Items!G95)*$O95)</f>
        <v/>
      </c>
      <c r="R95" s="17">
        <f>IF($A95="","",$Q95-$P95)</f>
        <v/>
      </c>
      <c r="S95" s="17">
        <f>IF($A95="","",N(Items!J95)+$R95)</f>
        <v/>
      </c>
      <c r="T95" s="16">
        <f>IF($A95="","",IF(N(Items!K95)=0,"",(N(Items!K95)-N(Items!J95))/N(Items!K95)))</f>
        <v/>
      </c>
      <c r="U95" s="16">
        <f>IF($A95="","",IF(N(Items!K95)=0,"",(N(Items!K95)-$S95)/N(Items!K95)))</f>
        <v/>
      </c>
      <c r="V95" s="16">
        <f>IF(OR($T95="",$U95=""),"",$U95-$T95)</f>
        <v/>
      </c>
      <c r="W95" s="18">
        <f>IF($A95="","",N(Items!H95))</f>
        <v/>
      </c>
      <c r="X95" s="19">
        <f>IF($A95="","",$R95*$W95)</f>
        <v/>
      </c>
      <c r="Y95" s="19">
        <f>IF($A95="","",N(Items!K95)*$W95)</f>
        <v/>
      </c>
      <c r="Z95" s="19">
        <f>IF($A95="","",(N(Items!K95)-N(Items!J95))*$W95)</f>
        <v/>
      </c>
      <c r="AA95" s="19">
        <f>IF($A95="","",$Z95-$X95)</f>
        <v/>
      </c>
      <c r="AB95" s="10">
        <f>IF($A95="","",IF(TRIM(Items!C95&amp;"")="","CHECK: import country missing",IF(OR(LEN($C95)&lt;&gt;10,ISERROR(VALUE($C95))),"CHECK: HTS must be 10 digits",IF(LEN($E95)&lt;&gt;2,"CHECK: origin code missing or not 2 letters",IF(OR(Items!G95="",Items!I95="",Items!J95=""),"CHECK: value, rate or cost missing",IF(ISNUMBER(Items!G95)*ISNUMBER(Items!I95)*ISNUMBER(Items!J95)=0,"CHECK: text in a number column",IF(AND($L95="Y",UPPER(TRIM(act_RateType&amp;""))="REPLACE",$N95&lt;N(act_PriorRate)),"CHECK: current rate is below the rate being replaced",IF(AND($L95="Y",$W95=0),"NOTE: in scope, no volume","OK"))))))))</f>
        <v/>
      </c>
      <c r="AC95" s="20">
        <f>IF($A95="","",IF(AND($L95="Y",$X95&lt;&gt;0),ABS($X95)+ROW()/1000000000,""))</f>
        <v/>
      </c>
    </row>
    <row r="96">
      <c r="A96" s="10">
        <f>IF(TRIM(Items!A96&amp;"")="","",TRIM(Items!A96&amp;""))</f>
        <v/>
      </c>
      <c r="B96" s="10">
        <f>IF($A96="","",Items!B96&amp;"")</f>
        <v/>
      </c>
      <c r="C96" s="10">
        <f>IF($A96="","",SUBSTITUTE(SUBSTITUTE(SUBSTITUTE(TRIM(Items!D96&amp;""),".","")," ",""),"-",""))</f>
        <v/>
      </c>
      <c r="D96" s="10">
        <f>IF($A96="","",LEFT($C96,2))</f>
        <v/>
      </c>
      <c r="E96" s="10">
        <f>IF($A96="","",UPPER(TRIM(Items!E96&amp;"")))</f>
        <v/>
      </c>
      <c r="F96" s="10">
        <f>IF($A96="","",IF(UPPER(TRIM(Items!C96&amp;""))=UPPER(TRIM(act_Country&amp;"")),"Y","N"))</f>
        <v/>
      </c>
      <c r="G96" s="10">
        <f>IF($A96="","",IF(SUMPRODUCT((scope_HTS&lt;&gt;"")*(LEFT($C96,LEN(scope_HTS))=scope_HTS))&gt;0,"Y","N"))</f>
        <v/>
      </c>
      <c r="H96" s="10">
        <f>IF($A96="","",IF(SUMPRODUCT((excl_HTS&lt;&gt;"")*(LEFT($C96,LEN(excl_HTS))=excl_HTS))&gt;0,"Y","N"))</f>
        <v/>
      </c>
      <c r="I96" s="10">
        <f>IF($A96="","",IF($E96="","N",IF(COUNTIF(scope_COO,$E96)&gt;0,"Y","N")))</f>
        <v/>
      </c>
      <c r="J96" s="10">
        <f>IF($A96="","",IF(AND(UPPER(TRIM(act_USMCAExempt&amp;""))="Y",UPPER(TRIM(Items!F96&amp;""))="Y"),"Y","N"))</f>
        <v/>
      </c>
      <c r="K96" s="10">
        <f>IF($A96="","",IFERROR(UPPER(TRIM(INDEX(det_Status,MATCH($A96,det_Item,0))&amp;"")),""))</f>
        <v/>
      </c>
      <c r="L96" s="10">
        <f>IF($A96="","",IF($K96="IN","Y",IF($K96="OUT","N",IF(AND($F96="Y",$G96="Y",$H96="N",$I96="Y",$J96="N"),"Y","N"))))</f>
        <v/>
      </c>
      <c r="M96" s="10">
        <f>IF($A96="","",IF($K96="IN","In: Research determination",IF($K96="OUT","Out: Research determination",IF($F96="N","Out: different import country",IF($G96="N","Out: HTS not on scope list",IF($H96="Y","Out: HTS on exclusion list",IF($I96="N","Out: origin not on scope list",IF($J96="Y","Out: USMCA-qualifying, exempt","In: matches scope rules"))))))))</f>
        <v/>
      </c>
      <c r="N96" s="16">
        <f>IF($A96="","",N(Items!I96))</f>
        <v/>
      </c>
      <c r="O96" s="16">
        <f>IF($A96="","",IF($L96="Y",$N96+N(act_Rate)-IF(UPPER(TRIM(act_RateType&amp;""))="REPLACE",N(act_PriorRate),0),$N96))</f>
        <v/>
      </c>
      <c r="P96" s="17">
        <f>IF($A96="","",N(Items!G96)*$N96)</f>
        <v/>
      </c>
      <c r="Q96" s="17">
        <f>IF($A96="","",N(Items!G96)*$O96)</f>
        <v/>
      </c>
      <c r="R96" s="17">
        <f>IF($A96="","",$Q96-$P96)</f>
        <v/>
      </c>
      <c r="S96" s="17">
        <f>IF($A96="","",N(Items!J96)+$R96)</f>
        <v/>
      </c>
      <c r="T96" s="16">
        <f>IF($A96="","",IF(N(Items!K96)=0,"",(N(Items!K96)-N(Items!J96))/N(Items!K96)))</f>
        <v/>
      </c>
      <c r="U96" s="16">
        <f>IF($A96="","",IF(N(Items!K96)=0,"",(N(Items!K96)-$S96)/N(Items!K96)))</f>
        <v/>
      </c>
      <c r="V96" s="16">
        <f>IF(OR($T96="",$U96=""),"",$U96-$T96)</f>
        <v/>
      </c>
      <c r="W96" s="18">
        <f>IF($A96="","",N(Items!H96))</f>
        <v/>
      </c>
      <c r="X96" s="19">
        <f>IF($A96="","",$R96*$W96)</f>
        <v/>
      </c>
      <c r="Y96" s="19">
        <f>IF($A96="","",N(Items!K96)*$W96)</f>
        <v/>
      </c>
      <c r="Z96" s="19">
        <f>IF($A96="","",(N(Items!K96)-N(Items!J96))*$W96)</f>
        <v/>
      </c>
      <c r="AA96" s="19">
        <f>IF($A96="","",$Z96-$X96)</f>
        <v/>
      </c>
      <c r="AB96" s="10">
        <f>IF($A96="","",IF(TRIM(Items!C96&amp;"")="","CHECK: import country missing",IF(OR(LEN($C96)&lt;&gt;10,ISERROR(VALUE($C96))),"CHECK: HTS must be 10 digits",IF(LEN($E96)&lt;&gt;2,"CHECK: origin code missing or not 2 letters",IF(OR(Items!G96="",Items!I96="",Items!J96=""),"CHECK: value, rate or cost missing",IF(ISNUMBER(Items!G96)*ISNUMBER(Items!I96)*ISNUMBER(Items!J96)=0,"CHECK: text in a number column",IF(AND($L96="Y",UPPER(TRIM(act_RateType&amp;""))="REPLACE",$N96&lt;N(act_PriorRate)),"CHECK: current rate is below the rate being replaced",IF(AND($L96="Y",$W96=0),"NOTE: in scope, no volume","OK"))))))))</f>
        <v/>
      </c>
      <c r="AC96" s="20">
        <f>IF($A96="","",IF(AND($L96="Y",$X96&lt;&gt;0),ABS($X96)+ROW()/1000000000,""))</f>
        <v/>
      </c>
    </row>
    <row r="97">
      <c r="A97" s="10">
        <f>IF(TRIM(Items!A97&amp;"")="","",TRIM(Items!A97&amp;""))</f>
        <v/>
      </c>
      <c r="B97" s="10">
        <f>IF($A97="","",Items!B97&amp;"")</f>
        <v/>
      </c>
      <c r="C97" s="10">
        <f>IF($A97="","",SUBSTITUTE(SUBSTITUTE(SUBSTITUTE(TRIM(Items!D97&amp;""),".","")," ",""),"-",""))</f>
        <v/>
      </c>
      <c r="D97" s="10">
        <f>IF($A97="","",LEFT($C97,2))</f>
        <v/>
      </c>
      <c r="E97" s="10">
        <f>IF($A97="","",UPPER(TRIM(Items!E97&amp;"")))</f>
        <v/>
      </c>
      <c r="F97" s="10">
        <f>IF($A97="","",IF(UPPER(TRIM(Items!C97&amp;""))=UPPER(TRIM(act_Country&amp;"")),"Y","N"))</f>
        <v/>
      </c>
      <c r="G97" s="10">
        <f>IF($A97="","",IF(SUMPRODUCT((scope_HTS&lt;&gt;"")*(LEFT($C97,LEN(scope_HTS))=scope_HTS))&gt;0,"Y","N"))</f>
        <v/>
      </c>
      <c r="H97" s="10">
        <f>IF($A97="","",IF(SUMPRODUCT((excl_HTS&lt;&gt;"")*(LEFT($C97,LEN(excl_HTS))=excl_HTS))&gt;0,"Y","N"))</f>
        <v/>
      </c>
      <c r="I97" s="10">
        <f>IF($A97="","",IF($E97="","N",IF(COUNTIF(scope_COO,$E97)&gt;0,"Y","N")))</f>
        <v/>
      </c>
      <c r="J97" s="10">
        <f>IF($A97="","",IF(AND(UPPER(TRIM(act_USMCAExempt&amp;""))="Y",UPPER(TRIM(Items!F97&amp;""))="Y"),"Y","N"))</f>
        <v/>
      </c>
      <c r="K97" s="10">
        <f>IF($A97="","",IFERROR(UPPER(TRIM(INDEX(det_Status,MATCH($A97,det_Item,0))&amp;"")),""))</f>
        <v/>
      </c>
      <c r="L97" s="10">
        <f>IF($A97="","",IF($K97="IN","Y",IF($K97="OUT","N",IF(AND($F97="Y",$G97="Y",$H97="N",$I97="Y",$J97="N"),"Y","N"))))</f>
        <v/>
      </c>
      <c r="M97" s="10">
        <f>IF($A97="","",IF($K97="IN","In: Research determination",IF($K97="OUT","Out: Research determination",IF($F97="N","Out: different import country",IF($G97="N","Out: HTS not on scope list",IF($H97="Y","Out: HTS on exclusion list",IF($I97="N","Out: origin not on scope list",IF($J97="Y","Out: USMCA-qualifying, exempt","In: matches scope rules"))))))))</f>
        <v/>
      </c>
      <c r="N97" s="16">
        <f>IF($A97="","",N(Items!I97))</f>
        <v/>
      </c>
      <c r="O97" s="16">
        <f>IF($A97="","",IF($L97="Y",$N97+N(act_Rate)-IF(UPPER(TRIM(act_RateType&amp;""))="REPLACE",N(act_PriorRate),0),$N97))</f>
        <v/>
      </c>
      <c r="P97" s="17">
        <f>IF($A97="","",N(Items!G97)*$N97)</f>
        <v/>
      </c>
      <c r="Q97" s="17">
        <f>IF($A97="","",N(Items!G97)*$O97)</f>
        <v/>
      </c>
      <c r="R97" s="17">
        <f>IF($A97="","",$Q97-$P97)</f>
        <v/>
      </c>
      <c r="S97" s="17">
        <f>IF($A97="","",N(Items!J97)+$R97)</f>
        <v/>
      </c>
      <c r="T97" s="16">
        <f>IF($A97="","",IF(N(Items!K97)=0,"",(N(Items!K97)-N(Items!J97))/N(Items!K97)))</f>
        <v/>
      </c>
      <c r="U97" s="16">
        <f>IF($A97="","",IF(N(Items!K97)=0,"",(N(Items!K97)-$S97)/N(Items!K97)))</f>
        <v/>
      </c>
      <c r="V97" s="16">
        <f>IF(OR($T97="",$U97=""),"",$U97-$T97)</f>
        <v/>
      </c>
      <c r="W97" s="18">
        <f>IF($A97="","",N(Items!H97))</f>
        <v/>
      </c>
      <c r="X97" s="19">
        <f>IF($A97="","",$R97*$W97)</f>
        <v/>
      </c>
      <c r="Y97" s="19">
        <f>IF($A97="","",N(Items!K97)*$W97)</f>
        <v/>
      </c>
      <c r="Z97" s="19">
        <f>IF($A97="","",(N(Items!K97)-N(Items!J97))*$W97)</f>
        <v/>
      </c>
      <c r="AA97" s="19">
        <f>IF($A97="","",$Z97-$X97)</f>
        <v/>
      </c>
      <c r="AB97" s="10">
        <f>IF($A97="","",IF(TRIM(Items!C97&amp;"")="","CHECK: import country missing",IF(OR(LEN($C97)&lt;&gt;10,ISERROR(VALUE($C97))),"CHECK: HTS must be 10 digits",IF(LEN($E97)&lt;&gt;2,"CHECK: origin code missing or not 2 letters",IF(OR(Items!G97="",Items!I97="",Items!J97=""),"CHECK: value, rate or cost missing",IF(ISNUMBER(Items!G97)*ISNUMBER(Items!I97)*ISNUMBER(Items!J97)=0,"CHECK: text in a number column",IF(AND($L97="Y",UPPER(TRIM(act_RateType&amp;""))="REPLACE",$N97&lt;N(act_PriorRate)),"CHECK: current rate is below the rate being replaced",IF(AND($L97="Y",$W97=0),"NOTE: in scope, no volume","OK"))))))))</f>
        <v/>
      </c>
      <c r="AC97" s="20">
        <f>IF($A97="","",IF(AND($L97="Y",$X97&lt;&gt;0),ABS($X97)+ROW()/1000000000,""))</f>
        <v/>
      </c>
    </row>
    <row r="98">
      <c r="A98" s="10">
        <f>IF(TRIM(Items!A98&amp;"")="","",TRIM(Items!A98&amp;""))</f>
        <v/>
      </c>
      <c r="B98" s="10">
        <f>IF($A98="","",Items!B98&amp;"")</f>
        <v/>
      </c>
      <c r="C98" s="10">
        <f>IF($A98="","",SUBSTITUTE(SUBSTITUTE(SUBSTITUTE(TRIM(Items!D98&amp;""),".","")," ",""),"-",""))</f>
        <v/>
      </c>
      <c r="D98" s="10">
        <f>IF($A98="","",LEFT($C98,2))</f>
        <v/>
      </c>
      <c r="E98" s="10">
        <f>IF($A98="","",UPPER(TRIM(Items!E98&amp;"")))</f>
        <v/>
      </c>
      <c r="F98" s="10">
        <f>IF($A98="","",IF(UPPER(TRIM(Items!C98&amp;""))=UPPER(TRIM(act_Country&amp;"")),"Y","N"))</f>
        <v/>
      </c>
      <c r="G98" s="10">
        <f>IF($A98="","",IF(SUMPRODUCT((scope_HTS&lt;&gt;"")*(LEFT($C98,LEN(scope_HTS))=scope_HTS))&gt;0,"Y","N"))</f>
        <v/>
      </c>
      <c r="H98" s="10">
        <f>IF($A98="","",IF(SUMPRODUCT((excl_HTS&lt;&gt;"")*(LEFT($C98,LEN(excl_HTS))=excl_HTS))&gt;0,"Y","N"))</f>
        <v/>
      </c>
      <c r="I98" s="10">
        <f>IF($A98="","",IF($E98="","N",IF(COUNTIF(scope_COO,$E98)&gt;0,"Y","N")))</f>
        <v/>
      </c>
      <c r="J98" s="10">
        <f>IF($A98="","",IF(AND(UPPER(TRIM(act_USMCAExempt&amp;""))="Y",UPPER(TRIM(Items!F98&amp;""))="Y"),"Y","N"))</f>
        <v/>
      </c>
      <c r="K98" s="10">
        <f>IF($A98="","",IFERROR(UPPER(TRIM(INDEX(det_Status,MATCH($A98,det_Item,0))&amp;"")),""))</f>
        <v/>
      </c>
      <c r="L98" s="10">
        <f>IF($A98="","",IF($K98="IN","Y",IF($K98="OUT","N",IF(AND($F98="Y",$G98="Y",$H98="N",$I98="Y",$J98="N"),"Y","N"))))</f>
        <v/>
      </c>
      <c r="M98" s="10">
        <f>IF($A98="","",IF($K98="IN","In: Research determination",IF($K98="OUT","Out: Research determination",IF($F98="N","Out: different import country",IF($G98="N","Out: HTS not on scope list",IF($H98="Y","Out: HTS on exclusion list",IF($I98="N","Out: origin not on scope list",IF($J98="Y","Out: USMCA-qualifying, exempt","In: matches scope rules"))))))))</f>
        <v/>
      </c>
      <c r="N98" s="16">
        <f>IF($A98="","",N(Items!I98))</f>
        <v/>
      </c>
      <c r="O98" s="16">
        <f>IF($A98="","",IF($L98="Y",$N98+N(act_Rate)-IF(UPPER(TRIM(act_RateType&amp;""))="REPLACE",N(act_PriorRate),0),$N98))</f>
        <v/>
      </c>
      <c r="P98" s="17">
        <f>IF($A98="","",N(Items!G98)*$N98)</f>
        <v/>
      </c>
      <c r="Q98" s="17">
        <f>IF($A98="","",N(Items!G98)*$O98)</f>
        <v/>
      </c>
      <c r="R98" s="17">
        <f>IF($A98="","",$Q98-$P98)</f>
        <v/>
      </c>
      <c r="S98" s="17">
        <f>IF($A98="","",N(Items!J98)+$R98)</f>
        <v/>
      </c>
      <c r="T98" s="16">
        <f>IF($A98="","",IF(N(Items!K98)=0,"",(N(Items!K98)-N(Items!J98))/N(Items!K98)))</f>
        <v/>
      </c>
      <c r="U98" s="16">
        <f>IF($A98="","",IF(N(Items!K98)=0,"",(N(Items!K98)-$S98)/N(Items!K98)))</f>
        <v/>
      </c>
      <c r="V98" s="16">
        <f>IF(OR($T98="",$U98=""),"",$U98-$T98)</f>
        <v/>
      </c>
      <c r="W98" s="18">
        <f>IF($A98="","",N(Items!H98))</f>
        <v/>
      </c>
      <c r="X98" s="19">
        <f>IF($A98="","",$R98*$W98)</f>
        <v/>
      </c>
      <c r="Y98" s="19">
        <f>IF($A98="","",N(Items!K98)*$W98)</f>
        <v/>
      </c>
      <c r="Z98" s="19">
        <f>IF($A98="","",(N(Items!K98)-N(Items!J98))*$W98)</f>
        <v/>
      </c>
      <c r="AA98" s="19">
        <f>IF($A98="","",$Z98-$X98)</f>
        <v/>
      </c>
      <c r="AB98" s="10">
        <f>IF($A98="","",IF(TRIM(Items!C98&amp;"")="","CHECK: import country missing",IF(OR(LEN($C98)&lt;&gt;10,ISERROR(VALUE($C98))),"CHECK: HTS must be 10 digits",IF(LEN($E98)&lt;&gt;2,"CHECK: origin code missing or not 2 letters",IF(OR(Items!G98="",Items!I98="",Items!J98=""),"CHECK: value, rate or cost missing",IF(ISNUMBER(Items!G98)*ISNUMBER(Items!I98)*ISNUMBER(Items!J98)=0,"CHECK: text in a number column",IF(AND($L98="Y",UPPER(TRIM(act_RateType&amp;""))="REPLACE",$N98&lt;N(act_PriorRate)),"CHECK: current rate is below the rate being replaced",IF(AND($L98="Y",$W98=0),"NOTE: in scope, no volume","OK"))))))))</f>
        <v/>
      </c>
      <c r="AC98" s="20">
        <f>IF($A98="","",IF(AND($L98="Y",$X98&lt;&gt;0),ABS($X98)+ROW()/1000000000,""))</f>
        <v/>
      </c>
    </row>
    <row r="99">
      <c r="A99" s="10">
        <f>IF(TRIM(Items!A99&amp;"")="","",TRIM(Items!A99&amp;""))</f>
        <v/>
      </c>
      <c r="B99" s="10">
        <f>IF($A99="","",Items!B99&amp;"")</f>
        <v/>
      </c>
      <c r="C99" s="10">
        <f>IF($A99="","",SUBSTITUTE(SUBSTITUTE(SUBSTITUTE(TRIM(Items!D99&amp;""),".","")," ",""),"-",""))</f>
        <v/>
      </c>
      <c r="D99" s="10">
        <f>IF($A99="","",LEFT($C99,2))</f>
        <v/>
      </c>
      <c r="E99" s="10">
        <f>IF($A99="","",UPPER(TRIM(Items!E99&amp;"")))</f>
        <v/>
      </c>
      <c r="F99" s="10">
        <f>IF($A99="","",IF(UPPER(TRIM(Items!C99&amp;""))=UPPER(TRIM(act_Country&amp;"")),"Y","N"))</f>
        <v/>
      </c>
      <c r="G99" s="10">
        <f>IF($A99="","",IF(SUMPRODUCT((scope_HTS&lt;&gt;"")*(LEFT($C99,LEN(scope_HTS))=scope_HTS))&gt;0,"Y","N"))</f>
        <v/>
      </c>
      <c r="H99" s="10">
        <f>IF($A99="","",IF(SUMPRODUCT((excl_HTS&lt;&gt;"")*(LEFT($C99,LEN(excl_HTS))=excl_HTS))&gt;0,"Y","N"))</f>
        <v/>
      </c>
      <c r="I99" s="10">
        <f>IF($A99="","",IF($E99="","N",IF(COUNTIF(scope_COO,$E99)&gt;0,"Y","N")))</f>
        <v/>
      </c>
      <c r="J99" s="10">
        <f>IF($A99="","",IF(AND(UPPER(TRIM(act_USMCAExempt&amp;""))="Y",UPPER(TRIM(Items!F99&amp;""))="Y"),"Y","N"))</f>
        <v/>
      </c>
      <c r="K99" s="10">
        <f>IF($A99="","",IFERROR(UPPER(TRIM(INDEX(det_Status,MATCH($A99,det_Item,0))&amp;"")),""))</f>
        <v/>
      </c>
      <c r="L99" s="10">
        <f>IF($A99="","",IF($K99="IN","Y",IF($K99="OUT","N",IF(AND($F99="Y",$G99="Y",$H99="N",$I99="Y",$J99="N"),"Y","N"))))</f>
        <v/>
      </c>
      <c r="M99" s="10">
        <f>IF($A99="","",IF($K99="IN","In: Research determination",IF($K99="OUT","Out: Research determination",IF($F99="N","Out: different import country",IF($G99="N","Out: HTS not on scope list",IF($H99="Y","Out: HTS on exclusion list",IF($I99="N","Out: origin not on scope list",IF($J99="Y","Out: USMCA-qualifying, exempt","In: matches scope rules"))))))))</f>
        <v/>
      </c>
      <c r="N99" s="16">
        <f>IF($A99="","",N(Items!I99))</f>
        <v/>
      </c>
      <c r="O99" s="16">
        <f>IF($A99="","",IF($L99="Y",$N99+N(act_Rate)-IF(UPPER(TRIM(act_RateType&amp;""))="REPLACE",N(act_PriorRate),0),$N99))</f>
        <v/>
      </c>
      <c r="P99" s="17">
        <f>IF($A99="","",N(Items!G99)*$N99)</f>
        <v/>
      </c>
      <c r="Q99" s="17">
        <f>IF($A99="","",N(Items!G99)*$O99)</f>
        <v/>
      </c>
      <c r="R99" s="17">
        <f>IF($A99="","",$Q99-$P99)</f>
        <v/>
      </c>
      <c r="S99" s="17">
        <f>IF($A99="","",N(Items!J99)+$R99)</f>
        <v/>
      </c>
      <c r="T99" s="16">
        <f>IF($A99="","",IF(N(Items!K99)=0,"",(N(Items!K99)-N(Items!J99))/N(Items!K99)))</f>
        <v/>
      </c>
      <c r="U99" s="16">
        <f>IF($A99="","",IF(N(Items!K99)=0,"",(N(Items!K99)-$S99)/N(Items!K99)))</f>
        <v/>
      </c>
      <c r="V99" s="16">
        <f>IF(OR($T99="",$U99=""),"",$U99-$T99)</f>
        <v/>
      </c>
      <c r="W99" s="18">
        <f>IF($A99="","",N(Items!H99))</f>
        <v/>
      </c>
      <c r="X99" s="19">
        <f>IF($A99="","",$R99*$W99)</f>
        <v/>
      </c>
      <c r="Y99" s="19">
        <f>IF($A99="","",N(Items!K99)*$W99)</f>
        <v/>
      </c>
      <c r="Z99" s="19">
        <f>IF($A99="","",(N(Items!K99)-N(Items!J99))*$W99)</f>
        <v/>
      </c>
      <c r="AA99" s="19">
        <f>IF($A99="","",$Z99-$X99)</f>
        <v/>
      </c>
      <c r="AB99" s="10">
        <f>IF($A99="","",IF(TRIM(Items!C99&amp;"")="","CHECK: import country missing",IF(OR(LEN($C99)&lt;&gt;10,ISERROR(VALUE($C99))),"CHECK: HTS must be 10 digits",IF(LEN($E99)&lt;&gt;2,"CHECK: origin code missing or not 2 letters",IF(OR(Items!G99="",Items!I99="",Items!J99=""),"CHECK: value, rate or cost missing",IF(ISNUMBER(Items!G99)*ISNUMBER(Items!I99)*ISNUMBER(Items!J99)=0,"CHECK: text in a number column",IF(AND($L99="Y",UPPER(TRIM(act_RateType&amp;""))="REPLACE",$N99&lt;N(act_PriorRate)),"CHECK: current rate is below the rate being replaced",IF(AND($L99="Y",$W99=0),"NOTE: in scope, no volume","OK"))))))))</f>
        <v/>
      </c>
      <c r="AC99" s="20">
        <f>IF($A99="","",IF(AND($L99="Y",$X99&lt;&gt;0),ABS($X99)+ROW()/1000000000,""))</f>
        <v/>
      </c>
    </row>
    <row r="100">
      <c r="A100" s="10">
        <f>IF(TRIM(Items!A100&amp;"")="","",TRIM(Items!A100&amp;""))</f>
        <v/>
      </c>
      <c r="B100" s="10">
        <f>IF($A100="","",Items!B100&amp;"")</f>
        <v/>
      </c>
      <c r="C100" s="10">
        <f>IF($A100="","",SUBSTITUTE(SUBSTITUTE(SUBSTITUTE(TRIM(Items!D100&amp;""),".","")," ",""),"-",""))</f>
        <v/>
      </c>
      <c r="D100" s="10">
        <f>IF($A100="","",LEFT($C100,2))</f>
        <v/>
      </c>
      <c r="E100" s="10">
        <f>IF($A100="","",UPPER(TRIM(Items!E100&amp;"")))</f>
        <v/>
      </c>
      <c r="F100" s="10">
        <f>IF($A100="","",IF(UPPER(TRIM(Items!C100&amp;""))=UPPER(TRIM(act_Country&amp;"")),"Y","N"))</f>
        <v/>
      </c>
      <c r="G100" s="10">
        <f>IF($A100="","",IF(SUMPRODUCT((scope_HTS&lt;&gt;"")*(LEFT($C100,LEN(scope_HTS))=scope_HTS))&gt;0,"Y","N"))</f>
        <v/>
      </c>
      <c r="H100" s="10">
        <f>IF($A100="","",IF(SUMPRODUCT((excl_HTS&lt;&gt;"")*(LEFT($C100,LEN(excl_HTS))=excl_HTS))&gt;0,"Y","N"))</f>
        <v/>
      </c>
      <c r="I100" s="10">
        <f>IF($A100="","",IF($E100="","N",IF(COUNTIF(scope_COO,$E100)&gt;0,"Y","N")))</f>
        <v/>
      </c>
      <c r="J100" s="10">
        <f>IF($A100="","",IF(AND(UPPER(TRIM(act_USMCAExempt&amp;""))="Y",UPPER(TRIM(Items!F100&amp;""))="Y"),"Y","N"))</f>
        <v/>
      </c>
      <c r="K100" s="10">
        <f>IF($A100="","",IFERROR(UPPER(TRIM(INDEX(det_Status,MATCH($A100,det_Item,0))&amp;"")),""))</f>
        <v/>
      </c>
      <c r="L100" s="10">
        <f>IF($A100="","",IF($K100="IN","Y",IF($K100="OUT","N",IF(AND($F100="Y",$G100="Y",$H100="N",$I100="Y",$J100="N"),"Y","N"))))</f>
        <v/>
      </c>
      <c r="M100" s="10">
        <f>IF($A100="","",IF($K100="IN","In: Research determination",IF($K100="OUT","Out: Research determination",IF($F100="N","Out: different import country",IF($G100="N","Out: HTS not on scope list",IF($H100="Y","Out: HTS on exclusion list",IF($I100="N","Out: origin not on scope list",IF($J100="Y","Out: USMCA-qualifying, exempt","In: matches scope rules"))))))))</f>
        <v/>
      </c>
      <c r="N100" s="16">
        <f>IF($A100="","",N(Items!I100))</f>
        <v/>
      </c>
      <c r="O100" s="16">
        <f>IF($A100="","",IF($L100="Y",$N100+N(act_Rate)-IF(UPPER(TRIM(act_RateType&amp;""))="REPLACE",N(act_PriorRate),0),$N100))</f>
        <v/>
      </c>
      <c r="P100" s="17">
        <f>IF($A100="","",N(Items!G100)*$N100)</f>
        <v/>
      </c>
      <c r="Q100" s="17">
        <f>IF($A100="","",N(Items!G100)*$O100)</f>
        <v/>
      </c>
      <c r="R100" s="17">
        <f>IF($A100="","",$Q100-$P100)</f>
        <v/>
      </c>
      <c r="S100" s="17">
        <f>IF($A100="","",N(Items!J100)+$R100)</f>
        <v/>
      </c>
      <c r="T100" s="16">
        <f>IF($A100="","",IF(N(Items!K100)=0,"",(N(Items!K100)-N(Items!J100))/N(Items!K100)))</f>
        <v/>
      </c>
      <c r="U100" s="16">
        <f>IF($A100="","",IF(N(Items!K100)=0,"",(N(Items!K100)-$S100)/N(Items!K100)))</f>
        <v/>
      </c>
      <c r="V100" s="16">
        <f>IF(OR($T100="",$U100=""),"",$U100-$T100)</f>
        <v/>
      </c>
      <c r="W100" s="18">
        <f>IF($A100="","",N(Items!H100))</f>
        <v/>
      </c>
      <c r="X100" s="19">
        <f>IF($A100="","",$R100*$W100)</f>
        <v/>
      </c>
      <c r="Y100" s="19">
        <f>IF($A100="","",N(Items!K100)*$W100)</f>
        <v/>
      </c>
      <c r="Z100" s="19">
        <f>IF($A100="","",(N(Items!K100)-N(Items!J100))*$W100)</f>
        <v/>
      </c>
      <c r="AA100" s="19">
        <f>IF($A100="","",$Z100-$X100)</f>
        <v/>
      </c>
      <c r="AB100" s="10">
        <f>IF($A100="","",IF(TRIM(Items!C100&amp;"")="","CHECK: import country missing",IF(OR(LEN($C100)&lt;&gt;10,ISERROR(VALUE($C100))),"CHECK: HTS must be 10 digits",IF(LEN($E100)&lt;&gt;2,"CHECK: origin code missing or not 2 letters",IF(OR(Items!G100="",Items!I100="",Items!J100=""),"CHECK: value, rate or cost missing",IF(ISNUMBER(Items!G100)*ISNUMBER(Items!I100)*ISNUMBER(Items!J100)=0,"CHECK: text in a number column",IF(AND($L100="Y",UPPER(TRIM(act_RateType&amp;""))="REPLACE",$N100&lt;N(act_PriorRate)),"CHECK: current rate is below the rate being replaced",IF(AND($L100="Y",$W100=0),"NOTE: in scope, no volume","OK"))))))))</f>
        <v/>
      </c>
      <c r="AC100" s="20">
        <f>IF($A100="","",IF(AND($L100="Y",$X100&lt;&gt;0),ABS($X100)+ROW()/1000000000,""))</f>
        <v/>
      </c>
    </row>
    <row r="101">
      <c r="A101" s="10">
        <f>IF(TRIM(Items!A101&amp;"")="","",TRIM(Items!A101&amp;""))</f>
        <v/>
      </c>
      <c r="B101" s="10">
        <f>IF($A101="","",Items!B101&amp;"")</f>
        <v/>
      </c>
      <c r="C101" s="10">
        <f>IF($A101="","",SUBSTITUTE(SUBSTITUTE(SUBSTITUTE(TRIM(Items!D101&amp;""),".","")," ",""),"-",""))</f>
        <v/>
      </c>
      <c r="D101" s="10">
        <f>IF($A101="","",LEFT($C101,2))</f>
        <v/>
      </c>
      <c r="E101" s="10">
        <f>IF($A101="","",UPPER(TRIM(Items!E101&amp;"")))</f>
        <v/>
      </c>
      <c r="F101" s="10">
        <f>IF($A101="","",IF(UPPER(TRIM(Items!C101&amp;""))=UPPER(TRIM(act_Country&amp;"")),"Y","N"))</f>
        <v/>
      </c>
      <c r="G101" s="10">
        <f>IF($A101="","",IF(SUMPRODUCT((scope_HTS&lt;&gt;"")*(LEFT($C101,LEN(scope_HTS))=scope_HTS))&gt;0,"Y","N"))</f>
        <v/>
      </c>
      <c r="H101" s="10">
        <f>IF($A101="","",IF(SUMPRODUCT((excl_HTS&lt;&gt;"")*(LEFT($C101,LEN(excl_HTS))=excl_HTS))&gt;0,"Y","N"))</f>
        <v/>
      </c>
      <c r="I101" s="10">
        <f>IF($A101="","",IF($E101="","N",IF(COUNTIF(scope_COO,$E101)&gt;0,"Y","N")))</f>
        <v/>
      </c>
      <c r="J101" s="10">
        <f>IF($A101="","",IF(AND(UPPER(TRIM(act_USMCAExempt&amp;""))="Y",UPPER(TRIM(Items!F101&amp;""))="Y"),"Y","N"))</f>
        <v/>
      </c>
      <c r="K101" s="10">
        <f>IF($A101="","",IFERROR(UPPER(TRIM(INDEX(det_Status,MATCH($A101,det_Item,0))&amp;"")),""))</f>
        <v/>
      </c>
      <c r="L101" s="10">
        <f>IF($A101="","",IF($K101="IN","Y",IF($K101="OUT","N",IF(AND($F101="Y",$G101="Y",$H101="N",$I101="Y",$J101="N"),"Y","N"))))</f>
        <v/>
      </c>
      <c r="M101" s="10">
        <f>IF($A101="","",IF($K101="IN","In: Research determination",IF($K101="OUT","Out: Research determination",IF($F101="N","Out: different import country",IF($G101="N","Out: HTS not on scope list",IF($H101="Y","Out: HTS on exclusion list",IF($I101="N","Out: origin not on scope list",IF($J101="Y","Out: USMCA-qualifying, exempt","In: matches scope rules"))))))))</f>
        <v/>
      </c>
      <c r="N101" s="16">
        <f>IF($A101="","",N(Items!I101))</f>
        <v/>
      </c>
      <c r="O101" s="16">
        <f>IF($A101="","",IF($L101="Y",$N101+N(act_Rate)-IF(UPPER(TRIM(act_RateType&amp;""))="REPLACE",N(act_PriorRate),0),$N101))</f>
        <v/>
      </c>
      <c r="P101" s="17">
        <f>IF($A101="","",N(Items!G101)*$N101)</f>
        <v/>
      </c>
      <c r="Q101" s="17">
        <f>IF($A101="","",N(Items!G101)*$O101)</f>
        <v/>
      </c>
      <c r="R101" s="17">
        <f>IF($A101="","",$Q101-$P101)</f>
        <v/>
      </c>
      <c r="S101" s="17">
        <f>IF($A101="","",N(Items!J101)+$R101)</f>
        <v/>
      </c>
      <c r="T101" s="16">
        <f>IF($A101="","",IF(N(Items!K101)=0,"",(N(Items!K101)-N(Items!J101))/N(Items!K101)))</f>
        <v/>
      </c>
      <c r="U101" s="16">
        <f>IF($A101="","",IF(N(Items!K101)=0,"",(N(Items!K101)-$S101)/N(Items!K101)))</f>
        <v/>
      </c>
      <c r="V101" s="16">
        <f>IF(OR($T101="",$U101=""),"",$U101-$T101)</f>
        <v/>
      </c>
      <c r="W101" s="18">
        <f>IF($A101="","",N(Items!H101))</f>
        <v/>
      </c>
      <c r="X101" s="19">
        <f>IF($A101="","",$R101*$W101)</f>
        <v/>
      </c>
      <c r="Y101" s="19">
        <f>IF($A101="","",N(Items!K101)*$W101)</f>
        <v/>
      </c>
      <c r="Z101" s="19">
        <f>IF($A101="","",(N(Items!K101)-N(Items!J101))*$W101)</f>
        <v/>
      </c>
      <c r="AA101" s="19">
        <f>IF($A101="","",$Z101-$X101)</f>
        <v/>
      </c>
      <c r="AB101" s="10">
        <f>IF($A101="","",IF(TRIM(Items!C101&amp;"")="","CHECK: import country missing",IF(OR(LEN($C101)&lt;&gt;10,ISERROR(VALUE($C101))),"CHECK: HTS must be 10 digits",IF(LEN($E101)&lt;&gt;2,"CHECK: origin code missing or not 2 letters",IF(OR(Items!G101="",Items!I101="",Items!J101=""),"CHECK: value, rate or cost missing",IF(ISNUMBER(Items!G101)*ISNUMBER(Items!I101)*ISNUMBER(Items!J101)=0,"CHECK: text in a number column",IF(AND($L101="Y",UPPER(TRIM(act_RateType&amp;""))="REPLACE",$N101&lt;N(act_PriorRate)),"CHECK: current rate is below the rate being replaced",IF(AND($L101="Y",$W101=0),"NOTE: in scope, no volume","OK"))))))))</f>
        <v/>
      </c>
      <c r="AC101" s="20">
        <f>IF($A101="","",IF(AND($L101="Y",$X101&lt;&gt;0),ABS($X101)+ROW()/1000000000,""))</f>
        <v/>
      </c>
    </row>
    <row r="102">
      <c r="A102" s="10">
        <f>IF(TRIM(Items!A102&amp;"")="","",TRIM(Items!A102&amp;""))</f>
        <v/>
      </c>
      <c r="B102" s="10">
        <f>IF($A102="","",Items!B102&amp;"")</f>
        <v/>
      </c>
      <c r="C102" s="10">
        <f>IF($A102="","",SUBSTITUTE(SUBSTITUTE(SUBSTITUTE(TRIM(Items!D102&amp;""),".","")," ",""),"-",""))</f>
        <v/>
      </c>
      <c r="D102" s="10">
        <f>IF($A102="","",LEFT($C102,2))</f>
        <v/>
      </c>
      <c r="E102" s="10">
        <f>IF($A102="","",UPPER(TRIM(Items!E102&amp;"")))</f>
        <v/>
      </c>
      <c r="F102" s="10">
        <f>IF($A102="","",IF(UPPER(TRIM(Items!C102&amp;""))=UPPER(TRIM(act_Country&amp;"")),"Y","N"))</f>
        <v/>
      </c>
      <c r="G102" s="10">
        <f>IF($A102="","",IF(SUMPRODUCT((scope_HTS&lt;&gt;"")*(LEFT($C102,LEN(scope_HTS))=scope_HTS))&gt;0,"Y","N"))</f>
        <v/>
      </c>
      <c r="H102" s="10">
        <f>IF($A102="","",IF(SUMPRODUCT((excl_HTS&lt;&gt;"")*(LEFT($C102,LEN(excl_HTS))=excl_HTS))&gt;0,"Y","N"))</f>
        <v/>
      </c>
      <c r="I102" s="10">
        <f>IF($A102="","",IF($E102="","N",IF(COUNTIF(scope_COO,$E102)&gt;0,"Y","N")))</f>
        <v/>
      </c>
      <c r="J102" s="10">
        <f>IF($A102="","",IF(AND(UPPER(TRIM(act_USMCAExempt&amp;""))="Y",UPPER(TRIM(Items!F102&amp;""))="Y"),"Y","N"))</f>
        <v/>
      </c>
      <c r="K102" s="10">
        <f>IF($A102="","",IFERROR(UPPER(TRIM(INDEX(det_Status,MATCH($A102,det_Item,0))&amp;"")),""))</f>
        <v/>
      </c>
      <c r="L102" s="10">
        <f>IF($A102="","",IF($K102="IN","Y",IF($K102="OUT","N",IF(AND($F102="Y",$G102="Y",$H102="N",$I102="Y",$J102="N"),"Y","N"))))</f>
        <v/>
      </c>
      <c r="M102" s="10">
        <f>IF($A102="","",IF($K102="IN","In: Research determination",IF($K102="OUT","Out: Research determination",IF($F102="N","Out: different import country",IF($G102="N","Out: HTS not on scope list",IF($H102="Y","Out: HTS on exclusion list",IF($I102="N","Out: origin not on scope list",IF($J102="Y","Out: USMCA-qualifying, exempt","In: matches scope rules"))))))))</f>
        <v/>
      </c>
      <c r="N102" s="16">
        <f>IF($A102="","",N(Items!I102))</f>
        <v/>
      </c>
      <c r="O102" s="16">
        <f>IF($A102="","",IF($L102="Y",$N102+N(act_Rate)-IF(UPPER(TRIM(act_RateType&amp;""))="REPLACE",N(act_PriorRate),0),$N102))</f>
        <v/>
      </c>
      <c r="P102" s="17">
        <f>IF($A102="","",N(Items!G102)*$N102)</f>
        <v/>
      </c>
      <c r="Q102" s="17">
        <f>IF($A102="","",N(Items!G102)*$O102)</f>
        <v/>
      </c>
      <c r="R102" s="17">
        <f>IF($A102="","",$Q102-$P102)</f>
        <v/>
      </c>
      <c r="S102" s="17">
        <f>IF($A102="","",N(Items!J102)+$R102)</f>
        <v/>
      </c>
      <c r="T102" s="16">
        <f>IF($A102="","",IF(N(Items!K102)=0,"",(N(Items!K102)-N(Items!J102))/N(Items!K102)))</f>
        <v/>
      </c>
      <c r="U102" s="16">
        <f>IF($A102="","",IF(N(Items!K102)=0,"",(N(Items!K102)-$S102)/N(Items!K102)))</f>
        <v/>
      </c>
      <c r="V102" s="16">
        <f>IF(OR($T102="",$U102=""),"",$U102-$T102)</f>
        <v/>
      </c>
      <c r="W102" s="18">
        <f>IF($A102="","",N(Items!H102))</f>
        <v/>
      </c>
      <c r="X102" s="19">
        <f>IF($A102="","",$R102*$W102)</f>
        <v/>
      </c>
      <c r="Y102" s="19">
        <f>IF($A102="","",N(Items!K102)*$W102)</f>
        <v/>
      </c>
      <c r="Z102" s="19">
        <f>IF($A102="","",(N(Items!K102)-N(Items!J102))*$W102)</f>
        <v/>
      </c>
      <c r="AA102" s="19">
        <f>IF($A102="","",$Z102-$X102)</f>
        <v/>
      </c>
      <c r="AB102" s="10">
        <f>IF($A102="","",IF(TRIM(Items!C102&amp;"")="","CHECK: import country missing",IF(OR(LEN($C102)&lt;&gt;10,ISERROR(VALUE($C102))),"CHECK: HTS must be 10 digits",IF(LEN($E102)&lt;&gt;2,"CHECK: origin code missing or not 2 letters",IF(OR(Items!G102="",Items!I102="",Items!J102=""),"CHECK: value, rate or cost missing",IF(ISNUMBER(Items!G102)*ISNUMBER(Items!I102)*ISNUMBER(Items!J102)=0,"CHECK: text in a number column",IF(AND($L102="Y",UPPER(TRIM(act_RateType&amp;""))="REPLACE",$N102&lt;N(act_PriorRate)),"CHECK: current rate is below the rate being replaced",IF(AND($L102="Y",$W102=0),"NOTE: in scope, no volume","OK"))))))))</f>
        <v/>
      </c>
      <c r="AC102" s="20">
        <f>IF($A102="","",IF(AND($L102="Y",$X102&lt;&gt;0),ABS($X102)+ROW()/1000000000,""))</f>
        <v/>
      </c>
    </row>
    <row r="103">
      <c r="A103" s="10">
        <f>IF(TRIM(Items!A103&amp;"")="","",TRIM(Items!A103&amp;""))</f>
        <v/>
      </c>
      <c r="B103" s="10">
        <f>IF($A103="","",Items!B103&amp;"")</f>
        <v/>
      </c>
      <c r="C103" s="10">
        <f>IF($A103="","",SUBSTITUTE(SUBSTITUTE(SUBSTITUTE(TRIM(Items!D103&amp;""),".","")," ",""),"-",""))</f>
        <v/>
      </c>
      <c r="D103" s="10">
        <f>IF($A103="","",LEFT($C103,2))</f>
        <v/>
      </c>
      <c r="E103" s="10">
        <f>IF($A103="","",UPPER(TRIM(Items!E103&amp;"")))</f>
        <v/>
      </c>
      <c r="F103" s="10">
        <f>IF($A103="","",IF(UPPER(TRIM(Items!C103&amp;""))=UPPER(TRIM(act_Country&amp;"")),"Y","N"))</f>
        <v/>
      </c>
      <c r="G103" s="10">
        <f>IF($A103="","",IF(SUMPRODUCT((scope_HTS&lt;&gt;"")*(LEFT($C103,LEN(scope_HTS))=scope_HTS))&gt;0,"Y","N"))</f>
        <v/>
      </c>
      <c r="H103" s="10">
        <f>IF($A103="","",IF(SUMPRODUCT((excl_HTS&lt;&gt;"")*(LEFT($C103,LEN(excl_HTS))=excl_HTS))&gt;0,"Y","N"))</f>
        <v/>
      </c>
      <c r="I103" s="10">
        <f>IF($A103="","",IF($E103="","N",IF(COUNTIF(scope_COO,$E103)&gt;0,"Y","N")))</f>
        <v/>
      </c>
      <c r="J103" s="10">
        <f>IF($A103="","",IF(AND(UPPER(TRIM(act_USMCAExempt&amp;""))="Y",UPPER(TRIM(Items!F103&amp;""))="Y"),"Y","N"))</f>
        <v/>
      </c>
      <c r="K103" s="10">
        <f>IF($A103="","",IFERROR(UPPER(TRIM(INDEX(det_Status,MATCH($A103,det_Item,0))&amp;"")),""))</f>
        <v/>
      </c>
      <c r="L103" s="10">
        <f>IF($A103="","",IF($K103="IN","Y",IF($K103="OUT","N",IF(AND($F103="Y",$G103="Y",$H103="N",$I103="Y",$J103="N"),"Y","N"))))</f>
        <v/>
      </c>
      <c r="M103" s="10">
        <f>IF($A103="","",IF($K103="IN","In: Research determination",IF($K103="OUT","Out: Research determination",IF($F103="N","Out: different import country",IF($G103="N","Out: HTS not on scope list",IF($H103="Y","Out: HTS on exclusion list",IF($I103="N","Out: origin not on scope list",IF($J103="Y","Out: USMCA-qualifying, exempt","In: matches scope rules"))))))))</f>
        <v/>
      </c>
      <c r="N103" s="16">
        <f>IF($A103="","",N(Items!I103))</f>
        <v/>
      </c>
      <c r="O103" s="16">
        <f>IF($A103="","",IF($L103="Y",$N103+N(act_Rate)-IF(UPPER(TRIM(act_RateType&amp;""))="REPLACE",N(act_PriorRate),0),$N103))</f>
        <v/>
      </c>
      <c r="P103" s="17">
        <f>IF($A103="","",N(Items!G103)*$N103)</f>
        <v/>
      </c>
      <c r="Q103" s="17">
        <f>IF($A103="","",N(Items!G103)*$O103)</f>
        <v/>
      </c>
      <c r="R103" s="17">
        <f>IF($A103="","",$Q103-$P103)</f>
        <v/>
      </c>
      <c r="S103" s="17">
        <f>IF($A103="","",N(Items!J103)+$R103)</f>
        <v/>
      </c>
      <c r="T103" s="16">
        <f>IF($A103="","",IF(N(Items!K103)=0,"",(N(Items!K103)-N(Items!J103))/N(Items!K103)))</f>
        <v/>
      </c>
      <c r="U103" s="16">
        <f>IF($A103="","",IF(N(Items!K103)=0,"",(N(Items!K103)-$S103)/N(Items!K103)))</f>
        <v/>
      </c>
      <c r="V103" s="16">
        <f>IF(OR($T103="",$U103=""),"",$U103-$T103)</f>
        <v/>
      </c>
      <c r="W103" s="18">
        <f>IF($A103="","",N(Items!H103))</f>
        <v/>
      </c>
      <c r="X103" s="19">
        <f>IF($A103="","",$R103*$W103)</f>
        <v/>
      </c>
      <c r="Y103" s="19">
        <f>IF($A103="","",N(Items!K103)*$W103)</f>
        <v/>
      </c>
      <c r="Z103" s="19">
        <f>IF($A103="","",(N(Items!K103)-N(Items!J103))*$W103)</f>
        <v/>
      </c>
      <c r="AA103" s="19">
        <f>IF($A103="","",$Z103-$X103)</f>
        <v/>
      </c>
      <c r="AB103" s="10">
        <f>IF($A103="","",IF(TRIM(Items!C103&amp;"")="","CHECK: import country missing",IF(OR(LEN($C103)&lt;&gt;10,ISERROR(VALUE($C103))),"CHECK: HTS must be 10 digits",IF(LEN($E103)&lt;&gt;2,"CHECK: origin code missing or not 2 letters",IF(OR(Items!G103="",Items!I103="",Items!J103=""),"CHECK: value, rate or cost missing",IF(ISNUMBER(Items!G103)*ISNUMBER(Items!I103)*ISNUMBER(Items!J103)=0,"CHECK: text in a number column",IF(AND($L103="Y",UPPER(TRIM(act_RateType&amp;""))="REPLACE",$N103&lt;N(act_PriorRate)),"CHECK: current rate is below the rate being replaced",IF(AND($L103="Y",$W103=0),"NOTE: in scope, no volume","OK"))))))))</f>
        <v/>
      </c>
      <c r="AC103" s="20">
        <f>IF($A103="","",IF(AND($L103="Y",$X103&lt;&gt;0),ABS($X103)+ROW()/1000000000,""))</f>
        <v/>
      </c>
    </row>
    <row r="104">
      <c r="A104" s="10">
        <f>IF(TRIM(Items!A104&amp;"")="","",TRIM(Items!A104&amp;""))</f>
        <v/>
      </c>
      <c r="B104" s="10">
        <f>IF($A104="","",Items!B104&amp;"")</f>
        <v/>
      </c>
      <c r="C104" s="10">
        <f>IF($A104="","",SUBSTITUTE(SUBSTITUTE(SUBSTITUTE(TRIM(Items!D104&amp;""),".","")," ",""),"-",""))</f>
        <v/>
      </c>
      <c r="D104" s="10">
        <f>IF($A104="","",LEFT($C104,2))</f>
        <v/>
      </c>
      <c r="E104" s="10">
        <f>IF($A104="","",UPPER(TRIM(Items!E104&amp;"")))</f>
        <v/>
      </c>
      <c r="F104" s="10">
        <f>IF($A104="","",IF(UPPER(TRIM(Items!C104&amp;""))=UPPER(TRIM(act_Country&amp;"")),"Y","N"))</f>
        <v/>
      </c>
      <c r="G104" s="10">
        <f>IF($A104="","",IF(SUMPRODUCT((scope_HTS&lt;&gt;"")*(LEFT($C104,LEN(scope_HTS))=scope_HTS))&gt;0,"Y","N"))</f>
        <v/>
      </c>
      <c r="H104" s="10">
        <f>IF($A104="","",IF(SUMPRODUCT((excl_HTS&lt;&gt;"")*(LEFT($C104,LEN(excl_HTS))=excl_HTS))&gt;0,"Y","N"))</f>
        <v/>
      </c>
      <c r="I104" s="10">
        <f>IF($A104="","",IF($E104="","N",IF(COUNTIF(scope_COO,$E104)&gt;0,"Y","N")))</f>
        <v/>
      </c>
      <c r="J104" s="10">
        <f>IF($A104="","",IF(AND(UPPER(TRIM(act_USMCAExempt&amp;""))="Y",UPPER(TRIM(Items!F104&amp;""))="Y"),"Y","N"))</f>
        <v/>
      </c>
      <c r="K104" s="10">
        <f>IF($A104="","",IFERROR(UPPER(TRIM(INDEX(det_Status,MATCH($A104,det_Item,0))&amp;"")),""))</f>
        <v/>
      </c>
      <c r="L104" s="10">
        <f>IF($A104="","",IF($K104="IN","Y",IF($K104="OUT","N",IF(AND($F104="Y",$G104="Y",$H104="N",$I104="Y",$J104="N"),"Y","N"))))</f>
        <v/>
      </c>
      <c r="M104" s="10">
        <f>IF($A104="","",IF($K104="IN","In: Research determination",IF($K104="OUT","Out: Research determination",IF($F104="N","Out: different import country",IF($G104="N","Out: HTS not on scope list",IF($H104="Y","Out: HTS on exclusion list",IF($I104="N","Out: origin not on scope list",IF($J104="Y","Out: USMCA-qualifying, exempt","In: matches scope rules"))))))))</f>
        <v/>
      </c>
      <c r="N104" s="16">
        <f>IF($A104="","",N(Items!I104))</f>
        <v/>
      </c>
      <c r="O104" s="16">
        <f>IF($A104="","",IF($L104="Y",$N104+N(act_Rate)-IF(UPPER(TRIM(act_RateType&amp;""))="REPLACE",N(act_PriorRate),0),$N104))</f>
        <v/>
      </c>
      <c r="P104" s="17">
        <f>IF($A104="","",N(Items!G104)*$N104)</f>
        <v/>
      </c>
      <c r="Q104" s="17">
        <f>IF($A104="","",N(Items!G104)*$O104)</f>
        <v/>
      </c>
      <c r="R104" s="17">
        <f>IF($A104="","",$Q104-$P104)</f>
        <v/>
      </c>
      <c r="S104" s="17">
        <f>IF($A104="","",N(Items!J104)+$R104)</f>
        <v/>
      </c>
      <c r="T104" s="16">
        <f>IF($A104="","",IF(N(Items!K104)=0,"",(N(Items!K104)-N(Items!J104))/N(Items!K104)))</f>
        <v/>
      </c>
      <c r="U104" s="16">
        <f>IF($A104="","",IF(N(Items!K104)=0,"",(N(Items!K104)-$S104)/N(Items!K104)))</f>
        <v/>
      </c>
      <c r="V104" s="16">
        <f>IF(OR($T104="",$U104=""),"",$U104-$T104)</f>
        <v/>
      </c>
      <c r="W104" s="18">
        <f>IF($A104="","",N(Items!H104))</f>
        <v/>
      </c>
      <c r="X104" s="19">
        <f>IF($A104="","",$R104*$W104)</f>
        <v/>
      </c>
      <c r="Y104" s="19">
        <f>IF($A104="","",N(Items!K104)*$W104)</f>
        <v/>
      </c>
      <c r="Z104" s="19">
        <f>IF($A104="","",(N(Items!K104)-N(Items!J104))*$W104)</f>
        <v/>
      </c>
      <c r="AA104" s="19">
        <f>IF($A104="","",$Z104-$X104)</f>
        <v/>
      </c>
      <c r="AB104" s="10">
        <f>IF($A104="","",IF(TRIM(Items!C104&amp;"")="","CHECK: import country missing",IF(OR(LEN($C104)&lt;&gt;10,ISERROR(VALUE($C104))),"CHECK: HTS must be 10 digits",IF(LEN($E104)&lt;&gt;2,"CHECK: origin code missing or not 2 letters",IF(OR(Items!G104="",Items!I104="",Items!J104=""),"CHECK: value, rate or cost missing",IF(ISNUMBER(Items!G104)*ISNUMBER(Items!I104)*ISNUMBER(Items!J104)=0,"CHECK: text in a number column",IF(AND($L104="Y",UPPER(TRIM(act_RateType&amp;""))="REPLACE",$N104&lt;N(act_PriorRate)),"CHECK: current rate is below the rate being replaced",IF(AND($L104="Y",$W104=0),"NOTE: in scope, no volume","OK"))))))))</f>
        <v/>
      </c>
      <c r="AC104" s="20">
        <f>IF($A104="","",IF(AND($L104="Y",$X104&lt;&gt;0),ABS($X104)+ROW()/1000000000,""))</f>
        <v/>
      </c>
    </row>
    <row r="105">
      <c r="A105" s="10">
        <f>IF(TRIM(Items!A105&amp;"")="","",TRIM(Items!A105&amp;""))</f>
        <v/>
      </c>
      <c r="B105" s="10">
        <f>IF($A105="","",Items!B105&amp;"")</f>
        <v/>
      </c>
      <c r="C105" s="10">
        <f>IF($A105="","",SUBSTITUTE(SUBSTITUTE(SUBSTITUTE(TRIM(Items!D105&amp;""),".","")," ",""),"-",""))</f>
        <v/>
      </c>
      <c r="D105" s="10">
        <f>IF($A105="","",LEFT($C105,2))</f>
        <v/>
      </c>
      <c r="E105" s="10">
        <f>IF($A105="","",UPPER(TRIM(Items!E105&amp;"")))</f>
        <v/>
      </c>
      <c r="F105" s="10">
        <f>IF($A105="","",IF(UPPER(TRIM(Items!C105&amp;""))=UPPER(TRIM(act_Country&amp;"")),"Y","N"))</f>
        <v/>
      </c>
      <c r="G105" s="10">
        <f>IF($A105="","",IF(SUMPRODUCT((scope_HTS&lt;&gt;"")*(LEFT($C105,LEN(scope_HTS))=scope_HTS))&gt;0,"Y","N"))</f>
        <v/>
      </c>
      <c r="H105" s="10">
        <f>IF($A105="","",IF(SUMPRODUCT((excl_HTS&lt;&gt;"")*(LEFT($C105,LEN(excl_HTS))=excl_HTS))&gt;0,"Y","N"))</f>
        <v/>
      </c>
      <c r="I105" s="10">
        <f>IF($A105="","",IF($E105="","N",IF(COUNTIF(scope_COO,$E105)&gt;0,"Y","N")))</f>
        <v/>
      </c>
      <c r="J105" s="10">
        <f>IF($A105="","",IF(AND(UPPER(TRIM(act_USMCAExempt&amp;""))="Y",UPPER(TRIM(Items!F105&amp;""))="Y"),"Y","N"))</f>
        <v/>
      </c>
      <c r="K105" s="10">
        <f>IF($A105="","",IFERROR(UPPER(TRIM(INDEX(det_Status,MATCH($A105,det_Item,0))&amp;"")),""))</f>
        <v/>
      </c>
      <c r="L105" s="10">
        <f>IF($A105="","",IF($K105="IN","Y",IF($K105="OUT","N",IF(AND($F105="Y",$G105="Y",$H105="N",$I105="Y",$J105="N"),"Y","N"))))</f>
        <v/>
      </c>
      <c r="M105" s="10">
        <f>IF($A105="","",IF($K105="IN","In: Research determination",IF($K105="OUT","Out: Research determination",IF($F105="N","Out: different import country",IF($G105="N","Out: HTS not on scope list",IF($H105="Y","Out: HTS on exclusion list",IF($I105="N","Out: origin not on scope list",IF($J105="Y","Out: USMCA-qualifying, exempt","In: matches scope rules"))))))))</f>
        <v/>
      </c>
      <c r="N105" s="16">
        <f>IF($A105="","",N(Items!I105))</f>
        <v/>
      </c>
      <c r="O105" s="16">
        <f>IF($A105="","",IF($L105="Y",$N105+N(act_Rate)-IF(UPPER(TRIM(act_RateType&amp;""))="REPLACE",N(act_PriorRate),0),$N105))</f>
        <v/>
      </c>
      <c r="P105" s="17">
        <f>IF($A105="","",N(Items!G105)*$N105)</f>
        <v/>
      </c>
      <c r="Q105" s="17">
        <f>IF($A105="","",N(Items!G105)*$O105)</f>
        <v/>
      </c>
      <c r="R105" s="17">
        <f>IF($A105="","",$Q105-$P105)</f>
        <v/>
      </c>
      <c r="S105" s="17">
        <f>IF($A105="","",N(Items!J105)+$R105)</f>
        <v/>
      </c>
      <c r="T105" s="16">
        <f>IF($A105="","",IF(N(Items!K105)=0,"",(N(Items!K105)-N(Items!J105))/N(Items!K105)))</f>
        <v/>
      </c>
      <c r="U105" s="16">
        <f>IF($A105="","",IF(N(Items!K105)=0,"",(N(Items!K105)-$S105)/N(Items!K105)))</f>
        <v/>
      </c>
      <c r="V105" s="16">
        <f>IF(OR($T105="",$U105=""),"",$U105-$T105)</f>
        <v/>
      </c>
      <c r="W105" s="18">
        <f>IF($A105="","",N(Items!H105))</f>
        <v/>
      </c>
      <c r="X105" s="19">
        <f>IF($A105="","",$R105*$W105)</f>
        <v/>
      </c>
      <c r="Y105" s="19">
        <f>IF($A105="","",N(Items!K105)*$W105)</f>
        <v/>
      </c>
      <c r="Z105" s="19">
        <f>IF($A105="","",(N(Items!K105)-N(Items!J105))*$W105)</f>
        <v/>
      </c>
      <c r="AA105" s="19">
        <f>IF($A105="","",$Z105-$X105)</f>
        <v/>
      </c>
      <c r="AB105" s="10">
        <f>IF($A105="","",IF(TRIM(Items!C105&amp;"")="","CHECK: import country missing",IF(OR(LEN($C105)&lt;&gt;10,ISERROR(VALUE($C105))),"CHECK: HTS must be 10 digits",IF(LEN($E105)&lt;&gt;2,"CHECK: origin code missing or not 2 letters",IF(OR(Items!G105="",Items!I105="",Items!J105=""),"CHECK: value, rate or cost missing",IF(ISNUMBER(Items!G105)*ISNUMBER(Items!I105)*ISNUMBER(Items!J105)=0,"CHECK: text in a number column",IF(AND($L105="Y",UPPER(TRIM(act_RateType&amp;""))="REPLACE",$N105&lt;N(act_PriorRate)),"CHECK: current rate is below the rate being replaced",IF(AND($L105="Y",$W105=0),"NOTE: in scope, no volume","OK"))))))))</f>
        <v/>
      </c>
      <c r="AC105" s="20">
        <f>IF($A105="","",IF(AND($L105="Y",$X105&lt;&gt;0),ABS($X105)+ROW()/1000000000,""))</f>
        <v/>
      </c>
    </row>
    <row r="106">
      <c r="A106" s="10">
        <f>IF(TRIM(Items!A106&amp;"")="","",TRIM(Items!A106&amp;""))</f>
        <v/>
      </c>
      <c r="B106" s="10">
        <f>IF($A106="","",Items!B106&amp;"")</f>
        <v/>
      </c>
      <c r="C106" s="10">
        <f>IF($A106="","",SUBSTITUTE(SUBSTITUTE(SUBSTITUTE(TRIM(Items!D106&amp;""),".","")," ",""),"-",""))</f>
        <v/>
      </c>
      <c r="D106" s="10">
        <f>IF($A106="","",LEFT($C106,2))</f>
        <v/>
      </c>
      <c r="E106" s="10">
        <f>IF($A106="","",UPPER(TRIM(Items!E106&amp;"")))</f>
        <v/>
      </c>
      <c r="F106" s="10">
        <f>IF($A106="","",IF(UPPER(TRIM(Items!C106&amp;""))=UPPER(TRIM(act_Country&amp;"")),"Y","N"))</f>
        <v/>
      </c>
      <c r="G106" s="10">
        <f>IF($A106="","",IF(SUMPRODUCT((scope_HTS&lt;&gt;"")*(LEFT($C106,LEN(scope_HTS))=scope_HTS))&gt;0,"Y","N"))</f>
        <v/>
      </c>
      <c r="H106" s="10">
        <f>IF($A106="","",IF(SUMPRODUCT((excl_HTS&lt;&gt;"")*(LEFT($C106,LEN(excl_HTS))=excl_HTS))&gt;0,"Y","N"))</f>
        <v/>
      </c>
      <c r="I106" s="10">
        <f>IF($A106="","",IF($E106="","N",IF(COUNTIF(scope_COO,$E106)&gt;0,"Y","N")))</f>
        <v/>
      </c>
      <c r="J106" s="10">
        <f>IF($A106="","",IF(AND(UPPER(TRIM(act_USMCAExempt&amp;""))="Y",UPPER(TRIM(Items!F106&amp;""))="Y"),"Y","N"))</f>
        <v/>
      </c>
      <c r="K106" s="10">
        <f>IF($A106="","",IFERROR(UPPER(TRIM(INDEX(det_Status,MATCH($A106,det_Item,0))&amp;"")),""))</f>
        <v/>
      </c>
      <c r="L106" s="10">
        <f>IF($A106="","",IF($K106="IN","Y",IF($K106="OUT","N",IF(AND($F106="Y",$G106="Y",$H106="N",$I106="Y",$J106="N"),"Y","N"))))</f>
        <v/>
      </c>
      <c r="M106" s="10">
        <f>IF($A106="","",IF($K106="IN","In: Research determination",IF($K106="OUT","Out: Research determination",IF($F106="N","Out: different import country",IF($G106="N","Out: HTS not on scope list",IF($H106="Y","Out: HTS on exclusion list",IF($I106="N","Out: origin not on scope list",IF($J106="Y","Out: USMCA-qualifying, exempt","In: matches scope rules"))))))))</f>
        <v/>
      </c>
      <c r="N106" s="16">
        <f>IF($A106="","",N(Items!I106))</f>
        <v/>
      </c>
      <c r="O106" s="16">
        <f>IF($A106="","",IF($L106="Y",$N106+N(act_Rate)-IF(UPPER(TRIM(act_RateType&amp;""))="REPLACE",N(act_PriorRate),0),$N106))</f>
        <v/>
      </c>
      <c r="P106" s="17">
        <f>IF($A106="","",N(Items!G106)*$N106)</f>
        <v/>
      </c>
      <c r="Q106" s="17">
        <f>IF($A106="","",N(Items!G106)*$O106)</f>
        <v/>
      </c>
      <c r="R106" s="17">
        <f>IF($A106="","",$Q106-$P106)</f>
        <v/>
      </c>
      <c r="S106" s="17">
        <f>IF($A106="","",N(Items!J106)+$R106)</f>
        <v/>
      </c>
      <c r="T106" s="16">
        <f>IF($A106="","",IF(N(Items!K106)=0,"",(N(Items!K106)-N(Items!J106))/N(Items!K106)))</f>
        <v/>
      </c>
      <c r="U106" s="16">
        <f>IF($A106="","",IF(N(Items!K106)=0,"",(N(Items!K106)-$S106)/N(Items!K106)))</f>
        <v/>
      </c>
      <c r="V106" s="16">
        <f>IF(OR($T106="",$U106=""),"",$U106-$T106)</f>
        <v/>
      </c>
      <c r="W106" s="18">
        <f>IF($A106="","",N(Items!H106))</f>
        <v/>
      </c>
      <c r="X106" s="19">
        <f>IF($A106="","",$R106*$W106)</f>
        <v/>
      </c>
      <c r="Y106" s="19">
        <f>IF($A106="","",N(Items!K106)*$W106)</f>
        <v/>
      </c>
      <c r="Z106" s="19">
        <f>IF($A106="","",(N(Items!K106)-N(Items!J106))*$W106)</f>
        <v/>
      </c>
      <c r="AA106" s="19">
        <f>IF($A106="","",$Z106-$X106)</f>
        <v/>
      </c>
      <c r="AB106" s="10">
        <f>IF($A106="","",IF(TRIM(Items!C106&amp;"")="","CHECK: import country missing",IF(OR(LEN($C106)&lt;&gt;10,ISERROR(VALUE($C106))),"CHECK: HTS must be 10 digits",IF(LEN($E106)&lt;&gt;2,"CHECK: origin code missing or not 2 letters",IF(OR(Items!G106="",Items!I106="",Items!J106=""),"CHECK: value, rate or cost missing",IF(ISNUMBER(Items!G106)*ISNUMBER(Items!I106)*ISNUMBER(Items!J106)=0,"CHECK: text in a number column",IF(AND($L106="Y",UPPER(TRIM(act_RateType&amp;""))="REPLACE",$N106&lt;N(act_PriorRate)),"CHECK: current rate is below the rate being replaced",IF(AND($L106="Y",$W106=0),"NOTE: in scope, no volume","OK"))))))))</f>
        <v/>
      </c>
      <c r="AC106" s="20">
        <f>IF($A106="","",IF(AND($L106="Y",$X106&lt;&gt;0),ABS($X106)+ROW()/1000000000,""))</f>
        <v/>
      </c>
    </row>
    <row r="107">
      <c r="A107" s="10">
        <f>IF(TRIM(Items!A107&amp;"")="","",TRIM(Items!A107&amp;""))</f>
        <v/>
      </c>
      <c r="B107" s="10">
        <f>IF($A107="","",Items!B107&amp;"")</f>
        <v/>
      </c>
      <c r="C107" s="10">
        <f>IF($A107="","",SUBSTITUTE(SUBSTITUTE(SUBSTITUTE(TRIM(Items!D107&amp;""),".","")," ",""),"-",""))</f>
        <v/>
      </c>
      <c r="D107" s="10">
        <f>IF($A107="","",LEFT($C107,2))</f>
        <v/>
      </c>
      <c r="E107" s="10">
        <f>IF($A107="","",UPPER(TRIM(Items!E107&amp;"")))</f>
        <v/>
      </c>
      <c r="F107" s="10">
        <f>IF($A107="","",IF(UPPER(TRIM(Items!C107&amp;""))=UPPER(TRIM(act_Country&amp;"")),"Y","N"))</f>
        <v/>
      </c>
      <c r="G107" s="10">
        <f>IF($A107="","",IF(SUMPRODUCT((scope_HTS&lt;&gt;"")*(LEFT($C107,LEN(scope_HTS))=scope_HTS))&gt;0,"Y","N"))</f>
        <v/>
      </c>
      <c r="H107" s="10">
        <f>IF($A107="","",IF(SUMPRODUCT((excl_HTS&lt;&gt;"")*(LEFT($C107,LEN(excl_HTS))=excl_HTS))&gt;0,"Y","N"))</f>
        <v/>
      </c>
      <c r="I107" s="10">
        <f>IF($A107="","",IF($E107="","N",IF(COUNTIF(scope_COO,$E107)&gt;0,"Y","N")))</f>
        <v/>
      </c>
      <c r="J107" s="10">
        <f>IF($A107="","",IF(AND(UPPER(TRIM(act_USMCAExempt&amp;""))="Y",UPPER(TRIM(Items!F107&amp;""))="Y"),"Y","N"))</f>
        <v/>
      </c>
      <c r="K107" s="10">
        <f>IF($A107="","",IFERROR(UPPER(TRIM(INDEX(det_Status,MATCH($A107,det_Item,0))&amp;"")),""))</f>
        <v/>
      </c>
      <c r="L107" s="10">
        <f>IF($A107="","",IF($K107="IN","Y",IF($K107="OUT","N",IF(AND($F107="Y",$G107="Y",$H107="N",$I107="Y",$J107="N"),"Y","N"))))</f>
        <v/>
      </c>
      <c r="M107" s="10">
        <f>IF($A107="","",IF($K107="IN","In: Research determination",IF($K107="OUT","Out: Research determination",IF($F107="N","Out: different import country",IF($G107="N","Out: HTS not on scope list",IF($H107="Y","Out: HTS on exclusion list",IF($I107="N","Out: origin not on scope list",IF($J107="Y","Out: USMCA-qualifying, exempt","In: matches scope rules"))))))))</f>
        <v/>
      </c>
      <c r="N107" s="16">
        <f>IF($A107="","",N(Items!I107))</f>
        <v/>
      </c>
      <c r="O107" s="16">
        <f>IF($A107="","",IF($L107="Y",$N107+N(act_Rate)-IF(UPPER(TRIM(act_RateType&amp;""))="REPLACE",N(act_PriorRate),0),$N107))</f>
        <v/>
      </c>
      <c r="P107" s="17">
        <f>IF($A107="","",N(Items!G107)*$N107)</f>
        <v/>
      </c>
      <c r="Q107" s="17">
        <f>IF($A107="","",N(Items!G107)*$O107)</f>
        <v/>
      </c>
      <c r="R107" s="17">
        <f>IF($A107="","",$Q107-$P107)</f>
        <v/>
      </c>
      <c r="S107" s="17">
        <f>IF($A107="","",N(Items!J107)+$R107)</f>
        <v/>
      </c>
      <c r="T107" s="16">
        <f>IF($A107="","",IF(N(Items!K107)=0,"",(N(Items!K107)-N(Items!J107))/N(Items!K107)))</f>
        <v/>
      </c>
      <c r="U107" s="16">
        <f>IF($A107="","",IF(N(Items!K107)=0,"",(N(Items!K107)-$S107)/N(Items!K107)))</f>
        <v/>
      </c>
      <c r="V107" s="16">
        <f>IF(OR($T107="",$U107=""),"",$U107-$T107)</f>
        <v/>
      </c>
      <c r="W107" s="18">
        <f>IF($A107="","",N(Items!H107))</f>
        <v/>
      </c>
      <c r="X107" s="19">
        <f>IF($A107="","",$R107*$W107)</f>
        <v/>
      </c>
      <c r="Y107" s="19">
        <f>IF($A107="","",N(Items!K107)*$W107)</f>
        <v/>
      </c>
      <c r="Z107" s="19">
        <f>IF($A107="","",(N(Items!K107)-N(Items!J107))*$W107)</f>
        <v/>
      </c>
      <c r="AA107" s="19">
        <f>IF($A107="","",$Z107-$X107)</f>
        <v/>
      </c>
      <c r="AB107" s="10">
        <f>IF($A107="","",IF(TRIM(Items!C107&amp;"")="","CHECK: import country missing",IF(OR(LEN($C107)&lt;&gt;10,ISERROR(VALUE($C107))),"CHECK: HTS must be 10 digits",IF(LEN($E107)&lt;&gt;2,"CHECK: origin code missing or not 2 letters",IF(OR(Items!G107="",Items!I107="",Items!J107=""),"CHECK: value, rate or cost missing",IF(ISNUMBER(Items!G107)*ISNUMBER(Items!I107)*ISNUMBER(Items!J107)=0,"CHECK: text in a number column",IF(AND($L107="Y",UPPER(TRIM(act_RateType&amp;""))="REPLACE",$N107&lt;N(act_PriorRate)),"CHECK: current rate is below the rate being replaced",IF(AND($L107="Y",$W107=0),"NOTE: in scope, no volume","OK"))))))))</f>
        <v/>
      </c>
      <c r="AC107" s="20">
        <f>IF($A107="","",IF(AND($L107="Y",$X107&lt;&gt;0),ABS($X107)+ROW()/1000000000,""))</f>
        <v/>
      </c>
    </row>
    <row r="108">
      <c r="A108" s="10">
        <f>IF(TRIM(Items!A108&amp;"")="","",TRIM(Items!A108&amp;""))</f>
        <v/>
      </c>
      <c r="B108" s="10">
        <f>IF($A108="","",Items!B108&amp;"")</f>
        <v/>
      </c>
      <c r="C108" s="10">
        <f>IF($A108="","",SUBSTITUTE(SUBSTITUTE(SUBSTITUTE(TRIM(Items!D108&amp;""),".","")," ",""),"-",""))</f>
        <v/>
      </c>
      <c r="D108" s="10">
        <f>IF($A108="","",LEFT($C108,2))</f>
        <v/>
      </c>
      <c r="E108" s="10">
        <f>IF($A108="","",UPPER(TRIM(Items!E108&amp;"")))</f>
        <v/>
      </c>
      <c r="F108" s="10">
        <f>IF($A108="","",IF(UPPER(TRIM(Items!C108&amp;""))=UPPER(TRIM(act_Country&amp;"")),"Y","N"))</f>
        <v/>
      </c>
      <c r="G108" s="10">
        <f>IF($A108="","",IF(SUMPRODUCT((scope_HTS&lt;&gt;"")*(LEFT($C108,LEN(scope_HTS))=scope_HTS))&gt;0,"Y","N"))</f>
        <v/>
      </c>
      <c r="H108" s="10">
        <f>IF($A108="","",IF(SUMPRODUCT((excl_HTS&lt;&gt;"")*(LEFT($C108,LEN(excl_HTS))=excl_HTS))&gt;0,"Y","N"))</f>
        <v/>
      </c>
      <c r="I108" s="10">
        <f>IF($A108="","",IF($E108="","N",IF(COUNTIF(scope_COO,$E108)&gt;0,"Y","N")))</f>
        <v/>
      </c>
      <c r="J108" s="10">
        <f>IF($A108="","",IF(AND(UPPER(TRIM(act_USMCAExempt&amp;""))="Y",UPPER(TRIM(Items!F108&amp;""))="Y"),"Y","N"))</f>
        <v/>
      </c>
      <c r="K108" s="10">
        <f>IF($A108="","",IFERROR(UPPER(TRIM(INDEX(det_Status,MATCH($A108,det_Item,0))&amp;"")),""))</f>
        <v/>
      </c>
      <c r="L108" s="10">
        <f>IF($A108="","",IF($K108="IN","Y",IF($K108="OUT","N",IF(AND($F108="Y",$G108="Y",$H108="N",$I108="Y",$J108="N"),"Y","N"))))</f>
        <v/>
      </c>
      <c r="M108" s="10">
        <f>IF($A108="","",IF($K108="IN","In: Research determination",IF($K108="OUT","Out: Research determination",IF($F108="N","Out: different import country",IF($G108="N","Out: HTS not on scope list",IF($H108="Y","Out: HTS on exclusion list",IF($I108="N","Out: origin not on scope list",IF($J108="Y","Out: USMCA-qualifying, exempt","In: matches scope rules"))))))))</f>
        <v/>
      </c>
      <c r="N108" s="16">
        <f>IF($A108="","",N(Items!I108))</f>
        <v/>
      </c>
      <c r="O108" s="16">
        <f>IF($A108="","",IF($L108="Y",$N108+N(act_Rate)-IF(UPPER(TRIM(act_RateType&amp;""))="REPLACE",N(act_PriorRate),0),$N108))</f>
        <v/>
      </c>
      <c r="P108" s="17">
        <f>IF($A108="","",N(Items!G108)*$N108)</f>
        <v/>
      </c>
      <c r="Q108" s="17">
        <f>IF($A108="","",N(Items!G108)*$O108)</f>
        <v/>
      </c>
      <c r="R108" s="17">
        <f>IF($A108="","",$Q108-$P108)</f>
        <v/>
      </c>
      <c r="S108" s="17">
        <f>IF($A108="","",N(Items!J108)+$R108)</f>
        <v/>
      </c>
      <c r="T108" s="16">
        <f>IF($A108="","",IF(N(Items!K108)=0,"",(N(Items!K108)-N(Items!J108))/N(Items!K108)))</f>
        <v/>
      </c>
      <c r="U108" s="16">
        <f>IF($A108="","",IF(N(Items!K108)=0,"",(N(Items!K108)-$S108)/N(Items!K108)))</f>
        <v/>
      </c>
      <c r="V108" s="16">
        <f>IF(OR($T108="",$U108=""),"",$U108-$T108)</f>
        <v/>
      </c>
      <c r="W108" s="18">
        <f>IF($A108="","",N(Items!H108))</f>
        <v/>
      </c>
      <c r="X108" s="19">
        <f>IF($A108="","",$R108*$W108)</f>
        <v/>
      </c>
      <c r="Y108" s="19">
        <f>IF($A108="","",N(Items!K108)*$W108)</f>
        <v/>
      </c>
      <c r="Z108" s="19">
        <f>IF($A108="","",(N(Items!K108)-N(Items!J108))*$W108)</f>
        <v/>
      </c>
      <c r="AA108" s="19">
        <f>IF($A108="","",$Z108-$X108)</f>
        <v/>
      </c>
      <c r="AB108" s="10">
        <f>IF($A108="","",IF(TRIM(Items!C108&amp;"")="","CHECK: import country missing",IF(OR(LEN($C108)&lt;&gt;10,ISERROR(VALUE($C108))),"CHECK: HTS must be 10 digits",IF(LEN($E108)&lt;&gt;2,"CHECK: origin code missing or not 2 letters",IF(OR(Items!G108="",Items!I108="",Items!J108=""),"CHECK: value, rate or cost missing",IF(ISNUMBER(Items!G108)*ISNUMBER(Items!I108)*ISNUMBER(Items!J108)=0,"CHECK: text in a number column",IF(AND($L108="Y",UPPER(TRIM(act_RateType&amp;""))="REPLACE",$N108&lt;N(act_PriorRate)),"CHECK: current rate is below the rate being replaced",IF(AND($L108="Y",$W108=0),"NOTE: in scope, no volume","OK"))))))))</f>
        <v/>
      </c>
      <c r="AC108" s="20">
        <f>IF($A108="","",IF(AND($L108="Y",$X108&lt;&gt;0),ABS($X108)+ROW()/1000000000,""))</f>
        <v/>
      </c>
    </row>
    <row r="109">
      <c r="A109" s="10">
        <f>IF(TRIM(Items!A109&amp;"")="","",TRIM(Items!A109&amp;""))</f>
        <v/>
      </c>
      <c r="B109" s="10">
        <f>IF($A109="","",Items!B109&amp;"")</f>
        <v/>
      </c>
      <c r="C109" s="10">
        <f>IF($A109="","",SUBSTITUTE(SUBSTITUTE(SUBSTITUTE(TRIM(Items!D109&amp;""),".","")," ",""),"-",""))</f>
        <v/>
      </c>
      <c r="D109" s="10">
        <f>IF($A109="","",LEFT($C109,2))</f>
        <v/>
      </c>
      <c r="E109" s="10">
        <f>IF($A109="","",UPPER(TRIM(Items!E109&amp;"")))</f>
        <v/>
      </c>
      <c r="F109" s="10">
        <f>IF($A109="","",IF(UPPER(TRIM(Items!C109&amp;""))=UPPER(TRIM(act_Country&amp;"")),"Y","N"))</f>
        <v/>
      </c>
      <c r="G109" s="10">
        <f>IF($A109="","",IF(SUMPRODUCT((scope_HTS&lt;&gt;"")*(LEFT($C109,LEN(scope_HTS))=scope_HTS))&gt;0,"Y","N"))</f>
        <v/>
      </c>
      <c r="H109" s="10">
        <f>IF($A109="","",IF(SUMPRODUCT((excl_HTS&lt;&gt;"")*(LEFT($C109,LEN(excl_HTS))=excl_HTS))&gt;0,"Y","N"))</f>
        <v/>
      </c>
      <c r="I109" s="10">
        <f>IF($A109="","",IF($E109="","N",IF(COUNTIF(scope_COO,$E109)&gt;0,"Y","N")))</f>
        <v/>
      </c>
      <c r="J109" s="10">
        <f>IF($A109="","",IF(AND(UPPER(TRIM(act_USMCAExempt&amp;""))="Y",UPPER(TRIM(Items!F109&amp;""))="Y"),"Y","N"))</f>
        <v/>
      </c>
      <c r="K109" s="10">
        <f>IF($A109="","",IFERROR(UPPER(TRIM(INDEX(det_Status,MATCH($A109,det_Item,0))&amp;"")),""))</f>
        <v/>
      </c>
      <c r="L109" s="10">
        <f>IF($A109="","",IF($K109="IN","Y",IF($K109="OUT","N",IF(AND($F109="Y",$G109="Y",$H109="N",$I109="Y",$J109="N"),"Y","N"))))</f>
        <v/>
      </c>
      <c r="M109" s="10">
        <f>IF($A109="","",IF($K109="IN","In: Research determination",IF($K109="OUT","Out: Research determination",IF($F109="N","Out: different import country",IF($G109="N","Out: HTS not on scope list",IF($H109="Y","Out: HTS on exclusion list",IF($I109="N","Out: origin not on scope list",IF($J109="Y","Out: USMCA-qualifying, exempt","In: matches scope rules"))))))))</f>
        <v/>
      </c>
      <c r="N109" s="16">
        <f>IF($A109="","",N(Items!I109))</f>
        <v/>
      </c>
      <c r="O109" s="16">
        <f>IF($A109="","",IF($L109="Y",$N109+N(act_Rate)-IF(UPPER(TRIM(act_RateType&amp;""))="REPLACE",N(act_PriorRate),0),$N109))</f>
        <v/>
      </c>
      <c r="P109" s="17">
        <f>IF($A109="","",N(Items!G109)*$N109)</f>
        <v/>
      </c>
      <c r="Q109" s="17">
        <f>IF($A109="","",N(Items!G109)*$O109)</f>
        <v/>
      </c>
      <c r="R109" s="17">
        <f>IF($A109="","",$Q109-$P109)</f>
        <v/>
      </c>
      <c r="S109" s="17">
        <f>IF($A109="","",N(Items!J109)+$R109)</f>
        <v/>
      </c>
      <c r="T109" s="16">
        <f>IF($A109="","",IF(N(Items!K109)=0,"",(N(Items!K109)-N(Items!J109))/N(Items!K109)))</f>
        <v/>
      </c>
      <c r="U109" s="16">
        <f>IF($A109="","",IF(N(Items!K109)=0,"",(N(Items!K109)-$S109)/N(Items!K109)))</f>
        <v/>
      </c>
      <c r="V109" s="16">
        <f>IF(OR($T109="",$U109=""),"",$U109-$T109)</f>
        <v/>
      </c>
      <c r="W109" s="18">
        <f>IF($A109="","",N(Items!H109))</f>
        <v/>
      </c>
      <c r="X109" s="19">
        <f>IF($A109="","",$R109*$W109)</f>
        <v/>
      </c>
      <c r="Y109" s="19">
        <f>IF($A109="","",N(Items!K109)*$W109)</f>
        <v/>
      </c>
      <c r="Z109" s="19">
        <f>IF($A109="","",(N(Items!K109)-N(Items!J109))*$W109)</f>
        <v/>
      </c>
      <c r="AA109" s="19">
        <f>IF($A109="","",$Z109-$X109)</f>
        <v/>
      </c>
      <c r="AB109" s="10">
        <f>IF($A109="","",IF(TRIM(Items!C109&amp;"")="","CHECK: import country missing",IF(OR(LEN($C109)&lt;&gt;10,ISERROR(VALUE($C109))),"CHECK: HTS must be 10 digits",IF(LEN($E109)&lt;&gt;2,"CHECK: origin code missing or not 2 letters",IF(OR(Items!G109="",Items!I109="",Items!J109=""),"CHECK: value, rate or cost missing",IF(ISNUMBER(Items!G109)*ISNUMBER(Items!I109)*ISNUMBER(Items!J109)=0,"CHECK: text in a number column",IF(AND($L109="Y",UPPER(TRIM(act_RateType&amp;""))="REPLACE",$N109&lt;N(act_PriorRate)),"CHECK: current rate is below the rate being replaced",IF(AND($L109="Y",$W109=0),"NOTE: in scope, no volume","OK"))))))))</f>
        <v/>
      </c>
      <c r="AC109" s="20">
        <f>IF($A109="","",IF(AND($L109="Y",$X109&lt;&gt;0),ABS($X109)+ROW()/1000000000,""))</f>
        <v/>
      </c>
    </row>
    <row r="110">
      <c r="A110" s="10">
        <f>IF(TRIM(Items!A110&amp;"")="","",TRIM(Items!A110&amp;""))</f>
        <v/>
      </c>
      <c r="B110" s="10">
        <f>IF($A110="","",Items!B110&amp;"")</f>
        <v/>
      </c>
      <c r="C110" s="10">
        <f>IF($A110="","",SUBSTITUTE(SUBSTITUTE(SUBSTITUTE(TRIM(Items!D110&amp;""),".","")," ",""),"-",""))</f>
        <v/>
      </c>
      <c r="D110" s="10">
        <f>IF($A110="","",LEFT($C110,2))</f>
        <v/>
      </c>
      <c r="E110" s="10">
        <f>IF($A110="","",UPPER(TRIM(Items!E110&amp;"")))</f>
        <v/>
      </c>
      <c r="F110" s="10">
        <f>IF($A110="","",IF(UPPER(TRIM(Items!C110&amp;""))=UPPER(TRIM(act_Country&amp;"")),"Y","N"))</f>
        <v/>
      </c>
      <c r="G110" s="10">
        <f>IF($A110="","",IF(SUMPRODUCT((scope_HTS&lt;&gt;"")*(LEFT($C110,LEN(scope_HTS))=scope_HTS))&gt;0,"Y","N"))</f>
        <v/>
      </c>
      <c r="H110" s="10">
        <f>IF($A110="","",IF(SUMPRODUCT((excl_HTS&lt;&gt;"")*(LEFT($C110,LEN(excl_HTS))=excl_HTS))&gt;0,"Y","N"))</f>
        <v/>
      </c>
      <c r="I110" s="10">
        <f>IF($A110="","",IF($E110="","N",IF(COUNTIF(scope_COO,$E110)&gt;0,"Y","N")))</f>
        <v/>
      </c>
      <c r="J110" s="10">
        <f>IF($A110="","",IF(AND(UPPER(TRIM(act_USMCAExempt&amp;""))="Y",UPPER(TRIM(Items!F110&amp;""))="Y"),"Y","N"))</f>
        <v/>
      </c>
      <c r="K110" s="10">
        <f>IF($A110="","",IFERROR(UPPER(TRIM(INDEX(det_Status,MATCH($A110,det_Item,0))&amp;"")),""))</f>
        <v/>
      </c>
      <c r="L110" s="10">
        <f>IF($A110="","",IF($K110="IN","Y",IF($K110="OUT","N",IF(AND($F110="Y",$G110="Y",$H110="N",$I110="Y",$J110="N"),"Y","N"))))</f>
        <v/>
      </c>
      <c r="M110" s="10">
        <f>IF($A110="","",IF($K110="IN","In: Research determination",IF($K110="OUT","Out: Research determination",IF($F110="N","Out: different import country",IF($G110="N","Out: HTS not on scope list",IF($H110="Y","Out: HTS on exclusion list",IF($I110="N","Out: origin not on scope list",IF($J110="Y","Out: USMCA-qualifying, exempt","In: matches scope rules"))))))))</f>
        <v/>
      </c>
      <c r="N110" s="16">
        <f>IF($A110="","",N(Items!I110))</f>
        <v/>
      </c>
      <c r="O110" s="16">
        <f>IF($A110="","",IF($L110="Y",$N110+N(act_Rate)-IF(UPPER(TRIM(act_RateType&amp;""))="REPLACE",N(act_PriorRate),0),$N110))</f>
        <v/>
      </c>
      <c r="P110" s="17">
        <f>IF($A110="","",N(Items!G110)*$N110)</f>
        <v/>
      </c>
      <c r="Q110" s="17">
        <f>IF($A110="","",N(Items!G110)*$O110)</f>
        <v/>
      </c>
      <c r="R110" s="17">
        <f>IF($A110="","",$Q110-$P110)</f>
        <v/>
      </c>
      <c r="S110" s="17">
        <f>IF($A110="","",N(Items!J110)+$R110)</f>
        <v/>
      </c>
      <c r="T110" s="16">
        <f>IF($A110="","",IF(N(Items!K110)=0,"",(N(Items!K110)-N(Items!J110))/N(Items!K110)))</f>
        <v/>
      </c>
      <c r="U110" s="16">
        <f>IF($A110="","",IF(N(Items!K110)=0,"",(N(Items!K110)-$S110)/N(Items!K110)))</f>
        <v/>
      </c>
      <c r="V110" s="16">
        <f>IF(OR($T110="",$U110=""),"",$U110-$T110)</f>
        <v/>
      </c>
      <c r="W110" s="18">
        <f>IF($A110="","",N(Items!H110))</f>
        <v/>
      </c>
      <c r="X110" s="19">
        <f>IF($A110="","",$R110*$W110)</f>
        <v/>
      </c>
      <c r="Y110" s="19">
        <f>IF($A110="","",N(Items!K110)*$W110)</f>
        <v/>
      </c>
      <c r="Z110" s="19">
        <f>IF($A110="","",(N(Items!K110)-N(Items!J110))*$W110)</f>
        <v/>
      </c>
      <c r="AA110" s="19">
        <f>IF($A110="","",$Z110-$X110)</f>
        <v/>
      </c>
      <c r="AB110" s="10">
        <f>IF($A110="","",IF(TRIM(Items!C110&amp;"")="","CHECK: import country missing",IF(OR(LEN($C110)&lt;&gt;10,ISERROR(VALUE($C110))),"CHECK: HTS must be 10 digits",IF(LEN($E110)&lt;&gt;2,"CHECK: origin code missing or not 2 letters",IF(OR(Items!G110="",Items!I110="",Items!J110=""),"CHECK: value, rate or cost missing",IF(ISNUMBER(Items!G110)*ISNUMBER(Items!I110)*ISNUMBER(Items!J110)=0,"CHECK: text in a number column",IF(AND($L110="Y",UPPER(TRIM(act_RateType&amp;""))="REPLACE",$N110&lt;N(act_PriorRate)),"CHECK: current rate is below the rate being replaced",IF(AND($L110="Y",$W110=0),"NOTE: in scope, no volume","OK"))))))))</f>
        <v/>
      </c>
      <c r="AC110" s="20">
        <f>IF($A110="","",IF(AND($L110="Y",$X110&lt;&gt;0),ABS($X110)+ROW()/1000000000,""))</f>
        <v/>
      </c>
    </row>
    <row r="111">
      <c r="A111" s="10">
        <f>IF(TRIM(Items!A111&amp;"")="","",TRIM(Items!A111&amp;""))</f>
        <v/>
      </c>
      <c r="B111" s="10">
        <f>IF($A111="","",Items!B111&amp;"")</f>
        <v/>
      </c>
      <c r="C111" s="10">
        <f>IF($A111="","",SUBSTITUTE(SUBSTITUTE(SUBSTITUTE(TRIM(Items!D111&amp;""),".","")," ",""),"-",""))</f>
        <v/>
      </c>
      <c r="D111" s="10">
        <f>IF($A111="","",LEFT($C111,2))</f>
        <v/>
      </c>
      <c r="E111" s="10">
        <f>IF($A111="","",UPPER(TRIM(Items!E111&amp;"")))</f>
        <v/>
      </c>
      <c r="F111" s="10">
        <f>IF($A111="","",IF(UPPER(TRIM(Items!C111&amp;""))=UPPER(TRIM(act_Country&amp;"")),"Y","N"))</f>
        <v/>
      </c>
      <c r="G111" s="10">
        <f>IF($A111="","",IF(SUMPRODUCT((scope_HTS&lt;&gt;"")*(LEFT($C111,LEN(scope_HTS))=scope_HTS))&gt;0,"Y","N"))</f>
        <v/>
      </c>
      <c r="H111" s="10">
        <f>IF($A111="","",IF(SUMPRODUCT((excl_HTS&lt;&gt;"")*(LEFT($C111,LEN(excl_HTS))=excl_HTS))&gt;0,"Y","N"))</f>
        <v/>
      </c>
      <c r="I111" s="10">
        <f>IF($A111="","",IF($E111="","N",IF(COUNTIF(scope_COO,$E111)&gt;0,"Y","N")))</f>
        <v/>
      </c>
      <c r="J111" s="10">
        <f>IF($A111="","",IF(AND(UPPER(TRIM(act_USMCAExempt&amp;""))="Y",UPPER(TRIM(Items!F111&amp;""))="Y"),"Y","N"))</f>
        <v/>
      </c>
      <c r="K111" s="10">
        <f>IF($A111="","",IFERROR(UPPER(TRIM(INDEX(det_Status,MATCH($A111,det_Item,0))&amp;"")),""))</f>
        <v/>
      </c>
      <c r="L111" s="10">
        <f>IF($A111="","",IF($K111="IN","Y",IF($K111="OUT","N",IF(AND($F111="Y",$G111="Y",$H111="N",$I111="Y",$J111="N"),"Y","N"))))</f>
        <v/>
      </c>
      <c r="M111" s="10">
        <f>IF($A111="","",IF($K111="IN","In: Research determination",IF($K111="OUT","Out: Research determination",IF($F111="N","Out: different import country",IF($G111="N","Out: HTS not on scope list",IF($H111="Y","Out: HTS on exclusion list",IF($I111="N","Out: origin not on scope list",IF($J111="Y","Out: USMCA-qualifying, exempt","In: matches scope rules"))))))))</f>
        <v/>
      </c>
      <c r="N111" s="16">
        <f>IF($A111="","",N(Items!I111))</f>
        <v/>
      </c>
      <c r="O111" s="16">
        <f>IF($A111="","",IF($L111="Y",$N111+N(act_Rate)-IF(UPPER(TRIM(act_RateType&amp;""))="REPLACE",N(act_PriorRate),0),$N111))</f>
        <v/>
      </c>
      <c r="P111" s="17">
        <f>IF($A111="","",N(Items!G111)*$N111)</f>
        <v/>
      </c>
      <c r="Q111" s="17">
        <f>IF($A111="","",N(Items!G111)*$O111)</f>
        <v/>
      </c>
      <c r="R111" s="17">
        <f>IF($A111="","",$Q111-$P111)</f>
        <v/>
      </c>
      <c r="S111" s="17">
        <f>IF($A111="","",N(Items!J111)+$R111)</f>
        <v/>
      </c>
      <c r="T111" s="16">
        <f>IF($A111="","",IF(N(Items!K111)=0,"",(N(Items!K111)-N(Items!J111))/N(Items!K111)))</f>
        <v/>
      </c>
      <c r="U111" s="16">
        <f>IF($A111="","",IF(N(Items!K111)=0,"",(N(Items!K111)-$S111)/N(Items!K111)))</f>
        <v/>
      </c>
      <c r="V111" s="16">
        <f>IF(OR($T111="",$U111=""),"",$U111-$T111)</f>
        <v/>
      </c>
      <c r="W111" s="18">
        <f>IF($A111="","",N(Items!H111))</f>
        <v/>
      </c>
      <c r="X111" s="19">
        <f>IF($A111="","",$R111*$W111)</f>
        <v/>
      </c>
      <c r="Y111" s="19">
        <f>IF($A111="","",N(Items!K111)*$W111)</f>
        <v/>
      </c>
      <c r="Z111" s="19">
        <f>IF($A111="","",(N(Items!K111)-N(Items!J111))*$W111)</f>
        <v/>
      </c>
      <c r="AA111" s="19">
        <f>IF($A111="","",$Z111-$X111)</f>
        <v/>
      </c>
      <c r="AB111" s="10">
        <f>IF($A111="","",IF(TRIM(Items!C111&amp;"")="","CHECK: import country missing",IF(OR(LEN($C111)&lt;&gt;10,ISERROR(VALUE($C111))),"CHECK: HTS must be 10 digits",IF(LEN($E111)&lt;&gt;2,"CHECK: origin code missing or not 2 letters",IF(OR(Items!G111="",Items!I111="",Items!J111=""),"CHECK: value, rate or cost missing",IF(ISNUMBER(Items!G111)*ISNUMBER(Items!I111)*ISNUMBER(Items!J111)=0,"CHECK: text in a number column",IF(AND($L111="Y",UPPER(TRIM(act_RateType&amp;""))="REPLACE",$N111&lt;N(act_PriorRate)),"CHECK: current rate is below the rate being replaced",IF(AND($L111="Y",$W111=0),"NOTE: in scope, no volume","OK"))))))))</f>
        <v/>
      </c>
      <c r="AC111" s="20">
        <f>IF($A111="","",IF(AND($L111="Y",$X111&lt;&gt;0),ABS($X111)+ROW()/1000000000,""))</f>
        <v/>
      </c>
    </row>
    <row r="112">
      <c r="A112" s="10">
        <f>IF(TRIM(Items!A112&amp;"")="","",TRIM(Items!A112&amp;""))</f>
        <v/>
      </c>
      <c r="B112" s="10">
        <f>IF($A112="","",Items!B112&amp;"")</f>
        <v/>
      </c>
      <c r="C112" s="10">
        <f>IF($A112="","",SUBSTITUTE(SUBSTITUTE(SUBSTITUTE(TRIM(Items!D112&amp;""),".","")," ",""),"-",""))</f>
        <v/>
      </c>
      <c r="D112" s="10">
        <f>IF($A112="","",LEFT($C112,2))</f>
        <v/>
      </c>
      <c r="E112" s="10">
        <f>IF($A112="","",UPPER(TRIM(Items!E112&amp;"")))</f>
        <v/>
      </c>
      <c r="F112" s="10">
        <f>IF($A112="","",IF(UPPER(TRIM(Items!C112&amp;""))=UPPER(TRIM(act_Country&amp;"")),"Y","N"))</f>
        <v/>
      </c>
      <c r="G112" s="10">
        <f>IF($A112="","",IF(SUMPRODUCT((scope_HTS&lt;&gt;"")*(LEFT($C112,LEN(scope_HTS))=scope_HTS))&gt;0,"Y","N"))</f>
        <v/>
      </c>
      <c r="H112" s="10">
        <f>IF($A112="","",IF(SUMPRODUCT((excl_HTS&lt;&gt;"")*(LEFT($C112,LEN(excl_HTS))=excl_HTS))&gt;0,"Y","N"))</f>
        <v/>
      </c>
      <c r="I112" s="10">
        <f>IF($A112="","",IF($E112="","N",IF(COUNTIF(scope_COO,$E112)&gt;0,"Y","N")))</f>
        <v/>
      </c>
      <c r="J112" s="10">
        <f>IF($A112="","",IF(AND(UPPER(TRIM(act_USMCAExempt&amp;""))="Y",UPPER(TRIM(Items!F112&amp;""))="Y"),"Y","N"))</f>
        <v/>
      </c>
      <c r="K112" s="10">
        <f>IF($A112="","",IFERROR(UPPER(TRIM(INDEX(det_Status,MATCH($A112,det_Item,0))&amp;"")),""))</f>
        <v/>
      </c>
      <c r="L112" s="10">
        <f>IF($A112="","",IF($K112="IN","Y",IF($K112="OUT","N",IF(AND($F112="Y",$G112="Y",$H112="N",$I112="Y",$J112="N"),"Y","N"))))</f>
        <v/>
      </c>
      <c r="M112" s="10">
        <f>IF($A112="","",IF($K112="IN","In: Research determination",IF($K112="OUT","Out: Research determination",IF($F112="N","Out: different import country",IF($G112="N","Out: HTS not on scope list",IF($H112="Y","Out: HTS on exclusion list",IF($I112="N","Out: origin not on scope list",IF($J112="Y","Out: USMCA-qualifying, exempt","In: matches scope rules"))))))))</f>
        <v/>
      </c>
      <c r="N112" s="16">
        <f>IF($A112="","",N(Items!I112))</f>
        <v/>
      </c>
      <c r="O112" s="16">
        <f>IF($A112="","",IF($L112="Y",$N112+N(act_Rate)-IF(UPPER(TRIM(act_RateType&amp;""))="REPLACE",N(act_PriorRate),0),$N112))</f>
        <v/>
      </c>
      <c r="P112" s="17">
        <f>IF($A112="","",N(Items!G112)*$N112)</f>
        <v/>
      </c>
      <c r="Q112" s="17">
        <f>IF($A112="","",N(Items!G112)*$O112)</f>
        <v/>
      </c>
      <c r="R112" s="17">
        <f>IF($A112="","",$Q112-$P112)</f>
        <v/>
      </c>
      <c r="S112" s="17">
        <f>IF($A112="","",N(Items!J112)+$R112)</f>
        <v/>
      </c>
      <c r="T112" s="16">
        <f>IF($A112="","",IF(N(Items!K112)=0,"",(N(Items!K112)-N(Items!J112))/N(Items!K112)))</f>
        <v/>
      </c>
      <c r="U112" s="16">
        <f>IF($A112="","",IF(N(Items!K112)=0,"",(N(Items!K112)-$S112)/N(Items!K112)))</f>
        <v/>
      </c>
      <c r="V112" s="16">
        <f>IF(OR($T112="",$U112=""),"",$U112-$T112)</f>
        <v/>
      </c>
      <c r="W112" s="18">
        <f>IF($A112="","",N(Items!H112))</f>
        <v/>
      </c>
      <c r="X112" s="19">
        <f>IF($A112="","",$R112*$W112)</f>
        <v/>
      </c>
      <c r="Y112" s="19">
        <f>IF($A112="","",N(Items!K112)*$W112)</f>
        <v/>
      </c>
      <c r="Z112" s="19">
        <f>IF($A112="","",(N(Items!K112)-N(Items!J112))*$W112)</f>
        <v/>
      </c>
      <c r="AA112" s="19">
        <f>IF($A112="","",$Z112-$X112)</f>
        <v/>
      </c>
      <c r="AB112" s="10">
        <f>IF($A112="","",IF(TRIM(Items!C112&amp;"")="","CHECK: import country missing",IF(OR(LEN($C112)&lt;&gt;10,ISERROR(VALUE($C112))),"CHECK: HTS must be 10 digits",IF(LEN($E112)&lt;&gt;2,"CHECK: origin code missing or not 2 letters",IF(OR(Items!G112="",Items!I112="",Items!J112=""),"CHECK: value, rate or cost missing",IF(ISNUMBER(Items!G112)*ISNUMBER(Items!I112)*ISNUMBER(Items!J112)=0,"CHECK: text in a number column",IF(AND($L112="Y",UPPER(TRIM(act_RateType&amp;""))="REPLACE",$N112&lt;N(act_PriorRate)),"CHECK: current rate is below the rate being replaced",IF(AND($L112="Y",$W112=0),"NOTE: in scope, no volume","OK"))))))))</f>
        <v/>
      </c>
      <c r="AC112" s="20">
        <f>IF($A112="","",IF(AND($L112="Y",$X112&lt;&gt;0),ABS($X112)+ROW()/1000000000,""))</f>
        <v/>
      </c>
    </row>
    <row r="113">
      <c r="A113" s="10">
        <f>IF(TRIM(Items!A113&amp;"")="","",TRIM(Items!A113&amp;""))</f>
        <v/>
      </c>
      <c r="B113" s="10">
        <f>IF($A113="","",Items!B113&amp;"")</f>
        <v/>
      </c>
      <c r="C113" s="10">
        <f>IF($A113="","",SUBSTITUTE(SUBSTITUTE(SUBSTITUTE(TRIM(Items!D113&amp;""),".","")," ",""),"-",""))</f>
        <v/>
      </c>
      <c r="D113" s="10">
        <f>IF($A113="","",LEFT($C113,2))</f>
        <v/>
      </c>
      <c r="E113" s="10">
        <f>IF($A113="","",UPPER(TRIM(Items!E113&amp;"")))</f>
        <v/>
      </c>
      <c r="F113" s="10">
        <f>IF($A113="","",IF(UPPER(TRIM(Items!C113&amp;""))=UPPER(TRIM(act_Country&amp;"")),"Y","N"))</f>
        <v/>
      </c>
      <c r="G113" s="10">
        <f>IF($A113="","",IF(SUMPRODUCT((scope_HTS&lt;&gt;"")*(LEFT($C113,LEN(scope_HTS))=scope_HTS))&gt;0,"Y","N"))</f>
        <v/>
      </c>
      <c r="H113" s="10">
        <f>IF($A113="","",IF(SUMPRODUCT((excl_HTS&lt;&gt;"")*(LEFT($C113,LEN(excl_HTS))=excl_HTS))&gt;0,"Y","N"))</f>
        <v/>
      </c>
      <c r="I113" s="10">
        <f>IF($A113="","",IF($E113="","N",IF(COUNTIF(scope_COO,$E113)&gt;0,"Y","N")))</f>
        <v/>
      </c>
      <c r="J113" s="10">
        <f>IF($A113="","",IF(AND(UPPER(TRIM(act_USMCAExempt&amp;""))="Y",UPPER(TRIM(Items!F113&amp;""))="Y"),"Y","N"))</f>
        <v/>
      </c>
      <c r="K113" s="10">
        <f>IF($A113="","",IFERROR(UPPER(TRIM(INDEX(det_Status,MATCH($A113,det_Item,0))&amp;"")),""))</f>
        <v/>
      </c>
      <c r="L113" s="10">
        <f>IF($A113="","",IF($K113="IN","Y",IF($K113="OUT","N",IF(AND($F113="Y",$G113="Y",$H113="N",$I113="Y",$J113="N"),"Y","N"))))</f>
        <v/>
      </c>
      <c r="M113" s="10">
        <f>IF($A113="","",IF($K113="IN","In: Research determination",IF($K113="OUT","Out: Research determination",IF($F113="N","Out: different import country",IF($G113="N","Out: HTS not on scope list",IF($H113="Y","Out: HTS on exclusion list",IF($I113="N","Out: origin not on scope list",IF($J113="Y","Out: USMCA-qualifying, exempt","In: matches scope rules"))))))))</f>
        <v/>
      </c>
      <c r="N113" s="16">
        <f>IF($A113="","",N(Items!I113))</f>
        <v/>
      </c>
      <c r="O113" s="16">
        <f>IF($A113="","",IF($L113="Y",$N113+N(act_Rate)-IF(UPPER(TRIM(act_RateType&amp;""))="REPLACE",N(act_PriorRate),0),$N113))</f>
        <v/>
      </c>
      <c r="P113" s="17">
        <f>IF($A113="","",N(Items!G113)*$N113)</f>
        <v/>
      </c>
      <c r="Q113" s="17">
        <f>IF($A113="","",N(Items!G113)*$O113)</f>
        <v/>
      </c>
      <c r="R113" s="17">
        <f>IF($A113="","",$Q113-$P113)</f>
        <v/>
      </c>
      <c r="S113" s="17">
        <f>IF($A113="","",N(Items!J113)+$R113)</f>
        <v/>
      </c>
      <c r="T113" s="16">
        <f>IF($A113="","",IF(N(Items!K113)=0,"",(N(Items!K113)-N(Items!J113))/N(Items!K113)))</f>
        <v/>
      </c>
      <c r="U113" s="16">
        <f>IF($A113="","",IF(N(Items!K113)=0,"",(N(Items!K113)-$S113)/N(Items!K113)))</f>
        <v/>
      </c>
      <c r="V113" s="16">
        <f>IF(OR($T113="",$U113=""),"",$U113-$T113)</f>
        <v/>
      </c>
      <c r="W113" s="18">
        <f>IF($A113="","",N(Items!H113))</f>
        <v/>
      </c>
      <c r="X113" s="19">
        <f>IF($A113="","",$R113*$W113)</f>
        <v/>
      </c>
      <c r="Y113" s="19">
        <f>IF($A113="","",N(Items!K113)*$W113)</f>
        <v/>
      </c>
      <c r="Z113" s="19">
        <f>IF($A113="","",(N(Items!K113)-N(Items!J113))*$W113)</f>
        <v/>
      </c>
      <c r="AA113" s="19">
        <f>IF($A113="","",$Z113-$X113)</f>
        <v/>
      </c>
      <c r="AB113" s="10">
        <f>IF($A113="","",IF(TRIM(Items!C113&amp;"")="","CHECK: import country missing",IF(OR(LEN($C113)&lt;&gt;10,ISERROR(VALUE($C113))),"CHECK: HTS must be 10 digits",IF(LEN($E113)&lt;&gt;2,"CHECK: origin code missing or not 2 letters",IF(OR(Items!G113="",Items!I113="",Items!J113=""),"CHECK: value, rate or cost missing",IF(ISNUMBER(Items!G113)*ISNUMBER(Items!I113)*ISNUMBER(Items!J113)=0,"CHECK: text in a number column",IF(AND($L113="Y",UPPER(TRIM(act_RateType&amp;""))="REPLACE",$N113&lt;N(act_PriorRate)),"CHECK: current rate is below the rate being replaced",IF(AND($L113="Y",$W113=0),"NOTE: in scope, no volume","OK"))))))))</f>
        <v/>
      </c>
      <c r="AC113" s="20">
        <f>IF($A113="","",IF(AND($L113="Y",$X113&lt;&gt;0),ABS($X113)+ROW()/1000000000,""))</f>
        <v/>
      </c>
    </row>
    <row r="114">
      <c r="A114" s="10">
        <f>IF(TRIM(Items!A114&amp;"")="","",TRIM(Items!A114&amp;""))</f>
        <v/>
      </c>
      <c r="B114" s="10">
        <f>IF($A114="","",Items!B114&amp;"")</f>
        <v/>
      </c>
      <c r="C114" s="10">
        <f>IF($A114="","",SUBSTITUTE(SUBSTITUTE(SUBSTITUTE(TRIM(Items!D114&amp;""),".","")," ",""),"-",""))</f>
        <v/>
      </c>
      <c r="D114" s="10">
        <f>IF($A114="","",LEFT($C114,2))</f>
        <v/>
      </c>
      <c r="E114" s="10">
        <f>IF($A114="","",UPPER(TRIM(Items!E114&amp;"")))</f>
        <v/>
      </c>
      <c r="F114" s="10">
        <f>IF($A114="","",IF(UPPER(TRIM(Items!C114&amp;""))=UPPER(TRIM(act_Country&amp;"")),"Y","N"))</f>
        <v/>
      </c>
      <c r="G114" s="10">
        <f>IF($A114="","",IF(SUMPRODUCT((scope_HTS&lt;&gt;"")*(LEFT($C114,LEN(scope_HTS))=scope_HTS))&gt;0,"Y","N"))</f>
        <v/>
      </c>
      <c r="H114" s="10">
        <f>IF($A114="","",IF(SUMPRODUCT((excl_HTS&lt;&gt;"")*(LEFT($C114,LEN(excl_HTS))=excl_HTS))&gt;0,"Y","N"))</f>
        <v/>
      </c>
      <c r="I114" s="10">
        <f>IF($A114="","",IF($E114="","N",IF(COUNTIF(scope_COO,$E114)&gt;0,"Y","N")))</f>
        <v/>
      </c>
      <c r="J114" s="10">
        <f>IF($A114="","",IF(AND(UPPER(TRIM(act_USMCAExempt&amp;""))="Y",UPPER(TRIM(Items!F114&amp;""))="Y"),"Y","N"))</f>
        <v/>
      </c>
      <c r="K114" s="10">
        <f>IF($A114="","",IFERROR(UPPER(TRIM(INDEX(det_Status,MATCH($A114,det_Item,0))&amp;"")),""))</f>
        <v/>
      </c>
      <c r="L114" s="10">
        <f>IF($A114="","",IF($K114="IN","Y",IF($K114="OUT","N",IF(AND($F114="Y",$G114="Y",$H114="N",$I114="Y",$J114="N"),"Y","N"))))</f>
        <v/>
      </c>
      <c r="M114" s="10">
        <f>IF($A114="","",IF($K114="IN","In: Research determination",IF($K114="OUT","Out: Research determination",IF($F114="N","Out: different import country",IF($G114="N","Out: HTS not on scope list",IF($H114="Y","Out: HTS on exclusion list",IF($I114="N","Out: origin not on scope list",IF($J114="Y","Out: USMCA-qualifying, exempt","In: matches scope rules"))))))))</f>
        <v/>
      </c>
      <c r="N114" s="16">
        <f>IF($A114="","",N(Items!I114))</f>
        <v/>
      </c>
      <c r="O114" s="16">
        <f>IF($A114="","",IF($L114="Y",$N114+N(act_Rate)-IF(UPPER(TRIM(act_RateType&amp;""))="REPLACE",N(act_PriorRate),0),$N114))</f>
        <v/>
      </c>
      <c r="P114" s="17">
        <f>IF($A114="","",N(Items!G114)*$N114)</f>
        <v/>
      </c>
      <c r="Q114" s="17">
        <f>IF($A114="","",N(Items!G114)*$O114)</f>
        <v/>
      </c>
      <c r="R114" s="17">
        <f>IF($A114="","",$Q114-$P114)</f>
        <v/>
      </c>
      <c r="S114" s="17">
        <f>IF($A114="","",N(Items!J114)+$R114)</f>
        <v/>
      </c>
      <c r="T114" s="16">
        <f>IF($A114="","",IF(N(Items!K114)=0,"",(N(Items!K114)-N(Items!J114))/N(Items!K114)))</f>
        <v/>
      </c>
      <c r="U114" s="16">
        <f>IF($A114="","",IF(N(Items!K114)=0,"",(N(Items!K114)-$S114)/N(Items!K114)))</f>
        <v/>
      </c>
      <c r="V114" s="16">
        <f>IF(OR($T114="",$U114=""),"",$U114-$T114)</f>
        <v/>
      </c>
      <c r="W114" s="18">
        <f>IF($A114="","",N(Items!H114))</f>
        <v/>
      </c>
      <c r="X114" s="19">
        <f>IF($A114="","",$R114*$W114)</f>
        <v/>
      </c>
      <c r="Y114" s="19">
        <f>IF($A114="","",N(Items!K114)*$W114)</f>
        <v/>
      </c>
      <c r="Z114" s="19">
        <f>IF($A114="","",(N(Items!K114)-N(Items!J114))*$W114)</f>
        <v/>
      </c>
      <c r="AA114" s="19">
        <f>IF($A114="","",$Z114-$X114)</f>
        <v/>
      </c>
      <c r="AB114" s="10">
        <f>IF($A114="","",IF(TRIM(Items!C114&amp;"")="","CHECK: import country missing",IF(OR(LEN($C114)&lt;&gt;10,ISERROR(VALUE($C114))),"CHECK: HTS must be 10 digits",IF(LEN($E114)&lt;&gt;2,"CHECK: origin code missing or not 2 letters",IF(OR(Items!G114="",Items!I114="",Items!J114=""),"CHECK: value, rate or cost missing",IF(ISNUMBER(Items!G114)*ISNUMBER(Items!I114)*ISNUMBER(Items!J114)=0,"CHECK: text in a number column",IF(AND($L114="Y",UPPER(TRIM(act_RateType&amp;""))="REPLACE",$N114&lt;N(act_PriorRate)),"CHECK: current rate is below the rate being replaced",IF(AND($L114="Y",$W114=0),"NOTE: in scope, no volume","OK"))))))))</f>
        <v/>
      </c>
      <c r="AC114" s="20">
        <f>IF($A114="","",IF(AND($L114="Y",$X114&lt;&gt;0),ABS($X114)+ROW()/1000000000,""))</f>
        <v/>
      </c>
    </row>
    <row r="115">
      <c r="A115" s="10">
        <f>IF(TRIM(Items!A115&amp;"")="","",TRIM(Items!A115&amp;""))</f>
        <v/>
      </c>
      <c r="B115" s="10">
        <f>IF($A115="","",Items!B115&amp;"")</f>
        <v/>
      </c>
      <c r="C115" s="10">
        <f>IF($A115="","",SUBSTITUTE(SUBSTITUTE(SUBSTITUTE(TRIM(Items!D115&amp;""),".","")," ",""),"-",""))</f>
        <v/>
      </c>
      <c r="D115" s="10">
        <f>IF($A115="","",LEFT($C115,2))</f>
        <v/>
      </c>
      <c r="E115" s="10">
        <f>IF($A115="","",UPPER(TRIM(Items!E115&amp;"")))</f>
        <v/>
      </c>
      <c r="F115" s="10">
        <f>IF($A115="","",IF(UPPER(TRIM(Items!C115&amp;""))=UPPER(TRIM(act_Country&amp;"")),"Y","N"))</f>
        <v/>
      </c>
      <c r="G115" s="10">
        <f>IF($A115="","",IF(SUMPRODUCT((scope_HTS&lt;&gt;"")*(LEFT($C115,LEN(scope_HTS))=scope_HTS))&gt;0,"Y","N"))</f>
        <v/>
      </c>
      <c r="H115" s="10">
        <f>IF($A115="","",IF(SUMPRODUCT((excl_HTS&lt;&gt;"")*(LEFT($C115,LEN(excl_HTS))=excl_HTS))&gt;0,"Y","N"))</f>
        <v/>
      </c>
      <c r="I115" s="10">
        <f>IF($A115="","",IF($E115="","N",IF(COUNTIF(scope_COO,$E115)&gt;0,"Y","N")))</f>
        <v/>
      </c>
      <c r="J115" s="10">
        <f>IF($A115="","",IF(AND(UPPER(TRIM(act_USMCAExempt&amp;""))="Y",UPPER(TRIM(Items!F115&amp;""))="Y"),"Y","N"))</f>
        <v/>
      </c>
      <c r="K115" s="10">
        <f>IF($A115="","",IFERROR(UPPER(TRIM(INDEX(det_Status,MATCH($A115,det_Item,0))&amp;"")),""))</f>
        <v/>
      </c>
      <c r="L115" s="10">
        <f>IF($A115="","",IF($K115="IN","Y",IF($K115="OUT","N",IF(AND($F115="Y",$G115="Y",$H115="N",$I115="Y",$J115="N"),"Y","N"))))</f>
        <v/>
      </c>
      <c r="M115" s="10">
        <f>IF($A115="","",IF($K115="IN","In: Research determination",IF($K115="OUT","Out: Research determination",IF($F115="N","Out: different import country",IF($G115="N","Out: HTS not on scope list",IF($H115="Y","Out: HTS on exclusion list",IF($I115="N","Out: origin not on scope list",IF($J115="Y","Out: USMCA-qualifying, exempt","In: matches scope rules"))))))))</f>
        <v/>
      </c>
      <c r="N115" s="16">
        <f>IF($A115="","",N(Items!I115))</f>
        <v/>
      </c>
      <c r="O115" s="16">
        <f>IF($A115="","",IF($L115="Y",$N115+N(act_Rate)-IF(UPPER(TRIM(act_RateType&amp;""))="REPLACE",N(act_PriorRate),0),$N115))</f>
        <v/>
      </c>
      <c r="P115" s="17">
        <f>IF($A115="","",N(Items!G115)*$N115)</f>
        <v/>
      </c>
      <c r="Q115" s="17">
        <f>IF($A115="","",N(Items!G115)*$O115)</f>
        <v/>
      </c>
      <c r="R115" s="17">
        <f>IF($A115="","",$Q115-$P115)</f>
        <v/>
      </c>
      <c r="S115" s="17">
        <f>IF($A115="","",N(Items!J115)+$R115)</f>
        <v/>
      </c>
      <c r="T115" s="16">
        <f>IF($A115="","",IF(N(Items!K115)=0,"",(N(Items!K115)-N(Items!J115))/N(Items!K115)))</f>
        <v/>
      </c>
      <c r="U115" s="16">
        <f>IF($A115="","",IF(N(Items!K115)=0,"",(N(Items!K115)-$S115)/N(Items!K115)))</f>
        <v/>
      </c>
      <c r="V115" s="16">
        <f>IF(OR($T115="",$U115=""),"",$U115-$T115)</f>
        <v/>
      </c>
      <c r="W115" s="18">
        <f>IF($A115="","",N(Items!H115))</f>
        <v/>
      </c>
      <c r="X115" s="19">
        <f>IF($A115="","",$R115*$W115)</f>
        <v/>
      </c>
      <c r="Y115" s="19">
        <f>IF($A115="","",N(Items!K115)*$W115)</f>
        <v/>
      </c>
      <c r="Z115" s="19">
        <f>IF($A115="","",(N(Items!K115)-N(Items!J115))*$W115)</f>
        <v/>
      </c>
      <c r="AA115" s="19">
        <f>IF($A115="","",$Z115-$X115)</f>
        <v/>
      </c>
      <c r="AB115" s="10">
        <f>IF($A115="","",IF(TRIM(Items!C115&amp;"")="","CHECK: import country missing",IF(OR(LEN($C115)&lt;&gt;10,ISERROR(VALUE($C115))),"CHECK: HTS must be 10 digits",IF(LEN($E115)&lt;&gt;2,"CHECK: origin code missing or not 2 letters",IF(OR(Items!G115="",Items!I115="",Items!J115=""),"CHECK: value, rate or cost missing",IF(ISNUMBER(Items!G115)*ISNUMBER(Items!I115)*ISNUMBER(Items!J115)=0,"CHECK: text in a number column",IF(AND($L115="Y",UPPER(TRIM(act_RateType&amp;""))="REPLACE",$N115&lt;N(act_PriorRate)),"CHECK: current rate is below the rate being replaced",IF(AND($L115="Y",$W115=0),"NOTE: in scope, no volume","OK"))))))))</f>
        <v/>
      </c>
      <c r="AC115" s="20">
        <f>IF($A115="","",IF(AND($L115="Y",$X115&lt;&gt;0),ABS($X115)+ROW()/1000000000,""))</f>
        <v/>
      </c>
    </row>
    <row r="116">
      <c r="A116" s="10">
        <f>IF(TRIM(Items!A116&amp;"")="","",TRIM(Items!A116&amp;""))</f>
        <v/>
      </c>
      <c r="B116" s="10">
        <f>IF($A116="","",Items!B116&amp;"")</f>
        <v/>
      </c>
      <c r="C116" s="10">
        <f>IF($A116="","",SUBSTITUTE(SUBSTITUTE(SUBSTITUTE(TRIM(Items!D116&amp;""),".","")," ",""),"-",""))</f>
        <v/>
      </c>
      <c r="D116" s="10">
        <f>IF($A116="","",LEFT($C116,2))</f>
        <v/>
      </c>
      <c r="E116" s="10">
        <f>IF($A116="","",UPPER(TRIM(Items!E116&amp;"")))</f>
        <v/>
      </c>
      <c r="F116" s="10">
        <f>IF($A116="","",IF(UPPER(TRIM(Items!C116&amp;""))=UPPER(TRIM(act_Country&amp;"")),"Y","N"))</f>
        <v/>
      </c>
      <c r="G116" s="10">
        <f>IF($A116="","",IF(SUMPRODUCT((scope_HTS&lt;&gt;"")*(LEFT($C116,LEN(scope_HTS))=scope_HTS))&gt;0,"Y","N"))</f>
        <v/>
      </c>
      <c r="H116" s="10">
        <f>IF($A116="","",IF(SUMPRODUCT((excl_HTS&lt;&gt;"")*(LEFT($C116,LEN(excl_HTS))=excl_HTS))&gt;0,"Y","N"))</f>
        <v/>
      </c>
      <c r="I116" s="10">
        <f>IF($A116="","",IF($E116="","N",IF(COUNTIF(scope_COO,$E116)&gt;0,"Y","N")))</f>
        <v/>
      </c>
      <c r="J116" s="10">
        <f>IF($A116="","",IF(AND(UPPER(TRIM(act_USMCAExempt&amp;""))="Y",UPPER(TRIM(Items!F116&amp;""))="Y"),"Y","N"))</f>
        <v/>
      </c>
      <c r="K116" s="10">
        <f>IF($A116="","",IFERROR(UPPER(TRIM(INDEX(det_Status,MATCH($A116,det_Item,0))&amp;"")),""))</f>
        <v/>
      </c>
      <c r="L116" s="10">
        <f>IF($A116="","",IF($K116="IN","Y",IF($K116="OUT","N",IF(AND($F116="Y",$G116="Y",$H116="N",$I116="Y",$J116="N"),"Y","N"))))</f>
        <v/>
      </c>
      <c r="M116" s="10">
        <f>IF($A116="","",IF($K116="IN","In: Research determination",IF($K116="OUT","Out: Research determination",IF($F116="N","Out: different import country",IF($G116="N","Out: HTS not on scope list",IF($H116="Y","Out: HTS on exclusion list",IF($I116="N","Out: origin not on scope list",IF($J116="Y","Out: USMCA-qualifying, exempt","In: matches scope rules"))))))))</f>
        <v/>
      </c>
      <c r="N116" s="16">
        <f>IF($A116="","",N(Items!I116))</f>
        <v/>
      </c>
      <c r="O116" s="16">
        <f>IF($A116="","",IF($L116="Y",$N116+N(act_Rate)-IF(UPPER(TRIM(act_RateType&amp;""))="REPLACE",N(act_PriorRate),0),$N116))</f>
        <v/>
      </c>
      <c r="P116" s="17">
        <f>IF($A116="","",N(Items!G116)*$N116)</f>
        <v/>
      </c>
      <c r="Q116" s="17">
        <f>IF($A116="","",N(Items!G116)*$O116)</f>
        <v/>
      </c>
      <c r="R116" s="17">
        <f>IF($A116="","",$Q116-$P116)</f>
        <v/>
      </c>
      <c r="S116" s="17">
        <f>IF($A116="","",N(Items!J116)+$R116)</f>
        <v/>
      </c>
      <c r="T116" s="16">
        <f>IF($A116="","",IF(N(Items!K116)=0,"",(N(Items!K116)-N(Items!J116))/N(Items!K116)))</f>
        <v/>
      </c>
      <c r="U116" s="16">
        <f>IF($A116="","",IF(N(Items!K116)=0,"",(N(Items!K116)-$S116)/N(Items!K116)))</f>
        <v/>
      </c>
      <c r="V116" s="16">
        <f>IF(OR($T116="",$U116=""),"",$U116-$T116)</f>
        <v/>
      </c>
      <c r="W116" s="18">
        <f>IF($A116="","",N(Items!H116))</f>
        <v/>
      </c>
      <c r="X116" s="19">
        <f>IF($A116="","",$R116*$W116)</f>
        <v/>
      </c>
      <c r="Y116" s="19">
        <f>IF($A116="","",N(Items!K116)*$W116)</f>
        <v/>
      </c>
      <c r="Z116" s="19">
        <f>IF($A116="","",(N(Items!K116)-N(Items!J116))*$W116)</f>
        <v/>
      </c>
      <c r="AA116" s="19">
        <f>IF($A116="","",$Z116-$X116)</f>
        <v/>
      </c>
      <c r="AB116" s="10">
        <f>IF($A116="","",IF(TRIM(Items!C116&amp;"")="","CHECK: import country missing",IF(OR(LEN($C116)&lt;&gt;10,ISERROR(VALUE($C116))),"CHECK: HTS must be 10 digits",IF(LEN($E116)&lt;&gt;2,"CHECK: origin code missing or not 2 letters",IF(OR(Items!G116="",Items!I116="",Items!J116=""),"CHECK: value, rate or cost missing",IF(ISNUMBER(Items!G116)*ISNUMBER(Items!I116)*ISNUMBER(Items!J116)=0,"CHECK: text in a number column",IF(AND($L116="Y",UPPER(TRIM(act_RateType&amp;""))="REPLACE",$N116&lt;N(act_PriorRate)),"CHECK: current rate is below the rate being replaced",IF(AND($L116="Y",$W116=0),"NOTE: in scope, no volume","OK"))))))))</f>
        <v/>
      </c>
      <c r="AC116" s="20">
        <f>IF($A116="","",IF(AND($L116="Y",$X116&lt;&gt;0),ABS($X116)+ROW()/1000000000,""))</f>
        <v/>
      </c>
    </row>
    <row r="117">
      <c r="A117" s="10">
        <f>IF(TRIM(Items!A117&amp;"")="","",TRIM(Items!A117&amp;""))</f>
        <v/>
      </c>
      <c r="B117" s="10">
        <f>IF($A117="","",Items!B117&amp;"")</f>
        <v/>
      </c>
      <c r="C117" s="10">
        <f>IF($A117="","",SUBSTITUTE(SUBSTITUTE(SUBSTITUTE(TRIM(Items!D117&amp;""),".","")," ",""),"-",""))</f>
        <v/>
      </c>
      <c r="D117" s="10">
        <f>IF($A117="","",LEFT($C117,2))</f>
        <v/>
      </c>
      <c r="E117" s="10">
        <f>IF($A117="","",UPPER(TRIM(Items!E117&amp;"")))</f>
        <v/>
      </c>
      <c r="F117" s="10">
        <f>IF($A117="","",IF(UPPER(TRIM(Items!C117&amp;""))=UPPER(TRIM(act_Country&amp;"")),"Y","N"))</f>
        <v/>
      </c>
      <c r="G117" s="10">
        <f>IF($A117="","",IF(SUMPRODUCT((scope_HTS&lt;&gt;"")*(LEFT($C117,LEN(scope_HTS))=scope_HTS))&gt;0,"Y","N"))</f>
        <v/>
      </c>
      <c r="H117" s="10">
        <f>IF($A117="","",IF(SUMPRODUCT((excl_HTS&lt;&gt;"")*(LEFT($C117,LEN(excl_HTS))=excl_HTS))&gt;0,"Y","N"))</f>
        <v/>
      </c>
      <c r="I117" s="10">
        <f>IF($A117="","",IF($E117="","N",IF(COUNTIF(scope_COO,$E117)&gt;0,"Y","N")))</f>
        <v/>
      </c>
      <c r="J117" s="10">
        <f>IF($A117="","",IF(AND(UPPER(TRIM(act_USMCAExempt&amp;""))="Y",UPPER(TRIM(Items!F117&amp;""))="Y"),"Y","N"))</f>
        <v/>
      </c>
      <c r="K117" s="10">
        <f>IF($A117="","",IFERROR(UPPER(TRIM(INDEX(det_Status,MATCH($A117,det_Item,0))&amp;"")),""))</f>
        <v/>
      </c>
      <c r="L117" s="10">
        <f>IF($A117="","",IF($K117="IN","Y",IF($K117="OUT","N",IF(AND($F117="Y",$G117="Y",$H117="N",$I117="Y",$J117="N"),"Y","N"))))</f>
        <v/>
      </c>
      <c r="M117" s="10">
        <f>IF($A117="","",IF($K117="IN","In: Research determination",IF($K117="OUT","Out: Research determination",IF($F117="N","Out: different import country",IF($G117="N","Out: HTS not on scope list",IF($H117="Y","Out: HTS on exclusion list",IF($I117="N","Out: origin not on scope list",IF($J117="Y","Out: USMCA-qualifying, exempt","In: matches scope rules"))))))))</f>
        <v/>
      </c>
      <c r="N117" s="16">
        <f>IF($A117="","",N(Items!I117))</f>
        <v/>
      </c>
      <c r="O117" s="16">
        <f>IF($A117="","",IF($L117="Y",$N117+N(act_Rate)-IF(UPPER(TRIM(act_RateType&amp;""))="REPLACE",N(act_PriorRate),0),$N117))</f>
        <v/>
      </c>
      <c r="P117" s="17">
        <f>IF($A117="","",N(Items!G117)*$N117)</f>
        <v/>
      </c>
      <c r="Q117" s="17">
        <f>IF($A117="","",N(Items!G117)*$O117)</f>
        <v/>
      </c>
      <c r="R117" s="17">
        <f>IF($A117="","",$Q117-$P117)</f>
        <v/>
      </c>
      <c r="S117" s="17">
        <f>IF($A117="","",N(Items!J117)+$R117)</f>
        <v/>
      </c>
      <c r="T117" s="16">
        <f>IF($A117="","",IF(N(Items!K117)=0,"",(N(Items!K117)-N(Items!J117))/N(Items!K117)))</f>
        <v/>
      </c>
      <c r="U117" s="16">
        <f>IF($A117="","",IF(N(Items!K117)=0,"",(N(Items!K117)-$S117)/N(Items!K117)))</f>
        <v/>
      </c>
      <c r="V117" s="16">
        <f>IF(OR($T117="",$U117=""),"",$U117-$T117)</f>
        <v/>
      </c>
      <c r="W117" s="18">
        <f>IF($A117="","",N(Items!H117))</f>
        <v/>
      </c>
      <c r="X117" s="19">
        <f>IF($A117="","",$R117*$W117)</f>
        <v/>
      </c>
      <c r="Y117" s="19">
        <f>IF($A117="","",N(Items!K117)*$W117)</f>
        <v/>
      </c>
      <c r="Z117" s="19">
        <f>IF($A117="","",(N(Items!K117)-N(Items!J117))*$W117)</f>
        <v/>
      </c>
      <c r="AA117" s="19">
        <f>IF($A117="","",$Z117-$X117)</f>
        <v/>
      </c>
      <c r="AB117" s="10">
        <f>IF($A117="","",IF(TRIM(Items!C117&amp;"")="","CHECK: import country missing",IF(OR(LEN($C117)&lt;&gt;10,ISERROR(VALUE($C117))),"CHECK: HTS must be 10 digits",IF(LEN($E117)&lt;&gt;2,"CHECK: origin code missing or not 2 letters",IF(OR(Items!G117="",Items!I117="",Items!J117=""),"CHECK: value, rate or cost missing",IF(ISNUMBER(Items!G117)*ISNUMBER(Items!I117)*ISNUMBER(Items!J117)=0,"CHECK: text in a number column",IF(AND($L117="Y",UPPER(TRIM(act_RateType&amp;""))="REPLACE",$N117&lt;N(act_PriorRate)),"CHECK: current rate is below the rate being replaced",IF(AND($L117="Y",$W117=0),"NOTE: in scope, no volume","OK"))))))))</f>
        <v/>
      </c>
      <c r="AC117" s="20">
        <f>IF($A117="","",IF(AND($L117="Y",$X117&lt;&gt;0),ABS($X117)+ROW()/1000000000,""))</f>
        <v/>
      </c>
    </row>
    <row r="118">
      <c r="A118" s="10">
        <f>IF(TRIM(Items!A118&amp;"")="","",TRIM(Items!A118&amp;""))</f>
        <v/>
      </c>
      <c r="B118" s="10">
        <f>IF($A118="","",Items!B118&amp;"")</f>
        <v/>
      </c>
      <c r="C118" s="10">
        <f>IF($A118="","",SUBSTITUTE(SUBSTITUTE(SUBSTITUTE(TRIM(Items!D118&amp;""),".","")," ",""),"-",""))</f>
        <v/>
      </c>
      <c r="D118" s="10">
        <f>IF($A118="","",LEFT($C118,2))</f>
        <v/>
      </c>
      <c r="E118" s="10">
        <f>IF($A118="","",UPPER(TRIM(Items!E118&amp;"")))</f>
        <v/>
      </c>
      <c r="F118" s="10">
        <f>IF($A118="","",IF(UPPER(TRIM(Items!C118&amp;""))=UPPER(TRIM(act_Country&amp;"")),"Y","N"))</f>
        <v/>
      </c>
      <c r="G118" s="10">
        <f>IF($A118="","",IF(SUMPRODUCT((scope_HTS&lt;&gt;"")*(LEFT($C118,LEN(scope_HTS))=scope_HTS))&gt;0,"Y","N"))</f>
        <v/>
      </c>
      <c r="H118" s="10">
        <f>IF($A118="","",IF(SUMPRODUCT((excl_HTS&lt;&gt;"")*(LEFT($C118,LEN(excl_HTS))=excl_HTS))&gt;0,"Y","N"))</f>
        <v/>
      </c>
      <c r="I118" s="10">
        <f>IF($A118="","",IF($E118="","N",IF(COUNTIF(scope_COO,$E118)&gt;0,"Y","N")))</f>
        <v/>
      </c>
      <c r="J118" s="10">
        <f>IF($A118="","",IF(AND(UPPER(TRIM(act_USMCAExempt&amp;""))="Y",UPPER(TRIM(Items!F118&amp;""))="Y"),"Y","N"))</f>
        <v/>
      </c>
      <c r="K118" s="10">
        <f>IF($A118="","",IFERROR(UPPER(TRIM(INDEX(det_Status,MATCH($A118,det_Item,0))&amp;"")),""))</f>
        <v/>
      </c>
      <c r="L118" s="10">
        <f>IF($A118="","",IF($K118="IN","Y",IF($K118="OUT","N",IF(AND($F118="Y",$G118="Y",$H118="N",$I118="Y",$J118="N"),"Y","N"))))</f>
        <v/>
      </c>
      <c r="M118" s="10">
        <f>IF($A118="","",IF($K118="IN","In: Research determination",IF($K118="OUT","Out: Research determination",IF($F118="N","Out: different import country",IF($G118="N","Out: HTS not on scope list",IF($H118="Y","Out: HTS on exclusion list",IF($I118="N","Out: origin not on scope list",IF($J118="Y","Out: USMCA-qualifying, exempt","In: matches scope rules"))))))))</f>
        <v/>
      </c>
      <c r="N118" s="16">
        <f>IF($A118="","",N(Items!I118))</f>
        <v/>
      </c>
      <c r="O118" s="16">
        <f>IF($A118="","",IF($L118="Y",$N118+N(act_Rate)-IF(UPPER(TRIM(act_RateType&amp;""))="REPLACE",N(act_PriorRate),0),$N118))</f>
        <v/>
      </c>
      <c r="P118" s="17">
        <f>IF($A118="","",N(Items!G118)*$N118)</f>
        <v/>
      </c>
      <c r="Q118" s="17">
        <f>IF($A118="","",N(Items!G118)*$O118)</f>
        <v/>
      </c>
      <c r="R118" s="17">
        <f>IF($A118="","",$Q118-$P118)</f>
        <v/>
      </c>
      <c r="S118" s="17">
        <f>IF($A118="","",N(Items!J118)+$R118)</f>
        <v/>
      </c>
      <c r="T118" s="16">
        <f>IF($A118="","",IF(N(Items!K118)=0,"",(N(Items!K118)-N(Items!J118))/N(Items!K118)))</f>
        <v/>
      </c>
      <c r="U118" s="16">
        <f>IF($A118="","",IF(N(Items!K118)=0,"",(N(Items!K118)-$S118)/N(Items!K118)))</f>
        <v/>
      </c>
      <c r="V118" s="16">
        <f>IF(OR($T118="",$U118=""),"",$U118-$T118)</f>
        <v/>
      </c>
      <c r="W118" s="18">
        <f>IF($A118="","",N(Items!H118))</f>
        <v/>
      </c>
      <c r="X118" s="19">
        <f>IF($A118="","",$R118*$W118)</f>
        <v/>
      </c>
      <c r="Y118" s="19">
        <f>IF($A118="","",N(Items!K118)*$W118)</f>
        <v/>
      </c>
      <c r="Z118" s="19">
        <f>IF($A118="","",(N(Items!K118)-N(Items!J118))*$W118)</f>
        <v/>
      </c>
      <c r="AA118" s="19">
        <f>IF($A118="","",$Z118-$X118)</f>
        <v/>
      </c>
      <c r="AB118" s="10">
        <f>IF($A118="","",IF(TRIM(Items!C118&amp;"")="","CHECK: import country missing",IF(OR(LEN($C118)&lt;&gt;10,ISERROR(VALUE($C118))),"CHECK: HTS must be 10 digits",IF(LEN($E118)&lt;&gt;2,"CHECK: origin code missing or not 2 letters",IF(OR(Items!G118="",Items!I118="",Items!J118=""),"CHECK: value, rate or cost missing",IF(ISNUMBER(Items!G118)*ISNUMBER(Items!I118)*ISNUMBER(Items!J118)=0,"CHECK: text in a number column",IF(AND($L118="Y",UPPER(TRIM(act_RateType&amp;""))="REPLACE",$N118&lt;N(act_PriorRate)),"CHECK: current rate is below the rate being replaced",IF(AND($L118="Y",$W118=0),"NOTE: in scope, no volume","OK"))))))))</f>
        <v/>
      </c>
      <c r="AC118" s="20">
        <f>IF($A118="","",IF(AND($L118="Y",$X118&lt;&gt;0),ABS($X118)+ROW()/1000000000,""))</f>
        <v/>
      </c>
    </row>
    <row r="119">
      <c r="A119" s="10">
        <f>IF(TRIM(Items!A119&amp;"")="","",TRIM(Items!A119&amp;""))</f>
        <v/>
      </c>
      <c r="B119" s="10">
        <f>IF($A119="","",Items!B119&amp;"")</f>
        <v/>
      </c>
      <c r="C119" s="10">
        <f>IF($A119="","",SUBSTITUTE(SUBSTITUTE(SUBSTITUTE(TRIM(Items!D119&amp;""),".","")," ",""),"-",""))</f>
        <v/>
      </c>
      <c r="D119" s="10">
        <f>IF($A119="","",LEFT($C119,2))</f>
        <v/>
      </c>
      <c r="E119" s="10">
        <f>IF($A119="","",UPPER(TRIM(Items!E119&amp;"")))</f>
        <v/>
      </c>
      <c r="F119" s="10">
        <f>IF($A119="","",IF(UPPER(TRIM(Items!C119&amp;""))=UPPER(TRIM(act_Country&amp;"")),"Y","N"))</f>
        <v/>
      </c>
      <c r="G119" s="10">
        <f>IF($A119="","",IF(SUMPRODUCT((scope_HTS&lt;&gt;"")*(LEFT($C119,LEN(scope_HTS))=scope_HTS))&gt;0,"Y","N"))</f>
        <v/>
      </c>
      <c r="H119" s="10">
        <f>IF($A119="","",IF(SUMPRODUCT((excl_HTS&lt;&gt;"")*(LEFT($C119,LEN(excl_HTS))=excl_HTS))&gt;0,"Y","N"))</f>
        <v/>
      </c>
      <c r="I119" s="10">
        <f>IF($A119="","",IF($E119="","N",IF(COUNTIF(scope_COO,$E119)&gt;0,"Y","N")))</f>
        <v/>
      </c>
      <c r="J119" s="10">
        <f>IF($A119="","",IF(AND(UPPER(TRIM(act_USMCAExempt&amp;""))="Y",UPPER(TRIM(Items!F119&amp;""))="Y"),"Y","N"))</f>
        <v/>
      </c>
      <c r="K119" s="10">
        <f>IF($A119="","",IFERROR(UPPER(TRIM(INDEX(det_Status,MATCH($A119,det_Item,0))&amp;"")),""))</f>
        <v/>
      </c>
      <c r="L119" s="10">
        <f>IF($A119="","",IF($K119="IN","Y",IF($K119="OUT","N",IF(AND($F119="Y",$G119="Y",$H119="N",$I119="Y",$J119="N"),"Y","N"))))</f>
        <v/>
      </c>
      <c r="M119" s="10">
        <f>IF($A119="","",IF($K119="IN","In: Research determination",IF($K119="OUT","Out: Research determination",IF($F119="N","Out: different import country",IF($G119="N","Out: HTS not on scope list",IF($H119="Y","Out: HTS on exclusion list",IF($I119="N","Out: origin not on scope list",IF($J119="Y","Out: USMCA-qualifying, exempt","In: matches scope rules"))))))))</f>
        <v/>
      </c>
      <c r="N119" s="16">
        <f>IF($A119="","",N(Items!I119))</f>
        <v/>
      </c>
      <c r="O119" s="16">
        <f>IF($A119="","",IF($L119="Y",$N119+N(act_Rate)-IF(UPPER(TRIM(act_RateType&amp;""))="REPLACE",N(act_PriorRate),0),$N119))</f>
        <v/>
      </c>
      <c r="P119" s="17">
        <f>IF($A119="","",N(Items!G119)*$N119)</f>
        <v/>
      </c>
      <c r="Q119" s="17">
        <f>IF($A119="","",N(Items!G119)*$O119)</f>
        <v/>
      </c>
      <c r="R119" s="17">
        <f>IF($A119="","",$Q119-$P119)</f>
        <v/>
      </c>
      <c r="S119" s="17">
        <f>IF($A119="","",N(Items!J119)+$R119)</f>
        <v/>
      </c>
      <c r="T119" s="16">
        <f>IF($A119="","",IF(N(Items!K119)=0,"",(N(Items!K119)-N(Items!J119))/N(Items!K119)))</f>
        <v/>
      </c>
      <c r="U119" s="16">
        <f>IF($A119="","",IF(N(Items!K119)=0,"",(N(Items!K119)-$S119)/N(Items!K119)))</f>
        <v/>
      </c>
      <c r="V119" s="16">
        <f>IF(OR($T119="",$U119=""),"",$U119-$T119)</f>
        <v/>
      </c>
      <c r="W119" s="18">
        <f>IF($A119="","",N(Items!H119))</f>
        <v/>
      </c>
      <c r="X119" s="19">
        <f>IF($A119="","",$R119*$W119)</f>
        <v/>
      </c>
      <c r="Y119" s="19">
        <f>IF($A119="","",N(Items!K119)*$W119)</f>
        <v/>
      </c>
      <c r="Z119" s="19">
        <f>IF($A119="","",(N(Items!K119)-N(Items!J119))*$W119)</f>
        <v/>
      </c>
      <c r="AA119" s="19">
        <f>IF($A119="","",$Z119-$X119)</f>
        <v/>
      </c>
      <c r="AB119" s="10">
        <f>IF($A119="","",IF(TRIM(Items!C119&amp;"")="","CHECK: import country missing",IF(OR(LEN($C119)&lt;&gt;10,ISERROR(VALUE($C119))),"CHECK: HTS must be 10 digits",IF(LEN($E119)&lt;&gt;2,"CHECK: origin code missing or not 2 letters",IF(OR(Items!G119="",Items!I119="",Items!J119=""),"CHECK: value, rate or cost missing",IF(ISNUMBER(Items!G119)*ISNUMBER(Items!I119)*ISNUMBER(Items!J119)=0,"CHECK: text in a number column",IF(AND($L119="Y",UPPER(TRIM(act_RateType&amp;""))="REPLACE",$N119&lt;N(act_PriorRate)),"CHECK: current rate is below the rate being replaced",IF(AND($L119="Y",$W119=0),"NOTE: in scope, no volume","OK"))))))))</f>
        <v/>
      </c>
      <c r="AC119" s="20">
        <f>IF($A119="","",IF(AND($L119="Y",$X119&lt;&gt;0),ABS($X119)+ROW()/1000000000,""))</f>
        <v/>
      </c>
    </row>
    <row r="120">
      <c r="A120" s="10">
        <f>IF(TRIM(Items!A120&amp;"")="","",TRIM(Items!A120&amp;""))</f>
        <v/>
      </c>
      <c r="B120" s="10">
        <f>IF($A120="","",Items!B120&amp;"")</f>
        <v/>
      </c>
      <c r="C120" s="10">
        <f>IF($A120="","",SUBSTITUTE(SUBSTITUTE(SUBSTITUTE(TRIM(Items!D120&amp;""),".","")," ",""),"-",""))</f>
        <v/>
      </c>
      <c r="D120" s="10">
        <f>IF($A120="","",LEFT($C120,2))</f>
        <v/>
      </c>
      <c r="E120" s="10">
        <f>IF($A120="","",UPPER(TRIM(Items!E120&amp;"")))</f>
        <v/>
      </c>
      <c r="F120" s="10">
        <f>IF($A120="","",IF(UPPER(TRIM(Items!C120&amp;""))=UPPER(TRIM(act_Country&amp;"")),"Y","N"))</f>
        <v/>
      </c>
      <c r="G120" s="10">
        <f>IF($A120="","",IF(SUMPRODUCT((scope_HTS&lt;&gt;"")*(LEFT($C120,LEN(scope_HTS))=scope_HTS))&gt;0,"Y","N"))</f>
        <v/>
      </c>
      <c r="H120" s="10">
        <f>IF($A120="","",IF(SUMPRODUCT((excl_HTS&lt;&gt;"")*(LEFT($C120,LEN(excl_HTS))=excl_HTS))&gt;0,"Y","N"))</f>
        <v/>
      </c>
      <c r="I120" s="10">
        <f>IF($A120="","",IF($E120="","N",IF(COUNTIF(scope_COO,$E120)&gt;0,"Y","N")))</f>
        <v/>
      </c>
      <c r="J120" s="10">
        <f>IF($A120="","",IF(AND(UPPER(TRIM(act_USMCAExempt&amp;""))="Y",UPPER(TRIM(Items!F120&amp;""))="Y"),"Y","N"))</f>
        <v/>
      </c>
      <c r="K120" s="10">
        <f>IF($A120="","",IFERROR(UPPER(TRIM(INDEX(det_Status,MATCH($A120,det_Item,0))&amp;"")),""))</f>
        <v/>
      </c>
      <c r="L120" s="10">
        <f>IF($A120="","",IF($K120="IN","Y",IF($K120="OUT","N",IF(AND($F120="Y",$G120="Y",$H120="N",$I120="Y",$J120="N"),"Y","N"))))</f>
        <v/>
      </c>
      <c r="M120" s="10">
        <f>IF($A120="","",IF($K120="IN","In: Research determination",IF($K120="OUT","Out: Research determination",IF($F120="N","Out: different import country",IF($G120="N","Out: HTS not on scope list",IF($H120="Y","Out: HTS on exclusion list",IF($I120="N","Out: origin not on scope list",IF($J120="Y","Out: USMCA-qualifying, exempt","In: matches scope rules"))))))))</f>
        <v/>
      </c>
      <c r="N120" s="16">
        <f>IF($A120="","",N(Items!I120))</f>
        <v/>
      </c>
      <c r="O120" s="16">
        <f>IF($A120="","",IF($L120="Y",$N120+N(act_Rate)-IF(UPPER(TRIM(act_RateType&amp;""))="REPLACE",N(act_PriorRate),0),$N120))</f>
        <v/>
      </c>
      <c r="P120" s="17">
        <f>IF($A120="","",N(Items!G120)*$N120)</f>
        <v/>
      </c>
      <c r="Q120" s="17">
        <f>IF($A120="","",N(Items!G120)*$O120)</f>
        <v/>
      </c>
      <c r="R120" s="17">
        <f>IF($A120="","",$Q120-$P120)</f>
        <v/>
      </c>
      <c r="S120" s="17">
        <f>IF($A120="","",N(Items!J120)+$R120)</f>
        <v/>
      </c>
      <c r="T120" s="16">
        <f>IF($A120="","",IF(N(Items!K120)=0,"",(N(Items!K120)-N(Items!J120))/N(Items!K120)))</f>
        <v/>
      </c>
      <c r="U120" s="16">
        <f>IF($A120="","",IF(N(Items!K120)=0,"",(N(Items!K120)-$S120)/N(Items!K120)))</f>
        <v/>
      </c>
      <c r="V120" s="16">
        <f>IF(OR($T120="",$U120=""),"",$U120-$T120)</f>
        <v/>
      </c>
      <c r="W120" s="18">
        <f>IF($A120="","",N(Items!H120))</f>
        <v/>
      </c>
      <c r="X120" s="19">
        <f>IF($A120="","",$R120*$W120)</f>
        <v/>
      </c>
      <c r="Y120" s="19">
        <f>IF($A120="","",N(Items!K120)*$W120)</f>
        <v/>
      </c>
      <c r="Z120" s="19">
        <f>IF($A120="","",(N(Items!K120)-N(Items!J120))*$W120)</f>
        <v/>
      </c>
      <c r="AA120" s="19">
        <f>IF($A120="","",$Z120-$X120)</f>
        <v/>
      </c>
      <c r="AB120" s="10">
        <f>IF($A120="","",IF(TRIM(Items!C120&amp;"")="","CHECK: import country missing",IF(OR(LEN($C120)&lt;&gt;10,ISERROR(VALUE($C120))),"CHECK: HTS must be 10 digits",IF(LEN($E120)&lt;&gt;2,"CHECK: origin code missing or not 2 letters",IF(OR(Items!G120="",Items!I120="",Items!J120=""),"CHECK: value, rate or cost missing",IF(ISNUMBER(Items!G120)*ISNUMBER(Items!I120)*ISNUMBER(Items!J120)=0,"CHECK: text in a number column",IF(AND($L120="Y",UPPER(TRIM(act_RateType&amp;""))="REPLACE",$N120&lt;N(act_PriorRate)),"CHECK: current rate is below the rate being replaced",IF(AND($L120="Y",$W120=0),"NOTE: in scope, no volume","OK"))))))))</f>
        <v/>
      </c>
      <c r="AC120" s="20">
        <f>IF($A120="","",IF(AND($L120="Y",$X120&lt;&gt;0),ABS($X120)+ROW()/1000000000,""))</f>
        <v/>
      </c>
    </row>
    <row r="121">
      <c r="A121" s="10">
        <f>IF(TRIM(Items!A121&amp;"")="","",TRIM(Items!A121&amp;""))</f>
        <v/>
      </c>
      <c r="B121" s="10">
        <f>IF($A121="","",Items!B121&amp;"")</f>
        <v/>
      </c>
      <c r="C121" s="10">
        <f>IF($A121="","",SUBSTITUTE(SUBSTITUTE(SUBSTITUTE(TRIM(Items!D121&amp;""),".","")," ",""),"-",""))</f>
        <v/>
      </c>
      <c r="D121" s="10">
        <f>IF($A121="","",LEFT($C121,2))</f>
        <v/>
      </c>
      <c r="E121" s="10">
        <f>IF($A121="","",UPPER(TRIM(Items!E121&amp;"")))</f>
        <v/>
      </c>
      <c r="F121" s="10">
        <f>IF($A121="","",IF(UPPER(TRIM(Items!C121&amp;""))=UPPER(TRIM(act_Country&amp;"")),"Y","N"))</f>
        <v/>
      </c>
      <c r="G121" s="10">
        <f>IF($A121="","",IF(SUMPRODUCT((scope_HTS&lt;&gt;"")*(LEFT($C121,LEN(scope_HTS))=scope_HTS))&gt;0,"Y","N"))</f>
        <v/>
      </c>
      <c r="H121" s="10">
        <f>IF($A121="","",IF(SUMPRODUCT((excl_HTS&lt;&gt;"")*(LEFT($C121,LEN(excl_HTS))=excl_HTS))&gt;0,"Y","N"))</f>
        <v/>
      </c>
      <c r="I121" s="10">
        <f>IF($A121="","",IF($E121="","N",IF(COUNTIF(scope_COO,$E121)&gt;0,"Y","N")))</f>
        <v/>
      </c>
      <c r="J121" s="10">
        <f>IF($A121="","",IF(AND(UPPER(TRIM(act_USMCAExempt&amp;""))="Y",UPPER(TRIM(Items!F121&amp;""))="Y"),"Y","N"))</f>
        <v/>
      </c>
      <c r="K121" s="10">
        <f>IF($A121="","",IFERROR(UPPER(TRIM(INDEX(det_Status,MATCH($A121,det_Item,0))&amp;"")),""))</f>
        <v/>
      </c>
      <c r="L121" s="10">
        <f>IF($A121="","",IF($K121="IN","Y",IF($K121="OUT","N",IF(AND($F121="Y",$G121="Y",$H121="N",$I121="Y",$J121="N"),"Y","N"))))</f>
        <v/>
      </c>
      <c r="M121" s="10">
        <f>IF($A121="","",IF($K121="IN","In: Research determination",IF($K121="OUT","Out: Research determination",IF($F121="N","Out: different import country",IF($G121="N","Out: HTS not on scope list",IF($H121="Y","Out: HTS on exclusion list",IF($I121="N","Out: origin not on scope list",IF($J121="Y","Out: USMCA-qualifying, exempt","In: matches scope rules"))))))))</f>
        <v/>
      </c>
      <c r="N121" s="16">
        <f>IF($A121="","",N(Items!I121))</f>
        <v/>
      </c>
      <c r="O121" s="16">
        <f>IF($A121="","",IF($L121="Y",$N121+N(act_Rate)-IF(UPPER(TRIM(act_RateType&amp;""))="REPLACE",N(act_PriorRate),0),$N121))</f>
        <v/>
      </c>
      <c r="P121" s="17">
        <f>IF($A121="","",N(Items!G121)*$N121)</f>
        <v/>
      </c>
      <c r="Q121" s="17">
        <f>IF($A121="","",N(Items!G121)*$O121)</f>
        <v/>
      </c>
      <c r="R121" s="17">
        <f>IF($A121="","",$Q121-$P121)</f>
        <v/>
      </c>
      <c r="S121" s="17">
        <f>IF($A121="","",N(Items!J121)+$R121)</f>
        <v/>
      </c>
      <c r="T121" s="16">
        <f>IF($A121="","",IF(N(Items!K121)=0,"",(N(Items!K121)-N(Items!J121))/N(Items!K121)))</f>
        <v/>
      </c>
      <c r="U121" s="16">
        <f>IF($A121="","",IF(N(Items!K121)=0,"",(N(Items!K121)-$S121)/N(Items!K121)))</f>
        <v/>
      </c>
      <c r="V121" s="16">
        <f>IF(OR($T121="",$U121=""),"",$U121-$T121)</f>
        <v/>
      </c>
      <c r="W121" s="18">
        <f>IF($A121="","",N(Items!H121))</f>
        <v/>
      </c>
      <c r="X121" s="19">
        <f>IF($A121="","",$R121*$W121)</f>
        <v/>
      </c>
      <c r="Y121" s="19">
        <f>IF($A121="","",N(Items!K121)*$W121)</f>
        <v/>
      </c>
      <c r="Z121" s="19">
        <f>IF($A121="","",(N(Items!K121)-N(Items!J121))*$W121)</f>
        <v/>
      </c>
      <c r="AA121" s="19">
        <f>IF($A121="","",$Z121-$X121)</f>
        <v/>
      </c>
      <c r="AB121" s="10">
        <f>IF($A121="","",IF(TRIM(Items!C121&amp;"")="","CHECK: import country missing",IF(OR(LEN($C121)&lt;&gt;10,ISERROR(VALUE($C121))),"CHECK: HTS must be 10 digits",IF(LEN($E121)&lt;&gt;2,"CHECK: origin code missing or not 2 letters",IF(OR(Items!G121="",Items!I121="",Items!J121=""),"CHECK: value, rate or cost missing",IF(ISNUMBER(Items!G121)*ISNUMBER(Items!I121)*ISNUMBER(Items!J121)=0,"CHECK: text in a number column",IF(AND($L121="Y",UPPER(TRIM(act_RateType&amp;""))="REPLACE",$N121&lt;N(act_PriorRate)),"CHECK: current rate is below the rate being replaced",IF(AND($L121="Y",$W121=0),"NOTE: in scope, no volume","OK"))))))))</f>
        <v/>
      </c>
      <c r="AC121" s="20">
        <f>IF($A121="","",IF(AND($L121="Y",$X121&lt;&gt;0),ABS($X121)+ROW()/1000000000,""))</f>
        <v/>
      </c>
    </row>
    <row r="122">
      <c r="A122" s="10">
        <f>IF(TRIM(Items!A122&amp;"")="","",TRIM(Items!A122&amp;""))</f>
        <v/>
      </c>
      <c r="B122" s="10">
        <f>IF($A122="","",Items!B122&amp;"")</f>
        <v/>
      </c>
      <c r="C122" s="10">
        <f>IF($A122="","",SUBSTITUTE(SUBSTITUTE(SUBSTITUTE(TRIM(Items!D122&amp;""),".","")," ",""),"-",""))</f>
        <v/>
      </c>
      <c r="D122" s="10">
        <f>IF($A122="","",LEFT($C122,2))</f>
        <v/>
      </c>
      <c r="E122" s="10">
        <f>IF($A122="","",UPPER(TRIM(Items!E122&amp;"")))</f>
        <v/>
      </c>
      <c r="F122" s="10">
        <f>IF($A122="","",IF(UPPER(TRIM(Items!C122&amp;""))=UPPER(TRIM(act_Country&amp;"")),"Y","N"))</f>
        <v/>
      </c>
      <c r="G122" s="10">
        <f>IF($A122="","",IF(SUMPRODUCT((scope_HTS&lt;&gt;"")*(LEFT($C122,LEN(scope_HTS))=scope_HTS))&gt;0,"Y","N"))</f>
        <v/>
      </c>
      <c r="H122" s="10">
        <f>IF($A122="","",IF(SUMPRODUCT((excl_HTS&lt;&gt;"")*(LEFT($C122,LEN(excl_HTS))=excl_HTS))&gt;0,"Y","N"))</f>
        <v/>
      </c>
      <c r="I122" s="10">
        <f>IF($A122="","",IF($E122="","N",IF(COUNTIF(scope_COO,$E122)&gt;0,"Y","N")))</f>
        <v/>
      </c>
      <c r="J122" s="10">
        <f>IF($A122="","",IF(AND(UPPER(TRIM(act_USMCAExempt&amp;""))="Y",UPPER(TRIM(Items!F122&amp;""))="Y"),"Y","N"))</f>
        <v/>
      </c>
      <c r="K122" s="10">
        <f>IF($A122="","",IFERROR(UPPER(TRIM(INDEX(det_Status,MATCH($A122,det_Item,0))&amp;"")),""))</f>
        <v/>
      </c>
      <c r="L122" s="10">
        <f>IF($A122="","",IF($K122="IN","Y",IF($K122="OUT","N",IF(AND($F122="Y",$G122="Y",$H122="N",$I122="Y",$J122="N"),"Y","N"))))</f>
        <v/>
      </c>
      <c r="M122" s="10">
        <f>IF($A122="","",IF($K122="IN","In: Research determination",IF($K122="OUT","Out: Research determination",IF($F122="N","Out: different import country",IF($G122="N","Out: HTS not on scope list",IF($H122="Y","Out: HTS on exclusion list",IF($I122="N","Out: origin not on scope list",IF($J122="Y","Out: USMCA-qualifying, exempt","In: matches scope rules"))))))))</f>
        <v/>
      </c>
      <c r="N122" s="16">
        <f>IF($A122="","",N(Items!I122))</f>
        <v/>
      </c>
      <c r="O122" s="16">
        <f>IF($A122="","",IF($L122="Y",$N122+N(act_Rate)-IF(UPPER(TRIM(act_RateType&amp;""))="REPLACE",N(act_PriorRate),0),$N122))</f>
        <v/>
      </c>
      <c r="P122" s="17">
        <f>IF($A122="","",N(Items!G122)*$N122)</f>
        <v/>
      </c>
      <c r="Q122" s="17">
        <f>IF($A122="","",N(Items!G122)*$O122)</f>
        <v/>
      </c>
      <c r="R122" s="17">
        <f>IF($A122="","",$Q122-$P122)</f>
        <v/>
      </c>
      <c r="S122" s="17">
        <f>IF($A122="","",N(Items!J122)+$R122)</f>
        <v/>
      </c>
      <c r="T122" s="16">
        <f>IF($A122="","",IF(N(Items!K122)=0,"",(N(Items!K122)-N(Items!J122))/N(Items!K122)))</f>
        <v/>
      </c>
      <c r="U122" s="16">
        <f>IF($A122="","",IF(N(Items!K122)=0,"",(N(Items!K122)-$S122)/N(Items!K122)))</f>
        <v/>
      </c>
      <c r="V122" s="16">
        <f>IF(OR($T122="",$U122=""),"",$U122-$T122)</f>
        <v/>
      </c>
      <c r="W122" s="18">
        <f>IF($A122="","",N(Items!H122))</f>
        <v/>
      </c>
      <c r="X122" s="19">
        <f>IF($A122="","",$R122*$W122)</f>
        <v/>
      </c>
      <c r="Y122" s="19">
        <f>IF($A122="","",N(Items!K122)*$W122)</f>
        <v/>
      </c>
      <c r="Z122" s="19">
        <f>IF($A122="","",(N(Items!K122)-N(Items!J122))*$W122)</f>
        <v/>
      </c>
      <c r="AA122" s="19">
        <f>IF($A122="","",$Z122-$X122)</f>
        <v/>
      </c>
      <c r="AB122" s="10">
        <f>IF($A122="","",IF(TRIM(Items!C122&amp;"")="","CHECK: import country missing",IF(OR(LEN($C122)&lt;&gt;10,ISERROR(VALUE($C122))),"CHECK: HTS must be 10 digits",IF(LEN($E122)&lt;&gt;2,"CHECK: origin code missing or not 2 letters",IF(OR(Items!G122="",Items!I122="",Items!J122=""),"CHECK: value, rate or cost missing",IF(ISNUMBER(Items!G122)*ISNUMBER(Items!I122)*ISNUMBER(Items!J122)=0,"CHECK: text in a number column",IF(AND($L122="Y",UPPER(TRIM(act_RateType&amp;""))="REPLACE",$N122&lt;N(act_PriorRate)),"CHECK: current rate is below the rate being replaced",IF(AND($L122="Y",$W122=0),"NOTE: in scope, no volume","OK"))))))))</f>
        <v/>
      </c>
      <c r="AC122" s="20">
        <f>IF($A122="","",IF(AND($L122="Y",$X122&lt;&gt;0),ABS($X122)+ROW()/1000000000,""))</f>
        <v/>
      </c>
    </row>
    <row r="123">
      <c r="A123" s="10">
        <f>IF(TRIM(Items!A123&amp;"")="","",TRIM(Items!A123&amp;""))</f>
        <v/>
      </c>
      <c r="B123" s="10">
        <f>IF($A123="","",Items!B123&amp;"")</f>
        <v/>
      </c>
      <c r="C123" s="10">
        <f>IF($A123="","",SUBSTITUTE(SUBSTITUTE(SUBSTITUTE(TRIM(Items!D123&amp;""),".","")," ",""),"-",""))</f>
        <v/>
      </c>
      <c r="D123" s="10">
        <f>IF($A123="","",LEFT($C123,2))</f>
        <v/>
      </c>
      <c r="E123" s="10">
        <f>IF($A123="","",UPPER(TRIM(Items!E123&amp;"")))</f>
        <v/>
      </c>
      <c r="F123" s="10">
        <f>IF($A123="","",IF(UPPER(TRIM(Items!C123&amp;""))=UPPER(TRIM(act_Country&amp;"")),"Y","N"))</f>
        <v/>
      </c>
      <c r="G123" s="10">
        <f>IF($A123="","",IF(SUMPRODUCT((scope_HTS&lt;&gt;"")*(LEFT($C123,LEN(scope_HTS))=scope_HTS))&gt;0,"Y","N"))</f>
        <v/>
      </c>
      <c r="H123" s="10">
        <f>IF($A123="","",IF(SUMPRODUCT((excl_HTS&lt;&gt;"")*(LEFT($C123,LEN(excl_HTS))=excl_HTS))&gt;0,"Y","N"))</f>
        <v/>
      </c>
      <c r="I123" s="10">
        <f>IF($A123="","",IF($E123="","N",IF(COUNTIF(scope_COO,$E123)&gt;0,"Y","N")))</f>
        <v/>
      </c>
      <c r="J123" s="10">
        <f>IF($A123="","",IF(AND(UPPER(TRIM(act_USMCAExempt&amp;""))="Y",UPPER(TRIM(Items!F123&amp;""))="Y"),"Y","N"))</f>
        <v/>
      </c>
      <c r="K123" s="10">
        <f>IF($A123="","",IFERROR(UPPER(TRIM(INDEX(det_Status,MATCH($A123,det_Item,0))&amp;"")),""))</f>
        <v/>
      </c>
      <c r="L123" s="10">
        <f>IF($A123="","",IF($K123="IN","Y",IF($K123="OUT","N",IF(AND($F123="Y",$G123="Y",$H123="N",$I123="Y",$J123="N"),"Y","N"))))</f>
        <v/>
      </c>
      <c r="M123" s="10">
        <f>IF($A123="","",IF($K123="IN","In: Research determination",IF($K123="OUT","Out: Research determination",IF($F123="N","Out: different import country",IF($G123="N","Out: HTS not on scope list",IF($H123="Y","Out: HTS on exclusion list",IF($I123="N","Out: origin not on scope list",IF($J123="Y","Out: USMCA-qualifying, exempt","In: matches scope rules"))))))))</f>
        <v/>
      </c>
      <c r="N123" s="16">
        <f>IF($A123="","",N(Items!I123))</f>
        <v/>
      </c>
      <c r="O123" s="16">
        <f>IF($A123="","",IF($L123="Y",$N123+N(act_Rate)-IF(UPPER(TRIM(act_RateType&amp;""))="REPLACE",N(act_PriorRate),0),$N123))</f>
        <v/>
      </c>
      <c r="P123" s="17">
        <f>IF($A123="","",N(Items!G123)*$N123)</f>
        <v/>
      </c>
      <c r="Q123" s="17">
        <f>IF($A123="","",N(Items!G123)*$O123)</f>
        <v/>
      </c>
      <c r="R123" s="17">
        <f>IF($A123="","",$Q123-$P123)</f>
        <v/>
      </c>
      <c r="S123" s="17">
        <f>IF($A123="","",N(Items!J123)+$R123)</f>
        <v/>
      </c>
      <c r="T123" s="16">
        <f>IF($A123="","",IF(N(Items!K123)=0,"",(N(Items!K123)-N(Items!J123))/N(Items!K123)))</f>
        <v/>
      </c>
      <c r="U123" s="16">
        <f>IF($A123="","",IF(N(Items!K123)=0,"",(N(Items!K123)-$S123)/N(Items!K123)))</f>
        <v/>
      </c>
      <c r="V123" s="16">
        <f>IF(OR($T123="",$U123=""),"",$U123-$T123)</f>
        <v/>
      </c>
      <c r="W123" s="18">
        <f>IF($A123="","",N(Items!H123))</f>
        <v/>
      </c>
      <c r="X123" s="19">
        <f>IF($A123="","",$R123*$W123)</f>
        <v/>
      </c>
      <c r="Y123" s="19">
        <f>IF($A123="","",N(Items!K123)*$W123)</f>
        <v/>
      </c>
      <c r="Z123" s="19">
        <f>IF($A123="","",(N(Items!K123)-N(Items!J123))*$W123)</f>
        <v/>
      </c>
      <c r="AA123" s="19">
        <f>IF($A123="","",$Z123-$X123)</f>
        <v/>
      </c>
      <c r="AB123" s="10">
        <f>IF($A123="","",IF(TRIM(Items!C123&amp;"")="","CHECK: import country missing",IF(OR(LEN($C123)&lt;&gt;10,ISERROR(VALUE($C123))),"CHECK: HTS must be 10 digits",IF(LEN($E123)&lt;&gt;2,"CHECK: origin code missing or not 2 letters",IF(OR(Items!G123="",Items!I123="",Items!J123=""),"CHECK: value, rate or cost missing",IF(ISNUMBER(Items!G123)*ISNUMBER(Items!I123)*ISNUMBER(Items!J123)=0,"CHECK: text in a number column",IF(AND($L123="Y",UPPER(TRIM(act_RateType&amp;""))="REPLACE",$N123&lt;N(act_PriorRate)),"CHECK: current rate is below the rate being replaced",IF(AND($L123="Y",$W123=0),"NOTE: in scope, no volume","OK"))))))))</f>
        <v/>
      </c>
      <c r="AC123" s="20">
        <f>IF($A123="","",IF(AND($L123="Y",$X123&lt;&gt;0),ABS($X123)+ROW()/1000000000,""))</f>
        <v/>
      </c>
    </row>
    <row r="124">
      <c r="A124" s="10">
        <f>IF(TRIM(Items!A124&amp;"")="","",TRIM(Items!A124&amp;""))</f>
        <v/>
      </c>
      <c r="B124" s="10">
        <f>IF($A124="","",Items!B124&amp;"")</f>
        <v/>
      </c>
      <c r="C124" s="10">
        <f>IF($A124="","",SUBSTITUTE(SUBSTITUTE(SUBSTITUTE(TRIM(Items!D124&amp;""),".","")," ",""),"-",""))</f>
        <v/>
      </c>
      <c r="D124" s="10">
        <f>IF($A124="","",LEFT($C124,2))</f>
        <v/>
      </c>
      <c r="E124" s="10">
        <f>IF($A124="","",UPPER(TRIM(Items!E124&amp;"")))</f>
        <v/>
      </c>
      <c r="F124" s="10">
        <f>IF($A124="","",IF(UPPER(TRIM(Items!C124&amp;""))=UPPER(TRIM(act_Country&amp;"")),"Y","N"))</f>
        <v/>
      </c>
      <c r="G124" s="10">
        <f>IF($A124="","",IF(SUMPRODUCT((scope_HTS&lt;&gt;"")*(LEFT($C124,LEN(scope_HTS))=scope_HTS))&gt;0,"Y","N"))</f>
        <v/>
      </c>
      <c r="H124" s="10">
        <f>IF($A124="","",IF(SUMPRODUCT((excl_HTS&lt;&gt;"")*(LEFT($C124,LEN(excl_HTS))=excl_HTS))&gt;0,"Y","N"))</f>
        <v/>
      </c>
      <c r="I124" s="10">
        <f>IF($A124="","",IF($E124="","N",IF(COUNTIF(scope_COO,$E124)&gt;0,"Y","N")))</f>
        <v/>
      </c>
      <c r="J124" s="10">
        <f>IF($A124="","",IF(AND(UPPER(TRIM(act_USMCAExempt&amp;""))="Y",UPPER(TRIM(Items!F124&amp;""))="Y"),"Y","N"))</f>
        <v/>
      </c>
      <c r="K124" s="10">
        <f>IF($A124="","",IFERROR(UPPER(TRIM(INDEX(det_Status,MATCH($A124,det_Item,0))&amp;"")),""))</f>
        <v/>
      </c>
      <c r="L124" s="10">
        <f>IF($A124="","",IF($K124="IN","Y",IF($K124="OUT","N",IF(AND($F124="Y",$G124="Y",$H124="N",$I124="Y",$J124="N"),"Y","N"))))</f>
        <v/>
      </c>
      <c r="M124" s="10">
        <f>IF($A124="","",IF($K124="IN","In: Research determination",IF($K124="OUT","Out: Research determination",IF($F124="N","Out: different import country",IF($G124="N","Out: HTS not on scope list",IF($H124="Y","Out: HTS on exclusion list",IF($I124="N","Out: origin not on scope list",IF($J124="Y","Out: USMCA-qualifying, exempt","In: matches scope rules"))))))))</f>
        <v/>
      </c>
      <c r="N124" s="16">
        <f>IF($A124="","",N(Items!I124))</f>
        <v/>
      </c>
      <c r="O124" s="16">
        <f>IF($A124="","",IF($L124="Y",$N124+N(act_Rate)-IF(UPPER(TRIM(act_RateType&amp;""))="REPLACE",N(act_PriorRate),0),$N124))</f>
        <v/>
      </c>
      <c r="P124" s="17">
        <f>IF($A124="","",N(Items!G124)*$N124)</f>
        <v/>
      </c>
      <c r="Q124" s="17">
        <f>IF($A124="","",N(Items!G124)*$O124)</f>
        <v/>
      </c>
      <c r="R124" s="17">
        <f>IF($A124="","",$Q124-$P124)</f>
        <v/>
      </c>
      <c r="S124" s="17">
        <f>IF($A124="","",N(Items!J124)+$R124)</f>
        <v/>
      </c>
      <c r="T124" s="16">
        <f>IF($A124="","",IF(N(Items!K124)=0,"",(N(Items!K124)-N(Items!J124))/N(Items!K124)))</f>
        <v/>
      </c>
      <c r="U124" s="16">
        <f>IF($A124="","",IF(N(Items!K124)=0,"",(N(Items!K124)-$S124)/N(Items!K124)))</f>
        <v/>
      </c>
      <c r="V124" s="16">
        <f>IF(OR($T124="",$U124=""),"",$U124-$T124)</f>
        <v/>
      </c>
      <c r="W124" s="18">
        <f>IF($A124="","",N(Items!H124))</f>
        <v/>
      </c>
      <c r="X124" s="19">
        <f>IF($A124="","",$R124*$W124)</f>
        <v/>
      </c>
      <c r="Y124" s="19">
        <f>IF($A124="","",N(Items!K124)*$W124)</f>
        <v/>
      </c>
      <c r="Z124" s="19">
        <f>IF($A124="","",(N(Items!K124)-N(Items!J124))*$W124)</f>
        <v/>
      </c>
      <c r="AA124" s="19">
        <f>IF($A124="","",$Z124-$X124)</f>
        <v/>
      </c>
      <c r="AB124" s="10">
        <f>IF($A124="","",IF(TRIM(Items!C124&amp;"")="","CHECK: import country missing",IF(OR(LEN($C124)&lt;&gt;10,ISERROR(VALUE($C124))),"CHECK: HTS must be 10 digits",IF(LEN($E124)&lt;&gt;2,"CHECK: origin code missing or not 2 letters",IF(OR(Items!G124="",Items!I124="",Items!J124=""),"CHECK: value, rate or cost missing",IF(ISNUMBER(Items!G124)*ISNUMBER(Items!I124)*ISNUMBER(Items!J124)=0,"CHECK: text in a number column",IF(AND($L124="Y",UPPER(TRIM(act_RateType&amp;""))="REPLACE",$N124&lt;N(act_PriorRate)),"CHECK: current rate is below the rate being replaced",IF(AND($L124="Y",$W124=0),"NOTE: in scope, no volume","OK"))))))))</f>
        <v/>
      </c>
      <c r="AC124" s="20">
        <f>IF($A124="","",IF(AND($L124="Y",$X124&lt;&gt;0),ABS($X124)+ROW()/1000000000,""))</f>
        <v/>
      </c>
    </row>
    <row r="125">
      <c r="A125" s="10">
        <f>IF(TRIM(Items!A125&amp;"")="","",TRIM(Items!A125&amp;""))</f>
        <v/>
      </c>
      <c r="B125" s="10">
        <f>IF($A125="","",Items!B125&amp;"")</f>
        <v/>
      </c>
      <c r="C125" s="10">
        <f>IF($A125="","",SUBSTITUTE(SUBSTITUTE(SUBSTITUTE(TRIM(Items!D125&amp;""),".","")," ",""),"-",""))</f>
        <v/>
      </c>
      <c r="D125" s="10">
        <f>IF($A125="","",LEFT($C125,2))</f>
        <v/>
      </c>
      <c r="E125" s="10">
        <f>IF($A125="","",UPPER(TRIM(Items!E125&amp;"")))</f>
        <v/>
      </c>
      <c r="F125" s="10">
        <f>IF($A125="","",IF(UPPER(TRIM(Items!C125&amp;""))=UPPER(TRIM(act_Country&amp;"")),"Y","N"))</f>
        <v/>
      </c>
      <c r="G125" s="10">
        <f>IF($A125="","",IF(SUMPRODUCT((scope_HTS&lt;&gt;"")*(LEFT($C125,LEN(scope_HTS))=scope_HTS))&gt;0,"Y","N"))</f>
        <v/>
      </c>
      <c r="H125" s="10">
        <f>IF($A125="","",IF(SUMPRODUCT((excl_HTS&lt;&gt;"")*(LEFT($C125,LEN(excl_HTS))=excl_HTS))&gt;0,"Y","N"))</f>
        <v/>
      </c>
      <c r="I125" s="10">
        <f>IF($A125="","",IF($E125="","N",IF(COUNTIF(scope_COO,$E125)&gt;0,"Y","N")))</f>
        <v/>
      </c>
      <c r="J125" s="10">
        <f>IF($A125="","",IF(AND(UPPER(TRIM(act_USMCAExempt&amp;""))="Y",UPPER(TRIM(Items!F125&amp;""))="Y"),"Y","N"))</f>
        <v/>
      </c>
      <c r="K125" s="10">
        <f>IF($A125="","",IFERROR(UPPER(TRIM(INDEX(det_Status,MATCH($A125,det_Item,0))&amp;"")),""))</f>
        <v/>
      </c>
      <c r="L125" s="10">
        <f>IF($A125="","",IF($K125="IN","Y",IF($K125="OUT","N",IF(AND($F125="Y",$G125="Y",$H125="N",$I125="Y",$J125="N"),"Y","N"))))</f>
        <v/>
      </c>
      <c r="M125" s="10">
        <f>IF($A125="","",IF($K125="IN","In: Research determination",IF($K125="OUT","Out: Research determination",IF($F125="N","Out: different import country",IF($G125="N","Out: HTS not on scope list",IF($H125="Y","Out: HTS on exclusion list",IF($I125="N","Out: origin not on scope list",IF($J125="Y","Out: USMCA-qualifying, exempt","In: matches scope rules"))))))))</f>
        <v/>
      </c>
      <c r="N125" s="16">
        <f>IF($A125="","",N(Items!I125))</f>
        <v/>
      </c>
      <c r="O125" s="16">
        <f>IF($A125="","",IF($L125="Y",$N125+N(act_Rate)-IF(UPPER(TRIM(act_RateType&amp;""))="REPLACE",N(act_PriorRate),0),$N125))</f>
        <v/>
      </c>
      <c r="P125" s="17">
        <f>IF($A125="","",N(Items!G125)*$N125)</f>
        <v/>
      </c>
      <c r="Q125" s="17">
        <f>IF($A125="","",N(Items!G125)*$O125)</f>
        <v/>
      </c>
      <c r="R125" s="17">
        <f>IF($A125="","",$Q125-$P125)</f>
        <v/>
      </c>
      <c r="S125" s="17">
        <f>IF($A125="","",N(Items!J125)+$R125)</f>
        <v/>
      </c>
      <c r="T125" s="16">
        <f>IF($A125="","",IF(N(Items!K125)=0,"",(N(Items!K125)-N(Items!J125))/N(Items!K125)))</f>
        <v/>
      </c>
      <c r="U125" s="16">
        <f>IF($A125="","",IF(N(Items!K125)=0,"",(N(Items!K125)-$S125)/N(Items!K125)))</f>
        <v/>
      </c>
      <c r="V125" s="16">
        <f>IF(OR($T125="",$U125=""),"",$U125-$T125)</f>
        <v/>
      </c>
      <c r="W125" s="18">
        <f>IF($A125="","",N(Items!H125))</f>
        <v/>
      </c>
      <c r="X125" s="19">
        <f>IF($A125="","",$R125*$W125)</f>
        <v/>
      </c>
      <c r="Y125" s="19">
        <f>IF($A125="","",N(Items!K125)*$W125)</f>
        <v/>
      </c>
      <c r="Z125" s="19">
        <f>IF($A125="","",(N(Items!K125)-N(Items!J125))*$W125)</f>
        <v/>
      </c>
      <c r="AA125" s="19">
        <f>IF($A125="","",$Z125-$X125)</f>
        <v/>
      </c>
      <c r="AB125" s="10">
        <f>IF($A125="","",IF(TRIM(Items!C125&amp;"")="","CHECK: import country missing",IF(OR(LEN($C125)&lt;&gt;10,ISERROR(VALUE($C125))),"CHECK: HTS must be 10 digits",IF(LEN($E125)&lt;&gt;2,"CHECK: origin code missing or not 2 letters",IF(OR(Items!G125="",Items!I125="",Items!J125=""),"CHECK: value, rate or cost missing",IF(ISNUMBER(Items!G125)*ISNUMBER(Items!I125)*ISNUMBER(Items!J125)=0,"CHECK: text in a number column",IF(AND($L125="Y",UPPER(TRIM(act_RateType&amp;""))="REPLACE",$N125&lt;N(act_PriorRate)),"CHECK: current rate is below the rate being replaced",IF(AND($L125="Y",$W125=0),"NOTE: in scope, no volume","OK"))))))))</f>
        <v/>
      </c>
      <c r="AC125" s="20">
        <f>IF($A125="","",IF(AND($L125="Y",$X125&lt;&gt;0),ABS($X125)+ROW()/1000000000,""))</f>
        <v/>
      </c>
    </row>
    <row r="126">
      <c r="A126" s="10">
        <f>IF(TRIM(Items!A126&amp;"")="","",TRIM(Items!A126&amp;""))</f>
        <v/>
      </c>
      <c r="B126" s="10">
        <f>IF($A126="","",Items!B126&amp;"")</f>
        <v/>
      </c>
      <c r="C126" s="10">
        <f>IF($A126="","",SUBSTITUTE(SUBSTITUTE(SUBSTITUTE(TRIM(Items!D126&amp;""),".","")," ",""),"-",""))</f>
        <v/>
      </c>
      <c r="D126" s="10">
        <f>IF($A126="","",LEFT($C126,2))</f>
        <v/>
      </c>
      <c r="E126" s="10">
        <f>IF($A126="","",UPPER(TRIM(Items!E126&amp;"")))</f>
        <v/>
      </c>
      <c r="F126" s="10">
        <f>IF($A126="","",IF(UPPER(TRIM(Items!C126&amp;""))=UPPER(TRIM(act_Country&amp;"")),"Y","N"))</f>
        <v/>
      </c>
      <c r="G126" s="10">
        <f>IF($A126="","",IF(SUMPRODUCT((scope_HTS&lt;&gt;"")*(LEFT($C126,LEN(scope_HTS))=scope_HTS))&gt;0,"Y","N"))</f>
        <v/>
      </c>
      <c r="H126" s="10">
        <f>IF($A126="","",IF(SUMPRODUCT((excl_HTS&lt;&gt;"")*(LEFT($C126,LEN(excl_HTS))=excl_HTS))&gt;0,"Y","N"))</f>
        <v/>
      </c>
      <c r="I126" s="10">
        <f>IF($A126="","",IF($E126="","N",IF(COUNTIF(scope_COO,$E126)&gt;0,"Y","N")))</f>
        <v/>
      </c>
      <c r="J126" s="10">
        <f>IF($A126="","",IF(AND(UPPER(TRIM(act_USMCAExempt&amp;""))="Y",UPPER(TRIM(Items!F126&amp;""))="Y"),"Y","N"))</f>
        <v/>
      </c>
      <c r="K126" s="10">
        <f>IF($A126="","",IFERROR(UPPER(TRIM(INDEX(det_Status,MATCH($A126,det_Item,0))&amp;"")),""))</f>
        <v/>
      </c>
      <c r="L126" s="10">
        <f>IF($A126="","",IF($K126="IN","Y",IF($K126="OUT","N",IF(AND($F126="Y",$G126="Y",$H126="N",$I126="Y",$J126="N"),"Y","N"))))</f>
        <v/>
      </c>
      <c r="M126" s="10">
        <f>IF($A126="","",IF($K126="IN","In: Research determination",IF($K126="OUT","Out: Research determination",IF($F126="N","Out: different import country",IF($G126="N","Out: HTS not on scope list",IF($H126="Y","Out: HTS on exclusion list",IF($I126="N","Out: origin not on scope list",IF($J126="Y","Out: USMCA-qualifying, exempt","In: matches scope rules"))))))))</f>
        <v/>
      </c>
      <c r="N126" s="16">
        <f>IF($A126="","",N(Items!I126))</f>
        <v/>
      </c>
      <c r="O126" s="16">
        <f>IF($A126="","",IF($L126="Y",$N126+N(act_Rate)-IF(UPPER(TRIM(act_RateType&amp;""))="REPLACE",N(act_PriorRate),0),$N126))</f>
        <v/>
      </c>
      <c r="P126" s="17">
        <f>IF($A126="","",N(Items!G126)*$N126)</f>
        <v/>
      </c>
      <c r="Q126" s="17">
        <f>IF($A126="","",N(Items!G126)*$O126)</f>
        <v/>
      </c>
      <c r="R126" s="17">
        <f>IF($A126="","",$Q126-$P126)</f>
        <v/>
      </c>
      <c r="S126" s="17">
        <f>IF($A126="","",N(Items!J126)+$R126)</f>
        <v/>
      </c>
      <c r="T126" s="16">
        <f>IF($A126="","",IF(N(Items!K126)=0,"",(N(Items!K126)-N(Items!J126))/N(Items!K126)))</f>
        <v/>
      </c>
      <c r="U126" s="16">
        <f>IF($A126="","",IF(N(Items!K126)=0,"",(N(Items!K126)-$S126)/N(Items!K126)))</f>
        <v/>
      </c>
      <c r="V126" s="16">
        <f>IF(OR($T126="",$U126=""),"",$U126-$T126)</f>
        <v/>
      </c>
      <c r="W126" s="18">
        <f>IF($A126="","",N(Items!H126))</f>
        <v/>
      </c>
      <c r="X126" s="19">
        <f>IF($A126="","",$R126*$W126)</f>
        <v/>
      </c>
      <c r="Y126" s="19">
        <f>IF($A126="","",N(Items!K126)*$W126)</f>
        <v/>
      </c>
      <c r="Z126" s="19">
        <f>IF($A126="","",(N(Items!K126)-N(Items!J126))*$W126)</f>
        <v/>
      </c>
      <c r="AA126" s="19">
        <f>IF($A126="","",$Z126-$X126)</f>
        <v/>
      </c>
      <c r="AB126" s="10">
        <f>IF($A126="","",IF(TRIM(Items!C126&amp;"")="","CHECK: import country missing",IF(OR(LEN($C126)&lt;&gt;10,ISERROR(VALUE($C126))),"CHECK: HTS must be 10 digits",IF(LEN($E126)&lt;&gt;2,"CHECK: origin code missing or not 2 letters",IF(OR(Items!G126="",Items!I126="",Items!J126=""),"CHECK: value, rate or cost missing",IF(ISNUMBER(Items!G126)*ISNUMBER(Items!I126)*ISNUMBER(Items!J126)=0,"CHECK: text in a number column",IF(AND($L126="Y",UPPER(TRIM(act_RateType&amp;""))="REPLACE",$N126&lt;N(act_PriorRate)),"CHECK: current rate is below the rate being replaced",IF(AND($L126="Y",$W126=0),"NOTE: in scope, no volume","OK"))))))))</f>
        <v/>
      </c>
      <c r="AC126" s="20">
        <f>IF($A126="","",IF(AND($L126="Y",$X126&lt;&gt;0),ABS($X126)+ROW()/1000000000,""))</f>
        <v/>
      </c>
    </row>
    <row r="127">
      <c r="A127" s="10">
        <f>IF(TRIM(Items!A127&amp;"")="","",TRIM(Items!A127&amp;""))</f>
        <v/>
      </c>
      <c r="B127" s="10">
        <f>IF($A127="","",Items!B127&amp;"")</f>
        <v/>
      </c>
      <c r="C127" s="10">
        <f>IF($A127="","",SUBSTITUTE(SUBSTITUTE(SUBSTITUTE(TRIM(Items!D127&amp;""),".","")," ",""),"-",""))</f>
        <v/>
      </c>
      <c r="D127" s="10">
        <f>IF($A127="","",LEFT($C127,2))</f>
        <v/>
      </c>
      <c r="E127" s="10">
        <f>IF($A127="","",UPPER(TRIM(Items!E127&amp;"")))</f>
        <v/>
      </c>
      <c r="F127" s="10">
        <f>IF($A127="","",IF(UPPER(TRIM(Items!C127&amp;""))=UPPER(TRIM(act_Country&amp;"")),"Y","N"))</f>
        <v/>
      </c>
      <c r="G127" s="10">
        <f>IF($A127="","",IF(SUMPRODUCT((scope_HTS&lt;&gt;"")*(LEFT($C127,LEN(scope_HTS))=scope_HTS))&gt;0,"Y","N"))</f>
        <v/>
      </c>
      <c r="H127" s="10">
        <f>IF($A127="","",IF(SUMPRODUCT((excl_HTS&lt;&gt;"")*(LEFT($C127,LEN(excl_HTS))=excl_HTS))&gt;0,"Y","N"))</f>
        <v/>
      </c>
      <c r="I127" s="10">
        <f>IF($A127="","",IF($E127="","N",IF(COUNTIF(scope_COO,$E127)&gt;0,"Y","N")))</f>
        <v/>
      </c>
      <c r="J127" s="10">
        <f>IF($A127="","",IF(AND(UPPER(TRIM(act_USMCAExempt&amp;""))="Y",UPPER(TRIM(Items!F127&amp;""))="Y"),"Y","N"))</f>
        <v/>
      </c>
      <c r="K127" s="10">
        <f>IF($A127="","",IFERROR(UPPER(TRIM(INDEX(det_Status,MATCH($A127,det_Item,0))&amp;"")),""))</f>
        <v/>
      </c>
      <c r="L127" s="10">
        <f>IF($A127="","",IF($K127="IN","Y",IF($K127="OUT","N",IF(AND($F127="Y",$G127="Y",$H127="N",$I127="Y",$J127="N"),"Y","N"))))</f>
        <v/>
      </c>
      <c r="M127" s="10">
        <f>IF($A127="","",IF($K127="IN","In: Research determination",IF($K127="OUT","Out: Research determination",IF($F127="N","Out: different import country",IF($G127="N","Out: HTS not on scope list",IF($H127="Y","Out: HTS on exclusion list",IF($I127="N","Out: origin not on scope list",IF($J127="Y","Out: USMCA-qualifying, exempt","In: matches scope rules"))))))))</f>
        <v/>
      </c>
      <c r="N127" s="16">
        <f>IF($A127="","",N(Items!I127))</f>
        <v/>
      </c>
      <c r="O127" s="16">
        <f>IF($A127="","",IF($L127="Y",$N127+N(act_Rate)-IF(UPPER(TRIM(act_RateType&amp;""))="REPLACE",N(act_PriorRate),0),$N127))</f>
        <v/>
      </c>
      <c r="P127" s="17">
        <f>IF($A127="","",N(Items!G127)*$N127)</f>
        <v/>
      </c>
      <c r="Q127" s="17">
        <f>IF($A127="","",N(Items!G127)*$O127)</f>
        <v/>
      </c>
      <c r="R127" s="17">
        <f>IF($A127="","",$Q127-$P127)</f>
        <v/>
      </c>
      <c r="S127" s="17">
        <f>IF($A127="","",N(Items!J127)+$R127)</f>
        <v/>
      </c>
      <c r="T127" s="16">
        <f>IF($A127="","",IF(N(Items!K127)=0,"",(N(Items!K127)-N(Items!J127))/N(Items!K127)))</f>
        <v/>
      </c>
      <c r="U127" s="16">
        <f>IF($A127="","",IF(N(Items!K127)=0,"",(N(Items!K127)-$S127)/N(Items!K127)))</f>
        <v/>
      </c>
      <c r="V127" s="16">
        <f>IF(OR($T127="",$U127=""),"",$U127-$T127)</f>
        <v/>
      </c>
      <c r="W127" s="18">
        <f>IF($A127="","",N(Items!H127))</f>
        <v/>
      </c>
      <c r="X127" s="19">
        <f>IF($A127="","",$R127*$W127)</f>
        <v/>
      </c>
      <c r="Y127" s="19">
        <f>IF($A127="","",N(Items!K127)*$W127)</f>
        <v/>
      </c>
      <c r="Z127" s="19">
        <f>IF($A127="","",(N(Items!K127)-N(Items!J127))*$W127)</f>
        <v/>
      </c>
      <c r="AA127" s="19">
        <f>IF($A127="","",$Z127-$X127)</f>
        <v/>
      </c>
      <c r="AB127" s="10">
        <f>IF($A127="","",IF(TRIM(Items!C127&amp;"")="","CHECK: import country missing",IF(OR(LEN($C127)&lt;&gt;10,ISERROR(VALUE($C127))),"CHECK: HTS must be 10 digits",IF(LEN($E127)&lt;&gt;2,"CHECK: origin code missing or not 2 letters",IF(OR(Items!G127="",Items!I127="",Items!J127=""),"CHECK: value, rate or cost missing",IF(ISNUMBER(Items!G127)*ISNUMBER(Items!I127)*ISNUMBER(Items!J127)=0,"CHECK: text in a number column",IF(AND($L127="Y",UPPER(TRIM(act_RateType&amp;""))="REPLACE",$N127&lt;N(act_PriorRate)),"CHECK: current rate is below the rate being replaced",IF(AND($L127="Y",$W127=0),"NOTE: in scope, no volume","OK"))))))))</f>
        <v/>
      </c>
      <c r="AC127" s="20">
        <f>IF($A127="","",IF(AND($L127="Y",$X127&lt;&gt;0),ABS($X127)+ROW()/1000000000,""))</f>
        <v/>
      </c>
    </row>
    <row r="128">
      <c r="A128" s="10">
        <f>IF(TRIM(Items!A128&amp;"")="","",TRIM(Items!A128&amp;""))</f>
        <v/>
      </c>
      <c r="B128" s="10">
        <f>IF($A128="","",Items!B128&amp;"")</f>
        <v/>
      </c>
      <c r="C128" s="10">
        <f>IF($A128="","",SUBSTITUTE(SUBSTITUTE(SUBSTITUTE(TRIM(Items!D128&amp;""),".","")," ",""),"-",""))</f>
        <v/>
      </c>
      <c r="D128" s="10">
        <f>IF($A128="","",LEFT($C128,2))</f>
        <v/>
      </c>
      <c r="E128" s="10">
        <f>IF($A128="","",UPPER(TRIM(Items!E128&amp;"")))</f>
        <v/>
      </c>
      <c r="F128" s="10">
        <f>IF($A128="","",IF(UPPER(TRIM(Items!C128&amp;""))=UPPER(TRIM(act_Country&amp;"")),"Y","N"))</f>
        <v/>
      </c>
      <c r="G128" s="10">
        <f>IF($A128="","",IF(SUMPRODUCT((scope_HTS&lt;&gt;"")*(LEFT($C128,LEN(scope_HTS))=scope_HTS))&gt;0,"Y","N"))</f>
        <v/>
      </c>
      <c r="H128" s="10">
        <f>IF($A128="","",IF(SUMPRODUCT((excl_HTS&lt;&gt;"")*(LEFT($C128,LEN(excl_HTS))=excl_HTS))&gt;0,"Y","N"))</f>
        <v/>
      </c>
      <c r="I128" s="10">
        <f>IF($A128="","",IF($E128="","N",IF(COUNTIF(scope_COO,$E128)&gt;0,"Y","N")))</f>
        <v/>
      </c>
      <c r="J128" s="10">
        <f>IF($A128="","",IF(AND(UPPER(TRIM(act_USMCAExempt&amp;""))="Y",UPPER(TRIM(Items!F128&amp;""))="Y"),"Y","N"))</f>
        <v/>
      </c>
      <c r="K128" s="10">
        <f>IF($A128="","",IFERROR(UPPER(TRIM(INDEX(det_Status,MATCH($A128,det_Item,0))&amp;"")),""))</f>
        <v/>
      </c>
      <c r="L128" s="10">
        <f>IF($A128="","",IF($K128="IN","Y",IF($K128="OUT","N",IF(AND($F128="Y",$G128="Y",$H128="N",$I128="Y",$J128="N"),"Y","N"))))</f>
        <v/>
      </c>
      <c r="M128" s="10">
        <f>IF($A128="","",IF($K128="IN","In: Research determination",IF($K128="OUT","Out: Research determination",IF($F128="N","Out: different import country",IF($G128="N","Out: HTS not on scope list",IF($H128="Y","Out: HTS on exclusion list",IF($I128="N","Out: origin not on scope list",IF($J128="Y","Out: USMCA-qualifying, exempt","In: matches scope rules"))))))))</f>
        <v/>
      </c>
      <c r="N128" s="16">
        <f>IF($A128="","",N(Items!I128))</f>
        <v/>
      </c>
      <c r="O128" s="16">
        <f>IF($A128="","",IF($L128="Y",$N128+N(act_Rate)-IF(UPPER(TRIM(act_RateType&amp;""))="REPLACE",N(act_PriorRate),0),$N128))</f>
        <v/>
      </c>
      <c r="P128" s="17">
        <f>IF($A128="","",N(Items!G128)*$N128)</f>
        <v/>
      </c>
      <c r="Q128" s="17">
        <f>IF($A128="","",N(Items!G128)*$O128)</f>
        <v/>
      </c>
      <c r="R128" s="17">
        <f>IF($A128="","",$Q128-$P128)</f>
        <v/>
      </c>
      <c r="S128" s="17">
        <f>IF($A128="","",N(Items!J128)+$R128)</f>
        <v/>
      </c>
      <c r="T128" s="16">
        <f>IF($A128="","",IF(N(Items!K128)=0,"",(N(Items!K128)-N(Items!J128))/N(Items!K128)))</f>
        <v/>
      </c>
      <c r="U128" s="16">
        <f>IF($A128="","",IF(N(Items!K128)=0,"",(N(Items!K128)-$S128)/N(Items!K128)))</f>
        <v/>
      </c>
      <c r="V128" s="16">
        <f>IF(OR($T128="",$U128=""),"",$U128-$T128)</f>
        <v/>
      </c>
      <c r="W128" s="18">
        <f>IF($A128="","",N(Items!H128))</f>
        <v/>
      </c>
      <c r="X128" s="19">
        <f>IF($A128="","",$R128*$W128)</f>
        <v/>
      </c>
      <c r="Y128" s="19">
        <f>IF($A128="","",N(Items!K128)*$W128)</f>
        <v/>
      </c>
      <c r="Z128" s="19">
        <f>IF($A128="","",(N(Items!K128)-N(Items!J128))*$W128)</f>
        <v/>
      </c>
      <c r="AA128" s="19">
        <f>IF($A128="","",$Z128-$X128)</f>
        <v/>
      </c>
      <c r="AB128" s="10">
        <f>IF($A128="","",IF(TRIM(Items!C128&amp;"")="","CHECK: import country missing",IF(OR(LEN($C128)&lt;&gt;10,ISERROR(VALUE($C128))),"CHECK: HTS must be 10 digits",IF(LEN($E128)&lt;&gt;2,"CHECK: origin code missing or not 2 letters",IF(OR(Items!G128="",Items!I128="",Items!J128=""),"CHECK: value, rate or cost missing",IF(ISNUMBER(Items!G128)*ISNUMBER(Items!I128)*ISNUMBER(Items!J128)=0,"CHECK: text in a number column",IF(AND($L128="Y",UPPER(TRIM(act_RateType&amp;""))="REPLACE",$N128&lt;N(act_PriorRate)),"CHECK: current rate is below the rate being replaced",IF(AND($L128="Y",$W128=0),"NOTE: in scope, no volume","OK"))))))))</f>
        <v/>
      </c>
      <c r="AC128" s="20">
        <f>IF($A128="","",IF(AND($L128="Y",$X128&lt;&gt;0),ABS($X128)+ROW()/1000000000,""))</f>
        <v/>
      </c>
    </row>
    <row r="129">
      <c r="A129" s="10">
        <f>IF(TRIM(Items!A129&amp;"")="","",TRIM(Items!A129&amp;""))</f>
        <v/>
      </c>
      <c r="B129" s="10">
        <f>IF($A129="","",Items!B129&amp;"")</f>
        <v/>
      </c>
      <c r="C129" s="10">
        <f>IF($A129="","",SUBSTITUTE(SUBSTITUTE(SUBSTITUTE(TRIM(Items!D129&amp;""),".","")," ",""),"-",""))</f>
        <v/>
      </c>
      <c r="D129" s="10">
        <f>IF($A129="","",LEFT($C129,2))</f>
        <v/>
      </c>
      <c r="E129" s="10">
        <f>IF($A129="","",UPPER(TRIM(Items!E129&amp;"")))</f>
        <v/>
      </c>
      <c r="F129" s="10">
        <f>IF($A129="","",IF(UPPER(TRIM(Items!C129&amp;""))=UPPER(TRIM(act_Country&amp;"")),"Y","N"))</f>
        <v/>
      </c>
      <c r="G129" s="10">
        <f>IF($A129="","",IF(SUMPRODUCT((scope_HTS&lt;&gt;"")*(LEFT($C129,LEN(scope_HTS))=scope_HTS))&gt;0,"Y","N"))</f>
        <v/>
      </c>
      <c r="H129" s="10">
        <f>IF($A129="","",IF(SUMPRODUCT((excl_HTS&lt;&gt;"")*(LEFT($C129,LEN(excl_HTS))=excl_HTS))&gt;0,"Y","N"))</f>
        <v/>
      </c>
      <c r="I129" s="10">
        <f>IF($A129="","",IF($E129="","N",IF(COUNTIF(scope_COO,$E129)&gt;0,"Y","N")))</f>
        <v/>
      </c>
      <c r="J129" s="10">
        <f>IF($A129="","",IF(AND(UPPER(TRIM(act_USMCAExempt&amp;""))="Y",UPPER(TRIM(Items!F129&amp;""))="Y"),"Y","N"))</f>
        <v/>
      </c>
      <c r="K129" s="10">
        <f>IF($A129="","",IFERROR(UPPER(TRIM(INDEX(det_Status,MATCH($A129,det_Item,0))&amp;"")),""))</f>
        <v/>
      </c>
      <c r="L129" s="10">
        <f>IF($A129="","",IF($K129="IN","Y",IF($K129="OUT","N",IF(AND($F129="Y",$G129="Y",$H129="N",$I129="Y",$J129="N"),"Y","N"))))</f>
        <v/>
      </c>
      <c r="M129" s="10">
        <f>IF($A129="","",IF($K129="IN","In: Research determination",IF($K129="OUT","Out: Research determination",IF($F129="N","Out: different import country",IF($G129="N","Out: HTS not on scope list",IF($H129="Y","Out: HTS on exclusion list",IF($I129="N","Out: origin not on scope list",IF($J129="Y","Out: USMCA-qualifying, exempt","In: matches scope rules"))))))))</f>
        <v/>
      </c>
      <c r="N129" s="16">
        <f>IF($A129="","",N(Items!I129))</f>
        <v/>
      </c>
      <c r="O129" s="16">
        <f>IF($A129="","",IF($L129="Y",$N129+N(act_Rate)-IF(UPPER(TRIM(act_RateType&amp;""))="REPLACE",N(act_PriorRate),0),$N129))</f>
        <v/>
      </c>
      <c r="P129" s="17">
        <f>IF($A129="","",N(Items!G129)*$N129)</f>
        <v/>
      </c>
      <c r="Q129" s="17">
        <f>IF($A129="","",N(Items!G129)*$O129)</f>
        <v/>
      </c>
      <c r="R129" s="17">
        <f>IF($A129="","",$Q129-$P129)</f>
        <v/>
      </c>
      <c r="S129" s="17">
        <f>IF($A129="","",N(Items!J129)+$R129)</f>
        <v/>
      </c>
      <c r="T129" s="16">
        <f>IF($A129="","",IF(N(Items!K129)=0,"",(N(Items!K129)-N(Items!J129))/N(Items!K129)))</f>
        <v/>
      </c>
      <c r="U129" s="16">
        <f>IF($A129="","",IF(N(Items!K129)=0,"",(N(Items!K129)-$S129)/N(Items!K129)))</f>
        <v/>
      </c>
      <c r="V129" s="16">
        <f>IF(OR($T129="",$U129=""),"",$U129-$T129)</f>
        <v/>
      </c>
      <c r="W129" s="18">
        <f>IF($A129="","",N(Items!H129))</f>
        <v/>
      </c>
      <c r="X129" s="19">
        <f>IF($A129="","",$R129*$W129)</f>
        <v/>
      </c>
      <c r="Y129" s="19">
        <f>IF($A129="","",N(Items!K129)*$W129)</f>
        <v/>
      </c>
      <c r="Z129" s="19">
        <f>IF($A129="","",(N(Items!K129)-N(Items!J129))*$W129)</f>
        <v/>
      </c>
      <c r="AA129" s="19">
        <f>IF($A129="","",$Z129-$X129)</f>
        <v/>
      </c>
      <c r="AB129" s="10">
        <f>IF($A129="","",IF(TRIM(Items!C129&amp;"")="","CHECK: import country missing",IF(OR(LEN($C129)&lt;&gt;10,ISERROR(VALUE($C129))),"CHECK: HTS must be 10 digits",IF(LEN($E129)&lt;&gt;2,"CHECK: origin code missing or not 2 letters",IF(OR(Items!G129="",Items!I129="",Items!J129=""),"CHECK: value, rate or cost missing",IF(ISNUMBER(Items!G129)*ISNUMBER(Items!I129)*ISNUMBER(Items!J129)=0,"CHECK: text in a number column",IF(AND($L129="Y",UPPER(TRIM(act_RateType&amp;""))="REPLACE",$N129&lt;N(act_PriorRate)),"CHECK: current rate is below the rate being replaced",IF(AND($L129="Y",$W129=0),"NOTE: in scope, no volume","OK"))))))))</f>
        <v/>
      </c>
      <c r="AC129" s="20">
        <f>IF($A129="","",IF(AND($L129="Y",$X129&lt;&gt;0),ABS($X129)+ROW()/1000000000,""))</f>
        <v/>
      </c>
    </row>
    <row r="130">
      <c r="A130" s="10">
        <f>IF(TRIM(Items!A130&amp;"")="","",TRIM(Items!A130&amp;""))</f>
        <v/>
      </c>
      <c r="B130" s="10">
        <f>IF($A130="","",Items!B130&amp;"")</f>
        <v/>
      </c>
      <c r="C130" s="10">
        <f>IF($A130="","",SUBSTITUTE(SUBSTITUTE(SUBSTITUTE(TRIM(Items!D130&amp;""),".","")," ",""),"-",""))</f>
        <v/>
      </c>
      <c r="D130" s="10">
        <f>IF($A130="","",LEFT($C130,2))</f>
        <v/>
      </c>
      <c r="E130" s="10">
        <f>IF($A130="","",UPPER(TRIM(Items!E130&amp;"")))</f>
        <v/>
      </c>
      <c r="F130" s="10">
        <f>IF($A130="","",IF(UPPER(TRIM(Items!C130&amp;""))=UPPER(TRIM(act_Country&amp;"")),"Y","N"))</f>
        <v/>
      </c>
      <c r="G130" s="10">
        <f>IF($A130="","",IF(SUMPRODUCT((scope_HTS&lt;&gt;"")*(LEFT($C130,LEN(scope_HTS))=scope_HTS))&gt;0,"Y","N"))</f>
        <v/>
      </c>
      <c r="H130" s="10">
        <f>IF($A130="","",IF(SUMPRODUCT((excl_HTS&lt;&gt;"")*(LEFT($C130,LEN(excl_HTS))=excl_HTS))&gt;0,"Y","N"))</f>
        <v/>
      </c>
      <c r="I130" s="10">
        <f>IF($A130="","",IF($E130="","N",IF(COUNTIF(scope_COO,$E130)&gt;0,"Y","N")))</f>
        <v/>
      </c>
      <c r="J130" s="10">
        <f>IF($A130="","",IF(AND(UPPER(TRIM(act_USMCAExempt&amp;""))="Y",UPPER(TRIM(Items!F130&amp;""))="Y"),"Y","N"))</f>
        <v/>
      </c>
      <c r="K130" s="10">
        <f>IF($A130="","",IFERROR(UPPER(TRIM(INDEX(det_Status,MATCH($A130,det_Item,0))&amp;"")),""))</f>
        <v/>
      </c>
      <c r="L130" s="10">
        <f>IF($A130="","",IF($K130="IN","Y",IF($K130="OUT","N",IF(AND($F130="Y",$G130="Y",$H130="N",$I130="Y",$J130="N"),"Y","N"))))</f>
        <v/>
      </c>
      <c r="M130" s="10">
        <f>IF($A130="","",IF($K130="IN","In: Research determination",IF($K130="OUT","Out: Research determination",IF($F130="N","Out: different import country",IF($G130="N","Out: HTS not on scope list",IF($H130="Y","Out: HTS on exclusion list",IF($I130="N","Out: origin not on scope list",IF($J130="Y","Out: USMCA-qualifying, exempt","In: matches scope rules"))))))))</f>
        <v/>
      </c>
      <c r="N130" s="16">
        <f>IF($A130="","",N(Items!I130))</f>
        <v/>
      </c>
      <c r="O130" s="16">
        <f>IF($A130="","",IF($L130="Y",$N130+N(act_Rate)-IF(UPPER(TRIM(act_RateType&amp;""))="REPLACE",N(act_PriorRate),0),$N130))</f>
        <v/>
      </c>
      <c r="P130" s="17">
        <f>IF($A130="","",N(Items!G130)*$N130)</f>
        <v/>
      </c>
      <c r="Q130" s="17">
        <f>IF($A130="","",N(Items!G130)*$O130)</f>
        <v/>
      </c>
      <c r="R130" s="17">
        <f>IF($A130="","",$Q130-$P130)</f>
        <v/>
      </c>
      <c r="S130" s="17">
        <f>IF($A130="","",N(Items!J130)+$R130)</f>
        <v/>
      </c>
      <c r="T130" s="16">
        <f>IF($A130="","",IF(N(Items!K130)=0,"",(N(Items!K130)-N(Items!J130))/N(Items!K130)))</f>
        <v/>
      </c>
      <c r="U130" s="16">
        <f>IF($A130="","",IF(N(Items!K130)=0,"",(N(Items!K130)-$S130)/N(Items!K130)))</f>
        <v/>
      </c>
      <c r="V130" s="16">
        <f>IF(OR($T130="",$U130=""),"",$U130-$T130)</f>
        <v/>
      </c>
      <c r="W130" s="18">
        <f>IF($A130="","",N(Items!H130))</f>
        <v/>
      </c>
      <c r="X130" s="19">
        <f>IF($A130="","",$R130*$W130)</f>
        <v/>
      </c>
      <c r="Y130" s="19">
        <f>IF($A130="","",N(Items!K130)*$W130)</f>
        <v/>
      </c>
      <c r="Z130" s="19">
        <f>IF($A130="","",(N(Items!K130)-N(Items!J130))*$W130)</f>
        <v/>
      </c>
      <c r="AA130" s="19">
        <f>IF($A130="","",$Z130-$X130)</f>
        <v/>
      </c>
      <c r="AB130" s="10">
        <f>IF($A130="","",IF(TRIM(Items!C130&amp;"")="","CHECK: import country missing",IF(OR(LEN($C130)&lt;&gt;10,ISERROR(VALUE($C130))),"CHECK: HTS must be 10 digits",IF(LEN($E130)&lt;&gt;2,"CHECK: origin code missing or not 2 letters",IF(OR(Items!G130="",Items!I130="",Items!J130=""),"CHECK: value, rate or cost missing",IF(ISNUMBER(Items!G130)*ISNUMBER(Items!I130)*ISNUMBER(Items!J130)=0,"CHECK: text in a number column",IF(AND($L130="Y",UPPER(TRIM(act_RateType&amp;""))="REPLACE",$N130&lt;N(act_PriorRate)),"CHECK: current rate is below the rate being replaced",IF(AND($L130="Y",$W130=0),"NOTE: in scope, no volume","OK"))))))))</f>
        <v/>
      </c>
      <c r="AC130" s="20">
        <f>IF($A130="","",IF(AND($L130="Y",$X130&lt;&gt;0),ABS($X130)+ROW()/1000000000,""))</f>
        <v/>
      </c>
    </row>
    <row r="131">
      <c r="A131" s="10">
        <f>IF(TRIM(Items!A131&amp;"")="","",TRIM(Items!A131&amp;""))</f>
        <v/>
      </c>
      <c r="B131" s="10">
        <f>IF($A131="","",Items!B131&amp;"")</f>
        <v/>
      </c>
      <c r="C131" s="10">
        <f>IF($A131="","",SUBSTITUTE(SUBSTITUTE(SUBSTITUTE(TRIM(Items!D131&amp;""),".","")," ",""),"-",""))</f>
        <v/>
      </c>
      <c r="D131" s="10">
        <f>IF($A131="","",LEFT($C131,2))</f>
        <v/>
      </c>
      <c r="E131" s="10">
        <f>IF($A131="","",UPPER(TRIM(Items!E131&amp;"")))</f>
        <v/>
      </c>
      <c r="F131" s="10">
        <f>IF($A131="","",IF(UPPER(TRIM(Items!C131&amp;""))=UPPER(TRIM(act_Country&amp;"")),"Y","N"))</f>
        <v/>
      </c>
      <c r="G131" s="10">
        <f>IF($A131="","",IF(SUMPRODUCT((scope_HTS&lt;&gt;"")*(LEFT($C131,LEN(scope_HTS))=scope_HTS))&gt;0,"Y","N"))</f>
        <v/>
      </c>
      <c r="H131" s="10">
        <f>IF($A131="","",IF(SUMPRODUCT((excl_HTS&lt;&gt;"")*(LEFT($C131,LEN(excl_HTS))=excl_HTS))&gt;0,"Y","N"))</f>
        <v/>
      </c>
      <c r="I131" s="10">
        <f>IF($A131="","",IF($E131="","N",IF(COUNTIF(scope_COO,$E131)&gt;0,"Y","N")))</f>
        <v/>
      </c>
      <c r="J131" s="10">
        <f>IF($A131="","",IF(AND(UPPER(TRIM(act_USMCAExempt&amp;""))="Y",UPPER(TRIM(Items!F131&amp;""))="Y"),"Y","N"))</f>
        <v/>
      </c>
      <c r="K131" s="10">
        <f>IF($A131="","",IFERROR(UPPER(TRIM(INDEX(det_Status,MATCH($A131,det_Item,0))&amp;"")),""))</f>
        <v/>
      </c>
      <c r="L131" s="10">
        <f>IF($A131="","",IF($K131="IN","Y",IF($K131="OUT","N",IF(AND($F131="Y",$G131="Y",$H131="N",$I131="Y",$J131="N"),"Y","N"))))</f>
        <v/>
      </c>
      <c r="M131" s="10">
        <f>IF($A131="","",IF($K131="IN","In: Research determination",IF($K131="OUT","Out: Research determination",IF($F131="N","Out: different import country",IF($G131="N","Out: HTS not on scope list",IF($H131="Y","Out: HTS on exclusion list",IF($I131="N","Out: origin not on scope list",IF($J131="Y","Out: USMCA-qualifying, exempt","In: matches scope rules"))))))))</f>
        <v/>
      </c>
      <c r="N131" s="16">
        <f>IF($A131="","",N(Items!I131))</f>
        <v/>
      </c>
      <c r="O131" s="16">
        <f>IF($A131="","",IF($L131="Y",$N131+N(act_Rate)-IF(UPPER(TRIM(act_RateType&amp;""))="REPLACE",N(act_PriorRate),0),$N131))</f>
        <v/>
      </c>
      <c r="P131" s="17">
        <f>IF($A131="","",N(Items!G131)*$N131)</f>
        <v/>
      </c>
      <c r="Q131" s="17">
        <f>IF($A131="","",N(Items!G131)*$O131)</f>
        <v/>
      </c>
      <c r="R131" s="17">
        <f>IF($A131="","",$Q131-$P131)</f>
        <v/>
      </c>
      <c r="S131" s="17">
        <f>IF($A131="","",N(Items!J131)+$R131)</f>
        <v/>
      </c>
      <c r="T131" s="16">
        <f>IF($A131="","",IF(N(Items!K131)=0,"",(N(Items!K131)-N(Items!J131))/N(Items!K131)))</f>
        <v/>
      </c>
      <c r="U131" s="16">
        <f>IF($A131="","",IF(N(Items!K131)=0,"",(N(Items!K131)-$S131)/N(Items!K131)))</f>
        <v/>
      </c>
      <c r="V131" s="16">
        <f>IF(OR($T131="",$U131=""),"",$U131-$T131)</f>
        <v/>
      </c>
      <c r="W131" s="18">
        <f>IF($A131="","",N(Items!H131))</f>
        <v/>
      </c>
      <c r="X131" s="19">
        <f>IF($A131="","",$R131*$W131)</f>
        <v/>
      </c>
      <c r="Y131" s="19">
        <f>IF($A131="","",N(Items!K131)*$W131)</f>
        <v/>
      </c>
      <c r="Z131" s="19">
        <f>IF($A131="","",(N(Items!K131)-N(Items!J131))*$W131)</f>
        <v/>
      </c>
      <c r="AA131" s="19">
        <f>IF($A131="","",$Z131-$X131)</f>
        <v/>
      </c>
      <c r="AB131" s="10">
        <f>IF($A131="","",IF(TRIM(Items!C131&amp;"")="","CHECK: import country missing",IF(OR(LEN($C131)&lt;&gt;10,ISERROR(VALUE($C131))),"CHECK: HTS must be 10 digits",IF(LEN($E131)&lt;&gt;2,"CHECK: origin code missing or not 2 letters",IF(OR(Items!G131="",Items!I131="",Items!J131=""),"CHECK: value, rate or cost missing",IF(ISNUMBER(Items!G131)*ISNUMBER(Items!I131)*ISNUMBER(Items!J131)=0,"CHECK: text in a number column",IF(AND($L131="Y",UPPER(TRIM(act_RateType&amp;""))="REPLACE",$N131&lt;N(act_PriorRate)),"CHECK: current rate is below the rate being replaced",IF(AND($L131="Y",$W131=0),"NOTE: in scope, no volume","OK"))))))))</f>
        <v/>
      </c>
      <c r="AC131" s="20">
        <f>IF($A131="","",IF(AND($L131="Y",$X131&lt;&gt;0),ABS($X131)+ROW()/1000000000,""))</f>
        <v/>
      </c>
    </row>
    <row r="132">
      <c r="A132" s="10">
        <f>IF(TRIM(Items!A132&amp;"")="","",TRIM(Items!A132&amp;""))</f>
        <v/>
      </c>
      <c r="B132" s="10">
        <f>IF($A132="","",Items!B132&amp;"")</f>
        <v/>
      </c>
      <c r="C132" s="10">
        <f>IF($A132="","",SUBSTITUTE(SUBSTITUTE(SUBSTITUTE(TRIM(Items!D132&amp;""),".","")," ",""),"-",""))</f>
        <v/>
      </c>
      <c r="D132" s="10">
        <f>IF($A132="","",LEFT($C132,2))</f>
        <v/>
      </c>
      <c r="E132" s="10">
        <f>IF($A132="","",UPPER(TRIM(Items!E132&amp;"")))</f>
        <v/>
      </c>
      <c r="F132" s="10">
        <f>IF($A132="","",IF(UPPER(TRIM(Items!C132&amp;""))=UPPER(TRIM(act_Country&amp;"")),"Y","N"))</f>
        <v/>
      </c>
      <c r="G132" s="10">
        <f>IF($A132="","",IF(SUMPRODUCT((scope_HTS&lt;&gt;"")*(LEFT($C132,LEN(scope_HTS))=scope_HTS))&gt;0,"Y","N"))</f>
        <v/>
      </c>
      <c r="H132" s="10">
        <f>IF($A132="","",IF(SUMPRODUCT((excl_HTS&lt;&gt;"")*(LEFT($C132,LEN(excl_HTS))=excl_HTS))&gt;0,"Y","N"))</f>
        <v/>
      </c>
      <c r="I132" s="10">
        <f>IF($A132="","",IF($E132="","N",IF(COUNTIF(scope_COO,$E132)&gt;0,"Y","N")))</f>
        <v/>
      </c>
      <c r="J132" s="10">
        <f>IF($A132="","",IF(AND(UPPER(TRIM(act_USMCAExempt&amp;""))="Y",UPPER(TRIM(Items!F132&amp;""))="Y"),"Y","N"))</f>
        <v/>
      </c>
      <c r="K132" s="10">
        <f>IF($A132="","",IFERROR(UPPER(TRIM(INDEX(det_Status,MATCH($A132,det_Item,0))&amp;"")),""))</f>
        <v/>
      </c>
      <c r="L132" s="10">
        <f>IF($A132="","",IF($K132="IN","Y",IF($K132="OUT","N",IF(AND($F132="Y",$G132="Y",$H132="N",$I132="Y",$J132="N"),"Y","N"))))</f>
        <v/>
      </c>
      <c r="M132" s="10">
        <f>IF($A132="","",IF($K132="IN","In: Research determination",IF($K132="OUT","Out: Research determination",IF($F132="N","Out: different import country",IF($G132="N","Out: HTS not on scope list",IF($H132="Y","Out: HTS on exclusion list",IF($I132="N","Out: origin not on scope list",IF($J132="Y","Out: USMCA-qualifying, exempt","In: matches scope rules"))))))))</f>
        <v/>
      </c>
      <c r="N132" s="16">
        <f>IF($A132="","",N(Items!I132))</f>
        <v/>
      </c>
      <c r="O132" s="16">
        <f>IF($A132="","",IF($L132="Y",$N132+N(act_Rate)-IF(UPPER(TRIM(act_RateType&amp;""))="REPLACE",N(act_PriorRate),0),$N132))</f>
        <v/>
      </c>
      <c r="P132" s="17">
        <f>IF($A132="","",N(Items!G132)*$N132)</f>
        <v/>
      </c>
      <c r="Q132" s="17">
        <f>IF($A132="","",N(Items!G132)*$O132)</f>
        <v/>
      </c>
      <c r="R132" s="17">
        <f>IF($A132="","",$Q132-$P132)</f>
        <v/>
      </c>
      <c r="S132" s="17">
        <f>IF($A132="","",N(Items!J132)+$R132)</f>
        <v/>
      </c>
      <c r="T132" s="16">
        <f>IF($A132="","",IF(N(Items!K132)=0,"",(N(Items!K132)-N(Items!J132))/N(Items!K132)))</f>
        <v/>
      </c>
      <c r="U132" s="16">
        <f>IF($A132="","",IF(N(Items!K132)=0,"",(N(Items!K132)-$S132)/N(Items!K132)))</f>
        <v/>
      </c>
      <c r="V132" s="16">
        <f>IF(OR($T132="",$U132=""),"",$U132-$T132)</f>
        <v/>
      </c>
      <c r="W132" s="18">
        <f>IF($A132="","",N(Items!H132))</f>
        <v/>
      </c>
      <c r="X132" s="19">
        <f>IF($A132="","",$R132*$W132)</f>
        <v/>
      </c>
      <c r="Y132" s="19">
        <f>IF($A132="","",N(Items!K132)*$W132)</f>
        <v/>
      </c>
      <c r="Z132" s="19">
        <f>IF($A132="","",(N(Items!K132)-N(Items!J132))*$W132)</f>
        <v/>
      </c>
      <c r="AA132" s="19">
        <f>IF($A132="","",$Z132-$X132)</f>
        <v/>
      </c>
      <c r="AB132" s="10">
        <f>IF($A132="","",IF(TRIM(Items!C132&amp;"")="","CHECK: import country missing",IF(OR(LEN($C132)&lt;&gt;10,ISERROR(VALUE($C132))),"CHECK: HTS must be 10 digits",IF(LEN($E132)&lt;&gt;2,"CHECK: origin code missing or not 2 letters",IF(OR(Items!G132="",Items!I132="",Items!J132=""),"CHECK: value, rate or cost missing",IF(ISNUMBER(Items!G132)*ISNUMBER(Items!I132)*ISNUMBER(Items!J132)=0,"CHECK: text in a number column",IF(AND($L132="Y",UPPER(TRIM(act_RateType&amp;""))="REPLACE",$N132&lt;N(act_PriorRate)),"CHECK: current rate is below the rate being replaced",IF(AND($L132="Y",$W132=0),"NOTE: in scope, no volume","OK"))))))))</f>
        <v/>
      </c>
      <c r="AC132" s="20">
        <f>IF($A132="","",IF(AND($L132="Y",$X132&lt;&gt;0),ABS($X132)+ROW()/1000000000,""))</f>
        <v/>
      </c>
    </row>
    <row r="133">
      <c r="A133" s="10">
        <f>IF(TRIM(Items!A133&amp;"")="","",TRIM(Items!A133&amp;""))</f>
        <v/>
      </c>
      <c r="B133" s="10">
        <f>IF($A133="","",Items!B133&amp;"")</f>
        <v/>
      </c>
      <c r="C133" s="10">
        <f>IF($A133="","",SUBSTITUTE(SUBSTITUTE(SUBSTITUTE(TRIM(Items!D133&amp;""),".","")," ",""),"-",""))</f>
        <v/>
      </c>
      <c r="D133" s="10">
        <f>IF($A133="","",LEFT($C133,2))</f>
        <v/>
      </c>
      <c r="E133" s="10">
        <f>IF($A133="","",UPPER(TRIM(Items!E133&amp;"")))</f>
        <v/>
      </c>
      <c r="F133" s="10">
        <f>IF($A133="","",IF(UPPER(TRIM(Items!C133&amp;""))=UPPER(TRIM(act_Country&amp;"")),"Y","N"))</f>
        <v/>
      </c>
      <c r="G133" s="10">
        <f>IF($A133="","",IF(SUMPRODUCT((scope_HTS&lt;&gt;"")*(LEFT($C133,LEN(scope_HTS))=scope_HTS))&gt;0,"Y","N"))</f>
        <v/>
      </c>
      <c r="H133" s="10">
        <f>IF($A133="","",IF(SUMPRODUCT((excl_HTS&lt;&gt;"")*(LEFT($C133,LEN(excl_HTS))=excl_HTS))&gt;0,"Y","N"))</f>
        <v/>
      </c>
      <c r="I133" s="10">
        <f>IF($A133="","",IF($E133="","N",IF(COUNTIF(scope_COO,$E133)&gt;0,"Y","N")))</f>
        <v/>
      </c>
      <c r="J133" s="10">
        <f>IF($A133="","",IF(AND(UPPER(TRIM(act_USMCAExempt&amp;""))="Y",UPPER(TRIM(Items!F133&amp;""))="Y"),"Y","N"))</f>
        <v/>
      </c>
      <c r="K133" s="10">
        <f>IF($A133="","",IFERROR(UPPER(TRIM(INDEX(det_Status,MATCH($A133,det_Item,0))&amp;"")),""))</f>
        <v/>
      </c>
      <c r="L133" s="10">
        <f>IF($A133="","",IF($K133="IN","Y",IF($K133="OUT","N",IF(AND($F133="Y",$G133="Y",$H133="N",$I133="Y",$J133="N"),"Y","N"))))</f>
        <v/>
      </c>
      <c r="M133" s="10">
        <f>IF($A133="","",IF($K133="IN","In: Research determination",IF($K133="OUT","Out: Research determination",IF($F133="N","Out: different import country",IF($G133="N","Out: HTS not on scope list",IF($H133="Y","Out: HTS on exclusion list",IF($I133="N","Out: origin not on scope list",IF($J133="Y","Out: USMCA-qualifying, exempt","In: matches scope rules"))))))))</f>
        <v/>
      </c>
      <c r="N133" s="16">
        <f>IF($A133="","",N(Items!I133))</f>
        <v/>
      </c>
      <c r="O133" s="16">
        <f>IF($A133="","",IF($L133="Y",$N133+N(act_Rate)-IF(UPPER(TRIM(act_RateType&amp;""))="REPLACE",N(act_PriorRate),0),$N133))</f>
        <v/>
      </c>
      <c r="P133" s="17">
        <f>IF($A133="","",N(Items!G133)*$N133)</f>
        <v/>
      </c>
      <c r="Q133" s="17">
        <f>IF($A133="","",N(Items!G133)*$O133)</f>
        <v/>
      </c>
      <c r="R133" s="17">
        <f>IF($A133="","",$Q133-$P133)</f>
        <v/>
      </c>
      <c r="S133" s="17">
        <f>IF($A133="","",N(Items!J133)+$R133)</f>
        <v/>
      </c>
      <c r="T133" s="16">
        <f>IF($A133="","",IF(N(Items!K133)=0,"",(N(Items!K133)-N(Items!J133))/N(Items!K133)))</f>
        <v/>
      </c>
      <c r="U133" s="16">
        <f>IF($A133="","",IF(N(Items!K133)=0,"",(N(Items!K133)-$S133)/N(Items!K133)))</f>
        <v/>
      </c>
      <c r="V133" s="16">
        <f>IF(OR($T133="",$U133=""),"",$U133-$T133)</f>
        <v/>
      </c>
      <c r="W133" s="18">
        <f>IF($A133="","",N(Items!H133))</f>
        <v/>
      </c>
      <c r="X133" s="19">
        <f>IF($A133="","",$R133*$W133)</f>
        <v/>
      </c>
      <c r="Y133" s="19">
        <f>IF($A133="","",N(Items!K133)*$W133)</f>
        <v/>
      </c>
      <c r="Z133" s="19">
        <f>IF($A133="","",(N(Items!K133)-N(Items!J133))*$W133)</f>
        <v/>
      </c>
      <c r="AA133" s="19">
        <f>IF($A133="","",$Z133-$X133)</f>
        <v/>
      </c>
      <c r="AB133" s="10">
        <f>IF($A133="","",IF(TRIM(Items!C133&amp;"")="","CHECK: import country missing",IF(OR(LEN($C133)&lt;&gt;10,ISERROR(VALUE($C133))),"CHECK: HTS must be 10 digits",IF(LEN($E133)&lt;&gt;2,"CHECK: origin code missing or not 2 letters",IF(OR(Items!G133="",Items!I133="",Items!J133=""),"CHECK: value, rate or cost missing",IF(ISNUMBER(Items!G133)*ISNUMBER(Items!I133)*ISNUMBER(Items!J133)=0,"CHECK: text in a number column",IF(AND($L133="Y",UPPER(TRIM(act_RateType&amp;""))="REPLACE",$N133&lt;N(act_PriorRate)),"CHECK: current rate is below the rate being replaced",IF(AND($L133="Y",$W133=0),"NOTE: in scope, no volume","OK"))))))))</f>
        <v/>
      </c>
      <c r="AC133" s="20">
        <f>IF($A133="","",IF(AND($L133="Y",$X133&lt;&gt;0),ABS($X133)+ROW()/1000000000,""))</f>
        <v/>
      </c>
    </row>
    <row r="134">
      <c r="A134" s="10">
        <f>IF(TRIM(Items!A134&amp;"")="","",TRIM(Items!A134&amp;""))</f>
        <v/>
      </c>
      <c r="B134" s="10">
        <f>IF($A134="","",Items!B134&amp;"")</f>
        <v/>
      </c>
      <c r="C134" s="10">
        <f>IF($A134="","",SUBSTITUTE(SUBSTITUTE(SUBSTITUTE(TRIM(Items!D134&amp;""),".","")," ",""),"-",""))</f>
        <v/>
      </c>
      <c r="D134" s="10">
        <f>IF($A134="","",LEFT($C134,2))</f>
        <v/>
      </c>
      <c r="E134" s="10">
        <f>IF($A134="","",UPPER(TRIM(Items!E134&amp;"")))</f>
        <v/>
      </c>
      <c r="F134" s="10">
        <f>IF($A134="","",IF(UPPER(TRIM(Items!C134&amp;""))=UPPER(TRIM(act_Country&amp;"")),"Y","N"))</f>
        <v/>
      </c>
      <c r="G134" s="10">
        <f>IF($A134="","",IF(SUMPRODUCT((scope_HTS&lt;&gt;"")*(LEFT($C134,LEN(scope_HTS))=scope_HTS))&gt;0,"Y","N"))</f>
        <v/>
      </c>
      <c r="H134" s="10">
        <f>IF($A134="","",IF(SUMPRODUCT((excl_HTS&lt;&gt;"")*(LEFT($C134,LEN(excl_HTS))=excl_HTS))&gt;0,"Y","N"))</f>
        <v/>
      </c>
      <c r="I134" s="10">
        <f>IF($A134="","",IF($E134="","N",IF(COUNTIF(scope_COO,$E134)&gt;0,"Y","N")))</f>
        <v/>
      </c>
      <c r="J134" s="10">
        <f>IF($A134="","",IF(AND(UPPER(TRIM(act_USMCAExempt&amp;""))="Y",UPPER(TRIM(Items!F134&amp;""))="Y"),"Y","N"))</f>
        <v/>
      </c>
      <c r="K134" s="10">
        <f>IF($A134="","",IFERROR(UPPER(TRIM(INDEX(det_Status,MATCH($A134,det_Item,0))&amp;"")),""))</f>
        <v/>
      </c>
      <c r="L134" s="10">
        <f>IF($A134="","",IF($K134="IN","Y",IF($K134="OUT","N",IF(AND($F134="Y",$G134="Y",$H134="N",$I134="Y",$J134="N"),"Y","N"))))</f>
        <v/>
      </c>
      <c r="M134" s="10">
        <f>IF($A134="","",IF($K134="IN","In: Research determination",IF($K134="OUT","Out: Research determination",IF($F134="N","Out: different import country",IF($G134="N","Out: HTS not on scope list",IF($H134="Y","Out: HTS on exclusion list",IF($I134="N","Out: origin not on scope list",IF($J134="Y","Out: USMCA-qualifying, exempt","In: matches scope rules"))))))))</f>
        <v/>
      </c>
      <c r="N134" s="16">
        <f>IF($A134="","",N(Items!I134))</f>
        <v/>
      </c>
      <c r="O134" s="16">
        <f>IF($A134="","",IF($L134="Y",$N134+N(act_Rate)-IF(UPPER(TRIM(act_RateType&amp;""))="REPLACE",N(act_PriorRate),0),$N134))</f>
        <v/>
      </c>
      <c r="P134" s="17">
        <f>IF($A134="","",N(Items!G134)*$N134)</f>
        <v/>
      </c>
      <c r="Q134" s="17">
        <f>IF($A134="","",N(Items!G134)*$O134)</f>
        <v/>
      </c>
      <c r="R134" s="17">
        <f>IF($A134="","",$Q134-$P134)</f>
        <v/>
      </c>
      <c r="S134" s="17">
        <f>IF($A134="","",N(Items!J134)+$R134)</f>
        <v/>
      </c>
      <c r="T134" s="16">
        <f>IF($A134="","",IF(N(Items!K134)=0,"",(N(Items!K134)-N(Items!J134))/N(Items!K134)))</f>
        <v/>
      </c>
      <c r="U134" s="16">
        <f>IF($A134="","",IF(N(Items!K134)=0,"",(N(Items!K134)-$S134)/N(Items!K134)))</f>
        <v/>
      </c>
      <c r="V134" s="16">
        <f>IF(OR($T134="",$U134=""),"",$U134-$T134)</f>
        <v/>
      </c>
      <c r="W134" s="18">
        <f>IF($A134="","",N(Items!H134))</f>
        <v/>
      </c>
      <c r="X134" s="19">
        <f>IF($A134="","",$R134*$W134)</f>
        <v/>
      </c>
      <c r="Y134" s="19">
        <f>IF($A134="","",N(Items!K134)*$W134)</f>
        <v/>
      </c>
      <c r="Z134" s="19">
        <f>IF($A134="","",(N(Items!K134)-N(Items!J134))*$W134)</f>
        <v/>
      </c>
      <c r="AA134" s="19">
        <f>IF($A134="","",$Z134-$X134)</f>
        <v/>
      </c>
      <c r="AB134" s="10">
        <f>IF($A134="","",IF(TRIM(Items!C134&amp;"")="","CHECK: import country missing",IF(OR(LEN($C134)&lt;&gt;10,ISERROR(VALUE($C134))),"CHECK: HTS must be 10 digits",IF(LEN($E134)&lt;&gt;2,"CHECK: origin code missing or not 2 letters",IF(OR(Items!G134="",Items!I134="",Items!J134=""),"CHECK: value, rate or cost missing",IF(ISNUMBER(Items!G134)*ISNUMBER(Items!I134)*ISNUMBER(Items!J134)=0,"CHECK: text in a number column",IF(AND($L134="Y",UPPER(TRIM(act_RateType&amp;""))="REPLACE",$N134&lt;N(act_PriorRate)),"CHECK: current rate is below the rate being replaced",IF(AND($L134="Y",$W134=0),"NOTE: in scope, no volume","OK"))))))))</f>
        <v/>
      </c>
      <c r="AC134" s="20">
        <f>IF($A134="","",IF(AND($L134="Y",$X134&lt;&gt;0),ABS($X134)+ROW()/1000000000,""))</f>
        <v/>
      </c>
    </row>
    <row r="135">
      <c r="A135" s="10">
        <f>IF(TRIM(Items!A135&amp;"")="","",TRIM(Items!A135&amp;""))</f>
        <v/>
      </c>
      <c r="B135" s="10">
        <f>IF($A135="","",Items!B135&amp;"")</f>
        <v/>
      </c>
      <c r="C135" s="10">
        <f>IF($A135="","",SUBSTITUTE(SUBSTITUTE(SUBSTITUTE(TRIM(Items!D135&amp;""),".","")," ",""),"-",""))</f>
        <v/>
      </c>
      <c r="D135" s="10">
        <f>IF($A135="","",LEFT($C135,2))</f>
        <v/>
      </c>
      <c r="E135" s="10">
        <f>IF($A135="","",UPPER(TRIM(Items!E135&amp;"")))</f>
        <v/>
      </c>
      <c r="F135" s="10">
        <f>IF($A135="","",IF(UPPER(TRIM(Items!C135&amp;""))=UPPER(TRIM(act_Country&amp;"")),"Y","N"))</f>
        <v/>
      </c>
      <c r="G135" s="10">
        <f>IF($A135="","",IF(SUMPRODUCT((scope_HTS&lt;&gt;"")*(LEFT($C135,LEN(scope_HTS))=scope_HTS))&gt;0,"Y","N"))</f>
        <v/>
      </c>
      <c r="H135" s="10">
        <f>IF($A135="","",IF(SUMPRODUCT((excl_HTS&lt;&gt;"")*(LEFT($C135,LEN(excl_HTS))=excl_HTS))&gt;0,"Y","N"))</f>
        <v/>
      </c>
      <c r="I135" s="10">
        <f>IF($A135="","",IF($E135="","N",IF(COUNTIF(scope_COO,$E135)&gt;0,"Y","N")))</f>
        <v/>
      </c>
      <c r="J135" s="10">
        <f>IF($A135="","",IF(AND(UPPER(TRIM(act_USMCAExempt&amp;""))="Y",UPPER(TRIM(Items!F135&amp;""))="Y"),"Y","N"))</f>
        <v/>
      </c>
      <c r="K135" s="10">
        <f>IF($A135="","",IFERROR(UPPER(TRIM(INDEX(det_Status,MATCH($A135,det_Item,0))&amp;"")),""))</f>
        <v/>
      </c>
      <c r="L135" s="10">
        <f>IF($A135="","",IF($K135="IN","Y",IF($K135="OUT","N",IF(AND($F135="Y",$G135="Y",$H135="N",$I135="Y",$J135="N"),"Y","N"))))</f>
        <v/>
      </c>
      <c r="M135" s="10">
        <f>IF($A135="","",IF($K135="IN","In: Research determination",IF($K135="OUT","Out: Research determination",IF($F135="N","Out: different import country",IF($G135="N","Out: HTS not on scope list",IF($H135="Y","Out: HTS on exclusion list",IF($I135="N","Out: origin not on scope list",IF($J135="Y","Out: USMCA-qualifying, exempt","In: matches scope rules"))))))))</f>
        <v/>
      </c>
      <c r="N135" s="16">
        <f>IF($A135="","",N(Items!I135))</f>
        <v/>
      </c>
      <c r="O135" s="16">
        <f>IF($A135="","",IF($L135="Y",$N135+N(act_Rate)-IF(UPPER(TRIM(act_RateType&amp;""))="REPLACE",N(act_PriorRate),0),$N135))</f>
        <v/>
      </c>
      <c r="P135" s="17">
        <f>IF($A135="","",N(Items!G135)*$N135)</f>
        <v/>
      </c>
      <c r="Q135" s="17">
        <f>IF($A135="","",N(Items!G135)*$O135)</f>
        <v/>
      </c>
      <c r="R135" s="17">
        <f>IF($A135="","",$Q135-$P135)</f>
        <v/>
      </c>
      <c r="S135" s="17">
        <f>IF($A135="","",N(Items!J135)+$R135)</f>
        <v/>
      </c>
      <c r="T135" s="16">
        <f>IF($A135="","",IF(N(Items!K135)=0,"",(N(Items!K135)-N(Items!J135))/N(Items!K135)))</f>
        <v/>
      </c>
      <c r="U135" s="16">
        <f>IF($A135="","",IF(N(Items!K135)=0,"",(N(Items!K135)-$S135)/N(Items!K135)))</f>
        <v/>
      </c>
      <c r="V135" s="16">
        <f>IF(OR($T135="",$U135=""),"",$U135-$T135)</f>
        <v/>
      </c>
      <c r="W135" s="18">
        <f>IF($A135="","",N(Items!H135))</f>
        <v/>
      </c>
      <c r="X135" s="19">
        <f>IF($A135="","",$R135*$W135)</f>
        <v/>
      </c>
      <c r="Y135" s="19">
        <f>IF($A135="","",N(Items!K135)*$W135)</f>
        <v/>
      </c>
      <c r="Z135" s="19">
        <f>IF($A135="","",(N(Items!K135)-N(Items!J135))*$W135)</f>
        <v/>
      </c>
      <c r="AA135" s="19">
        <f>IF($A135="","",$Z135-$X135)</f>
        <v/>
      </c>
      <c r="AB135" s="10">
        <f>IF($A135="","",IF(TRIM(Items!C135&amp;"")="","CHECK: import country missing",IF(OR(LEN($C135)&lt;&gt;10,ISERROR(VALUE($C135))),"CHECK: HTS must be 10 digits",IF(LEN($E135)&lt;&gt;2,"CHECK: origin code missing or not 2 letters",IF(OR(Items!G135="",Items!I135="",Items!J135=""),"CHECK: value, rate or cost missing",IF(ISNUMBER(Items!G135)*ISNUMBER(Items!I135)*ISNUMBER(Items!J135)=0,"CHECK: text in a number column",IF(AND($L135="Y",UPPER(TRIM(act_RateType&amp;""))="REPLACE",$N135&lt;N(act_PriorRate)),"CHECK: current rate is below the rate being replaced",IF(AND($L135="Y",$W135=0),"NOTE: in scope, no volume","OK"))))))))</f>
        <v/>
      </c>
      <c r="AC135" s="20">
        <f>IF($A135="","",IF(AND($L135="Y",$X135&lt;&gt;0),ABS($X135)+ROW()/1000000000,""))</f>
        <v/>
      </c>
    </row>
    <row r="136">
      <c r="A136" s="10">
        <f>IF(TRIM(Items!A136&amp;"")="","",TRIM(Items!A136&amp;""))</f>
        <v/>
      </c>
      <c r="B136" s="10">
        <f>IF($A136="","",Items!B136&amp;"")</f>
        <v/>
      </c>
      <c r="C136" s="10">
        <f>IF($A136="","",SUBSTITUTE(SUBSTITUTE(SUBSTITUTE(TRIM(Items!D136&amp;""),".","")," ",""),"-",""))</f>
        <v/>
      </c>
      <c r="D136" s="10">
        <f>IF($A136="","",LEFT($C136,2))</f>
        <v/>
      </c>
      <c r="E136" s="10">
        <f>IF($A136="","",UPPER(TRIM(Items!E136&amp;"")))</f>
        <v/>
      </c>
      <c r="F136" s="10">
        <f>IF($A136="","",IF(UPPER(TRIM(Items!C136&amp;""))=UPPER(TRIM(act_Country&amp;"")),"Y","N"))</f>
        <v/>
      </c>
      <c r="G136" s="10">
        <f>IF($A136="","",IF(SUMPRODUCT((scope_HTS&lt;&gt;"")*(LEFT($C136,LEN(scope_HTS))=scope_HTS))&gt;0,"Y","N"))</f>
        <v/>
      </c>
      <c r="H136" s="10">
        <f>IF($A136="","",IF(SUMPRODUCT((excl_HTS&lt;&gt;"")*(LEFT($C136,LEN(excl_HTS))=excl_HTS))&gt;0,"Y","N"))</f>
        <v/>
      </c>
      <c r="I136" s="10">
        <f>IF($A136="","",IF($E136="","N",IF(COUNTIF(scope_COO,$E136)&gt;0,"Y","N")))</f>
        <v/>
      </c>
      <c r="J136" s="10">
        <f>IF($A136="","",IF(AND(UPPER(TRIM(act_USMCAExempt&amp;""))="Y",UPPER(TRIM(Items!F136&amp;""))="Y"),"Y","N"))</f>
        <v/>
      </c>
      <c r="K136" s="10">
        <f>IF($A136="","",IFERROR(UPPER(TRIM(INDEX(det_Status,MATCH($A136,det_Item,0))&amp;"")),""))</f>
        <v/>
      </c>
      <c r="L136" s="10">
        <f>IF($A136="","",IF($K136="IN","Y",IF($K136="OUT","N",IF(AND($F136="Y",$G136="Y",$H136="N",$I136="Y",$J136="N"),"Y","N"))))</f>
        <v/>
      </c>
      <c r="M136" s="10">
        <f>IF($A136="","",IF($K136="IN","In: Research determination",IF($K136="OUT","Out: Research determination",IF($F136="N","Out: different import country",IF($G136="N","Out: HTS not on scope list",IF($H136="Y","Out: HTS on exclusion list",IF($I136="N","Out: origin not on scope list",IF($J136="Y","Out: USMCA-qualifying, exempt","In: matches scope rules"))))))))</f>
        <v/>
      </c>
      <c r="N136" s="16">
        <f>IF($A136="","",N(Items!I136))</f>
        <v/>
      </c>
      <c r="O136" s="16">
        <f>IF($A136="","",IF($L136="Y",$N136+N(act_Rate)-IF(UPPER(TRIM(act_RateType&amp;""))="REPLACE",N(act_PriorRate),0),$N136))</f>
        <v/>
      </c>
      <c r="P136" s="17">
        <f>IF($A136="","",N(Items!G136)*$N136)</f>
        <v/>
      </c>
      <c r="Q136" s="17">
        <f>IF($A136="","",N(Items!G136)*$O136)</f>
        <v/>
      </c>
      <c r="R136" s="17">
        <f>IF($A136="","",$Q136-$P136)</f>
        <v/>
      </c>
      <c r="S136" s="17">
        <f>IF($A136="","",N(Items!J136)+$R136)</f>
        <v/>
      </c>
      <c r="T136" s="16">
        <f>IF($A136="","",IF(N(Items!K136)=0,"",(N(Items!K136)-N(Items!J136))/N(Items!K136)))</f>
        <v/>
      </c>
      <c r="U136" s="16">
        <f>IF($A136="","",IF(N(Items!K136)=0,"",(N(Items!K136)-$S136)/N(Items!K136)))</f>
        <v/>
      </c>
      <c r="V136" s="16">
        <f>IF(OR($T136="",$U136=""),"",$U136-$T136)</f>
        <v/>
      </c>
      <c r="W136" s="18">
        <f>IF($A136="","",N(Items!H136))</f>
        <v/>
      </c>
      <c r="X136" s="19">
        <f>IF($A136="","",$R136*$W136)</f>
        <v/>
      </c>
      <c r="Y136" s="19">
        <f>IF($A136="","",N(Items!K136)*$W136)</f>
        <v/>
      </c>
      <c r="Z136" s="19">
        <f>IF($A136="","",(N(Items!K136)-N(Items!J136))*$W136)</f>
        <v/>
      </c>
      <c r="AA136" s="19">
        <f>IF($A136="","",$Z136-$X136)</f>
        <v/>
      </c>
      <c r="AB136" s="10">
        <f>IF($A136="","",IF(TRIM(Items!C136&amp;"")="","CHECK: import country missing",IF(OR(LEN($C136)&lt;&gt;10,ISERROR(VALUE($C136))),"CHECK: HTS must be 10 digits",IF(LEN($E136)&lt;&gt;2,"CHECK: origin code missing or not 2 letters",IF(OR(Items!G136="",Items!I136="",Items!J136=""),"CHECK: value, rate or cost missing",IF(ISNUMBER(Items!G136)*ISNUMBER(Items!I136)*ISNUMBER(Items!J136)=0,"CHECK: text in a number column",IF(AND($L136="Y",UPPER(TRIM(act_RateType&amp;""))="REPLACE",$N136&lt;N(act_PriorRate)),"CHECK: current rate is below the rate being replaced",IF(AND($L136="Y",$W136=0),"NOTE: in scope, no volume","OK"))))))))</f>
        <v/>
      </c>
      <c r="AC136" s="20">
        <f>IF($A136="","",IF(AND($L136="Y",$X136&lt;&gt;0),ABS($X136)+ROW()/1000000000,""))</f>
        <v/>
      </c>
    </row>
    <row r="137">
      <c r="A137" s="10">
        <f>IF(TRIM(Items!A137&amp;"")="","",TRIM(Items!A137&amp;""))</f>
        <v/>
      </c>
      <c r="B137" s="10">
        <f>IF($A137="","",Items!B137&amp;"")</f>
        <v/>
      </c>
      <c r="C137" s="10">
        <f>IF($A137="","",SUBSTITUTE(SUBSTITUTE(SUBSTITUTE(TRIM(Items!D137&amp;""),".","")," ",""),"-",""))</f>
        <v/>
      </c>
      <c r="D137" s="10">
        <f>IF($A137="","",LEFT($C137,2))</f>
        <v/>
      </c>
      <c r="E137" s="10">
        <f>IF($A137="","",UPPER(TRIM(Items!E137&amp;"")))</f>
        <v/>
      </c>
      <c r="F137" s="10">
        <f>IF($A137="","",IF(UPPER(TRIM(Items!C137&amp;""))=UPPER(TRIM(act_Country&amp;"")),"Y","N"))</f>
        <v/>
      </c>
      <c r="G137" s="10">
        <f>IF($A137="","",IF(SUMPRODUCT((scope_HTS&lt;&gt;"")*(LEFT($C137,LEN(scope_HTS))=scope_HTS))&gt;0,"Y","N"))</f>
        <v/>
      </c>
      <c r="H137" s="10">
        <f>IF($A137="","",IF(SUMPRODUCT((excl_HTS&lt;&gt;"")*(LEFT($C137,LEN(excl_HTS))=excl_HTS))&gt;0,"Y","N"))</f>
        <v/>
      </c>
      <c r="I137" s="10">
        <f>IF($A137="","",IF($E137="","N",IF(COUNTIF(scope_COO,$E137)&gt;0,"Y","N")))</f>
        <v/>
      </c>
      <c r="J137" s="10">
        <f>IF($A137="","",IF(AND(UPPER(TRIM(act_USMCAExempt&amp;""))="Y",UPPER(TRIM(Items!F137&amp;""))="Y"),"Y","N"))</f>
        <v/>
      </c>
      <c r="K137" s="10">
        <f>IF($A137="","",IFERROR(UPPER(TRIM(INDEX(det_Status,MATCH($A137,det_Item,0))&amp;"")),""))</f>
        <v/>
      </c>
      <c r="L137" s="10">
        <f>IF($A137="","",IF($K137="IN","Y",IF($K137="OUT","N",IF(AND($F137="Y",$G137="Y",$H137="N",$I137="Y",$J137="N"),"Y","N"))))</f>
        <v/>
      </c>
      <c r="M137" s="10">
        <f>IF($A137="","",IF($K137="IN","In: Research determination",IF($K137="OUT","Out: Research determination",IF($F137="N","Out: different import country",IF($G137="N","Out: HTS not on scope list",IF($H137="Y","Out: HTS on exclusion list",IF($I137="N","Out: origin not on scope list",IF($J137="Y","Out: USMCA-qualifying, exempt","In: matches scope rules"))))))))</f>
        <v/>
      </c>
      <c r="N137" s="16">
        <f>IF($A137="","",N(Items!I137))</f>
        <v/>
      </c>
      <c r="O137" s="16">
        <f>IF($A137="","",IF($L137="Y",$N137+N(act_Rate)-IF(UPPER(TRIM(act_RateType&amp;""))="REPLACE",N(act_PriorRate),0),$N137))</f>
        <v/>
      </c>
      <c r="P137" s="17">
        <f>IF($A137="","",N(Items!G137)*$N137)</f>
        <v/>
      </c>
      <c r="Q137" s="17">
        <f>IF($A137="","",N(Items!G137)*$O137)</f>
        <v/>
      </c>
      <c r="R137" s="17">
        <f>IF($A137="","",$Q137-$P137)</f>
        <v/>
      </c>
      <c r="S137" s="17">
        <f>IF($A137="","",N(Items!J137)+$R137)</f>
        <v/>
      </c>
      <c r="T137" s="16">
        <f>IF($A137="","",IF(N(Items!K137)=0,"",(N(Items!K137)-N(Items!J137))/N(Items!K137)))</f>
        <v/>
      </c>
      <c r="U137" s="16">
        <f>IF($A137="","",IF(N(Items!K137)=0,"",(N(Items!K137)-$S137)/N(Items!K137)))</f>
        <v/>
      </c>
      <c r="V137" s="16">
        <f>IF(OR($T137="",$U137=""),"",$U137-$T137)</f>
        <v/>
      </c>
      <c r="W137" s="18">
        <f>IF($A137="","",N(Items!H137))</f>
        <v/>
      </c>
      <c r="X137" s="19">
        <f>IF($A137="","",$R137*$W137)</f>
        <v/>
      </c>
      <c r="Y137" s="19">
        <f>IF($A137="","",N(Items!K137)*$W137)</f>
        <v/>
      </c>
      <c r="Z137" s="19">
        <f>IF($A137="","",(N(Items!K137)-N(Items!J137))*$W137)</f>
        <v/>
      </c>
      <c r="AA137" s="19">
        <f>IF($A137="","",$Z137-$X137)</f>
        <v/>
      </c>
      <c r="AB137" s="10">
        <f>IF($A137="","",IF(TRIM(Items!C137&amp;"")="","CHECK: import country missing",IF(OR(LEN($C137)&lt;&gt;10,ISERROR(VALUE($C137))),"CHECK: HTS must be 10 digits",IF(LEN($E137)&lt;&gt;2,"CHECK: origin code missing or not 2 letters",IF(OR(Items!G137="",Items!I137="",Items!J137=""),"CHECK: value, rate or cost missing",IF(ISNUMBER(Items!G137)*ISNUMBER(Items!I137)*ISNUMBER(Items!J137)=0,"CHECK: text in a number column",IF(AND($L137="Y",UPPER(TRIM(act_RateType&amp;""))="REPLACE",$N137&lt;N(act_PriorRate)),"CHECK: current rate is below the rate being replaced",IF(AND($L137="Y",$W137=0),"NOTE: in scope, no volume","OK"))))))))</f>
        <v/>
      </c>
      <c r="AC137" s="20">
        <f>IF($A137="","",IF(AND($L137="Y",$X137&lt;&gt;0),ABS($X137)+ROW()/1000000000,""))</f>
        <v/>
      </c>
    </row>
    <row r="138">
      <c r="A138" s="10">
        <f>IF(TRIM(Items!A138&amp;"")="","",TRIM(Items!A138&amp;""))</f>
        <v/>
      </c>
      <c r="B138" s="10">
        <f>IF($A138="","",Items!B138&amp;"")</f>
        <v/>
      </c>
      <c r="C138" s="10">
        <f>IF($A138="","",SUBSTITUTE(SUBSTITUTE(SUBSTITUTE(TRIM(Items!D138&amp;""),".","")," ",""),"-",""))</f>
        <v/>
      </c>
      <c r="D138" s="10">
        <f>IF($A138="","",LEFT($C138,2))</f>
        <v/>
      </c>
      <c r="E138" s="10">
        <f>IF($A138="","",UPPER(TRIM(Items!E138&amp;"")))</f>
        <v/>
      </c>
      <c r="F138" s="10">
        <f>IF($A138="","",IF(UPPER(TRIM(Items!C138&amp;""))=UPPER(TRIM(act_Country&amp;"")),"Y","N"))</f>
        <v/>
      </c>
      <c r="G138" s="10">
        <f>IF($A138="","",IF(SUMPRODUCT((scope_HTS&lt;&gt;"")*(LEFT($C138,LEN(scope_HTS))=scope_HTS))&gt;0,"Y","N"))</f>
        <v/>
      </c>
      <c r="H138" s="10">
        <f>IF($A138="","",IF(SUMPRODUCT((excl_HTS&lt;&gt;"")*(LEFT($C138,LEN(excl_HTS))=excl_HTS))&gt;0,"Y","N"))</f>
        <v/>
      </c>
      <c r="I138" s="10">
        <f>IF($A138="","",IF($E138="","N",IF(COUNTIF(scope_COO,$E138)&gt;0,"Y","N")))</f>
        <v/>
      </c>
      <c r="J138" s="10">
        <f>IF($A138="","",IF(AND(UPPER(TRIM(act_USMCAExempt&amp;""))="Y",UPPER(TRIM(Items!F138&amp;""))="Y"),"Y","N"))</f>
        <v/>
      </c>
      <c r="K138" s="10">
        <f>IF($A138="","",IFERROR(UPPER(TRIM(INDEX(det_Status,MATCH($A138,det_Item,0))&amp;"")),""))</f>
        <v/>
      </c>
      <c r="L138" s="10">
        <f>IF($A138="","",IF($K138="IN","Y",IF($K138="OUT","N",IF(AND($F138="Y",$G138="Y",$H138="N",$I138="Y",$J138="N"),"Y","N"))))</f>
        <v/>
      </c>
      <c r="M138" s="10">
        <f>IF($A138="","",IF($K138="IN","In: Research determination",IF($K138="OUT","Out: Research determination",IF($F138="N","Out: different import country",IF($G138="N","Out: HTS not on scope list",IF($H138="Y","Out: HTS on exclusion list",IF($I138="N","Out: origin not on scope list",IF($J138="Y","Out: USMCA-qualifying, exempt","In: matches scope rules"))))))))</f>
        <v/>
      </c>
      <c r="N138" s="16">
        <f>IF($A138="","",N(Items!I138))</f>
        <v/>
      </c>
      <c r="O138" s="16">
        <f>IF($A138="","",IF($L138="Y",$N138+N(act_Rate)-IF(UPPER(TRIM(act_RateType&amp;""))="REPLACE",N(act_PriorRate),0),$N138))</f>
        <v/>
      </c>
      <c r="P138" s="17">
        <f>IF($A138="","",N(Items!G138)*$N138)</f>
        <v/>
      </c>
      <c r="Q138" s="17">
        <f>IF($A138="","",N(Items!G138)*$O138)</f>
        <v/>
      </c>
      <c r="R138" s="17">
        <f>IF($A138="","",$Q138-$P138)</f>
        <v/>
      </c>
      <c r="S138" s="17">
        <f>IF($A138="","",N(Items!J138)+$R138)</f>
        <v/>
      </c>
      <c r="T138" s="16">
        <f>IF($A138="","",IF(N(Items!K138)=0,"",(N(Items!K138)-N(Items!J138))/N(Items!K138)))</f>
        <v/>
      </c>
      <c r="U138" s="16">
        <f>IF($A138="","",IF(N(Items!K138)=0,"",(N(Items!K138)-$S138)/N(Items!K138)))</f>
        <v/>
      </c>
      <c r="V138" s="16">
        <f>IF(OR($T138="",$U138=""),"",$U138-$T138)</f>
        <v/>
      </c>
      <c r="W138" s="18">
        <f>IF($A138="","",N(Items!H138))</f>
        <v/>
      </c>
      <c r="X138" s="19">
        <f>IF($A138="","",$R138*$W138)</f>
        <v/>
      </c>
      <c r="Y138" s="19">
        <f>IF($A138="","",N(Items!K138)*$W138)</f>
        <v/>
      </c>
      <c r="Z138" s="19">
        <f>IF($A138="","",(N(Items!K138)-N(Items!J138))*$W138)</f>
        <v/>
      </c>
      <c r="AA138" s="19">
        <f>IF($A138="","",$Z138-$X138)</f>
        <v/>
      </c>
      <c r="AB138" s="10">
        <f>IF($A138="","",IF(TRIM(Items!C138&amp;"")="","CHECK: import country missing",IF(OR(LEN($C138)&lt;&gt;10,ISERROR(VALUE($C138))),"CHECK: HTS must be 10 digits",IF(LEN($E138)&lt;&gt;2,"CHECK: origin code missing or not 2 letters",IF(OR(Items!G138="",Items!I138="",Items!J138=""),"CHECK: value, rate or cost missing",IF(ISNUMBER(Items!G138)*ISNUMBER(Items!I138)*ISNUMBER(Items!J138)=0,"CHECK: text in a number column",IF(AND($L138="Y",UPPER(TRIM(act_RateType&amp;""))="REPLACE",$N138&lt;N(act_PriorRate)),"CHECK: current rate is below the rate being replaced",IF(AND($L138="Y",$W138=0),"NOTE: in scope, no volume","OK"))))))))</f>
        <v/>
      </c>
      <c r="AC138" s="20">
        <f>IF($A138="","",IF(AND($L138="Y",$X138&lt;&gt;0),ABS($X138)+ROW()/1000000000,""))</f>
        <v/>
      </c>
    </row>
    <row r="139">
      <c r="A139" s="10">
        <f>IF(TRIM(Items!A139&amp;"")="","",TRIM(Items!A139&amp;""))</f>
        <v/>
      </c>
      <c r="B139" s="10">
        <f>IF($A139="","",Items!B139&amp;"")</f>
        <v/>
      </c>
      <c r="C139" s="10">
        <f>IF($A139="","",SUBSTITUTE(SUBSTITUTE(SUBSTITUTE(TRIM(Items!D139&amp;""),".","")," ",""),"-",""))</f>
        <v/>
      </c>
      <c r="D139" s="10">
        <f>IF($A139="","",LEFT($C139,2))</f>
        <v/>
      </c>
      <c r="E139" s="10">
        <f>IF($A139="","",UPPER(TRIM(Items!E139&amp;"")))</f>
        <v/>
      </c>
      <c r="F139" s="10">
        <f>IF($A139="","",IF(UPPER(TRIM(Items!C139&amp;""))=UPPER(TRIM(act_Country&amp;"")),"Y","N"))</f>
        <v/>
      </c>
      <c r="G139" s="10">
        <f>IF($A139="","",IF(SUMPRODUCT((scope_HTS&lt;&gt;"")*(LEFT($C139,LEN(scope_HTS))=scope_HTS))&gt;0,"Y","N"))</f>
        <v/>
      </c>
      <c r="H139" s="10">
        <f>IF($A139="","",IF(SUMPRODUCT((excl_HTS&lt;&gt;"")*(LEFT($C139,LEN(excl_HTS))=excl_HTS))&gt;0,"Y","N"))</f>
        <v/>
      </c>
      <c r="I139" s="10">
        <f>IF($A139="","",IF($E139="","N",IF(COUNTIF(scope_COO,$E139)&gt;0,"Y","N")))</f>
        <v/>
      </c>
      <c r="J139" s="10">
        <f>IF($A139="","",IF(AND(UPPER(TRIM(act_USMCAExempt&amp;""))="Y",UPPER(TRIM(Items!F139&amp;""))="Y"),"Y","N"))</f>
        <v/>
      </c>
      <c r="K139" s="10">
        <f>IF($A139="","",IFERROR(UPPER(TRIM(INDEX(det_Status,MATCH($A139,det_Item,0))&amp;"")),""))</f>
        <v/>
      </c>
      <c r="L139" s="10">
        <f>IF($A139="","",IF($K139="IN","Y",IF($K139="OUT","N",IF(AND($F139="Y",$G139="Y",$H139="N",$I139="Y",$J139="N"),"Y","N"))))</f>
        <v/>
      </c>
      <c r="M139" s="10">
        <f>IF($A139="","",IF($K139="IN","In: Research determination",IF($K139="OUT","Out: Research determination",IF($F139="N","Out: different import country",IF($G139="N","Out: HTS not on scope list",IF($H139="Y","Out: HTS on exclusion list",IF($I139="N","Out: origin not on scope list",IF($J139="Y","Out: USMCA-qualifying, exempt","In: matches scope rules"))))))))</f>
        <v/>
      </c>
      <c r="N139" s="16">
        <f>IF($A139="","",N(Items!I139))</f>
        <v/>
      </c>
      <c r="O139" s="16">
        <f>IF($A139="","",IF($L139="Y",$N139+N(act_Rate)-IF(UPPER(TRIM(act_RateType&amp;""))="REPLACE",N(act_PriorRate),0),$N139))</f>
        <v/>
      </c>
      <c r="P139" s="17">
        <f>IF($A139="","",N(Items!G139)*$N139)</f>
        <v/>
      </c>
      <c r="Q139" s="17">
        <f>IF($A139="","",N(Items!G139)*$O139)</f>
        <v/>
      </c>
      <c r="R139" s="17">
        <f>IF($A139="","",$Q139-$P139)</f>
        <v/>
      </c>
      <c r="S139" s="17">
        <f>IF($A139="","",N(Items!J139)+$R139)</f>
        <v/>
      </c>
      <c r="T139" s="16">
        <f>IF($A139="","",IF(N(Items!K139)=0,"",(N(Items!K139)-N(Items!J139))/N(Items!K139)))</f>
        <v/>
      </c>
      <c r="U139" s="16">
        <f>IF($A139="","",IF(N(Items!K139)=0,"",(N(Items!K139)-$S139)/N(Items!K139)))</f>
        <v/>
      </c>
      <c r="V139" s="16">
        <f>IF(OR($T139="",$U139=""),"",$U139-$T139)</f>
        <v/>
      </c>
      <c r="W139" s="18">
        <f>IF($A139="","",N(Items!H139))</f>
        <v/>
      </c>
      <c r="X139" s="19">
        <f>IF($A139="","",$R139*$W139)</f>
        <v/>
      </c>
      <c r="Y139" s="19">
        <f>IF($A139="","",N(Items!K139)*$W139)</f>
        <v/>
      </c>
      <c r="Z139" s="19">
        <f>IF($A139="","",(N(Items!K139)-N(Items!J139))*$W139)</f>
        <v/>
      </c>
      <c r="AA139" s="19">
        <f>IF($A139="","",$Z139-$X139)</f>
        <v/>
      </c>
      <c r="AB139" s="10">
        <f>IF($A139="","",IF(TRIM(Items!C139&amp;"")="","CHECK: import country missing",IF(OR(LEN($C139)&lt;&gt;10,ISERROR(VALUE($C139))),"CHECK: HTS must be 10 digits",IF(LEN($E139)&lt;&gt;2,"CHECK: origin code missing or not 2 letters",IF(OR(Items!G139="",Items!I139="",Items!J139=""),"CHECK: value, rate or cost missing",IF(ISNUMBER(Items!G139)*ISNUMBER(Items!I139)*ISNUMBER(Items!J139)=0,"CHECK: text in a number column",IF(AND($L139="Y",UPPER(TRIM(act_RateType&amp;""))="REPLACE",$N139&lt;N(act_PriorRate)),"CHECK: current rate is below the rate being replaced",IF(AND($L139="Y",$W139=0),"NOTE: in scope, no volume","OK"))))))))</f>
        <v/>
      </c>
      <c r="AC139" s="20">
        <f>IF($A139="","",IF(AND($L139="Y",$X139&lt;&gt;0),ABS($X139)+ROW()/1000000000,""))</f>
        <v/>
      </c>
    </row>
    <row r="140">
      <c r="A140" s="10">
        <f>IF(TRIM(Items!A140&amp;"")="","",TRIM(Items!A140&amp;""))</f>
        <v/>
      </c>
      <c r="B140" s="10">
        <f>IF($A140="","",Items!B140&amp;"")</f>
        <v/>
      </c>
      <c r="C140" s="10">
        <f>IF($A140="","",SUBSTITUTE(SUBSTITUTE(SUBSTITUTE(TRIM(Items!D140&amp;""),".","")," ",""),"-",""))</f>
        <v/>
      </c>
      <c r="D140" s="10">
        <f>IF($A140="","",LEFT($C140,2))</f>
        <v/>
      </c>
      <c r="E140" s="10">
        <f>IF($A140="","",UPPER(TRIM(Items!E140&amp;"")))</f>
        <v/>
      </c>
      <c r="F140" s="10">
        <f>IF($A140="","",IF(UPPER(TRIM(Items!C140&amp;""))=UPPER(TRIM(act_Country&amp;"")),"Y","N"))</f>
        <v/>
      </c>
      <c r="G140" s="10">
        <f>IF($A140="","",IF(SUMPRODUCT((scope_HTS&lt;&gt;"")*(LEFT($C140,LEN(scope_HTS))=scope_HTS))&gt;0,"Y","N"))</f>
        <v/>
      </c>
      <c r="H140" s="10">
        <f>IF($A140="","",IF(SUMPRODUCT((excl_HTS&lt;&gt;"")*(LEFT($C140,LEN(excl_HTS))=excl_HTS))&gt;0,"Y","N"))</f>
        <v/>
      </c>
      <c r="I140" s="10">
        <f>IF($A140="","",IF($E140="","N",IF(COUNTIF(scope_COO,$E140)&gt;0,"Y","N")))</f>
        <v/>
      </c>
      <c r="J140" s="10">
        <f>IF($A140="","",IF(AND(UPPER(TRIM(act_USMCAExempt&amp;""))="Y",UPPER(TRIM(Items!F140&amp;""))="Y"),"Y","N"))</f>
        <v/>
      </c>
      <c r="K140" s="10">
        <f>IF($A140="","",IFERROR(UPPER(TRIM(INDEX(det_Status,MATCH($A140,det_Item,0))&amp;"")),""))</f>
        <v/>
      </c>
      <c r="L140" s="10">
        <f>IF($A140="","",IF($K140="IN","Y",IF($K140="OUT","N",IF(AND($F140="Y",$G140="Y",$H140="N",$I140="Y",$J140="N"),"Y","N"))))</f>
        <v/>
      </c>
      <c r="M140" s="10">
        <f>IF($A140="","",IF($K140="IN","In: Research determination",IF($K140="OUT","Out: Research determination",IF($F140="N","Out: different import country",IF($G140="N","Out: HTS not on scope list",IF($H140="Y","Out: HTS on exclusion list",IF($I140="N","Out: origin not on scope list",IF($J140="Y","Out: USMCA-qualifying, exempt","In: matches scope rules"))))))))</f>
        <v/>
      </c>
      <c r="N140" s="16">
        <f>IF($A140="","",N(Items!I140))</f>
        <v/>
      </c>
      <c r="O140" s="16">
        <f>IF($A140="","",IF($L140="Y",$N140+N(act_Rate)-IF(UPPER(TRIM(act_RateType&amp;""))="REPLACE",N(act_PriorRate),0),$N140))</f>
        <v/>
      </c>
      <c r="P140" s="17">
        <f>IF($A140="","",N(Items!G140)*$N140)</f>
        <v/>
      </c>
      <c r="Q140" s="17">
        <f>IF($A140="","",N(Items!G140)*$O140)</f>
        <v/>
      </c>
      <c r="R140" s="17">
        <f>IF($A140="","",$Q140-$P140)</f>
        <v/>
      </c>
      <c r="S140" s="17">
        <f>IF($A140="","",N(Items!J140)+$R140)</f>
        <v/>
      </c>
      <c r="T140" s="16">
        <f>IF($A140="","",IF(N(Items!K140)=0,"",(N(Items!K140)-N(Items!J140))/N(Items!K140)))</f>
        <v/>
      </c>
      <c r="U140" s="16">
        <f>IF($A140="","",IF(N(Items!K140)=0,"",(N(Items!K140)-$S140)/N(Items!K140)))</f>
        <v/>
      </c>
      <c r="V140" s="16">
        <f>IF(OR($T140="",$U140=""),"",$U140-$T140)</f>
        <v/>
      </c>
      <c r="W140" s="18">
        <f>IF($A140="","",N(Items!H140))</f>
        <v/>
      </c>
      <c r="X140" s="19">
        <f>IF($A140="","",$R140*$W140)</f>
        <v/>
      </c>
      <c r="Y140" s="19">
        <f>IF($A140="","",N(Items!K140)*$W140)</f>
        <v/>
      </c>
      <c r="Z140" s="19">
        <f>IF($A140="","",(N(Items!K140)-N(Items!J140))*$W140)</f>
        <v/>
      </c>
      <c r="AA140" s="19">
        <f>IF($A140="","",$Z140-$X140)</f>
        <v/>
      </c>
      <c r="AB140" s="10">
        <f>IF($A140="","",IF(TRIM(Items!C140&amp;"")="","CHECK: import country missing",IF(OR(LEN($C140)&lt;&gt;10,ISERROR(VALUE($C140))),"CHECK: HTS must be 10 digits",IF(LEN($E140)&lt;&gt;2,"CHECK: origin code missing or not 2 letters",IF(OR(Items!G140="",Items!I140="",Items!J140=""),"CHECK: value, rate or cost missing",IF(ISNUMBER(Items!G140)*ISNUMBER(Items!I140)*ISNUMBER(Items!J140)=0,"CHECK: text in a number column",IF(AND($L140="Y",UPPER(TRIM(act_RateType&amp;""))="REPLACE",$N140&lt;N(act_PriorRate)),"CHECK: current rate is below the rate being replaced",IF(AND($L140="Y",$W140=0),"NOTE: in scope, no volume","OK"))))))))</f>
        <v/>
      </c>
      <c r="AC140" s="20">
        <f>IF($A140="","",IF(AND($L140="Y",$X140&lt;&gt;0),ABS($X140)+ROW()/1000000000,""))</f>
        <v/>
      </c>
    </row>
    <row r="141">
      <c r="A141" s="10">
        <f>IF(TRIM(Items!A141&amp;"")="","",TRIM(Items!A141&amp;""))</f>
        <v/>
      </c>
      <c r="B141" s="10">
        <f>IF($A141="","",Items!B141&amp;"")</f>
        <v/>
      </c>
      <c r="C141" s="10">
        <f>IF($A141="","",SUBSTITUTE(SUBSTITUTE(SUBSTITUTE(TRIM(Items!D141&amp;""),".","")," ",""),"-",""))</f>
        <v/>
      </c>
      <c r="D141" s="10">
        <f>IF($A141="","",LEFT($C141,2))</f>
        <v/>
      </c>
      <c r="E141" s="10">
        <f>IF($A141="","",UPPER(TRIM(Items!E141&amp;"")))</f>
        <v/>
      </c>
      <c r="F141" s="10">
        <f>IF($A141="","",IF(UPPER(TRIM(Items!C141&amp;""))=UPPER(TRIM(act_Country&amp;"")),"Y","N"))</f>
        <v/>
      </c>
      <c r="G141" s="10">
        <f>IF($A141="","",IF(SUMPRODUCT((scope_HTS&lt;&gt;"")*(LEFT($C141,LEN(scope_HTS))=scope_HTS))&gt;0,"Y","N"))</f>
        <v/>
      </c>
      <c r="H141" s="10">
        <f>IF($A141="","",IF(SUMPRODUCT((excl_HTS&lt;&gt;"")*(LEFT($C141,LEN(excl_HTS))=excl_HTS))&gt;0,"Y","N"))</f>
        <v/>
      </c>
      <c r="I141" s="10">
        <f>IF($A141="","",IF($E141="","N",IF(COUNTIF(scope_COO,$E141)&gt;0,"Y","N")))</f>
        <v/>
      </c>
      <c r="J141" s="10">
        <f>IF($A141="","",IF(AND(UPPER(TRIM(act_USMCAExempt&amp;""))="Y",UPPER(TRIM(Items!F141&amp;""))="Y"),"Y","N"))</f>
        <v/>
      </c>
      <c r="K141" s="10">
        <f>IF($A141="","",IFERROR(UPPER(TRIM(INDEX(det_Status,MATCH($A141,det_Item,0))&amp;"")),""))</f>
        <v/>
      </c>
      <c r="L141" s="10">
        <f>IF($A141="","",IF($K141="IN","Y",IF($K141="OUT","N",IF(AND($F141="Y",$G141="Y",$H141="N",$I141="Y",$J141="N"),"Y","N"))))</f>
        <v/>
      </c>
      <c r="M141" s="10">
        <f>IF($A141="","",IF($K141="IN","In: Research determination",IF($K141="OUT","Out: Research determination",IF($F141="N","Out: different import country",IF($G141="N","Out: HTS not on scope list",IF($H141="Y","Out: HTS on exclusion list",IF($I141="N","Out: origin not on scope list",IF($J141="Y","Out: USMCA-qualifying, exempt","In: matches scope rules"))))))))</f>
        <v/>
      </c>
      <c r="N141" s="16">
        <f>IF($A141="","",N(Items!I141))</f>
        <v/>
      </c>
      <c r="O141" s="16">
        <f>IF($A141="","",IF($L141="Y",$N141+N(act_Rate)-IF(UPPER(TRIM(act_RateType&amp;""))="REPLACE",N(act_PriorRate),0),$N141))</f>
        <v/>
      </c>
      <c r="P141" s="17">
        <f>IF($A141="","",N(Items!G141)*$N141)</f>
        <v/>
      </c>
      <c r="Q141" s="17">
        <f>IF($A141="","",N(Items!G141)*$O141)</f>
        <v/>
      </c>
      <c r="R141" s="17">
        <f>IF($A141="","",$Q141-$P141)</f>
        <v/>
      </c>
      <c r="S141" s="17">
        <f>IF($A141="","",N(Items!J141)+$R141)</f>
        <v/>
      </c>
      <c r="T141" s="16">
        <f>IF($A141="","",IF(N(Items!K141)=0,"",(N(Items!K141)-N(Items!J141))/N(Items!K141)))</f>
        <v/>
      </c>
      <c r="U141" s="16">
        <f>IF($A141="","",IF(N(Items!K141)=0,"",(N(Items!K141)-$S141)/N(Items!K141)))</f>
        <v/>
      </c>
      <c r="V141" s="16">
        <f>IF(OR($T141="",$U141=""),"",$U141-$T141)</f>
        <v/>
      </c>
      <c r="W141" s="18">
        <f>IF($A141="","",N(Items!H141))</f>
        <v/>
      </c>
      <c r="X141" s="19">
        <f>IF($A141="","",$R141*$W141)</f>
        <v/>
      </c>
      <c r="Y141" s="19">
        <f>IF($A141="","",N(Items!K141)*$W141)</f>
        <v/>
      </c>
      <c r="Z141" s="19">
        <f>IF($A141="","",(N(Items!K141)-N(Items!J141))*$W141)</f>
        <v/>
      </c>
      <c r="AA141" s="19">
        <f>IF($A141="","",$Z141-$X141)</f>
        <v/>
      </c>
      <c r="AB141" s="10">
        <f>IF($A141="","",IF(TRIM(Items!C141&amp;"")="","CHECK: import country missing",IF(OR(LEN($C141)&lt;&gt;10,ISERROR(VALUE($C141))),"CHECK: HTS must be 10 digits",IF(LEN($E141)&lt;&gt;2,"CHECK: origin code missing or not 2 letters",IF(OR(Items!G141="",Items!I141="",Items!J141=""),"CHECK: value, rate or cost missing",IF(ISNUMBER(Items!G141)*ISNUMBER(Items!I141)*ISNUMBER(Items!J141)=0,"CHECK: text in a number column",IF(AND($L141="Y",UPPER(TRIM(act_RateType&amp;""))="REPLACE",$N141&lt;N(act_PriorRate)),"CHECK: current rate is below the rate being replaced",IF(AND($L141="Y",$W141=0),"NOTE: in scope, no volume","OK"))))))))</f>
        <v/>
      </c>
      <c r="AC141" s="20">
        <f>IF($A141="","",IF(AND($L141="Y",$X141&lt;&gt;0),ABS($X141)+ROW()/1000000000,""))</f>
        <v/>
      </c>
    </row>
    <row r="142">
      <c r="A142" s="10">
        <f>IF(TRIM(Items!A142&amp;"")="","",TRIM(Items!A142&amp;""))</f>
        <v/>
      </c>
      <c r="B142" s="10">
        <f>IF($A142="","",Items!B142&amp;"")</f>
        <v/>
      </c>
      <c r="C142" s="10">
        <f>IF($A142="","",SUBSTITUTE(SUBSTITUTE(SUBSTITUTE(TRIM(Items!D142&amp;""),".","")," ",""),"-",""))</f>
        <v/>
      </c>
      <c r="D142" s="10">
        <f>IF($A142="","",LEFT($C142,2))</f>
        <v/>
      </c>
      <c r="E142" s="10">
        <f>IF($A142="","",UPPER(TRIM(Items!E142&amp;"")))</f>
        <v/>
      </c>
      <c r="F142" s="10">
        <f>IF($A142="","",IF(UPPER(TRIM(Items!C142&amp;""))=UPPER(TRIM(act_Country&amp;"")),"Y","N"))</f>
        <v/>
      </c>
      <c r="G142" s="10">
        <f>IF($A142="","",IF(SUMPRODUCT((scope_HTS&lt;&gt;"")*(LEFT($C142,LEN(scope_HTS))=scope_HTS))&gt;0,"Y","N"))</f>
        <v/>
      </c>
      <c r="H142" s="10">
        <f>IF($A142="","",IF(SUMPRODUCT((excl_HTS&lt;&gt;"")*(LEFT($C142,LEN(excl_HTS))=excl_HTS))&gt;0,"Y","N"))</f>
        <v/>
      </c>
      <c r="I142" s="10">
        <f>IF($A142="","",IF($E142="","N",IF(COUNTIF(scope_COO,$E142)&gt;0,"Y","N")))</f>
        <v/>
      </c>
      <c r="J142" s="10">
        <f>IF($A142="","",IF(AND(UPPER(TRIM(act_USMCAExempt&amp;""))="Y",UPPER(TRIM(Items!F142&amp;""))="Y"),"Y","N"))</f>
        <v/>
      </c>
      <c r="K142" s="10">
        <f>IF($A142="","",IFERROR(UPPER(TRIM(INDEX(det_Status,MATCH($A142,det_Item,0))&amp;"")),""))</f>
        <v/>
      </c>
      <c r="L142" s="10">
        <f>IF($A142="","",IF($K142="IN","Y",IF($K142="OUT","N",IF(AND($F142="Y",$G142="Y",$H142="N",$I142="Y",$J142="N"),"Y","N"))))</f>
        <v/>
      </c>
      <c r="M142" s="10">
        <f>IF($A142="","",IF($K142="IN","In: Research determination",IF($K142="OUT","Out: Research determination",IF($F142="N","Out: different import country",IF($G142="N","Out: HTS not on scope list",IF($H142="Y","Out: HTS on exclusion list",IF($I142="N","Out: origin not on scope list",IF($J142="Y","Out: USMCA-qualifying, exempt","In: matches scope rules"))))))))</f>
        <v/>
      </c>
      <c r="N142" s="16">
        <f>IF($A142="","",N(Items!I142))</f>
        <v/>
      </c>
      <c r="O142" s="16">
        <f>IF($A142="","",IF($L142="Y",$N142+N(act_Rate)-IF(UPPER(TRIM(act_RateType&amp;""))="REPLACE",N(act_PriorRate),0),$N142))</f>
        <v/>
      </c>
      <c r="P142" s="17">
        <f>IF($A142="","",N(Items!G142)*$N142)</f>
        <v/>
      </c>
      <c r="Q142" s="17">
        <f>IF($A142="","",N(Items!G142)*$O142)</f>
        <v/>
      </c>
      <c r="R142" s="17">
        <f>IF($A142="","",$Q142-$P142)</f>
        <v/>
      </c>
      <c r="S142" s="17">
        <f>IF($A142="","",N(Items!J142)+$R142)</f>
        <v/>
      </c>
      <c r="T142" s="16">
        <f>IF($A142="","",IF(N(Items!K142)=0,"",(N(Items!K142)-N(Items!J142))/N(Items!K142)))</f>
        <v/>
      </c>
      <c r="U142" s="16">
        <f>IF($A142="","",IF(N(Items!K142)=0,"",(N(Items!K142)-$S142)/N(Items!K142)))</f>
        <v/>
      </c>
      <c r="V142" s="16">
        <f>IF(OR($T142="",$U142=""),"",$U142-$T142)</f>
        <v/>
      </c>
      <c r="W142" s="18">
        <f>IF($A142="","",N(Items!H142))</f>
        <v/>
      </c>
      <c r="X142" s="19">
        <f>IF($A142="","",$R142*$W142)</f>
        <v/>
      </c>
      <c r="Y142" s="19">
        <f>IF($A142="","",N(Items!K142)*$W142)</f>
        <v/>
      </c>
      <c r="Z142" s="19">
        <f>IF($A142="","",(N(Items!K142)-N(Items!J142))*$W142)</f>
        <v/>
      </c>
      <c r="AA142" s="19">
        <f>IF($A142="","",$Z142-$X142)</f>
        <v/>
      </c>
      <c r="AB142" s="10">
        <f>IF($A142="","",IF(TRIM(Items!C142&amp;"")="","CHECK: import country missing",IF(OR(LEN($C142)&lt;&gt;10,ISERROR(VALUE($C142))),"CHECK: HTS must be 10 digits",IF(LEN($E142)&lt;&gt;2,"CHECK: origin code missing or not 2 letters",IF(OR(Items!G142="",Items!I142="",Items!J142=""),"CHECK: value, rate or cost missing",IF(ISNUMBER(Items!G142)*ISNUMBER(Items!I142)*ISNUMBER(Items!J142)=0,"CHECK: text in a number column",IF(AND($L142="Y",UPPER(TRIM(act_RateType&amp;""))="REPLACE",$N142&lt;N(act_PriorRate)),"CHECK: current rate is below the rate being replaced",IF(AND($L142="Y",$W142=0),"NOTE: in scope, no volume","OK"))))))))</f>
        <v/>
      </c>
      <c r="AC142" s="20">
        <f>IF($A142="","",IF(AND($L142="Y",$X142&lt;&gt;0),ABS($X142)+ROW()/1000000000,""))</f>
        <v/>
      </c>
    </row>
    <row r="143">
      <c r="A143" s="10">
        <f>IF(TRIM(Items!A143&amp;"")="","",TRIM(Items!A143&amp;""))</f>
        <v/>
      </c>
      <c r="B143" s="10">
        <f>IF($A143="","",Items!B143&amp;"")</f>
        <v/>
      </c>
      <c r="C143" s="10">
        <f>IF($A143="","",SUBSTITUTE(SUBSTITUTE(SUBSTITUTE(TRIM(Items!D143&amp;""),".","")," ",""),"-",""))</f>
        <v/>
      </c>
      <c r="D143" s="10">
        <f>IF($A143="","",LEFT($C143,2))</f>
        <v/>
      </c>
      <c r="E143" s="10">
        <f>IF($A143="","",UPPER(TRIM(Items!E143&amp;"")))</f>
        <v/>
      </c>
      <c r="F143" s="10">
        <f>IF($A143="","",IF(UPPER(TRIM(Items!C143&amp;""))=UPPER(TRIM(act_Country&amp;"")),"Y","N"))</f>
        <v/>
      </c>
      <c r="G143" s="10">
        <f>IF($A143="","",IF(SUMPRODUCT((scope_HTS&lt;&gt;"")*(LEFT($C143,LEN(scope_HTS))=scope_HTS))&gt;0,"Y","N"))</f>
        <v/>
      </c>
      <c r="H143" s="10">
        <f>IF($A143="","",IF(SUMPRODUCT((excl_HTS&lt;&gt;"")*(LEFT($C143,LEN(excl_HTS))=excl_HTS))&gt;0,"Y","N"))</f>
        <v/>
      </c>
      <c r="I143" s="10">
        <f>IF($A143="","",IF($E143="","N",IF(COUNTIF(scope_COO,$E143)&gt;0,"Y","N")))</f>
        <v/>
      </c>
      <c r="J143" s="10">
        <f>IF($A143="","",IF(AND(UPPER(TRIM(act_USMCAExempt&amp;""))="Y",UPPER(TRIM(Items!F143&amp;""))="Y"),"Y","N"))</f>
        <v/>
      </c>
      <c r="K143" s="10">
        <f>IF($A143="","",IFERROR(UPPER(TRIM(INDEX(det_Status,MATCH($A143,det_Item,0))&amp;"")),""))</f>
        <v/>
      </c>
      <c r="L143" s="10">
        <f>IF($A143="","",IF($K143="IN","Y",IF($K143="OUT","N",IF(AND($F143="Y",$G143="Y",$H143="N",$I143="Y",$J143="N"),"Y","N"))))</f>
        <v/>
      </c>
      <c r="M143" s="10">
        <f>IF($A143="","",IF($K143="IN","In: Research determination",IF($K143="OUT","Out: Research determination",IF($F143="N","Out: different import country",IF($G143="N","Out: HTS not on scope list",IF($H143="Y","Out: HTS on exclusion list",IF($I143="N","Out: origin not on scope list",IF($J143="Y","Out: USMCA-qualifying, exempt","In: matches scope rules"))))))))</f>
        <v/>
      </c>
      <c r="N143" s="16">
        <f>IF($A143="","",N(Items!I143))</f>
        <v/>
      </c>
      <c r="O143" s="16">
        <f>IF($A143="","",IF($L143="Y",$N143+N(act_Rate)-IF(UPPER(TRIM(act_RateType&amp;""))="REPLACE",N(act_PriorRate),0),$N143))</f>
        <v/>
      </c>
      <c r="P143" s="17">
        <f>IF($A143="","",N(Items!G143)*$N143)</f>
        <v/>
      </c>
      <c r="Q143" s="17">
        <f>IF($A143="","",N(Items!G143)*$O143)</f>
        <v/>
      </c>
      <c r="R143" s="17">
        <f>IF($A143="","",$Q143-$P143)</f>
        <v/>
      </c>
      <c r="S143" s="17">
        <f>IF($A143="","",N(Items!J143)+$R143)</f>
        <v/>
      </c>
      <c r="T143" s="16">
        <f>IF($A143="","",IF(N(Items!K143)=0,"",(N(Items!K143)-N(Items!J143))/N(Items!K143)))</f>
        <v/>
      </c>
      <c r="U143" s="16">
        <f>IF($A143="","",IF(N(Items!K143)=0,"",(N(Items!K143)-$S143)/N(Items!K143)))</f>
        <v/>
      </c>
      <c r="V143" s="16">
        <f>IF(OR($T143="",$U143=""),"",$U143-$T143)</f>
        <v/>
      </c>
      <c r="W143" s="18">
        <f>IF($A143="","",N(Items!H143))</f>
        <v/>
      </c>
      <c r="X143" s="19">
        <f>IF($A143="","",$R143*$W143)</f>
        <v/>
      </c>
      <c r="Y143" s="19">
        <f>IF($A143="","",N(Items!K143)*$W143)</f>
        <v/>
      </c>
      <c r="Z143" s="19">
        <f>IF($A143="","",(N(Items!K143)-N(Items!J143))*$W143)</f>
        <v/>
      </c>
      <c r="AA143" s="19">
        <f>IF($A143="","",$Z143-$X143)</f>
        <v/>
      </c>
      <c r="AB143" s="10">
        <f>IF($A143="","",IF(TRIM(Items!C143&amp;"")="","CHECK: import country missing",IF(OR(LEN($C143)&lt;&gt;10,ISERROR(VALUE($C143))),"CHECK: HTS must be 10 digits",IF(LEN($E143)&lt;&gt;2,"CHECK: origin code missing or not 2 letters",IF(OR(Items!G143="",Items!I143="",Items!J143=""),"CHECK: value, rate or cost missing",IF(ISNUMBER(Items!G143)*ISNUMBER(Items!I143)*ISNUMBER(Items!J143)=0,"CHECK: text in a number column",IF(AND($L143="Y",UPPER(TRIM(act_RateType&amp;""))="REPLACE",$N143&lt;N(act_PriorRate)),"CHECK: current rate is below the rate being replaced",IF(AND($L143="Y",$W143=0),"NOTE: in scope, no volume","OK"))))))))</f>
        <v/>
      </c>
      <c r="AC143" s="20">
        <f>IF($A143="","",IF(AND($L143="Y",$X143&lt;&gt;0),ABS($X143)+ROW()/1000000000,""))</f>
        <v/>
      </c>
    </row>
    <row r="144">
      <c r="A144" s="10">
        <f>IF(TRIM(Items!A144&amp;"")="","",TRIM(Items!A144&amp;""))</f>
        <v/>
      </c>
      <c r="B144" s="10">
        <f>IF($A144="","",Items!B144&amp;"")</f>
        <v/>
      </c>
      <c r="C144" s="10">
        <f>IF($A144="","",SUBSTITUTE(SUBSTITUTE(SUBSTITUTE(TRIM(Items!D144&amp;""),".","")," ",""),"-",""))</f>
        <v/>
      </c>
      <c r="D144" s="10">
        <f>IF($A144="","",LEFT($C144,2))</f>
        <v/>
      </c>
      <c r="E144" s="10">
        <f>IF($A144="","",UPPER(TRIM(Items!E144&amp;"")))</f>
        <v/>
      </c>
      <c r="F144" s="10">
        <f>IF($A144="","",IF(UPPER(TRIM(Items!C144&amp;""))=UPPER(TRIM(act_Country&amp;"")),"Y","N"))</f>
        <v/>
      </c>
      <c r="G144" s="10">
        <f>IF($A144="","",IF(SUMPRODUCT((scope_HTS&lt;&gt;"")*(LEFT($C144,LEN(scope_HTS))=scope_HTS))&gt;0,"Y","N"))</f>
        <v/>
      </c>
      <c r="H144" s="10">
        <f>IF($A144="","",IF(SUMPRODUCT((excl_HTS&lt;&gt;"")*(LEFT($C144,LEN(excl_HTS))=excl_HTS))&gt;0,"Y","N"))</f>
        <v/>
      </c>
      <c r="I144" s="10">
        <f>IF($A144="","",IF($E144="","N",IF(COUNTIF(scope_COO,$E144)&gt;0,"Y","N")))</f>
        <v/>
      </c>
      <c r="J144" s="10">
        <f>IF($A144="","",IF(AND(UPPER(TRIM(act_USMCAExempt&amp;""))="Y",UPPER(TRIM(Items!F144&amp;""))="Y"),"Y","N"))</f>
        <v/>
      </c>
      <c r="K144" s="10">
        <f>IF($A144="","",IFERROR(UPPER(TRIM(INDEX(det_Status,MATCH($A144,det_Item,0))&amp;"")),""))</f>
        <v/>
      </c>
      <c r="L144" s="10">
        <f>IF($A144="","",IF($K144="IN","Y",IF($K144="OUT","N",IF(AND($F144="Y",$G144="Y",$H144="N",$I144="Y",$J144="N"),"Y","N"))))</f>
        <v/>
      </c>
      <c r="M144" s="10">
        <f>IF($A144="","",IF($K144="IN","In: Research determination",IF($K144="OUT","Out: Research determination",IF($F144="N","Out: different import country",IF($G144="N","Out: HTS not on scope list",IF($H144="Y","Out: HTS on exclusion list",IF($I144="N","Out: origin not on scope list",IF($J144="Y","Out: USMCA-qualifying, exempt","In: matches scope rules"))))))))</f>
        <v/>
      </c>
      <c r="N144" s="16">
        <f>IF($A144="","",N(Items!I144))</f>
        <v/>
      </c>
      <c r="O144" s="16">
        <f>IF($A144="","",IF($L144="Y",$N144+N(act_Rate)-IF(UPPER(TRIM(act_RateType&amp;""))="REPLACE",N(act_PriorRate),0),$N144))</f>
        <v/>
      </c>
      <c r="P144" s="17">
        <f>IF($A144="","",N(Items!G144)*$N144)</f>
        <v/>
      </c>
      <c r="Q144" s="17">
        <f>IF($A144="","",N(Items!G144)*$O144)</f>
        <v/>
      </c>
      <c r="R144" s="17">
        <f>IF($A144="","",$Q144-$P144)</f>
        <v/>
      </c>
      <c r="S144" s="17">
        <f>IF($A144="","",N(Items!J144)+$R144)</f>
        <v/>
      </c>
      <c r="T144" s="16">
        <f>IF($A144="","",IF(N(Items!K144)=0,"",(N(Items!K144)-N(Items!J144))/N(Items!K144)))</f>
        <v/>
      </c>
      <c r="U144" s="16">
        <f>IF($A144="","",IF(N(Items!K144)=0,"",(N(Items!K144)-$S144)/N(Items!K144)))</f>
        <v/>
      </c>
      <c r="V144" s="16">
        <f>IF(OR($T144="",$U144=""),"",$U144-$T144)</f>
        <v/>
      </c>
      <c r="W144" s="18">
        <f>IF($A144="","",N(Items!H144))</f>
        <v/>
      </c>
      <c r="X144" s="19">
        <f>IF($A144="","",$R144*$W144)</f>
        <v/>
      </c>
      <c r="Y144" s="19">
        <f>IF($A144="","",N(Items!K144)*$W144)</f>
        <v/>
      </c>
      <c r="Z144" s="19">
        <f>IF($A144="","",(N(Items!K144)-N(Items!J144))*$W144)</f>
        <v/>
      </c>
      <c r="AA144" s="19">
        <f>IF($A144="","",$Z144-$X144)</f>
        <v/>
      </c>
      <c r="AB144" s="10">
        <f>IF($A144="","",IF(TRIM(Items!C144&amp;"")="","CHECK: import country missing",IF(OR(LEN($C144)&lt;&gt;10,ISERROR(VALUE($C144))),"CHECK: HTS must be 10 digits",IF(LEN($E144)&lt;&gt;2,"CHECK: origin code missing or not 2 letters",IF(OR(Items!G144="",Items!I144="",Items!J144=""),"CHECK: value, rate or cost missing",IF(ISNUMBER(Items!G144)*ISNUMBER(Items!I144)*ISNUMBER(Items!J144)=0,"CHECK: text in a number column",IF(AND($L144="Y",UPPER(TRIM(act_RateType&amp;""))="REPLACE",$N144&lt;N(act_PriorRate)),"CHECK: current rate is below the rate being replaced",IF(AND($L144="Y",$W144=0),"NOTE: in scope, no volume","OK"))))))))</f>
        <v/>
      </c>
      <c r="AC144" s="20">
        <f>IF($A144="","",IF(AND($L144="Y",$X144&lt;&gt;0),ABS($X144)+ROW()/1000000000,""))</f>
        <v/>
      </c>
    </row>
    <row r="145">
      <c r="A145" s="10">
        <f>IF(TRIM(Items!A145&amp;"")="","",TRIM(Items!A145&amp;""))</f>
        <v/>
      </c>
      <c r="B145" s="10">
        <f>IF($A145="","",Items!B145&amp;"")</f>
        <v/>
      </c>
      <c r="C145" s="10">
        <f>IF($A145="","",SUBSTITUTE(SUBSTITUTE(SUBSTITUTE(TRIM(Items!D145&amp;""),".","")," ",""),"-",""))</f>
        <v/>
      </c>
      <c r="D145" s="10">
        <f>IF($A145="","",LEFT($C145,2))</f>
        <v/>
      </c>
      <c r="E145" s="10">
        <f>IF($A145="","",UPPER(TRIM(Items!E145&amp;"")))</f>
        <v/>
      </c>
      <c r="F145" s="10">
        <f>IF($A145="","",IF(UPPER(TRIM(Items!C145&amp;""))=UPPER(TRIM(act_Country&amp;"")),"Y","N"))</f>
        <v/>
      </c>
      <c r="G145" s="10">
        <f>IF($A145="","",IF(SUMPRODUCT((scope_HTS&lt;&gt;"")*(LEFT($C145,LEN(scope_HTS))=scope_HTS))&gt;0,"Y","N"))</f>
        <v/>
      </c>
      <c r="H145" s="10">
        <f>IF($A145="","",IF(SUMPRODUCT((excl_HTS&lt;&gt;"")*(LEFT($C145,LEN(excl_HTS))=excl_HTS))&gt;0,"Y","N"))</f>
        <v/>
      </c>
      <c r="I145" s="10">
        <f>IF($A145="","",IF($E145="","N",IF(COUNTIF(scope_COO,$E145)&gt;0,"Y","N")))</f>
        <v/>
      </c>
      <c r="J145" s="10">
        <f>IF($A145="","",IF(AND(UPPER(TRIM(act_USMCAExempt&amp;""))="Y",UPPER(TRIM(Items!F145&amp;""))="Y"),"Y","N"))</f>
        <v/>
      </c>
      <c r="K145" s="10">
        <f>IF($A145="","",IFERROR(UPPER(TRIM(INDEX(det_Status,MATCH($A145,det_Item,0))&amp;"")),""))</f>
        <v/>
      </c>
      <c r="L145" s="10">
        <f>IF($A145="","",IF($K145="IN","Y",IF($K145="OUT","N",IF(AND($F145="Y",$G145="Y",$H145="N",$I145="Y",$J145="N"),"Y","N"))))</f>
        <v/>
      </c>
      <c r="M145" s="10">
        <f>IF($A145="","",IF($K145="IN","In: Research determination",IF($K145="OUT","Out: Research determination",IF($F145="N","Out: different import country",IF($G145="N","Out: HTS not on scope list",IF($H145="Y","Out: HTS on exclusion list",IF($I145="N","Out: origin not on scope list",IF($J145="Y","Out: USMCA-qualifying, exempt","In: matches scope rules"))))))))</f>
        <v/>
      </c>
      <c r="N145" s="16">
        <f>IF($A145="","",N(Items!I145))</f>
        <v/>
      </c>
      <c r="O145" s="16">
        <f>IF($A145="","",IF($L145="Y",$N145+N(act_Rate)-IF(UPPER(TRIM(act_RateType&amp;""))="REPLACE",N(act_PriorRate),0),$N145))</f>
        <v/>
      </c>
      <c r="P145" s="17">
        <f>IF($A145="","",N(Items!G145)*$N145)</f>
        <v/>
      </c>
      <c r="Q145" s="17">
        <f>IF($A145="","",N(Items!G145)*$O145)</f>
        <v/>
      </c>
      <c r="R145" s="17">
        <f>IF($A145="","",$Q145-$P145)</f>
        <v/>
      </c>
      <c r="S145" s="17">
        <f>IF($A145="","",N(Items!J145)+$R145)</f>
        <v/>
      </c>
      <c r="T145" s="16">
        <f>IF($A145="","",IF(N(Items!K145)=0,"",(N(Items!K145)-N(Items!J145))/N(Items!K145)))</f>
        <v/>
      </c>
      <c r="U145" s="16">
        <f>IF($A145="","",IF(N(Items!K145)=0,"",(N(Items!K145)-$S145)/N(Items!K145)))</f>
        <v/>
      </c>
      <c r="V145" s="16">
        <f>IF(OR($T145="",$U145=""),"",$U145-$T145)</f>
        <v/>
      </c>
      <c r="W145" s="18">
        <f>IF($A145="","",N(Items!H145))</f>
        <v/>
      </c>
      <c r="X145" s="19">
        <f>IF($A145="","",$R145*$W145)</f>
        <v/>
      </c>
      <c r="Y145" s="19">
        <f>IF($A145="","",N(Items!K145)*$W145)</f>
        <v/>
      </c>
      <c r="Z145" s="19">
        <f>IF($A145="","",(N(Items!K145)-N(Items!J145))*$W145)</f>
        <v/>
      </c>
      <c r="AA145" s="19">
        <f>IF($A145="","",$Z145-$X145)</f>
        <v/>
      </c>
      <c r="AB145" s="10">
        <f>IF($A145="","",IF(TRIM(Items!C145&amp;"")="","CHECK: import country missing",IF(OR(LEN($C145)&lt;&gt;10,ISERROR(VALUE($C145))),"CHECK: HTS must be 10 digits",IF(LEN($E145)&lt;&gt;2,"CHECK: origin code missing or not 2 letters",IF(OR(Items!G145="",Items!I145="",Items!J145=""),"CHECK: value, rate or cost missing",IF(ISNUMBER(Items!G145)*ISNUMBER(Items!I145)*ISNUMBER(Items!J145)=0,"CHECK: text in a number column",IF(AND($L145="Y",UPPER(TRIM(act_RateType&amp;""))="REPLACE",$N145&lt;N(act_PriorRate)),"CHECK: current rate is below the rate being replaced",IF(AND($L145="Y",$W145=0),"NOTE: in scope, no volume","OK"))))))))</f>
        <v/>
      </c>
      <c r="AC145" s="20">
        <f>IF($A145="","",IF(AND($L145="Y",$X145&lt;&gt;0),ABS($X145)+ROW()/1000000000,""))</f>
        <v/>
      </c>
    </row>
    <row r="146">
      <c r="A146" s="10">
        <f>IF(TRIM(Items!A146&amp;"")="","",TRIM(Items!A146&amp;""))</f>
        <v/>
      </c>
      <c r="B146" s="10">
        <f>IF($A146="","",Items!B146&amp;"")</f>
        <v/>
      </c>
      <c r="C146" s="10">
        <f>IF($A146="","",SUBSTITUTE(SUBSTITUTE(SUBSTITUTE(TRIM(Items!D146&amp;""),".","")," ",""),"-",""))</f>
        <v/>
      </c>
      <c r="D146" s="10">
        <f>IF($A146="","",LEFT($C146,2))</f>
        <v/>
      </c>
      <c r="E146" s="10">
        <f>IF($A146="","",UPPER(TRIM(Items!E146&amp;"")))</f>
        <v/>
      </c>
      <c r="F146" s="10">
        <f>IF($A146="","",IF(UPPER(TRIM(Items!C146&amp;""))=UPPER(TRIM(act_Country&amp;"")),"Y","N"))</f>
        <v/>
      </c>
      <c r="G146" s="10">
        <f>IF($A146="","",IF(SUMPRODUCT((scope_HTS&lt;&gt;"")*(LEFT($C146,LEN(scope_HTS))=scope_HTS))&gt;0,"Y","N"))</f>
        <v/>
      </c>
      <c r="H146" s="10">
        <f>IF($A146="","",IF(SUMPRODUCT((excl_HTS&lt;&gt;"")*(LEFT($C146,LEN(excl_HTS))=excl_HTS))&gt;0,"Y","N"))</f>
        <v/>
      </c>
      <c r="I146" s="10">
        <f>IF($A146="","",IF($E146="","N",IF(COUNTIF(scope_COO,$E146)&gt;0,"Y","N")))</f>
        <v/>
      </c>
      <c r="J146" s="10">
        <f>IF($A146="","",IF(AND(UPPER(TRIM(act_USMCAExempt&amp;""))="Y",UPPER(TRIM(Items!F146&amp;""))="Y"),"Y","N"))</f>
        <v/>
      </c>
      <c r="K146" s="10">
        <f>IF($A146="","",IFERROR(UPPER(TRIM(INDEX(det_Status,MATCH($A146,det_Item,0))&amp;"")),""))</f>
        <v/>
      </c>
      <c r="L146" s="10">
        <f>IF($A146="","",IF($K146="IN","Y",IF($K146="OUT","N",IF(AND($F146="Y",$G146="Y",$H146="N",$I146="Y",$J146="N"),"Y","N"))))</f>
        <v/>
      </c>
      <c r="M146" s="10">
        <f>IF($A146="","",IF($K146="IN","In: Research determination",IF($K146="OUT","Out: Research determination",IF($F146="N","Out: different import country",IF($G146="N","Out: HTS not on scope list",IF($H146="Y","Out: HTS on exclusion list",IF($I146="N","Out: origin not on scope list",IF($J146="Y","Out: USMCA-qualifying, exempt","In: matches scope rules"))))))))</f>
        <v/>
      </c>
      <c r="N146" s="16">
        <f>IF($A146="","",N(Items!I146))</f>
        <v/>
      </c>
      <c r="O146" s="16">
        <f>IF($A146="","",IF($L146="Y",$N146+N(act_Rate)-IF(UPPER(TRIM(act_RateType&amp;""))="REPLACE",N(act_PriorRate),0),$N146))</f>
        <v/>
      </c>
      <c r="P146" s="17">
        <f>IF($A146="","",N(Items!G146)*$N146)</f>
        <v/>
      </c>
      <c r="Q146" s="17">
        <f>IF($A146="","",N(Items!G146)*$O146)</f>
        <v/>
      </c>
      <c r="R146" s="17">
        <f>IF($A146="","",$Q146-$P146)</f>
        <v/>
      </c>
      <c r="S146" s="17">
        <f>IF($A146="","",N(Items!J146)+$R146)</f>
        <v/>
      </c>
      <c r="T146" s="16">
        <f>IF($A146="","",IF(N(Items!K146)=0,"",(N(Items!K146)-N(Items!J146))/N(Items!K146)))</f>
        <v/>
      </c>
      <c r="U146" s="16">
        <f>IF($A146="","",IF(N(Items!K146)=0,"",(N(Items!K146)-$S146)/N(Items!K146)))</f>
        <v/>
      </c>
      <c r="V146" s="16">
        <f>IF(OR($T146="",$U146=""),"",$U146-$T146)</f>
        <v/>
      </c>
      <c r="W146" s="18">
        <f>IF($A146="","",N(Items!H146))</f>
        <v/>
      </c>
      <c r="X146" s="19">
        <f>IF($A146="","",$R146*$W146)</f>
        <v/>
      </c>
      <c r="Y146" s="19">
        <f>IF($A146="","",N(Items!K146)*$W146)</f>
        <v/>
      </c>
      <c r="Z146" s="19">
        <f>IF($A146="","",(N(Items!K146)-N(Items!J146))*$W146)</f>
        <v/>
      </c>
      <c r="AA146" s="19">
        <f>IF($A146="","",$Z146-$X146)</f>
        <v/>
      </c>
      <c r="AB146" s="10">
        <f>IF($A146="","",IF(TRIM(Items!C146&amp;"")="","CHECK: import country missing",IF(OR(LEN($C146)&lt;&gt;10,ISERROR(VALUE($C146))),"CHECK: HTS must be 10 digits",IF(LEN($E146)&lt;&gt;2,"CHECK: origin code missing or not 2 letters",IF(OR(Items!G146="",Items!I146="",Items!J146=""),"CHECK: value, rate or cost missing",IF(ISNUMBER(Items!G146)*ISNUMBER(Items!I146)*ISNUMBER(Items!J146)=0,"CHECK: text in a number column",IF(AND($L146="Y",UPPER(TRIM(act_RateType&amp;""))="REPLACE",$N146&lt;N(act_PriorRate)),"CHECK: current rate is below the rate being replaced",IF(AND($L146="Y",$W146=0),"NOTE: in scope, no volume","OK"))))))))</f>
        <v/>
      </c>
      <c r="AC146" s="20">
        <f>IF($A146="","",IF(AND($L146="Y",$X146&lt;&gt;0),ABS($X146)+ROW()/1000000000,""))</f>
        <v/>
      </c>
    </row>
    <row r="147">
      <c r="A147" s="10">
        <f>IF(TRIM(Items!A147&amp;"")="","",TRIM(Items!A147&amp;""))</f>
        <v/>
      </c>
      <c r="B147" s="10">
        <f>IF($A147="","",Items!B147&amp;"")</f>
        <v/>
      </c>
      <c r="C147" s="10">
        <f>IF($A147="","",SUBSTITUTE(SUBSTITUTE(SUBSTITUTE(TRIM(Items!D147&amp;""),".","")," ",""),"-",""))</f>
        <v/>
      </c>
      <c r="D147" s="10">
        <f>IF($A147="","",LEFT($C147,2))</f>
        <v/>
      </c>
      <c r="E147" s="10">
        <f>IF($A147="","",UPPER(TRIM(Items!E147&amp;"")))</f>
        <v/>
      </c>
      <c r="F147" s="10">
        <f>IF($A147="","",IF(UPPER(TRIM(Items!C147&amp;""))=UPPER(TRIM(act_Country&amp;"")),"Y","N"))</f>
        <v/>
      </c>
      <c r="G147" s="10">
        <f>IF($A147="","",IF(SUMPRODUCT((scope_HTS&lt;&gt;"")*(LEFT($C147,LEN(scope_HTS))=scope_HTS))&gt;0,"Y","N"))</f>
        <v/>
      </c>
      <c r="H147" s="10">
        <f>IF($A147="","",IF(SUMPRODUCT((excl_HTS&lt;&gt;"")*(LEFT($C147,LEN(excl_HTS))=excl_HTS))&gt;0,"Y","N"))</f>
        <v/>
      </c>
      <c r="I147" s="10">
        <f>IF($A147="","",IF($E147="","N",IF(COUNTIF(scope_COO,$E147)&gt;0,"Y","N")))</f>
        <v/>
      </c>
      <c r="J147" s="10">
        <f>IF($A147="","",IF(AND(UPPER(TRIM(act_USMCAExempt&amp;""))="Y",UPPER(TRIM(Items!F147&amp;""))="Y"),"Y","N"))</f>
        <v/>
      </c>
      <c r="K147" s="10">
        <f>IF($A147="","",IFERROR(UPPER(TRIM(INDEX(det_Status,MATCH($A147,det_Item,0))&amp;"")),""))</f>
        <v/>
      </c>
      <c r="L147" s="10">
        <f>IF($A147="","",IF($K147="IN","Y",IF($K147="OUT","N",IF(AND($F147="Y",$G147="Y",$H147="N",$I147="Y",$J147="N"),"Y","N"))))</f>
        <v/>
      </c>
      <c r="M147" s="10">
        <f>IF($A147="","",IF($K147="IN","In: Research determination",IF($K147="OUT","Out: Research determination",IF($F147="N","Out: different import country",IF($G147="N","Out: HTS not on scope list",IF($H147="Y","Out: HTS on exclusion list",IF($I147="N","Out: origin not on scope list",IF($J147="Y","Out: USMCA-qualifying, exempt","In: matches scope rules"))))))))</f>
        <v/>
      </c>
      <c r="N147" s="16">
        <f>IF($A147="","",N(Items!I147))</f>
        <v/>
      </c>
      <c r="O147" s="16">
        <f>IF($A147="","",IF($L147="Y",$N147+N(act_Rate)-IF(UPPER(TRIM(act_RateType&amp;""))="REPLACE",N(act_PriorRate),0),$N147))</f>
        <v/>
      </c>
      <c r="P147" s="17">
        <f>IF($A147="","",N(Items!G147)*$N147)</f>
        <v/>
      </c>
      <c r="Q147" s="17">
        <f>IF($A147="","",N(Items!G147)*$O147)</f>
        <v/>
      </c>
      <c r="R147" s="17">
        <f>IF($A147="","",$Q147-$P147)</f>
        <v/>
      </c>
      <c r="S147" s="17">
        <f>IF($A147="","",N(Items!J147)+$R147)</f>
        <v/>
      </c>
      <c r="T147" s="16">
        <f>IF($A147="","",IF(N(Items!K147)=0,"",(N(Items!K147)-N(Items!J147))/N(Items!K147)))</f>
        <v/>
      </c>
      <c r="U147" s="16">
        <f>IF($A147="","",IF(N(Items!K147)=0,"",(N(Items!K147)-$S147)/N(Items!K147)))</f>
        <v/>
      </c>
      <c r="V147" s="16">
        <f>IF(OR($T147="",$U147=""),"",$U147-$T147)</f>
        <v/>
      </c>
      <c r="W147" s="18">
        <f>IF($A147="","",N(Items!H147))</f>
        <v/>
      </c>
      <c r="X147" s="19">
        <f>IF($A147="","",$R147*$W147)</f>
        <v/>
      </c>
      <c r="Y147" s="19">
        <f>IF($A147="","",N(Items!K147)*$W147)</f>
        <v/>
      </c>
      <c r="Z147" s="19">
        <f>IF($A147="","",(N(Items!K147)-N(Items!J147))*$W147)</f>
        <v/>
      </c>
      <c r="AA147" s="19">
        <f>IF($A147="","",$Z147-$X147)</f>
        <v/>
      </c>
      <c r="AB147" s="10">
        <f>IF($A147="","",IF(TRIM(Items!C147&amp;"")="","CHECK: import country missing",IF(OR(LEN($C147)&lt;&gt;10,ISERROR(VALUE($C147))),"CHECK: HTS must be 10 digits",IF(LEN($E147)&lt;&gt;2,"CHECK: origin code missing or not 2 letters",IF(OR(Items!G147="",Items!I147="",Items!J147=""),"CHECK: value, rate or cost missing",IF(ISNUMBER(Items!G147)*ISNUMBER(Items!I147)*ISNUMBER(Items!J147)=0,"CHECK: text in a number column",IF(AND($L147="Y",UPPER(TRIM(act_RateType&amp;""))="REPLACE",$N147&lt;N(act_PriorRate)),"CHECK: current rate is below the rate being replaced",IF(AND($L147="Y",$W147=0),"NOTE: in scope, no volume","OK"))))))))</f>
        <v/>
      </c>
      <c r="AC147" s="20">
        <f>IF($A147="","",IF(AND($L147="Y",$X147&lt;&gt;0),ABS($X147)+ROW()/1000000000,""))</f>
        <v/>
      </c>
    </row>
    <row r="148">
      <c r="A148" s="10">
        <f>IF(TRIM(Items!A148&amp;"")="","",TRIM(Items!A148&amp;""))</f>
        <v/>
      </c>
      <c r="B148" s="10">
        <f>IF($A148="","",Items!B148&amp;"")</f>
        <v/>
      </c>
      <c r="C148" s="10">
        <f>IF($A148="","",SUBSTITUTE(SUBSTITUTE(SUBSTITUTE(TRIM(Items!D148&amp;""),".","")," ",""),"-",""))</f>
        <v/>
      </c>
      <c r="D148" s="10">
        <f>IF($A148="","",LEFT($C148,2))</f>
        <v/>
      </c>
      <c r="E148" s="10">
        <f>IF($A148="","",UPPER(TRIM(Items!E148&amp;"")))</f>
        <v/>
      </c>
      <c r="F148" s="10">
        <f>IF($A148="","",IF(UPPER(TRIM(Items!C148&amp;""))=UPPER(TRIM(act_Country&amp;"")),"Y","N"))</f>
        <v/>
      </c>
      <c r="G148" s="10">
        <f>IF($A148="","",IF(SUMPRODUCT((scope_HTS&lt;&gt;"")*(LEFT($C148,LEN(scope_HTS))=scope_HTS))&gt;0,"Y","N"))</f>
        <v/>
      </c>
      <c r="H148" s="10">
        <f>IF($A148="","",IF(SUMPRODUCT((excl_HTS&lt;&gt;"")*(LEFT($C148,LEN(excl_HTS))=excl_HTS))&gt;0,"Y","N"))</f>
        <v/>
      </c>
      <c r="I148" s="10">
        <f>IF($A148="","",IF($E148="","N",IF(COUNTIF(scope_COO,$E148)&gt;0,"Y","N")))</f>
        <v/>
      </c>
      <c r="J148" s="10">
        <f>IF($A148="","",IF(AND(UPPER(TRIM(act_USMCAExempt&amp;""))="Y",UPPER(TRIM(Items!F148&amp;""))="Y"),"Y","N"))</f>
        <v/>
      </c>
      <c r="K148" s="10">
        <f>IF($A148="","",IFERROR(UPPER(TRIM(INDEX(det_Status,MATCH($A148,det_Item,0))&amp;"")),""))</f>
        <v/>
      </c>
      <c r="L148" s="10">
        <f>IF($A148="","",IF($K148="IN","Y",IF($K148="OUT","N",IF(AND($F148="Y",$G148="Y",$H148="N",$I148="Y",$J148="N"),"Y","N"))))</f>
        <v/>
      </c>
      <c r="M148" s="10">
        <f>IF($A148="","",IF($K148="IN","In: Research determination",IF($K148="OUT","Out: Research determination",IF($F148="N","Out: different import country",IF($G148="N","Out: HTS not on scope list",IF($H148="Y","Out: HTS on exclusion list",IF($I148="N","Out: origin not on scope list",IF($J148="Y","Out: USMCA-qualifying, exempt","In: matches scope rules"))))))))</f>
        <v/>
      </c>
      <c r="N148" s="16">
        <f>IF($A148="","",N(Items!I148))</f>
        <v/>
      </c>
      <c r="O148" s="16">
        <f>IF($A148="","",IF($L148="Y",$N148+N(act_Rate)-IF(UPPER(TRIM(act_RateType&amp;""))="REPLACE",N(act_PriorRate),0),$N148))</f>
        <v/>
      </c>
      <c r="P148" s="17">
        <f>IF($A148="","",N(Items!G148)*$N148)</f>
        <v/>
      </c>
      <c r="Q148" s="17">
        <f>IF($A148="","",N(Items!G148)*$O148)</f>
        <v/>
      </c>
      <c r="R148" s="17">
        <f>IF($A148="","",$Q148-$P148)</f>
        <v/>
      </c>
      <c r="S148" s="17">
        <f>IF($A148="","",N(Items!J148)+$R148)</f>
        <v/>
      </c>
      <c r="T148" s="16">
        <f>IF($A148="","",IF(N(Items!K148)=0,"",(N(Items!K148)-N(Items!J148))/N(Items!K148)))</f>
        <v/>
      </c>
      <c r="U148" s="16">
        <f>IF($A148="","",IF(N(Items!K148)=0,"",(N(Items!K148)-$S148)/N(Items!K148)))</f>
        <v/>
      </c>
      <c r="V148" s="16">
        <f>IF(OR($T148="",$U148=""),"",$U148-$T148)</f>
        <v/>
      </c>
      <c r="W148" s="18">
        <f>IF($A148="","",N(Items!H148))</f>
        <v/>
      </c>
      <c r="X148" s="19">
        <f>IF($A148="","",$R148*$W148)</f>
        <v/>
      </c>
      <c r="Y148" s="19">
        <f>IF($A148="","",N(Items!K148)*$W148)</f>
        <v/>
      </c>
      <c r="Z148" s="19">
        <f>IF($A148="","",(N(Items!K148)-N(Items!J148))*$W148)</f>
        <v/>
      </c>
      <c r="AA148" s="19">
        <f>IF($A148="","",$Z148-$X148)</f>
        <v/>
      </c>
      <c r="AB148" s="10">
        <f>IF($A148="","",IF(TRIM(Items!C148&amp;"")="","CHECK: import country missing",IF(OR(LEN($C148)&lt;&gt;10,ISERROR(VALUE($C148))),"CHECK: HTS must be 10 digits",IF(LEN($E148)&lt;&gt;2,"CHECK: origin code missing or not 2 letters",IF(OR(Items!G148="",Items!I148="",Items!J148=""),"CHECK: value, rate or cost missing",IF(ISNUMBER(Items!G148)*ISNUMBER(Items!I148)*ISNUMBER(Items!J148)=0,"CHECK: text in a number column",IF(AND($L148="Y",UPPER(TRIM(act_RateType&amp;""))="REPLACE",$N148&lt;N(act_PriorRate)),"CHECK: current rate is below the rate being replaced",IF(AND($L148="Y",$W148=0),"NOTE: in scope, no volume","OK"))))))))</f>
        <v/>
      </c>
      <c r="AC148" s="20">
        <f>IF($A148="","",IF(AND($L148="Y",$X148&lt;&gt;0),ABS($X148)+ROW()/1000000000,""))</f>
        <v/>
      </c>
    </row>
    <row r="149">
      <c r="A149" s="10">
        <f>IF(TRIM(Items!A149&amp;"")="","",TRIM(Items!A149&amp;""))</f>
        <v/>
      </c>
      <c r="B149" s="10">
        <f>IF($A149="","",Items!B149&amp;"")</f>
        <v/>
      </c>
      <c r="C149" s="10">
        <f>IF($A149="","",SUBSTITUTE(SUBSTITUTE(SUBSTITUTE(TRIM(Items!D149&amp;""),".","")," ",""),"-",""))</f>
        <v/>
      </c>
      <c r="D149" s="10">
        <f>IF($A149="","",LEFT($C149,2))</f>
        <v/>
      </c>
      <c r="E149" s="10">
        <f>IF($A149="","",UPPER(TRIM(Items!E149&amp;"")))</f>
        <v/>
      </c>
      <c r="F149" s="10">
        <f>IF($A149="","",IF(UPPER(TRIM(Items!C149&amp;""))=UPPER(TRIM(act_Country&amp;"")),"Y","N"))</f>
        <v/>
      </c>
      <c r="G149" s="10">
        <f>IF($A149="","",IF(SUMPRODUCT((scope_HTS&lt;&gt;"")*(LEFT($C149,LEN(scope_HTS))=scope_HTS))&gt;0,"Y","N"))</f>
        <v/>
      </c>
      <c r="H149" s="10">
        <f>IF($A149="","",IF(SUMPRODUCT((excl_HTS&lt;&gt;"")*(LEFT($C149,LEN(excl_HTS))=excl_HTS))&gt;0,"Y","N"))</f>
        <v/>
      </c>
      <c r="I149" s="10">
        <f>IF($A149="","",IF($E149="","N",IF(COUNTIF(scope_COO,$E149)&gt;0,"Y","N")))</f>
        <v/>
      </c>
      <c r="J149" s="10">
        <f>IF($A149="","",IF(AND(UPPER(TRIM(act_USMCAExempt&amp;""))="Y",UPPER(TRIM(Items!F149&amp;""))="Y"),"Y","N"))</f>
        <v/>
      </c>
      <c r="K149" s="10">
        <f>IF($A149="","",IFERROR(UPPER(TRIM(INDEX(det_Status,MATCH($A149,det_Item,0))&amp;"")),""))</f>
        <v/>
      </c>
      <c r="L149" s="10">
        <f>IF($A149="","",IF($K149="IN","Y",IF($K149="OUT","N",IF(AND($F149="Y",$G149="Y",$H149="N",$I149="Y",$J149="N"),"Y","N"))))</f>
        <v/>
      </c>
      <c r="M149" s="10">
        <f>IF($A149="","",IF($K149="IN","In: Research determination",IF($K149="OUT","Out: Research determination",IF($F149="N","Out: different import country",IF($G149="N","Out: HTS not on scope list",IF($H149="Y","Out: HTS on exclusion list",IF($I149="N","Out: origin not on scope list",IF($J149="Y","Out: USMCA-qualifying, exempt","In: matches scope rules"))))))))</f>
        <v/>
      </c>
      <c r="N149" s="16">
        <f>IF($A149="","",N(Items!I149))</f>
        <v/>
      </c>
      <c r="O149" s="16">
        <f>IF($A149="","",IF($L149="Y",$N149+N(act_Rate)-IF(UPPER(TRIM(act_RateType&amp;""))="REPLACE",N(act_PriorRate),0),$N149))</f>
        <v/>
      </c>
      <c r="P149" s="17">
        <f>IF($A149="","",N(Items!G149)*$N149)</f>
        <v/>
      </c>
      <c r="Q149" s="17">
        <f>IF($A149="","",N(Items!G149)*$O149)</f>
        <v/>
      </c>
      <c r="R149" s="17">
        <f>IF($A149="","",$Q149-$P149)</f>
        <v/>
      </c>
      <c r="S149" s="17">
        <f>IF($A149="","",N(Items!J149)+$R149)</f>
        <v/>
      </c>
      <c r="T149" s="16">
        <f>IF($A149="","",IF(N(Items!K149)=0,"",(N(Items!K149)-N(Items!J149))/N(Items!K149)))</f>
        <v/>
      </c>
      <c r="U149" s="16">
        <f>IF($A149="","",IF(N(Items!K149)=0,"",(N(Items!K149)-$S149)/N(Items!K149)))</f>
        <v/>
      </c>
      <c r="V149" s="16">
        <f>IF(OR($T149="",$U149=""),"",$U149-$T149)</f>
        <v/>
      </c>
      <c r="W149" s="18">
        <f>IF($A149="","",N(Items!H149))</f>
        <v/>
      </c>
      <c r="X149" s="19">
        <f>IF($A149="","",$R149*$W149)</f>
        <v/>
      </c>
      <c r="Y149" s="19">
        <f>IF($A149="","",N(Items!K149)*$W149)</f>
        <v/>
      </c>
      <c r="Z149" s="19">
        <f>IF($A149="","",(N(Items!K149)-N(Items!J149))*$W149)</f>
        <v/>
      </c>
      <c r="AA149" s="19">
        <f>IF($A149="","",$Z149-$X149)</f>
        <v/>
      </c>
      <c r="AB149" s="10">
        <f>IF($A149="","",IF(TRIM(Items!C149&amp;"")="","CHECK: import country missing",IF(OR(LEN($C149)&lt;&gt;10,ISERROR(VALUE($C149))),"CHECK: HTS must be 10 digits",IF(LEN($E149)&lt;&gt;2,"CHECK: origin code missing or not 2 letters",IF(OR(Items!G149="",Items!I149="",Items!J149=""),"CHECK: value, rate or cost missing",IF(ISNUMBER(Items!G149)*ISNUMBER(Items!I149)*ISNUMBER(Items!J149)=0,"CHECK: text in a number column",IF(AND($L149="Y",UPPER(TRIM(act_RateType&amp;""))="REPLACE",$N149&lt;N(act_PriorRate)),"CHECK: current rate is below the rate being replaced",IF(AND($L149="Y",$W149=0),"NOTE: in scope, no volume","OK"))))))))</f>
        <v/>
      </c>
      <c r="AC149" s="20">
        <f>IF($A149="","",IF(AND($L149="Y",$X149&lt;&gt;0),ABS($X149)+ROW()/1000000000,""))</f>
        <v/>
      </c>
    </row>
    <row r="150">
      <c r="A150" s="10">
        <f>IF(TRIM(Items!A150&amp;"")="","",TRIM(Items!A150&amp;""))</f>
        <v/>
      </c>
      <c r="B150" s="10">
        <f>IF($A150="","",Items!B150&amp;"")</f>
        <v/>
      </c>
      <c r="C150" s="10">
        <f>IF($A150="","",SUBSTITUTE(SUBSTITUTE(SUBSTITUTE(TRIM(Items!D150&amp;""),".","")," ",""),"-",""))</f>
        <v/>
      </c>
      <c r="D150" s="10">
        <f>IF($A150="","",LEFT($C150,2))</f>
        <v/>
      </c>
      <c r="E150" s="10">
        <f>IF($A150="","",UPPER(TRIM(Items!E150&amp;"")))</f>
        <v/>
      </c>
      <c r="F150" s="10">
        <f>IF($A150="","",IF(UPPER(TRIM(Items!C150&amp;""))=UPPER(TRIM(act_Country&amp;"")),"Y","N"))</f>
        <v/>
      </c>
      <c r="G150" s="10">
        <f>IF($A150="","",IF(SUMPRODUCT((scope_HTS&lt;&gt;"")*(LEFT($C150,LEN(scope_HTS))=scope_HTS))&gt;0,"Y","N"))</f>
        <v/>
      </c>
      <c r="H150" s="10">
        <f>IF($A150="","",IF(SUMPRODUCT((excl_HTS&lt;&gt;"")*(LEFT($C150,LEN(excl_HTS))=excl_HTS))&gt;0,"Y","N"))</f>
        <v/>
      </c>
      <c r="I150" s="10">
        <f>IF($A150="","",IF($E150="","N",IF(COUNTIF(scope_COO,$E150)&gt;0,"Y","N")))</f>
        <v/>
      </c>
      <c r="J150" s="10">
        <f>IF($A150="","",IF(AND(UPPER(TRIM(act_USMCAExempt&amp;""))="Y",UPPER(TRIM(Items!F150&amp;""))="Y"),"Y","N"))</f>
        <v/>
      </c>
      <c r="K150" s="10">
        <f>IF($A150="","",IFERROR(UPPER(TRIM(INDEX(det_Status,MATCH($A150,det_Item,0))&amp;"")),""))</f>
        <v/>
      </c>
      <c r="L150" s="10">
        <f>IF($A150="","",IF($K150="IN","Y",IF($K150="OUT","N",IF(AND($F150="Y",$G150="Y",$H150="N",$I150="Y",$J150="N"),"Y","N"))))</f>
        <v/>
      </c>
      <c r="M150" s="10">
        <f>IF($A150="","",IF($K150="IN","In: Research determination",IF($K150="OUT","Out: Research determination",IF($F150="N","Out: different import country",IF($G150="N","Out: HTS not on scope list",IF($H150="Y","Out: HTS on exclusion list",IF($I150="N","Out: origin not on scope list",IF($J150="Y","Out: USMCA-qualifying, exempt","In: matches scope rules"))))))))</f>
        <v/>
      </c>
      <c r="N150" s="16">
        <f>IF($A150="","",N(Items!I150))</f>
        <v/>
      </c>
      <c r="O150" s="16">
        <f>IF($A150="","",IF($L150="Y",$N150+N(act_Rate)-IF(UPPER(TRIM(act_RateType&amp;""))="REPLACE",N(act_PriorRate),0),$N150))</f>
        <v/>
      </c>
      <c r="P150" s="17">
        <f>IF($A150="","",N(Items!G150)*$N150)</f>
        <v/>
      </c>
      <c r="Q150" s="17">
        <f>IF($A150="","",N(Items!G150)*$O150)</f>
        <v/>
      </c>
      <c r="R150" s="17">
        <f>IF($A150="","",$Q150-$P150)</f>
        <v/>
      </c>
      <c r="S150" s="17">
        <f>IF($A150="","",N(Items!J150)+$R150)</f>
        <v/>
      </c>
      <c r="T150" s="16">
        <f>IF($A150="","",IF(N(Items!K150)=0,"",(N(Items!K150)-N(Items!J150))/N(Items!K150)))</f>
        <v/>
      </c>
      <c r="U150" s="16">
        <f>IF($A150="","",IF(N(Items!K150)=0,"",(N(Items!K150)-$S150)/N(Items!K150)))</f>
        <v/>
      </c>
      <c r="V150" s="16">
        <f>IF(OR($T150="",$U150=""),"",$U150-$T150)</f>
        <v/>
      </c>
      <c r="W150" s="18">
        <f>IF($A150="","",N(Items!H150))</f>
        <v/>
      </c>
      <c r="X150" s="19">
        <f>IF($A150="","",$R150*$W150)</f>
        <v/>
      </c>
      <c r="Y150" s="19">
        <f>IF($A150="","",N(Items!K150)*$W150)</f>
        <v/>
      </c>
      <c r="Z150" s="19">
        <f>IF($A150="","",(N(Items!K150)-N(Items!J150))*$W150)</f>
        <v/>
      </c>
      <c r="AA150" s="19">
        <f>IF($A150="","",$Z150-$X150)</f>
        <v/>
      </c>
      <c r="AB150" s="10">
        <f>IF($A150="","",IF(TRIM(Items!C150&amp;"")="","CHECK: import country missing",IF(OR(LEN($C150)&lt;&gt;10,ISERROR(VALUE($C150))),"CHECK: HTS must be 10 digits",IF(LEN($E150)&lt;&gt;2,"CHECK: origin code missing or not 2 letters",IF(OR(Items!G150="",Items!I150="",Items!J150=""),"CHECK: value, rate or cost missing",IF(ISNUMBER(Items!G150)*ISNUMBER(Items!I150)*ISNUMBER(Items!J150)=0,"CHECK: text in a number column",IF(AND($L150="Y",UPPER(TRIM(act_RateType&amp;""))="REPLACE",$N150&lt;N(act_PriorRate)),"CHECK: current rate is below the rate being replaced",IF(AND($L150="Y",$W150=0),"NOTE: in scope, no volume","OK"))))))))</f>
        <v/>
      </c>
      <c r="AC150" s="20">
        <f>IF($A150="","",IF(AND($L150="Y",$X150&lt;&gt;0),ABS($X150)+ROW()/1000000000,""))</f>
        <v/>
      </c>
    </row>
    <row r="151">
      <c r="A151" s="10">
        <f>IF(TRIM(Items!A151&amp;"")="","",TRIM(Items!A151&amp;""))</f>
        <v/>
      </c>
      <c r="B151" s="10">
        <f>IF($A151="","",Items!B151&amp;"")</f>
        <v/>
      </c>
      <c r="C151" s="10">
        <f>IF($A151="","",SUBSTITUTE(SUBSTITUTE(SUBSTITUTE(TRIM(Items!D151&amp;""),".","")," ",""),"-",""))</f>
        <v/>
      </c>
      <c r="D151" s="10">
        <f>IF($A151="","",LEFT($C151,2))</f>
        <v/>
      </c>
      <c r="E151" s="10">
        <f>IF($A151="","",UPPER(TRIM(Items!E151&amp;"")))</f>
        <v/>
      </c>
      <c r="F151" s="10">
        <f>IF($A151="","",IF(UPPER(TRIM(Items!C151&amp;""))=UPPER(TRIM(act_Country&amp;"")),"Y","N"))</f>
        <v/>
      </c>
      <c r="G151" s="10">
        <f>IF($A151="","",IF(SUMPRODUCT((scope_HTS&lt;&gt;"")*(LEFT($C151,LEN(scope_HTS))=scope_HTS))&gt;0,"Y","N"))</f>
        <v/>
      </c>
      <c r="H151" s="10">
        <f>IF($A151="","",IF(SUMPRODUCT((excl_HTS&lt;&gt;"")*(LEFT($C151,LEN(excl_HTS))=excl_HTS))&gt;0,"Y","N"))</f>
        <v/>
      </c>
      <c r="I151" s="10">
        <f>IF($A151="","",IF($E151="","N",IF(COUNTIF(scope_COO,$E151)&gt;0,"Y","N")))</f>
        <v/>
      </c>
      <c r="J151" s="10">
        <f>IF($A151="","",IF(AND(UPPER(TRIM(act_USMCAExempt&amp;""))="Y",UPPER(TRIM(Items!F151&amp;""))="Y"),"Y","N"))</f>
        <v/>
      </c>
      <c r="K151" s="10">
        <f>IF($A151="","",IFERROR(UPPER(TRIM(INDEX(det_Status,MATCH($A151,det_Item,0))&amp;"")),""))</f>
        <v/>
      </c>
      <c r="L151" s="10">
        <f>IF($A151="","",IF($K151="IN","Y",IF($K151="OUT","N",IF(AND($F151="Y",$G151="Y",$H151="N",$I151="Y",$J151="N"),"Y","N"))))</f>
        <v/>
      </c>
      <c r="M151" s="10">
        <f>IF($A151="","",IF($K151="IN","In: Research determination",IF($K151="OUT","Out: Research determination",IF($F151="N","Out: different import country",IF($G151="N","Out: HTS not on scope list",IF($H151="Y","Out: HTS on exclusion list",IF($I151="N","Out: origin not on scope list",IF($J151="Y","Out: USMCA-qualifying, exempt","In: matches scope rules"))))))))</f>
        <v/>
      </c>
      <c r="N151" s="16">
        <f>IF($A151="","",N(Items!I151))</f>
        <v/>
      </c>
      <c r="O151" s="16">
        <f>IF($A151="","",IF($L151="Y",$N151+N(act_Rate)-IF(UPPER(TRIM(act_RateType&amp;""))="REPLACE",N(act_PriorRate),0),$N151))</f>
        <v/>
      </c>
      <c r="P151" s="17">
        <f>IF($A151="","",N(Items!G151)*$N151)</f>
        <v/>
      </c>
      <c r="Q151" s="17">
        <f>IF($A151="","",N(Items!G151)*$O151)</f>
        <v/>
      </c>
      <c r="R151" s="17">
        <f>IF($A151="","",$Q151-$P151)</f>
        <v/>
      </c>
      <c r="S151" s="17">
        <f>IF($A151="","",N(Items!J151)+$R151)</f>
        <v/>
      </c>
      <c r="T151" s="16">
        <f>IF($A151="","",IF(N(Items!K151)=0,"",(N(Items!K151)-N(Items!J151))/N(Items!K151)))</f>
        <v/>
      </c>
      <c r="U151" s="16">
        <f>IF($A151="","",IF(N(Items!K151)=0,"",(N(Items!K151)-$S151)/N(Items!K151)))</f>
        <v/>
      </c>
      <c r="V151" s="16">
        <f>IF(OR($T151="",$U151=""),"",$U151-$T151)</f>
        <v/>
      </c>
      <c r="W151" s="18">
        <f>IF($A151="","",N(Items!H151))</f>
        <v/>
      </c>
      <c r="X151" s="19">
        <f>IF($A151="","",$R151*$W151)</f>
        <v/>
      </c>
      <c r="Y151" s="19">
        <f>IF($A151="","",N(Items!K151)*$W151)</f>
        <v/>
      </c>
      <c r="Z151" s="19">
        <f>IF($A151="","",(N(Items!K151)-N(Items!J151))*$W151)</f>
        <v/>
      </c>
      <c r="AA151" s="19">
        <f>IF($A151="","",$Z151-$X151)</f>
        <v/>
      </c>
      <c r="AB151" s="10">
        <f>IF($A151="","",IF(TRIM(Items!C151&amp;"")="","CHECK: import country missing",IF(OR(LEN($C151)&lt;&gt;10,ISERROR(VALUE($C151))),"CHECK: HTS must be 10 digits",IF(LEN($E151)&lt;&gt;2,"CHECK: origin code missing or not 2 letters",IF(OR(Items!G151="",Items!I151="",Items!J151=""),"CHECK: value, rate or cost missing",IF(ISNUMBER(Items!G151)*ISNUMBER(Items!I151)*ISNUMBER(Items!J151)=0,"CHECK: text in a number column",IF(AND($L151="Y",UPPER(TRIM(act_RateType&amp;""))="REPLACE",$N151&lt;N(act_PriorRate)),"CHECK: current rate is below the rate being replaced",IF(AND($L151="Y",$W151=0),"NOTE: in scope, no volume","OK"))))))))</f>
        <v/>
      </c>
      <c r="AC151" s="20">
        <f>IF($A151="","",IF(AND($L151="Y",$X151&lt;&gt;0),ABS($X151)+ROW()/1000000000,""))</f>
        <v/>
      </c>
    </row>
    <row r="152">
      <c r="A152" s="10">
        <f>IF(TRIM(Items!A152&amp;"")="","",TRIM(Items!A152&amp;""))</f>
        <v/>
      </c>
      <c r="B152" s="10">
        <f>IF($A152="","",Items!B152&amp;"")</f>
        <v/>
      </c>
      <c r="C152" s="10">
        <f>IF($A152="","",SUBSTITUTE(SUBSTITUTE(SUBSTITUTE(TRIM(Items!D152&amp;""),".","")," ",""),"-",""))</f>
        <v/>
      </c>
      <c r="D152" s="10">
        <f>IF($A152="","",LEFT($C152,2))</f>
        <v/>
      </c>
      <c r="E152" s="10">
        <f>IF($A152="","",UPPER(TRIM(Items!E152&amp;"")))</f>
        <v/>
      </c>
      <c r="F152" s="10">
        <f>IF($A152="","",IF(UPPER(TRIM(Items!C152&amp;""))=UPPER(TRIM(act_Country&amp;"")),"Y","N"))</f>
        <v/>
      </c>
      <c r="G152" s="10">
        <f>IF($A152="","",IF(SUMPRODUCT((scope_HTS&lt;&gt;"")*(LEFT($C152,LEN(scope_HTS))=scope_HTS))&gt;0,"Y","N"))</f>
        <v/>
      </c>
      <c r="H152" s="10">
        <f>IF($A152="","",IF(SUMPRODUCT((excl_HTS&lt;&gt;"")*(LEFT($C152,LEN(excl_HTS))=excl_HTS))&gt;0,"Y","N"))</f>
        <v/>
      </c>
      <c r="I152" s="10">
        <f>IF($A152="","",IF($E152="","N",IF(COUNTIF(scope_COO,$E152)&gt;0,"Y","N")))</f>
        <v/>
      </c>
      <c r="J152" s="10">
        <f>IF($A152="","",IF(AND(UPPER(TRIM(act_USMCAExempt&amp;""))="Y",UPPER(TRIM(Items!F152&amp;""))="Y"),"Y","N"))</f>
        <v/>
      </c>
      <c r="K152" s="10">
        <f>IF($A152="","",IFERROR(UPPER(TRIM(INDEX(det_Status,MATCH($A152,det_Item,0))&amp;"")),""))</f>
        <v/>
      </c>
      <c r="L152" s="10">
        <f>IF($A152="","",IF($K152="IN","Y",IF($K152="OUT","N",IF(AND($F152="Y",$G152="Y",$H152="N",$I152="Y",$J152="N"),"Y","N"))))</f>
        <v/>
      </c>
      <c r="M152" s="10">
        <f>IF($A152="","",IF($K152="IN","In: Research determination",IF($K152="OUT","Out: Research determination",IF($F152="N","Out: different import country",IF($G152="N","Out: HTS not on scope list",IF($H152="Y","Out: HTS on exclusion list",IF($I152="N","Out: origin not on scope list",IF($J152="Y","Out: USMCA-qualifying, exempt","In: matches scope rules"))))))))</f>
        <v/>
      </c>
      <c r="N152" s="16">
        <f>IF($A152="","",N(Items!I152))</f>
        <v/>
      </c>
      <c r="O152" s="16">
        <f>IF($A152="","",IF($L152="Y",$N152+N(act_Rate)-IF(UPPER(TRIM(act_RateType&amp;""))="REPLACE",N(act_PriorRate),0),$N152))</f>
        <v/>
      </c>
      <c r="P152" s="17">
        <f>IF($A152="","",N(Items!G152)*$N152)</f>
        <v/>
      </c>
      <c r="Q152" s="17">
        <f>IF($A152="","",N(Items!G152)*$O152)</f>
        <v/>
      </c>
      <c r="R152" s="17">
        <f>IF($A152="","",$Q152-$P152)</f>
        <v/>
      </c>
      <c r="S152" s="17">
        <f>IF($A152="","",N(Items!J152)+$R152)</f>
        <v/>
      </c>
      <c r="T152" s="16">
        <f>IF($A152="","",IF(N(Items!K152)=0,"",(N(Items!K152)-N(Items!J152))/N(Items!K152)))</f>
        <v/>
      </c>
      <c r="U152" s="16">
        <f>IF($A152="","",IF(N(Items!K152)=0,"",(N(Items!K152)-$S152)/N(Items!K152)))</f>
        <v/>
      </c>
      <c r="V152" s="16">
        <f>IF(OR($T152="",$U152=""),"",$U152-$T152)</f>
        <v/>
      </c>
      <c r="W152" s="18">
        <f>IF($A152="","",N(Items!H152))</f>
        <v/>
      </c>
      <c r="X152" s="19">
        <f>IF($A152="","",$R152*$W152)</f>
        <v/>
      </c>
      <c r="Y152" s="19">
        <f>IF($A152="","",N(Items!K152)*$W152)</f>
        <v/>
      </c>
      <c r="Z152" s="19">
        <f>IF($A152="","",(N(Items!K152)-N(Items!J152))*$W152)</f>
        <v/>
      </c>
      <c r="AA152" s="19">
        <f>IF($A152="","",$Z152-$X152)</f>
        <v/>
      </c>
      <c r="AB152" s="10">
        <f>IF($A152="","",IF(TRIM(Items!C152&amp;"")="","CHECK: import country missing",IF(OR(LEN($C152)&lt;&gt;10,ISERROR(VALUE($C152))),"CHECK: HTS must be 10 digits",IF(LEN($E152)&lt;&gt;2,"CHECK: origin code missing or not 2 letters",IF(OR(Items!G152="",Items!I152="",Items!J152=""),"CHECK: value, rate or cost missing",IF(ISNUMBER(Items!G152)*ISNUMBER(Items!I152)*ISNUMBER(Items!J152)=0,"CHECK: text in a number column",IF(AND($L152="Y",UPPER(TRIM(act_RateType&amp;""))="REPLACE",$N152&lt;N(act_PriorRate)),"CHECK: current rate is below the rate being replaced",IF(AND($L152="Y",$W152=0),"NOTE: in scope, no volume","OK"))))))))</f>
        <v/>
      </c>
      <c r="AC152" s="20">
        <f>IF($A152="","",IF(AND($L152="Y",$X152&lt;&gt;0),ABS($X152)+ROW()/1000000000,""))</f>
        <v/>
      </c>
    </row>
    <row r="153">
      <c r="A153" s="10">
        <f>IF(TRIM(Items!A153&amp;"")="","",TRIM(Items!A153&amp;""))</f>
        <v/>
      </c>
      <c r="B153" s="10">
        <f>IF($A153="","",Items!B153&amp;"")</f>
        <v/>
      </c>
      <c r="C153" s="10">
        <f>IF($A153="","",SUBSTITUTE(SUBSTITUTE(SUBSTITUTE(TRIM(Items!D153&amp;""),".","")," ",""),"-",""))</f>
        <v/>
      </c>
      <c r="D153" s="10">
        <f>IF($A153="","",LEFT($C153,2))</f>
        <v/>
      </c>
      <c r="E153" s="10">
        <f>IF($A153="","",UPPER(TRIM(Items!E153&amp;"")))</f>
        <v/>
      </c>
      <c r="F153" s="10">
        <f>IF($A153="","",IF(UPPER(TRIM(Items!C153&amp;""))=UPPER(TRIM(act_Country&amp;"")),"Y","N"))</f>
        <v/>
      </c>
      <c r="G153" s="10">
        <f>IF($A153="","",IF(SUMPRODUCT((scope_HTS&lt;&gt;"")*(LEFT($C153,LEN(scope_HTS))=scope_HTS))&gt;0,"Y","N"))</f>
        <v/>
      </c>
      <c r="H153" s="10">
        <f>IF($A153="","",IF(SUMPRODUCT((excl_HTS&lt;&gt;"")*(LEFT($C153,LEN(excl_HTS))=excl_HTS))&gt;0,"Y","N"))</f>
        <v/>
      </c>
      <c r="I153" s="10">
        <f>IF($A153="","",IF($E153="","N",IF(COUNTIF(scope_COO,$E153)&gt;0,"Y","N")))</f>
        <v/>
      </c>
      <c r="J153" s="10">
        <f>IF($A153="","",IF(AND(UPPER(TRIM(act_USMCAExempt&amp;""))="Y",UPPER(TRIM(Items!F153&amp;""))="Y"),"Y","N"))</f>
        <v/>
      </c>
      <c r="K153" s="10">
        <f>IF($A153="","",IFERROR(UPPER(TRIM(INDEX(det_Status,MATCH($A153,det_Item,0))&amp;"")),""))</f>
        <v/>
      </c>
      <c r="L153" s="10">
        <f>IF($A153="","",IF($K153="IN","Y",IF($K153="OUT","N",IF(AND($F153="Y",$G153="Y",$H153="N",$I153="Y",$J153="N"),"Y","N"))))</f>
        <v/>
      </c>
      <c r="M153" s="10">
        <f>IF($A153="","",IF($K153="IN","In: Research determination",IF($K153="OUT","Out: Research determination",IF($F153="N","Out: different import country",IF($G153="N","Out: HTS not on scope list",IF($H153="Y","Out: HTS on exclusion list",IF($I153="N","Out: origin not on scope list",IF($J153="Y","Out: USMCA-qualifying, exempt","In: matches scope rules"))))))))</f>
        <v/>
      </c>
      <c r="N153" s="16">
        <f>IF($A153="","",N(Items!I153))</f>
        <v/>
      </c>
      <c r="O153" s="16">
        <f>IF($A153="","",IF($L153="Y",$N153+N(act_Rate)-IF(UPPER(TRIM(act_RateType&amp;""))="REPLACE",N(act_PriorRate),0),$N153))</f>
        <v/>
      </c>
      <c r="P153" s="17">
        <f>IF($A153="","",N(Items!G153)*$N153)</f>
        <v/>
      </c>
      <c r="Q153" s="17">
        <f>IF($A153="","",N(Items!G153)*$O153)</f>
        <v/>
      </c>
      <c r="R153" s="17">
        <f>IF($A153="","",$Q153-$P153)</f>
        <v/>
      </c>
      <c r="S153" s="17">
        <f>IF($A153="","",N(Items!J153)+$R153)</f>
        <v/>
      </c>
      <c r="T153" s="16">
        <f>IF($A153="","",IF(N(Items!K153)=0,"",(N(Items!K153)-N(Items!J153))/N(Items!K153)))</f>
        <v/>
      </c>
      <c r="U153" s="16">
        <f>IF($A153="","",IF(N(Items!K153)=0,"",(N(Items!K153)-$S153)/N(Items!K153)))</f>
        <v/>
      </c>
      <c r="V153" s="16">
        <f>IF(OR($T153="",$U153=""),"",$U153-$T153)</f>
        <v/>
      </c>
      <c r="W153" s="18">
        <f>IF($A153="","",N(Items!H153))</f>
        <v/>
      </c>
      <c r="X153" s="19">
        <f>IF($A153="","",$R153*$W153)</f>
        <v/>
      </c>
      <c r="Y153" s="19">
        <f>IF($A153="","",N(Items!K153)*$W153)</f>
        <v/>
      </c>
      <c r="Z153" s="19">
        <f>IF($A153="","",(N(Items!K153)-N(Items!J153))*$W153)</f>
        <v/>
      </c>
      <c r="AA153" s="19">
        <f>IF($A153="","",$Z153-$X153)</f>
        <v/>
      </c>
      <c r="AB153" s="10">
        <f>IF($A153="","",IF(TRIM(Items!C153&amp;"")="","CHECK: import country missing",IF(OR(LEN($C153)&lt;&gt;10,ISERROR(VALUE($C153))),"CHECK: HTS must be 10 digits",IF(LEN($E153)&lt;&gt;2,"CHECK: origin code missing or not 2 letters",IF(OR(Items!G153="",Items!I153="",Items!J153=""),"CHECK: value, rate or cost missing",IF(ISNUMBER(Items!G153)*ISNUMBER(Items!I153)*ISNUMBER(Items!J153)=0,"CHECK: text in a number column",IF(AND($L153="Y",UPPER(TRIM(act_RateType&amp;""))="REPLACE",$N153&lt;N(act_PriorRate)),"CHECK: current rate is below the rate being replaced",IF(AND($L153="Y",$W153=0),"NOTE: in scope, no volume","OK"))))))))</f>
        <v/>
      </c>
      <c r="AC153" s="20">
        <f>IF($A153="","",IF(AND($L153="Y",$X153&lt;&gt;0),ABS($X153)+ROW()/1000000000,""))</f>
        <v/>
      </c>
    </row>
    <row r="154">
      <c r="A154" s="10">
        <f>IF(TRIM(Items!A154&amp;"")="","",TRIM(Items!A154&amp;""))</f>
        <v/>
      </c>
      <c r="B154" s="10">
        <f>IF($A154="","",Items!B154&amp;"")</f>
        <v/>
      </c>
      <c r="C154" s="10">
        <f>IF($A154="","",SUBSTITUTE(SUBSTITUTE(SUBSTITUTE(TRIM(Items!D154&amp;""),".","")," ",""),"-",""))</f>
        <v/>
      </c>
      <c r="D154" s="10">
        <f>IF($A154="","",LEFT($C154,2))</f>
        <v/>
      </c>
      <c r="E154" s="10">
        <f>IF($A154="","",UPPER(TRIM(Items!E154&amp;"")))</f>
        <v/>
      </c>
      <c r="F154" s="10">
        <f>IF($A154="","",IF(UPPER(TRIM(Items!C154&amp;""))=UPPER(TRIM(act_Country&amp;"")),"Y","N"))</f>
        <v/>
      </c>
      <c r="G154" s="10">
        <f>IF($A154="","",IF(SUMPRODUCT((scope_HTS&lt;&gt;"")*(LEFT($C154,LEN(scope_HTS))=scope_HTS))&gt;0,"Y","N"))</f>
        <v/>
      </c>
      <c r="H154" s="10">
        <f>IF($A154="","",IF(SUMPRODUCT((excl_HTS&lt;&gt;"")*(LEFT($C154,LEN(excl_HTS))=excl_HTS))&gt;0,"Y","N"))</f>
        <v/>
      </c>
      <c r="I154" s="10">
        <f>IF($A154="","",IF($E154="","N",IF(COUNTIF(scope_COO,$E154)&gt;0,"Y","N")))</f>
        <v/>
      </c>
      <c r="J154" s="10">
        <f>IF($A154="","",IF(AND(UPPER(TRIM(act_USMCAExempt&amp;""))="Y",UPPER(TRIM(Items!F154&amp;""))="Y"),"Y","N"))</f>
        <v/>
      </c>
      <c r="K154" s="10">
        <f>IF($A154="","",IFERROR(UPPER(TRIM(INDEX(det_Status,MATCH($A154,det_Item,0))&amp;"")),""))</f>
        <v/>
      </c>
      <c r="L154" s="10">
        <f>IF($A154="","",IF($K154="IN","Y",IF($K154="OUT","N",IF(AND($F154="Y",$G154="Y",$H154="N",$I154="Y",$J154="N"),"Y","N"))))</f>
        <v/>
      </c>
      <c r="M154" s="10">
        <f>IF($A154="","",IF($K154="IN","In: Research determination",IF($K154="OUT","Out: Research determination",IF($F154="N","Out: different import country",IF($G154="N","Out: HTS not on scope list",IF($H154="Y","Out: HTS on exclusion list",IF($I154="N","Out: origin not on scope list",IF($J154="Y","Out: USMCA-qualifying, exempt","In: matches scope rules"))))))))</f>
        <v/>
      </c>
      <c r="N154" s="16">
        <f>IF($A154="","",N(Items!I154))</f>
        <v/>
      </c>
      <c r="O154" s="16">
        <f>IF($A154="","",IF($L154="Y",$N154+N(act_Rate)-IF(UPPER(TRIM(act_RateType&amp;""))="REPLACE",N(act_PriorRate),0),$N154))</f>
        <v/>
      </c>
      <c r="P154" s="17">
        <f>IF($A154="","",N(Items!G154)*$N154)</f>
        <v/>
      </c>
      <c r="Q154" s="17">
        <f>IF($A154="","",N(Items!G154)*$O154)</f>
        <v/>
      </c>
      <c r="R154" s="17">
        <f>IF($A154="","",$Q154-$P154)</f>
        <v/>
      </c>
      <c r="S154" s="17">
        <f>IF($A154="","",N(Items!J154)+$R154)</f>
        <v/>
      </c>
      <c r="T154" s="16">
        <f>IF($A154="","",IF(N(Items!K154)=0,"",(N(Items!K154)-N(Items!J154))/N(Items!K154)))</f>
        <v/>
      </c>
      <c r="U154" s="16">
        <f>IF($A154="","",IF(N(Items!K154)=0,"",(N(Items!K154)-$S154)/N(Items!K154)))</f>
        <v/>
      </c>
      <c r="V154" s="16">
        <f>IF(OR($T154="",$U154=""),"",$U154-$T154)</f>
        <v/>
      </c>
      <c r="W154" s="18">
        <f>IF($A154="","",N(Items!H154))</f>
        <v/>
      </c>
      <c r="X154" s="19">
        <f>IF($A154="","",$R154*$W154)</f>
        <v/>
      </c>
      <c r="Y154" s="19">
        <f>IF($A154="","",N(Items!K154)*$W154)</f>
        <v/>
      </c>
      <c r="Z154" s="19">
        <f>IF($A154="","",(N(Items!K154)-N(Items!J154))*$W154)</f>
        <v/>
      </c>
      <c r="AA154" s="19">
        <f>IF($A154="","",$Z154-$X154)</f>
        <v/>
      </c>
      <c r="AB154" s="10">
        <f>IF($A154="","",IF(TRIM(Items!C154&amp;"")="","CHECK: import country missing",IF(OR(LEN($C154)&lt;&gt;10,ISERROR(VALUE($C154))),"CHECK: HTS must be 10 digits",IF(LEN($E154)&lt;&gt;2,"CHECK: origin code missing or not 2 letters",IF(OR(Items!G154="",Items!I154="",Items!J154=""),"CHECK: value, rate or cost missing",IF(ISNUMBER(Items!G154)*ISNUMBER(Items!I154)*ISNUMBER(Items!J154)=0,"CHECK: text in a number column",IF(AND($L154="Y",UPPER(TRIM(act_RateType&amp;""))="REPLACE",$N154&lt;N(act_PriorRate)),"CHECK: current rate is below the rate being replaced",IF(AND($L154="Y",$W154=0),"NOTE: in scope, no volume","OK"))))))))</f>
        <v/>
      </c>
      <c r="AC154" s="20">
        <f>IF($A154="","",IF(AND($L154="Y",$X154&lt;&gt;0),ABS($X154)+ROW()/1000000000,""))</f>
        <v/>
      </c>
    </row>
    <row r="155">
      <c r="A155" s="10">
        <f>IF(TRIM(Items!A155&amp;"")="","",TRIM(Items!A155&amp;""))</f>
        <v/>
      </c>
      <c r="B155" s="10">
        <f>IF($A155="","",Items!B155&amp;"")</f>
        <v/>
      </c>
      <c r="C155" s="10">
        <f>IF($A155="","",SUBSTITUTE(SUBSTITUTE(SUBSTITUTE(TRIM(Items!D155&amp;""),".","")," ",""),"-",""))</f>
        <v/>
      </c>
      <c r="D155" s="10">
        <f>IF($A155="","",LEFT($C155,2))</f>
        <v/>
      </c>
      <c r="E155" s="10">
        <f>IF($A155="","",UPPER(TRIM(Items!E155&amp;"")))</f>
        <v/>
      </c>
      <c r="F155" s="10">
        <f>IF($A155="","",IF(UPPER(TRIM(Items!C155&amp;""))=UPPER(TRIM(act_Country&amp;"")),"Y","N"))</f>
        <v/>
      </c>
      <c r="G155" s="10">
        <f>IF($A155="","",IF(SUMPRODUCT((scope_HTS&lt;&gt;"")*(LEFT($C155,LEN(scope_HTS))=scope_HTS))&gt;0,"Y","N"))</f>
        <v/>
      </c>
      <c r="H155" s="10">
        <f>IF($A155="","",IF(SUMPRODUCT((excl_HTS&lt;&gt;"")*(LEFT($C155,LEN(excl_HTS))=excl_HTS))&gt;0,"Y","N"))</f>
        <v/>
      </c>
      <c r="I155" s="10">
        <f>IF($A155="","",IF($E155="","N",IF(COUNTIF(scope_COO,$E155)&gt;0,"Y","N")))</f>
        <v/>
      </c>
      <c r="J155" s="10">
        <f>IF($A155="","",IF(AND(UPPER(TRIM(act_USMCAExempt&amp;""))="Y",UPPER(TRIM(Items!F155&amp;""))="Y"),"Y","N"))</f>
        <v/>
      </c>
      <c r="K155" s="10">
        <f>IF($A155="","",IFERROR(UPPER(TRIM(INDEX(det_Status,MATCH($A155,det_Item,0))&amp;"")),""))</f>
        <v/>
      </c>
      <c r="L155" s="10">
        <f>IF($A155="","",IF($K155="IN","Y",IF($K155="OUT","N",IF(AND($F155="Y",$G155="Y",$H155="N",$I155="Y",$J155="N"),"Y","N"))))</f>
        <v/>
      </c>
      <c r="M155" s="10">
        <f>IF($A155="","",IF($K155="IN","In: Research determination",IF($K155="OUT","Out: Research determination",IF($F155="N","Out: different import country",IF($G155="N","Out: HTS not on scope list",IF($H155="Y","Out: HTS on exclusion list",IF($I155="N","Out: origin not on scope list",IF($J155="Y","Out: USMCA-qualifying, exempt","In: matches scope rules"))))))))</f>
        <v/>
      </c>
      <c r="N155" s="16">
        <f>IF($A155="","",N(Items!I155))</f>
        <v/>
      </c>
      <c r="O155" s="16">
        <f>IF($A155="","",IF($L155="Y",$N155+N(act_Rate)-IF(UPPER(TRIM(act_RateType&amp;""))="REPLACE",N(act_PriorRate),0),$N155))</f>
        <v/>
      </c>
      <c r="P155" s="17">
        <f>IF($A155="","",N(Items!G155)*$N155)</f>
        <v/>
      </c>
      <c r="Q155" s="17">
        <f>IF($A155="","",N(Items!G155)*$O155)</f>
        <v/>
      </c>
      <c r="R155" s="17">
        <f>IF($A155="","",$Q155-$P155)</f>
        <v/>
      </c>
      <c r="S155" s="17">
        <f>IF($A155="","",N(Items!J155)+$R155)</f>
        <v/>
      </c>
      <c r="T155" s="16">
        <f>IF($A155="","",IF(N(Items!K155)=0,"",(N(Items!K155)-N(Items!J155))/N(Items!K155)))</f>
        <v/>
      </c>
      <c r="U155" s="16">
        <f>IF($A155="","",IF(N(Items!K155)=0,"",(N(Items!K155)-$S155)/N(Items!K155)))</f>
        <v/>
      </c>
      <c r="V155" s="16">
        <f>IF(OR($T155="",$U155=""),"",$U155-$T155)</f>
        <v/>
      </c>
      <c r="W155" s="18">
        <f>IF($A155="","",N(Items!H155))</f>
        <v/>
      </c>
      <c r="X155" s="19">
        <f>IF($A155="","",$R155*$W155)</f>
        <v/>
      </c>
      <c r="Y155" s="19">
        <f>IF($A155="","",N(Items!K155)*$W155)</f>
        <v/>
      </c>
      <c r="Z155" s="19">
        <f>IF($A155="","",(N(Items!K155)-N(Items!J155))*$W155)</f>
        <v/>
      </c>
      <c r="AA155" s="19">
        <f>IF($A155="","",$Z155-$X155)</f>
        <v/>
      </c>
      <c r="AB155" s="10">
        <f>IF($A155="","",IF(TRIM(Items!C155&amp;"")="","CHECK: import country missing",IF(OR(LEN($C155)&lt;&gt;10,ISERROR(VALUE($C155))),"CHECK: HTS must be 10 digits",IF(LEN($E155)&lt;&gt;2,"CHECK: origin code missing or not 2 letters",IF(OR(Items!G155="",Items!I155="",Items!J155=""),"CHECK: value, rate or cost missing",IF(ISNUMBER(Items!G155)*ISNUMBER(Items!I155)*ISNUMBER(Items!J155)=0,"CHECK: text in a number column",IF(AND($L155="Y",UPPER(TRIM(act_RateType&amp;""))="REPLACE",$N155&lt;N(act_PriorRate)),"CHECK: current rate is below the rate being replaced",IF(AND($L155="Y",$W155=0),"NOTE: in scope, no volume","OK"))))))))</f>
        <v/>
      </c>
      <c r="AC155" s="20">
        <f>IF($A155="","",IF(AND($L155="Y",$X155&lt;&gt;0),ABS($X155)+ROW()/1000000000,""))</f>
        <v/>
      </c>
    </row>
    <row r="156">
      <c r="A156" s="10">
        <f>IF(TRIM(Items!A156&amp;"")="","",TRIM(Items!A156&amp;""))</f>
        <v/>
      </c>
      <c r="B156" s="10">
        <f>IF($A156="","",Items!B156&amp;"")</f>
        <v/>
      </c>
      <c r="C156" s="10">
        <f>IF($A156="","",SUBSTITUTE(SUBSTITUTE(SUBSTITUTE(TRIM(Items!D156&amp;""),".","")," ",""),"-",""))</f>
        <v/>
      </c>
      <c r="D156" s="10">
        <f>IF($A156="","",LEFT($C156,2))</f>
        <v/>
      </c>
      <c r="E156" s="10">
        <f>IF($A156="","",UPPER(TRIM(Items!E156&amp;"")))</f>
        <v/>
      </c>
      <c r="F156" s="10">
        <f>IF($A156="","",IF(UPPER(TRIM(Items!C156&amp;""))=UPPER(TRIM(act_Country&amp;"")),"Y","N"))</f>
        <v/>
      </c>
      <c r="G156" s="10">
        <f>IF($A156="","",IF(SUMPRODUCT((scope_HTS&lt;&gt;"")*(LEFT($C156,LEN(scope_HTS))=scope_HTS))&gt;0,"Y","N"))</f>
        <v/>
      </c>
      <c r="H156" s="10">
        <f>IF($A156="","",IF(SUMPRODUCT((excl_HTS&lt;&gt;"")*(LEFT($C156,LEN(excl_HTS))=excl_HTS))&gt;0,"Y","N"))</f>
        <v/>
      </c>
      <c r="I156" s="10">
        <f>IF($A156="","",IF($E156="","N",IF(COUNTIF(scope_COO,$E156)&gt;0,"Y","N")))</f>
        <v/>
      </c>
      <c r="J156" s="10">
        <f>IF($A156="","",IF(AND(UPPER(TRIM(act_USMCAExempt&amp;""))="Y",UPPER(TRIM(Items!F156&amp;""))="Y"),"Y","N"))</f>
        <v/>
      </c>
      <c r="K156" s="10">
        <f>IF($A156="","",IFERROR(UPPER(TRIM(INDEX(det_Status,MATCH($A156,det_Item,0))&amp;"")),""))</f>
        <v/>
      </c>
      <c r="L156" s="10">
        <f>IF($A156="","",IF($K156="IN","Y",IF($K156="OUT","N",IF(AND($F156="Y",$G156="Y",$H156="N",$I156="Y",$J156="N"),"Y","N"))))</f>
        <v/>
      </c>
      <c r="M156" s="10">
        <f>IF($A156="","",IF($K156="IN","In: Research determination",IF($K156="OUT","Out: Research determination",IF($F156="N","Out: different import country",IF($G156="N","Out: HTS not on scope list",IF($H156="Y","Out: HTS on exclusion list",IF($I156="N","Out: origin not on scope list",IF($J156="Y","Out: USMCA-qualifying, exempt","In: matches scope rules"))))))))</f>
        <v/>
      </c>
      <c r="N156" s="16">
        <f>IF($A156="","",N(Items!I156))</f>
        <v/>
      </c>
      <c r="O156" s="16">
        <f>IF($A156="","",IF($L156="Y",$N156+N(act_Rate)-IF(UPPER(TRIM(act_RateType&amp;""))="REPLACE",N(act_PriorRate),0),$N156))</f>
        <v/>
      </c>
      <c r="P156" s="17">
        <f>IF($A156="","",N(Items!G156)*$N156)</f>
        <v/>
      </c>
      <c r="Q156" s="17">
        <f>IF($A156="","",N(Items!G156)*$O156)</f>
        <v/>
      </c>
      <c r="R156" s="17">
        <f>IF($A156="","",$Q156-$P156)</f>
        <v/>
      </c>
      <c r="S156" s="17">
        <f>IF($A156="","",N(Items!J156)+$R156)</f>
        <v/>
      </c>
      <c r="T156" s="16">
        <f>IF($A156="","",IF(N(Items!K156)=0,"",(N(Items!K156)-N(Items!J156))/N(Items!K156)))</f>
        <v/>
      </c>
      <c r="U156" s="16">
        <f>IF($A156="","",IF(N(Items!K156)=0,"",(N(Items!K156)-$S156)/N(Items!K156)))</f>
        <v/>
      </c>
      <c r="V156" s="16">
        <f>IF(OR($T156="",$U156=""),"",$U156-$T156)</f>
        <v/>
      </c>
      <c r="W156" s="18">
        <f>IF($A156="","",N(Items!H156))</f>
        <v/>
      </c>
      <c r="X156" s="19">
        <f>IF($A156="","",$R156*$W156)</f>
        <v/>
      </c>
      <c r="Y156" s="19">
        <f>IF($A156="","",N(Items!K156)*$W156)</f>
        <v/>
      </c>
      <c r="Z156" s="19">
        <f>IF($A156="","",(N(Items!K156)-N(Items!J156))*$W156)</f>
        <v/>
      </c>
      <c r="AA156" s="19">
        <f>IF($A156="","",$Z156-$X156)</f>
        <v/>
      </c>
      <c r="AB156" s="10">
        <f>IF($A156="","",IF(TRIM(Items!C156&amp;"")="","CHECK: import country missing",IF(OR(LEN($C156)&lt;&gt;10,ISERROR(VALUE($C156))),"CHECK: HTS must be 10 digits",IF(LEN($E156)&lt;&gt;2,"CHECK: origin code missing or not 2 letters",IF(OR(Items!G156="",Items!I156="",Items!J156=""),"CHECK: value, rate or cost missing",IF(ISNUMBER(Items!G156)*ISNUMBER(Items!I156)*ISNUMBER(Items!J156)=0,"CHECK: text in a number column",IF(AND($L156="Y",UPPER(TRIM(act_RateType&amp;""))="REPLACE",$N156&lt;N(act_PriorRate)),"CHECK: current rate is below the rate being replaced",IF(AND($L156="Y",$W156=0),"NOTE: in scope, no volume","OK"))))))))</f>
        <v/>
      </c>
      <c r="AC156" s="20">
        <f>IF($A156="","",IF(AND($L156="Y",$X156&lt;&gt;0),ABS($X156)+ROW()/1000000000,""))</f>
        <v/>
      </c>
    </row>
    <row r="157">
      <c r="A157" s="10">
        <f>IF(TRIM(Items!A157&amp;"")="","",TRIM(Items!A157&amp;""))</f>
        <v/>
      </c>
      <c r="B157" s="10">
        <f>IF($A157="","",Items!B157&amp;"")</f>
        <v/>
      </c>
      <c r="C157" s="10">
        <f>IF($A157="","",SUBSTITUTE(SUBSTITUTE(SUBSTITUTE(TRIM(Items!D157&amp;""),".","")," ",""),"-",""))</f>
        <v/>
      </c>
      <c r="D157" s="10">
        <f>IF($A157="","",LEFT($C157,2))</f>
        <v/>
      </c>
      <c r="E157" s="10">
        <f>IF($A157="","",UPPER(TRIM(Items!E157&amp;"")))</f>
        <v/>
      </c>
      <c r="F157" s="10">
        <f>IF($A157="","",IF(UPPER(TRIM(Items!C157&amp;""))=UPPER(TRIM(act_Country&amp;"")),"Y","N"))</f>
        <v/>
      </c>
      <c r="G157" s="10">
        <f>IF($A157="","",IF(SUMPRODUCT((scope_HTS&lt;&gt;"")*(LEFT($C157,LEN(scope_HTS))=scope_HTS))&gt;0,"Y","N"))</f>
        <v/>
      </c>
      <c r="H157" s="10">
        <f>IF($A157="","",IF(SUMPRODUCT((excl_HTS&lt;&gt;"")*(LEFT($C157,LEN(excl_HTS))=excl_HTS))&gt;0,"Y","N"))</f>
        <v/>
      </c>
      <c r="I157" s="10">
        <f>IF($A157="","",IF($E157="","N",IF(COUNTIF(scope_COO,$E157)&gt;0,"Y","N")))</f>
        <v/>
      </c>
      <c r="J157" s="10">
        <f>IF($A157="","",IF(AND(UPPER(TRIM(act_USMCAExempt&amp;""))="Y",UPPER(TRIM(Items!F157&amp;""))="Y"),"Y","N"))</f>
        <v/>
      </c>
      <c r="K157" s="10">
        <f>IF($A157="","",IFERROR(UPPER(TRIM(INDEX(det_Status,MATCH($A157,det_Item,0))&amp;"")),""))</f>
        <v/>
      </c>
      <c r="L157" s="10">
        <f>IF($A157="","",IF($K157="IN","Y",IF($K157="OUT","N",IF(AND($F157="Y",$G157="Y",$H157="N",$I157="Y",$J157="N"),"Y","N"))))</f>
        <v/>
      </c>
      <c r="M157" s="10">
        <f>IF($A157="","",IF($K157="IN","In: Research determination",IF($K157="OUT","Out: Research determination",IF($F157="N","Out: different import country",IF($G157="N","Out: HTS not on scope list",IF($H157="Y","Out: HTS on exclusion list",IF($I157="N","Out: origin not on scope list",IF($J157="Y","Out: USMCA-qualifying, exempt","In: matches scope rules"))))))))</f>
        <v/>
      </c>
      <c r="N157" s="16">
        <f>IF($A157="","",N(Items!I157))</f>
        <v/>
      </c>
      <c r="O157" s="16">
        <f>IF($A157="","",IF($L157="Y",$N157+N(act_Rate)-IF(UPPER(TRIM(act_RateType&amp;""))="REPLACE",N(act_PriorRate),0),$N157))</f>
        <v/>
      </c>
      <c r="P157" s="17">
        <f>IF($A157="","",N(Items!G157)*$N157)</f>
        <v/>
      </c>
      <c r="Q157" s="17">
        <f>IF($A157="","",N(Items!G157)*$O157)</f>
        <v/>
      </c>
      <c r="R157" s="17">
        <f>IF($A157="","",$Q157-$P157)</f>
        <v/>
      </c>
      <c r="S157" s="17">
        <f>IF($A157="","",N(Items!J157)+$R157)</f>
        <v/>
      </c>
      <c r="T157" s="16">
        <f>IF($A157="","",IF(N(Items!K157)=0,"",(N(Items!K157)-N(Items!J157))/N(Items!K157)))</f>
        <v/>
      </c>
      <c r="U157" s="16">
        <f>IF($A157="","",IF(N(Items!K157)=0,"",(N(Items!K157)-$S157)/N(Items!K157)))</f>
        <v/>
      </c>
      <c r="V157" s="16">
        <f>IF(OR($T157="",$U157=""),"",$U157-$T157)</f>
        <v/>
      </c>
      <c r="W157" s="18">
        <f>IF($A157="","",N(Items!H157))</f>
        <v/>
      </c>
      <c r="X157" s="19">
        <f>IF($A157="","",$R157*$W157)</f>
        <v/>
      </c>
      <c r="Y157" s="19">
        <f>IF($A157="","",N(Items!K157)*$W157)</f>
        <v/>
      </c>
      <c r="Z157" s="19">
        <f>IF($A157="","",(N(Items!K157)-N(Items!J157))*$W157)</f>
        <v/>
      </c>
      <c r="AA157" s="19">
        <f>IF($A157="","",$Z157-$X157)</f>
        <v/>
      </c>
      <c r="AB157" s="10">
        <f>IF($A157="","",IF(TRIM(Items!C157&amp;"")="","CHECK: import country missing",IF(OR(LEN($C157)&lt;&gt;10,ISERROR(VALUE($C157))),"CHECK: HTS must be 10 digits",IF(LEN($E157)&lt;&gt;2,"CHECK: origin code missing or not 2 letters",IF(OR(Items!G157="",Items!I157="",Items!J157=""),"CHECK: value, rate or cost missing",IF(ISNUMBER(Items!G157)*ISNUMBER(Items!I157)*ISNUMBER(Items!J157)=0,"CHECK: text in a number column",IF(AND($L157="Y",UPPER(TRIM(act_RateType&amp;""))="REPLACE",$N157&lt;N(act_PriorRate)),"CHECK: current rate is below the rate being replaced",IF(AND($L157="Y",$W157=0),"NOTE: in scope, no volume","OK"))))))))</f>
        <v/>
      </c>
      <c r="AC157" s="20">
        <f>IF($A157="","",IF(AND($L157="Y",$X157&lt;&gt;0),ABS($X157)+ROW()/1000000000,""))</f>
        <v/>
      </c>
    </row>
    <row r="158">
      <c r="A158" s="10">
        <f>IF(TRIM(Items!A158&amp;"")="","",TRIM(Items!A158&amp;""))</f>
        <v/>
      </c>
      <c r="B158" s="10">
        <f>IF($A158="","",Items!B158&amp;"")</f>
        <v/>
      </c>
      <c r="C158" s="10">
        <f>IF($A158="","",SUBSTITUTE(SUBSTITUTE(SUBSTITUTE(TRIM(Items!D158&amp;""),".","")," ",""),"-",""))</f>
        <v/>
      </c>
      <c r="D158" s="10">
        <f>IF($A158="","",LEFT($C158,2))</f>
        <v/>
      </c>
      <c r="E158" s="10">
        <f>IF($A158="","",UPPER(TRIM(Items!E158&amp;"")))</f>
        <v/>
      </c>
      <c r="F158" s="10">
        <f>IF($A158="","",IF(UPPER(TRIM(Items!C158&amp;""))=UPPER(TRIM(act_Country&amp;"")),"Y","N"))</f>
        <v/>
      </c>
      <c r="G158" s="10">
        <f>IF($A158="","",IF(SUMPRODUCT((scope_HTS&lt;&gt;"")*(LEFT($C158,LEN(scope_HTS))=scope_HTS))&gt;0,"Y","N"))</f>
        <v/>
      </c>
      <c r="H158" s="10">
        <f>IF($A158="","",IF(SUMPRODUCT((excl_HTS&lt;&gt;"")*(LEFT($C158,LEN(excl_HTS))=excl_HTS))&gt;0,"Y","N"))</f>
        <v/>
      </c>
      <c r="I158" s="10">
        <f>IF($A158="","",IF($E158="","N",IF(COUNTIF(scope_COO,$E158)&gt;0,"Y","N")))</f>
        <v/>
      </c>
      <c r="J158" s="10">
        <f>IF($A158="","",IF(AND(UPPER(TRIM(act_USMCAExempt&amp;""))="Y",UPPER(TRIM(Items!F158&amp;""))="Y"),"Y","N"))</f>
        <v/>
      </c>
      <c r="K158" s="10">
        <f>IF($A158="","",IFERROR(UPPER(TRIM(INDEX(det_Status,MATCH($A158,det_Item,0))&amp;"")),""))</f>
        <v/>
      </c>
      <c r="L158" s="10">
        <f>IF($A158="","",IF($K158="IN","Y",IF($K158="OUT","N",IF(AND($F158="Y",$G158="Y",$H158="N",$I158="Y",$J158="N"),"Y","N"))))</f>
        <v/>
      </c>
      <c r="M158" s="10">
        <f>IF($A158="","",IF($K158="IN","In: Research determination",IF($K158="OUT","Out: Research determination",IF($F158="N","Out: different import country",IF($G158="N","Out: HTS not on scope list",IF($H158="Y","Out: HTS on exclusion list",IF($I158="N","Out: origin not on scope list",IF($J158="Y","Out: USMCA-qualifying, exempt","In: matches scope rules"))))))))</f>
        <v/>
      </c>
      <c r="N158" s="16">
        <f>IF($A158="","",N(Items!I158))</f>
        <v/>
      </c>
      <c r="O158" s="16">
        <f>IF($A158="","",IF($L158="Y",$N158+N(act_Rate)-IF(UPPER(TRIM(act_RateType&amp;""))="REPLACE",N(act_PriorRate),0),$N158))</f>
        <v/>
      </c>
      <c r="P158" s="17">
        <f>IF($A158="","",N(Items!G158)*$N158)</f>
        <v/>
      </c>
      <c r="Q158" s="17">
        <f>IF($A158="","",N(Items!G158)*$O158)</f>
        <v/>
      </c>
      <c r="R158" s="17">
        <f>IF($A158="","",$Q158-$P158)</f>
        <v/>
      </c>
      <c r="S158" s="17">
        <f>IF($A158="","",N(Items!J158)+$R158)</f>
        <v/>
      </c>
      <c r="T158" s="16">
        <f>IF($A158="","",IF(N(Items!K158)=0,"",(N(Items!K158)-N(Items!J158))/N(Items!K158)))</f>
        <v/>
      </c>
      <c r="U158" s="16">
        <f>IF($A158="","",IF(N(Items!K158)=0,"",(N(Items!K158)-$S158)/N(Items!K158)))</f>
        <v/>
      </c>
      <c r="V158" s="16">
        <f>IF(OR($T158="",$U158=""),"",$U158-$T158)</f>
        <v/>
      </c>
      <c r="W158" s="18">
        <f>IF($A158="","",N(Items!H158))</f>
        <v/>
      </c>
      <c r="X158" s="19">
        <f>IF($A158="","",$R158*$W158)</f>
        <v/>
      </c>
      <c r="Y158" s="19">
        <f>IF($A158="","",N(Items!K158)*$W158)</f>
        <v/>
      </c>
      <c r="Z158" s="19">
        <f>IF($A158="","",(N(Items!K158)-N(Items!J158))*$W158)</f>
        <v/>
      </c>
      <c r="AA158" s="19">
        <f>IF($A158="","",$Z158-$X158)</f>
        <v/>
      </c>
      <c r="AB158" s="10">
        <f>IF($A158="","",IF(TRIM(Items!C158&amp;"")="","CHECK: import country missing",IF(OR(LEN($C158)&lt;&gt;10,ISERROR(VALUE($C158))),"CHECK: HTS must be 10 digits",IF(LEN($E158)&lt;&gt;2,"CHECK: origin code missing or not 2 letters",IF(OR(Items!G158="",Items!I158="",Items!J158=""),"CHECK: value, rate or cost missing",IF(ISNUMBER(Items!G158)*ISNUMBER(Items!I158)*ISNUMBER(Items!J158)=0,"CHECK: text in a number column",IF(AND($L158="Y",UPPER(TRIM(act_RateType&amp;""))="REPLACE",$N158&lt;N(act_PriorRate)),"CHECK: current rate is below the rate being replaced",IF(AND($L158="Y",$W158=0),"NOTE: in scope, no volume","OK"))))))))</f>
        <v/>
      </c>
      <c r="AC158" s="20">
        <f>IF($A158="","",IF(AND($L158="Y",$X158&lt;&gt;0),ABS($X158)+ROW()/1000000000,""))</f>
        <v/>
      </c>
    </row>
    <row r="159">
      <c r="A159" s="10">
        <f>IF(TRIM(Items!A159&amp;"")="","",TRIM(Items!A159&amp;""))</f>
        <v/>
      </c>
      <c r="B159" s="10">
        <f>IF($A159="","",Items!B159&amp;"")</f>
        <v/>
      </c>
      <c r="C159" s="10">
        <f>IF($A159="","",SUBSTITUTE(SUBSTITUTE(SUBSTITUTE(TRIM(Items!D159&amp;""),".","")," ",""),"-",""))</f>
        <v/>
      </c>
      <c r="D159" s="10">
        <f>IF($A159="","",LEFT($C159,2))</f>
        <v/>
      </c>
      <c r="E159" s="10">
        <f>IF($A159="","",UPPER(TRIM(Items!E159&amp;"")))</f>
        <v/>
      </c>
      <c r="F159" s="10">
        <f>IF($A159="","",IF(UPPER(TRIM(Items!C159&amp;""))=UPPER(TRIM(act_Country&amp;"")),"Y","N"))</f>
        <v/>
      </c>
      <c r="G159" s="10">
        <f>IF($A159="","",IF(SUMPRODUCT((scope_HTS&lt;&gt;"")*(LEFT($C159,LEN(scope_HTS))=scope_HTS))&gt;0,"Y","N"))</f>
        <v/>
      </c>
      <c r="H159" s="10">
        <f>IF($A159="","",IF(SUMPRODUCT((excl_HTS&lt;&gt;"")*(LEFT($C159,LEN(excl_HTS))=excl_HTS))&gt;0,"Y","N"))</f>
        <v/>
      </c>
      <c r="I159" s="10">
        <f>IF($A159="","",IF($E159="","N",IF(COUNTIF(scope_COO,$E159)&gt;0,"Y","N")))</f>
        <v/>
      </c>
      <c r="J159" s="10">
        <f>IF($A159="","",IF(AND(UPPER(TRIM(act_USMCAExempt&amp;""))="Y",UPPER(TRIM(Items!F159&amp;""))="Y"),"Y","N"))</f>
        <v/>
      </c>
      <c r="K159" s="10">
        <f>IF($A159="","",IFERROR(UPPER(TRIM(INDEX(det_Status,MATCH($A159,det_Item,0))&amp;"")),""))</f>
        <v/>
      </c>
      <c r="L159" s="10">
        <f>IF($A159="","",IF($K159="IN","Y",IF($K159="OUT","N",IF(AND($F159="Y",$G159="Y",$H159="N",$I159="Y",$J159="N"),"Y","N"))))</f>
        <v/>
      </c>
      <c r="M159" s="10">
        <f>IF($A159="","",IF($K159="IN","In: Research determination",IF($K159="OUT","Out: Research determination",IF($F159="N","Out: different import country",IF($G159="N","Out: HTS not on scope list",IF($H159="Y","Out: HTS on exclusion list",IF($I159="N","Out: origin not on scope list",IF($J159="Y","Out: USMCA-qualifying, exempt","In: matches scope rules"))))))))</f>
        <v/>
      </c>
      <c r="N159" s="16">
        <f>IF($A159="","",N(Items!I159))</f>
        <v/>
      </c>
      <c r="O159" s="16">
        <f>IF($A159="","",IF($L159="Y",$N159+N(act_Rate)-IF(UPPER(TRIM(act_RateType&amp;""))="REPLACE",N(act_PriorRate),0),$N159))</f>
        <v/>
      </c>
      <c r="P159" s="17">
        <f>IF($A159="","",N(Items!G159)*$N159)</f>
        <v/>
      </c>
      <c r="Q159" s="17">
        <f>IF($A159="","",N(Items!G159)*$O159)</f>
        <v/>
      </c>
      <c r="R159" s="17">
        <f>IF($A159="","",$Q159-$P159)</f>
        <v/>
      </c>
      <c r="S159" s="17">
        <f>IF($A159="","",N(Items!J159)+$R159)</f>
        <v/>
      </c>
      <c r="T159" s="16">
        <f>IF($A159="","",IF(N(Items!K159)=0,"",(N(Items!K159)-N(Items!J159))/N(Items!K159)))</f>
        <v/>
      </c>
      <c r="U159" s="16">
        <f>IF($A159="","",IF(N(Items!K159)=0,"",(N(Items!K159)-$S159)/N(Items!K159)))</f>
        <v/>
      </c>
      <c r="V159" s="16">
        <f>IF(OR($T159="",$U159=""),"",$U159-$T159)</f>
        <v/>
      </c>
      <c r="W159" s="18">
        <f>IF($A159="","",N(Items!H159))</f>
        <v/>
      </c>
      <c r="X159" s="19">
        <f>IF($A159="","",$R159*$W159)</f>
        <v/>
      </c>
      <c r="Y159" s="19">
        <f>IF($A159="","",N(Items!K159)*$W159)</f>
        <v/>
      </c>
      <c r="Z159" s="19">
        <f>IF($A159="","",(N(Items!K159)-N(Items!J159))*$W159)</f>
        <v/>
      </c>
      <c r="AA159" s="19">
        <f>IF($A159="","",$Z159-$X159)</f>
        <v/>
      </c>
      <c r="AB159" s="10">
        <f>IF($A159="","",IF(TRIM(Items!C159&amp;"")="","CHECK: import country missing",IF(OR(LEN($C159)&lt;&gt;10,ISERROR(VALUE($C159))),"CHECK: HTS must be 10 digits",IF(LEN($E159)&lt;&gt;2,"CHECK: origin code missing or not 2 letters",IF(OR(Items!G159="",Items!I159="",Items!J159=""),"CHECK: value, rate or cost missing",IF(ISNUMBER(Items!G159)*ISNUMBER(Items!I159)*ISNUMBER(Items!J159)=0,"CHECK: text in a number column",IF(AND($L159="Y",UPPER(TRIM(act_RateType&amp;""))="REPLACE",$N159&lt;N(act_PriorRate)),"CHECK: current rate is below the rate being replaced",IF(AND($L159="Y",$W159=0),"NOTE: in scope, no volume","OK"))))))))</f>
        <v/>
      </c>
      <c r="AC159" s="20">
        <f>IF($A159="","",IF(AND($L159="Y",$X159&lt;&gt;0),ABS($X159)+ROW()/1000000000,""))</f>
        <v/>
      </c>
    </row>
    <row r="160">
      <c r="A160" s="10">
        <f>IF(TRIM(Items!A160&amp;"")="","",TRIM(Items!A160&amp;""))</f>
        <v/>
      </c>
      <c r="B160" s="10">
        <f>IF($A160="","",Items!B160&amp;"")</f>
        <v/>
      </c>
      <c r="C160" s="10">
        <f>IF($A160="","",SUBSTITUTE(SUBSTITUTE(SUBSTITUTE(TRIM(Items!D160&amp;""),".","")," ",""),"-",""))</f>
        <v/>
      </c>
      <c r="D160" s="10">
        <f>IF($A160="","",LEFT($C160,2))</f>
        <v/>
      </c>
      <c r="E160" s="10">
        <f>IF($A160="","",UPPER(TRIM(Items!E160&amp;"")))</f>
        <v/>
      </c>
      <c r="F160" s="10">
        <f>IF($A160="","",IF(UPPER(TRIM(Items!C160&amp;""))=UPPER(TRIM(act_Country&amp;"")),"Y","N"))</f>
        <v/>
      </c>
      <c r="G160" s="10">
        <f>IF($A160="","",IF(SUMPRODUCT((scope_HTS&lt;&gt;"")*(LEFT($C160,LEN(scope_HTS))=scope_HTS))&gt;0,"Y","N"))</f>
        <v/>
      </c>
      <c r="H160" s="10">
        <f>IF($A160="","",IF(SUMPRODUCT((excl_HTS&lt;&gt;"")*(LEFT($C160,LEN(excl_HTS))=excl_HTS))&gt;0,"Y","N"))</f>
        <v/>
      </c>
      <c r="I160" s="10">
        <f>IF($A160="","",IF($E160="","N",IF(COUNTIF(scope_COO,$E160)&gt;0,"Y","N")))</f>
        <v/>
      </c>
      <c r="J160" s="10">
        <f>IF($A160="","",IF(AND(UPPER(TRIM(act_USMCAExempt&amp;""))="Y",UPPER(TRIM(Items!F160&amp;""))="Y"),"Y","N"))</f>
        <v/>
      </c>
      <c r="K160" s="10">
        <f>IF($A160="","",IFERROR(UPPER(TRIM(INDEX(det_Status,MATCH($A160,det_Item,0))&amp;"")),""))</f>
        <v/>
      </c>
      <c r="L160" s="10">
        <f>IF($A160="","",IF($K160="IN","Y",IF($K160="OUT","N",IF(AND($F160="Y",$G160="Y",$H160="N",$I160="Y",$J160="N"),"Y","N"))))</f>
        <v/>
      </c>
      <c r="M160" s="10">
        <f>IF($A160="","",IF($K160="IN","In: Research determination",IF($K160="OUT","Out: Research determination",IF($F160="N","Out: different import country",IF($G160="N","Out: HTS not on scope list",IF($H160="Y","Out: HTS on exclusion list",IF($I160="N","Out: origin not on scope list",IF($J160="Y","Out: USMCA-qualifying, exempt","In: matches scope rules"))))))))</f>
        <v/>
      </c>
      <c r="N160" s="16">
        <f>IF($A160="","",N(Items!I160))</f>
        <v/>
      </c>
      <c r="O160" s="16">
        <f>IF($A160="","",IF($L160="Y",$N160+N(act_Rate)-IF(UPPER(TRIM(act_RateType&amp;""))="REPLACE",N(act_PriorRate),0),$N160))</f>
        <v/>
      </c>
      <c r="P160" s="17">
        <f>IF($A160="","",N(Items!G160)*$N160)</f>
        <v/>
      </c>
      <c r="Q160" s="17">
        <f>IF($A160="","",N(Items!G160)*$O160)</f>
        <v/>
      </c>
      <c r="R160" s="17">
        <f>IF($A160="","",$Q160-$P160)</f>
        <v/>
      </c>
      <c r="S160" s="17">
        <f>IF($A160="","",N(Items!J160)+$R160)</f>
        <v/>
      </c>
      <c r="T160" s="16">
        <f>IF($A160="","",IF(N(Items!K160)=0,"",(N(Items!K160)-N(Items!J160))/N(Items!K160)))</f>
        <v/>
      </c>
      <c r="U160" s="16">
        <f>IF($A160="","",IF(N(Items!K160)=0,"",(N(Items!K160)-$S160)/N(Items!K160)))</f>
        <v/>
      </c>
      <c r="V160" s="16">
        <f>IF(OR($T160="",$U160=""),"",$U160-$T160)</f>
        <v/>
      </c>
      <c r="W160" s="18">
        <f>IF($A160="","",N(Items!H160))</f>
        <v/>
      </c>
      <c r="X160" s="19">
        <f>IF($A160="","",$R160*$W160)</f>
        <v/>
      </c>
      <c r="Y160" s="19">
        <f>IF($A160="","",N(Items!K160)*$W160)</f>
        <v/>
      </c>
      <c r="Z160" s="19">
        <f>IF($A160="","",(N(Items!K160)-N(Items!J160))*$W160)</f>
        <v/>
      </c>
      <c r="AA160" s="19">
        <f>IF($A160="","",$Z160-$X160)</f>
        <v/>
      </c>
      <c r="AB160" s="10">
        <f>IF($A160="","",IF(TRIM(Items!C160&amp;"")="","CHECK: import country missing",IF(OR(LEN($C160)&lt;&gt;10,ISERROR(VALUE($C160))),"CHECK: HTS must be 10 digits",IF(LEN($E160)&lt;&gt;2,"CHECK: origin code missing or not 2 letters",IF(OR(Items!G160="",Items!I160="",Items!J160=""),"CHECK: value, rate or cost missing",IF(ISNUMBER(Items!G160)*ISNUMBER(Items!I160)*ISNUMBER(Items!J160)=0,"CHECK: text in a number column",IF(AND($L160="Y",UPPER(TRIM(act_RateType&amp;""))="REPLACE",$N160&lt;N(act_PriorRate)),"CHECK: current rate is below the rate being replaced",IF(AND($L160="Y",$W160=0),"NOTE: in scope, no volume","OK"))))))))</f>
        <v/>
      </c>
      <c r="AC160" s="20">
        <f>IF($A160="","",IF(AND($L160="Y",$X160&lt;&gt;0),ABS($X160)+ROW()/1000000000,""))</f>
        <v/>
      </c>
    </row>
    <row r="161">
      <c r="A161" s="10">
        <f>IF(TRIM(Items!A161&amp;"")="","",TRIM(Items!A161&amp;""))</f>
        <v/>
      </c>
      <c r="B161" s="10">
        <f>IF($A161="","",Items!B161&amp;"")</f>
        <v/>
      </c>
      <c r="C161" s="10">
        <f>IF($A161="","",SUBSTITUTE(SUBSTITUTE(SUBSTITUTE(TRIM(Items!D161&amp;""),".","")," ",""),"-",""))</f>
        <v/>
      </c>
      <c r="D161" s="10">
        <f>IF($A161="","",LEFT($C161,2))</f>
        <v/>
      </c>
      <c r="E161" s="10">
        <f>IF($A161="","",UPPER(TRIM(Items!E161&amp;"")))</f>
        <v/>
      </c>
      <c r="F161" s="10">
        <f>IF($A161="","",IF(UPPER(TRIM(Items!C161&amp;""))=UPPER(TRIM(act_Country&amp;"")),"Y","N"))</f>
        <v/>
      </c>
      <c r="G161" s="10">
        <f>IF($A161="","",IF(SUMPRODUCT((scope_HTS&lt;&gt;"")*(LEFT($C161,LEN(scope_HTS))=scope_HTS))&gt;0,"Y","N"))</f>
        <v/>
      </c>
      <c r="H161" s="10">
        <f>IF($A161="","",IF(SUMPRODUCT((excl_HTS&lt;&gt;"")*(LEFT($C161,LEN(excl_HTS))=excl_HTS))&gt;0,"Y","N"))</f>
        <v/>
      </c>
      <c r="I161" s="10">
        <f>IF($A161="","",IF($E161="","N",IF(COUNTIF(scope_COO,$E161)&gt;0,"Y","N")))</f>
        <v/>
      </c>
      <c r="J161" s="10">
        <f>IF($A161="","",IF(AND(UPPER(TRIM(act_USMCAExempt&amp;""))="Y",UPPER(TRIM(Items!F161&amp;""))="Y"),"Y","N"))</f>
        <v/>
      </c>
      <c r="K161" s="10">
        <f>IF($A161="","",IFERROR(UPPER(TRIM(INDEX(det_Status,MATCH($A161,det_Item,0))&amp;"")),""))</f>
        <v/>
      </c>
      <c r="L161" s="10">
        <f>IF($A161="","",IF($K161="IN","Y",IF($K161="OUT","N",IF(AND($F161="Y",$G161="Y",$H161="N",$I161="Y",$J161="N"),"Y","N"))))</f>
        <v/>
      </c>
      <c r="M161" s="10">
        <f>IF($A161="","",IF($K161="IN","In: Research determination",IF($K161="OUT","Out: Research determination",IF($F161="N","Out: different import country",IF($G161="N","Out: HTS not on scope list",IF($H161="Y","Out: HTS on exclusion list",IF($I161="N","Out: origin not on scope list",IF($J161="Y","Out: USMCA-qualifying, exempt","In: matches scope rules"))))))))</f>
        <v/>
      </c>
      <c r="N161" s="16">
        <f>IF($A161="","",N(Items!I161))</f>
        <v/>
      </c>
      <c r="O161" s="16">
        <f>IF($A161="","",IF($L161="Y",$N161+N(act_Rate)-IF(UPPER(TRIM(act_RateType&amp;""))="REPLACE",N(act_PriorRate),0),$N161))</f>
        <v/>
      </c>
      <c r="P161" s="17">
        <f>IF($A161="","",N(Items!G161)*$N161)</f>
        <v/>
      </c>
      <c r="Q161" s="17">
        <f>IF($A161="","",N(Items!G161)*$O161)</f>
        <v/>
      </c>
      <c r="R161" s="17">
        <f>IF($A161="","",$Q161-$P161)</f>
        <v/>
      </c>
      <c r="S161" s="17">
        <f>IF($A161="","",N(Items!J161)+$R161)</f>
        <v/>
      </c>
      <c r="T161" s="16">
        <f>IF($A161="","",IF(N(Items!K161)=0,"",(N(Items!K161)-N(Items!J161))/N(Items!K161)))</f>
        <v/>
      </c>
      <c r="U161" s="16">
        <f>IF($A161="","",IF(N(Items!K161)=0,"",(N(Items!K161)-$S161)/N(Items!K161)))</f>
        <v/>
      </c>
      <c r="V161" s="16">
        <f>IF(OR($T161="",$U161=""),"",$U161-$T161)</f>
        <v/>
      </c>
      <c r="W161" s="18">
        <f>IF($A161="","",N(Items!H161))</f>
        <v/>
      </c>
      <c r="X161" s="19">
        <f>IF($A161="","",$R161*$W161)</f>
        <v/>
      </c>
      <c r="Y161" s="19">
        <f>IF($A161="","",N(Items!K161)*$W161)</f>
        <v/>
      </c>
      <c r="Z161" s="19">
        <f>IF($A161="","",(N(Items!K161)-N(Items!J161))*$W161)</f>
        <v/>
      </c>
      <c r="AA161" s="19">
        <f>IF($A161="","",$Z161-$X161)</f>
        <v/>
      </c>
      <c r="AB161" s="10">
        <f>IF($A161="","",IF(TRIM(Items!C161&amp;"")="","CHECK: import country missing",IF(OR(LEN($C161)&lt;&gt;10,ISERROR(VALUE($C161))),"CHECK: HTS must be 10 digits",IF(LEN($E161)&lt;&gt;2,"CHECK: origin code missing or not 2 letters",IF(OR(Items!G161="",Items!I161="",Items!J161=""),"CHECK: value, rate or cost missing",IF(ISNUMBER(Items!G161)*ISNUMBER(Items!I161)*ISNUMBER(Items!J161)=0,"CHECK: text in a number column",IF(AND($L161="Y",UPPER(TRIM(act_RateType&amp;""))="REPLACE",$N161&lt;N(act_PriorRate)),"CHECK: current rate is below the rate being replaced",IF(AND($L161="Y",$W161=0),"NOTE: in scope, no volume","OK"))))))))</f>
        <v/>
      </c>
      <c r="AC161" s="20">
        <f>IF($A161="","",IF(AND($L161="Y",$X161&lt;&gt;0),ABS($X161)+ROW()/1000000000,""))</f>
        <v/>
      </c>
    </row>
    <row r="162">
      <c r="A162" s="10">
        <f>IF(TRIM(Items!A162&amp;"")="","",TRIM(Items!A162&amp;""))</f>
        <v/>
      </c>
      <c r="B162" s="10">
        <f>IF($A162="","",Items!B162&amp;"")</f>
        <v/>
      </c>
      <c r="C162" s="10">
        <f>IF($A162="","",SUBSTITUTE(SUBSTITUTE(SUBSTITUTE(TRIM(Items!D162&amp;""),".","")," ",""),"-",""))</f>
        <v/>
      </c>
      <c r="D162" s="10">
        <f>IF($A162="","",LEFT($C162,2))</f>
        <v/>
      </c>
      <c r="E162" s="10">
        <f>IF($A162="","",UPPER(TRIM(Items!E162&amp;"")))</f>
        <v/>
      </c>
      <c r="F162" s="10">
        <f>IF($A162="","",IF(UPPER(TRIM(Items!C162&amp;""))=UPPER(TRIM(act_Country&amp;"")),"Y","N"))</f>
        <v/>
      </c>
      <c r="G162" s="10">
        <f>IF($A162="","",IF(SUMPRODUCT((scope_HTS&lt;&gt;"")*(LEFT($C162,LEN(scope_HTS))=scope_HTS))&gt;0,"Y","N"))</f>
        <v/>
      </c>
      <c r="H162" s="10">
        <f>IF($A162="","",IF(SUMPRODUCT((excl_HTS&lt;&gt;"")*(LEFT($C162,LEN(excl_HTS))=excl_HTS))&gt;0,"Y","N"))</f>
        <v/>
      </c>
      <c r="I162" s="10">
        <f>IF($A162="","",IF($E162="","N",IF(COUNTIF(scope_COO,$E162)&gt;0,"Y","N")))</f>
        <v/>
      </c>
      <c r="J162" s="10">
        <f>IF($A162="","",IF(AND(UPPER(TRIM(act_USMCAExempt&amp;""))="Y",UPPER(TRIM(Items!F162&amp;""))="Y"),"Y","N"))</f>
        <v/>
      </c>
      <c r="K162" s="10">
        <f>IF($A162="","",IFERROR(UPPER(TRIM(INDEX(det_Status,MATCH($A162,det_Item,0))&amp;"")),""))</f>
        <v/>
      </c>
      <c r="L162" s="10">
        <f>IF($A162="","",IF($K162="IN","Y",IF($K162="OUT","N",IF(AND($F162="Y",$G162="Y",$H162="N",$I162="Y",$J162="N"),"Y","N"))))</f>
        <v/>
      </c>
      <c r="M162" s="10">
        <f>IF($A162="","",IF($K162="IN","In: Research determination",IF($K162="OUT","Out: Research determination",IF($F162="N","Out: different import country",IF($G162="N","Out: HTS not on scope list",IF($H162="Y","Out: HTS on exclusion list",IF($I162="N","Out: origin not on scope list",IF($J162="Y","Out: USMCA-qualifying, exempt","In: matches scope rules"))))))))</f>
        <v/>
      </c>
      <c r="N162" s="16">
        <f>IF($A162="","",N(Items!I162))</f>
        <v/>
      </c>
      <c r="O162" s="16">
        <f>IF($A162="","",IF($L162="Y",$N162+N(act_Rate)-IF(UPPER(TRIM(act_RateType&amp;""))="REPLACE",N(act_PriorRate),0),$N162))</f>
        <v/>
      </c>
      <c r="P162" s="17">
        <f>IF($A162="","",N(Items!G162)*$N162)</f>
        <v/>
      </c>
      <c r="Q162" s="17">
        <f>IF($A162="","",N(Items!G162)*$O162)</f>
        <v/>
      </c>
      <c r="R162" s="17">
        <f>IF($A162="","",$Q162-$P162)</f>
        <v/>
      </c>
      <c r="S162" s="17">
        <f>IF($A162="","",N(Items!J162)+$R162)</f>
        <v/>
      </c>
      <c r="T162" s="16">
        <f>IF($A162="","",IF(N(Items!K162)=0,"",(N(Items!K162)-N(Items!J162))/N(Items!K162)))</f>
        <v/>
      </c>
      <c r="U162" s="16">
        <f>IF($A162="","",IF(N(Items!K162)=0,"",(N(Items!K162)-$S162)/N(Items!K162)))</f>
        <v/>
      </c>
      <c r="V162" s="16">
        <f>IF(OR($T162="",$U162=""),"",$U162-$T162)</f>
        <v/>
      </c>
      <c r="W162" s="18">
        <f>IF($A162="","",N(Items!H162))</f>
        <v/>
      </c>
      <c r="X162" s="19">
        <f>IF($A162="","",$R162*$W162)</f>
        <v/>
      </c>
      <c r="Y162" s="19">
        <f>IF($A162="","",N(Items!K162)*$W162)</f>
        <v/>
      </c>
      <c r="Z162" s="19">
        <f>IF($A162="","",(N(Items!K162)-N(Items!J162))*$W162)</f>
        <v/>
      </c>
      <c r="AA162" s="19">
        <f>IF($A162="","",$Z162-$X162)</f>
        <v/>
      </c>
      <c r="AB162" s="10">
        <f>IF($A162="","",IF(TRIM(Items!C162&amp;"")="","CHECK: import country missing",IF(OR(LEN($C162)&lt;&gt;10,ISERROR(VALUE($C162))),"CHECK: HTS must be 10 digits",IF(LEN($E162)&lt;&gt;2,"CHECK: origin code missing or not 2 letters",IF(OR(Items!G162="",Items!I162="",Items!J162=""),"CHECK: value, rate or cost missing",IF(ISNUMBER(Items!G162)*ISNUMBER(Items!I162)*ISNUMBER(Items!J162)=0,"CHECK: text in a number column",IF(AND($L162="Y",UPPER(TRIM(act_RateType&amp;""))="REPLACE",$N162&lt;N(act_PriorRate)),"CHECK: current rate is below the rate being replaced",IF(AND($L162="Y",$W162=0),"NOTE: in scope, no volume","OK"))))))))</f>
        <v/>
      </c>
      <c r="AC162" s="20">
        <f>IF($A162="","",IF(AND($L162="Y",$X162&lt;&gt;0),ABS($X162)+ROW()/1000000000,""))</f>
        <v/>
      </c>
    </row>
    <row r="163">
      <c r="A163" s="10">
        <f>IF(TRIM(Items!A163&amp;"")="","",TRIM(Items!A163&amp;""))</f>
        <v/>
      </c>
      <c r="B163" s="10">
        <f>IF($A163="","",Items!B163&amp;"")</f>
        <v/>
      </c>
      <c r="C163" s="10">
        <f>IF($A163="","",SUBSTITUTE(SUBSTITUTE(SUBSTITUTE(TRIM(Items!D163&amp;""),".","")," ",""),"-",""))</f>
        <v/>
      </c>
      <c r="D163" s="10">
        <f>IF($A163="","",LEFT($C163,2))</f>
        <v/>
      </c>
      <c r="E163" s="10">
        <f>IF($A163="","",UPPER(TRIM(Items!E163&amp;"")))</f>
        <v/>
      </c>
      <c r="F163" s="10">
        <f>IF($A163="","",IF(UPPER(TRIM(Items!C163&amp;""))=UPPER(TRIM(act_Country&amp;"")),"Y","N"))</f>
        <v/>
      </c>
      <c r="G163" s="10">
        <f>IF($A163="","",IF(SUMPRODUCT((scope_HTS&lt;&gt;"")*(LEFT($C163,LEN(scope_HTS))=scope_HTS))&gt;0,"Y","N"))</f>
        <v/>
      </c>
      <c r="H163" s="10">
        <f>IF($A163="","",IF(SUMPRODUCT((excl_HTS&lt;&gt;"")*(LEFT($C163,LEN(excl_HTS))=excl_HTS))&gt;0,"Y","N"))</f>
        <v/>
      </c>
      <c r="I163" s="10">
        <f>IF($A163="","",IF($E163="","N",IF(COUNTIF(scope_COO,$E163)&gt;0,"Y","N")))</f>
        <v/>
      </c>
      <c r="J163" s="10">
        <f>IF($A163="","",IF(AND(UPPER(TRIM(act_USMCAExempt&amp;""))="Y",UPPER(TRIM(Items!F163&amp;""))="Y"),"Y","N"))</f>
        <v/>
      </c>
      <c r="K163" s="10">
        <f>IF($A163="","",IFERROR(UPPER(TRIM(INDEX(det_Status,MATCH($A163,det_Item,0))&amp;"")),""))</f>
        <v/>
      </c>
      <c r="L163" s="10">
        <f>IF($A163="","",IF($K163="IN","Y",IF($K163="OUT","N",IF(AND($F163="Y",$G163="Y",$H163="N",$I163="Y",$J163="N"),"Y","N"))))</f>
        <v/>
      </c>
      <c r="M163" s="10">
        <f>IF($A163="","",IF($K163="IN","In: Research determination",IF($K163="OUT","Out: Research determination",IF($F163="N","Out: different import country",IF($G163="N","Out: HTS not on scope list",IF($H163="Y","Out: HTS on exclusion list",IF($I163="N","Out: origin not on scope list",IF($J163="Y","Out: USMCA-qualifying, exempt","In: matches scope rules"))))))))</f>
        <v/>
      </c>
      <c r="N163" s="16">
        <f>IF($A163="","",N(Items!I163))</f>
        <v/>
      </c>
      <c r="O163" s="16">
        <f>IF($A163="","",IF($L163="Y",$N163+N(act_Rate)-IF(UPPER(TRIM(act_RateType&amp;""))="REPLACE",N(act_PriorRate),0),$N163))</f>
        <v/>
      </c>
      <c r="P163" s="17">
        <f>IF($A163="","",N(Items!G163)*$N163)</f>
        <v/>
      </c>
      <c r="Q163" s="17">
        <f>IF($A163="","",N(Items!G163)*$O163)</f>
        <v/>
      </c>
      <c r="R163" s="17">
        <f>IF($A163="","",$Q163-$P163)</f>
        <v/>
      </c>
      <c r="S163" s="17">
        <f>IF($A163="","",N(Items!J163)+$R163)</f>
        <v/>
      </c>
      <c r="T163" s="16">
        <f>IF($A163="","",IF(N(Items!K163)=0,"",(N(Items!K163)-N(Items!J163))/N(Items!K163)))</f>
        <v/>
      </c>
      <c r="U163" s="16">
        <f>IF($A163="","",IF(N(Items!K163)=0,"",(N(Items!K163)-$S163)/N(Items!K163)))</f>
        <v/>
      </c>
      <c r="V163" s="16">
        <f>IF(OR($T163="",$U163=""),"",$U163-$T163)</f>
        <v/>
      </c>
      <c r="W163" s="18">
        <f>IF($A163="","",N(Items!H163))</f>
        <v/>
      </c>
      <c r="X163" s="19">
        <f>IF($A163="","",$R163*$W163)</f>
        <v/>
      </c>
      <c r="Y163" s="19">
        <f>IF($A163="","",N(Items!K163)*$W163)</f>
        <v/>
      </c>
      <c r="Z163" s="19">
        <f>IF($A163="","",(N(Items!K163)-N(Items!J163))*$W163)</f>
        <v/>
      </c>
      <c r="AA163" s="19">
        <f>IF($A163="","",$Z163-$X163)</f>
        <v/>
      </c>
      <c r="AB163" s="10">
        <f>IF($A163="","",IF(TRIM(Items!C163&amp;"")="","CHECK: import country missing",IF(OR(LEN($C163)&lt;&gt;10,ISERROR(VALUE($C163))),"CHECK: HTS must be 10 digits",IF(LEN($E163)&lt;&gt;2,"CHECK: origin code missing or not 2 letters",IF(OR(Items!G163="",Items!I163="",Items!J163=""),"CHECK: value, rate or cost missing",IF(ISNUMBER(Items!G163)*ISNUMBER(Items!I163)*ISNUMBER(Items!J163)=0,"CHECK: text in a number column",IF(AND($L163="Y",UPPER(TRIM(act_RateType&amp;""))="REPLACE",$N163&lt;N(act_PriorRate)),"CHECK: current rate is below the rate being replaced",IF(AND($L163="Y",$W163=0),"NOTE: in scope, no volume","OK"))))))))</f>
        <v/>
      </c>
      <c r="AC163" s="20">
        <f>IF($A163="","",IF(AND($L163="Y",$X163&lt;&gt;0),ABS($X163)+ROW()/1000000000,""))</f>
        <v/>
      </c>
    </row>
    <row r="164">
      <c r="A164" s="10">
        <f>IF(TRIM(Items!A164&amp;"")="","",TRIM(Items!A164&amp;""))</f>
        <v/>
      </c>
      <c r="B164" s="10">
        <f>IF($A164="","",Items!B164&amp;"")</f>
        <v/>
      </c>
      <c r="C164" s="10">
        <f>IF($A164="","",SUBSTITUTE(SUBSTITUTE(SUBSTITUTE(TRIM(Items!D164&amp;""),".","")," ",""),"-",""))</f>
        <v/>
      </c>
      <c r="D164" s="10">
        <f>IF($A164="","",LEFT($C164,2))</f>
        <v/>
      </c>
      <c r="E164" s="10">
        <f>IF($A164="","",UPPER(TRIM(Items!E164&amp;"")))</f>
        <v/>
      </c>
      <c r="F164" s="10">
        <f>IF($A164="","",IF(UPPER(TRIM(Items!C164&amp;""))=UPPER(TRIM(act_Country&amp;"")),"Y","N"))</f>
        <v/>
      </c>
      <c r="G164" s="10">
        <f>IF($A164="","",IF(SUMPRODUCT((scope_HTS&lt;&gt;"")*(LEFT($C164,LEN(scope_HTS))=scope_HTS))&gt;0,"Y","N"))</f>
        <v/>
      </c>
      <c r="H164" s="10">
        <f>IF($A164="","",IF(SUMPRODUCT((excl_HTS&lt;&gt;"")*(LEFT($C164,LEN(excl_HTS))=excl_HTS))&gt;0,"Y","N"))</f>
        <v/>
      </c>
      <c r="I164" s="10">
        <f>IF($A164="","",IF($E164="","N",IF(COUNTIF(scope_COO,$E164)&gt;0,"Y","N")))</f>
        <v/>
      </c>
      <c r="J164" s="10">
        <f>IF($A164="","",IF(AND(UPPER(TRIM(act_USMCAExempt&amp;""))="Y",UPPER(TRIM(Items!F164&amp;""))="Y"),"Y","N"))</f>
        <v/>
      </c>
      <c r="K164" s="10">
        <f>IF($A164="","",IFERROR(UPPER(TRIM(INDEX(det_Status,MATCH($A164,det_Item,0))&amp;"")),""))</f>
        <v/>
      </c>
      <c r="L164" s="10">
        <f>IF($A164="","",IF($K164="IN","Y",IF($K164="OUT","N",IF(AND($F164="Y",$G164="Y",$H164="N",$I164="Y",$J164="N"),"Y","N"))))</f>
        <v/>
      </c>
      <c r="M164" s="10">
        <f>IF($A164="","",IF($K164="IN","In: Research determination",IF($K164="OUT","Out: Research determination",IF($F164="N","Out: different import country",IF($G164="N","Out: HTS not on scope list",IF($H164="Y","Out: HTS on exclusion list",IF($I164="N","Out: origin not on scope list",IF($J164="Y","Out: USMCA-qualifying, exempt","In: matches scope rules"))))))))</f>
        <v/>
      </c>
      <c r="N164" s="16">
        <f>IF($A164="","",N(Items!I164))</f>
        <v/>
      </c>
      <c r="O164" s="16">
        <f>IF($A164="","",IF($L164="Y",$N164+N(act_Rate)-IF(UPPER(TRIM(act_RateType&amp;""))="REPLACE",N(act_PriorRate),0),$N164))</f>
        <v/>
      </c>
      <c r="P164" s="17">
        <f>IF($A164="","",N(Items!G164)*$N164)</f>
        <v/>
      </c>
      <c r="Q164" s="17">
        <f>IF($A164="","",N(Items!G164)*$O164)</f>
        <v/>
      </c>
      <c r="R164" s="17">
        <f>IF($A164="","",$Q164-$P164)</f>
        <v/>
      </c>
      <c r="S164" s="17">
        <f>IF($A164="","",N(Items!J164)+$R164)</f>
        <v/>
      </c>
      <c r="T164" s="16">
        <f>IF($A164="","",IF(N(Items!K164)=0,"",(N(Items!K164)-N(Items!J164))/N(Items!K164)))</f>
        <v/>
      </c>
      <c r="U164" s="16">
        <f>IF($A164="","",IF(N(Items!K164)=0,"",(N(Items!K164)-$S164)/N(Items!K164)))</f>
        <v/>
      </c>
      <c r="V164" s="16">
        <f>IF(OR($T164="",$U164=""),"",$U164-$T164)</f>
        <v/>
      </c>
      <c r="W164" s="18">
        <f>IF($A164="","",N(Items!H164))</f>
        <v/>
      </c>
      <c r="X164" s="19">
        <f>IF($A164="","",$R164*$W164)</f>
        <v/>
      </c>
      <c r="Y164" s="19">
        <f>IF($A164="","",N(Items!K164)*$W164)</f>
        <v/>
      </c>
      <c r="Z164" s="19">
        <f>IF($A164="","",(N(Items!K164)-N(Items!J164))*$W164)</f>
        <v/>
      </c>
      <c r="AA164" s="19">
        <f>IF($A164="","",$Z164-$X164)</f>
        <v/>
      </c>
      <c r="AB164" s="10">
        <f>IF($A164="","",IF(TRIM(Items!C164&amp;"")="","CHECK: import country missing",IF(OR(LEN($C164)&lt;&gt;10,ISERROR(VALUE($C164))),"CHECK: HTS must be 10 digits",IF(LEN($E164)&lt;&gt;2,"CHECK: origin code missing or not 2 letters",IF(OR(Items!G164="",Items!I164="",Items!J164=""),"CHECK: value, rate or cost missing",IF(ISNUMBER(Items!G164)*ISNUMBER(Items!I164)*ISNUMBER(Items!J164)=0,"CHECK: text in a number column",IF(AND($L164="Y",UPPER(TRIM(act_RateType&amp;""))="REPLACE",$N164&lt;N(act_PriorRate)),"CHECK: current rate is below the rate being replaced",IF(AND($L164="Y",$W164=0),"NOTE: in scope, no volume","OK"))))))))</f>
        <v/>
      </c>
      <c r="AC164" s="20">
        <f>IF($A164="","",IF(AND($L164="Y",$X164&lt;&gt;0),ABS($X164)+ROW()/1000000000,""))</f>
        <v/>
      </c>
    </row>
    <row r="165">
      <c r="A165" s="10">
        <f>IF(TRIM(Items!A165&amp;"")="","",TRIM(Items!A165&amp;""))</f>
        <v/>
      </c>
      <c r="B165" s="10">
        <f>IF($A165="","",Items!B165&amp;"")</f>
        <v/>
      </c>
      <c r="C165" s="10">
        <f>IF($A165="","",SUBSTITUTE(SUBSTITUTE(SUBSTITUTE(TRIM(Items!D165&amp;""),".","")," ",""),"-",""))</f>
        <v/>
      </c>
      <c r="D165" s="10">
        <f>IF($A165="","",LEFT($C165,2))</f>
        <v/>
      </c>
      <c r="E165" s="10">
        <f>IF($A165="","",UPPER(TRIM(Items!E165&amp;"")))</f>
        <v/>
      </c>
      <c r="F165" s="10">
        <f>IF($A165="","",IF(UPPER(TRIM(Items!C165&amp;""))=UPPER(TRIM(act_Country&amp;"")),"Y","N"))</f>
        <v/>
      </c>
      <c r="G165" s="10">
        <f>IF($A165="","",IF(SUMPRODUCT((scope_HTS&lt;&gt;"")*(LEFT($C165,LEN(scope_HTS))=scope_HTS))&gt;0,"Y","N"))</f>
        <v/>
      </c>
      <c r="H165" s="10">
        <f>IF($A165="","",IF(SUMPRODUCT((excl_HTS&lt;&gt;"")*(LEFT($C165,LEN(excl_HTS))=excl_HTS))&gt;0,"Y","N"))</f>
        <v/>
      </c>
      <c r="I165" s="10">
        <f>IF($A165="","",IF($E165="","N",IF(COUNTIF(scope_COO,$E165)&gt;0,"Y","N")))</f>
        <v/>
      </c>
      <c r="J165" s="10">
        <f>IF($A165="","",IF(AND(UPPER(TRIM(act_USMCAExempt&amp;""))="Y",UPPER(TRIM(Items!F165&amp;""))="Y"),"Y","N"))</f>
        <v/>
      </c>
      <c r="K165" s="10">
        <f>IF($A165="","",IFERROR(UPPER(TRIM(INDEX(det_Status,MATCH($A165,det_Item,0))&amp;"")),""))</f>
        <v/>
      </c>
      <c r="L165" s="10">
        <f>IF($A165="","",IF($K165="IN","Y",IF($K165="OUT","N",IF(AND($F165="Y",$G165="Y",$H165="N",$I165="Y",$J165="N"),"Y","N"))))</f>
        <v/>
      </c>
      <c r="M165" s="10">
        <f>IF($A165="","",IF($K165="IN","In: Research determination",IF($K165="OUT","Out: Research determination",IF($F165="N","Out: different import country",IF($G165="N","Out: HTS not on scope list",IF($H165="Y","Out: HTS on exclusion list",IF($I165="N","Out: origin not on scope list",IF($J165="Y","Out: USMCA-qualifying, exempt","In: matches scope rules"))))))))</f>
        <v/>
      </c>
      <c r="N165" s="16">
        <f>IF($A165="","",N(Items!I165))</f>
        <v/>
      </c>
      <c r="O165" s="16">
        <f>IF($A165="","",IF($L165="Y",$N165+N(act_Rate)-IF(UPPER(TRIM(act_RateType&amp;""))="REPLACE",N(act_PriorRate),0),$N165))</f>
        <v/>
      </c>
      <c r="P165" s="17">
        <f>IF($A165="","",N(Items!G165)*$N165)</f>
        <v/>
      </c>
      <c r="Q165" s="17">
        <f>IF($A165="","",N(Items!G165)*$O165)</f>
        <v/>
      </c>
      <c r="R165" s="17">
        <f>IF($A165="","",$Q165-$P165)</f>
        <v/>
      </c>
      <c r="S165" s="17">
        <f>IF($A165="","",N(Items!J165)+$R165)</f>
        <v/>
      </c>
      <c r="T165" s="16">
        <f>IF($A165="","",IF(N(Items!K165)=0,"",(N(Items!K165)-N(Items!J165))/N(Items!K165)))</f>
        <v/>
      </c>
      <c r="U165" s="16">
        <f>IF($A165="","",IF(N(Items!K165)=0,"",(N(Items!K165)-$S165)/N(Items!K165)))</f>
        <v/>
      </c>
      <c r="V165" s="16">
        <f>IF(OR($T165="",$U165=""),"",$U165-$T165)</f>
        <v/>
      </c>
      <c r="W165" s="18">
        <f>IF($A165="","",N(Items!H165))</f>
        <v/>
      </c>
      <c r="X165" s="19">
        <f>IF($A165="","",$R165*$W165)</f>
        <v/>
      </c>
      <c r="Y165" s="19">
        <f>IF($A165="","",N(Items!K165)*$W165)</f>
        <v/>
      </c>
      <c r="Z165" s="19">
        <f>IF($A165="","",(N(Items!K165)-N(Items!J165))*$W165)</f>
        <v/>
      </c>
      <c r="AA165" s="19">
        <f>IF($A165="","",$Z165-$X165)</f>
        <v/>
      </c>
      <c r="AB165" s="10">
        <f>IF($A165="","",IF(TRIM(Items!C165&amp;"")="","CHECK: import country missing",IF(OR(LEN($C165)&lt;&gt;10,ISERROR(VALUE($C165))),"CHECK: HTS must be 10 digits",IF(LEN($E165)&lt;&gt;2,"CHECK: origin code missing or not 2 letters",IF(OR(Items!G165="",Items!I165="",Items!J165=""),"CHECK: value, rate or cost missing",IF(ISNUMBER(Items!G165)*ISNUMBER(Items!I165)*ISNUMBER(Items!J165)=0,"CHECK: text in a number column",IF(AND($L165="Y",UPPER(TRIM(act_RateType&amp;""))="REPLACE",$N165&lt;N(act_PriorRate)),"CHECK: current rate is below the rate being replaced",IF(AND($L165="Y",$W165=0),"NOTE: in scope, no volume","OK"))))))))</f>
        <v/>
      </c>
      <c r="AC165" s="20">
        <f>IF($A165="","",IF(AND($L165="Y",$X165&lt;&gt;0),ABS($X165)+ROW()/1000000000,""))</f>
        <v/>
      </c>
    </row>
    <row r="166">
      <c r="A166" s="10">
        <f>IF(TRIM(Items!A166&amp;"")="","",TRIM(Items!A166&amp;""))</f>
        <v/>
      </c>
      <c r="B166" s="10">
        <f>IF($A166="","",Items!B166&amp;"")</f>
        <v/>
      </c>
      <c r="C166" s="10">
        <f>IF($A166="","",SUBSTITUTE(SUBSTITUTE(SUBSTITUTE(TRIM(Items!D166&amp;""),".","")," ",""),"-",""))</f>
        <v/>
      </c>
      <c r="D166" s="10">
        <f>IF($A166="","",LEFT($C166,2))</f>
        <v/>
      </c>
      <c r="E166" s="10">
        <f>IF($A166="","",UPPER(TRIM(Items!E166&amp;"")))</f>
        <v/>
      </c>
      <c r="F166" s="10">
        <f>IF($A166="","",IF(UPPER(TRIM(Items!C166&amp;""))=UPPER(TRIM(act_Country&amp;"")),"Y","N"))</f>
        <v/>
      </c>
      <c r="G166" s="10">
        <f>IF($A166="","",IF(SUMPRODUCT((scope_HTS&lt;&gt;"")*(LEFT($C166,LEN(scope_HTS))=scope_HTS))&gt;0,"Y","N"))</f>
        <v/>
      </c>
      <c r="H166" s="10">
        <f>IF($A166="","",IF(SUMPRODUCT((excl_HTS&lt;&gt;"")*(LEFT($C166,LEN(excl_HTS))=excl_HTS))&gt;0,"Y","N"))</f>
        <v/>
      </c>
      <c r="I166" s="10">
        <f>IF($A166="","",IF($E166="","N",IF(COUNTIF(scope_COO,$E166)&gt;0,"Y","N")))</f>
        <v/>
      </c>
      <c r="J166" s="10">
        <f>IF($A166="","",IF(AND(UPPER(TRIM(act_USMCAExempt&amp;""))="Y",UPPER(TRIM(Items!F166&amp;""))="Y"),"Y","N"))</f>
        <v/>
      </c>
      <c r="K166" s="10">
        <f>IF($A166="","",IFERROR(UPPER(TRIM(INDEX(det_Status,MATCH($A166,det_Item,0))&amp;"")),""))</f>
        <v/>
      </c>
      <c r="L166" s="10">
        <f>IF($A166="","",IF($K166="IN","Y",IF($K166="OUT","N",IF(AND($F166="Y",$G166="Y",$H166="N",$I166="Y",$J166="N"),"Y","N"))))</f>
        <v/>
      </c>
      <c r="M166" s="10">
        <f>IF($A166="","",IF($K166="IN","In: Research determination",IF($K166="OUT","Out: Research determination",IF($F166="N","Out: different import country",IF($G166="N","Out: HTS not on scope list",IF($H166="Y","Out: HTS on exclusion list",IF($I166="N","Out: origin not on scope list",IF($J166="Y","Out: USMCA-qualifying, exempt","In: matches scope rules"))))))))</f>
        <v/>
      </c>
      <c r="N166" s="16">
        <f>IF($A166="","",N(Items!I166))</f>
        <v/>
      </c>
      <c r="O166" s="16">
        <f>IF($A166="","",IF($L166="Y",$N166+N(act_Rate)-IF(UPPER(TRIM(act_RateType&amp;""))="REPLACE",N(act_PriorRate),0),$N166))</f>
        <v/>
      </c>
      <c r="P166" s="17">
        <f>IF($A166="","",N(Items!G166)*$N166)</f>
        <v/>
      </c>
      <c r="Q166" s="17">
        <f>IF($A166="","",N(Items!G166)*$O166)</f>
        <v/>
      </c>
      <c r="R166" s="17">
        <f>IF($A166="","",$Q166-$P166)</f>
        <v/>
      </c>
      <c r="S166" s="17">
        <f>IF($A166="","",N(Items!J166)+$R166)</f>
        <v/>
      </c>
      <c r="T166" s="16">
        <f>IF($A166="","",IF(N(Items!K166)=0,"",(N(Items!K166)-N(Items!J166))/N(Items!K166)))</f>
        <v/>
      </c>
      <c r="U166" s="16">
        <f>IF($A166="","",IF(N(Items!K166)=0,"",(N(Items!K166)-$S166)/N(Items!K166)))</f>
        <v/>
      </c>
      <c r="V166" s="16">
        <f>IF(OR($T166="",$U166=""),"",$U166-$T166)</f>
        <v/>
      </c>
      <c r="W166" s="18">
        <f>IF($A166="","",N(Items!H166))</f>
        <v/>
      </c>
      <c r="X166" s="19">
        <f>IF($A166="","",$R166*$W166)</f>
        <v/>
      </c>
      <c r="Y166" s="19">
        <f>IF($A166="","",N(Items!K166)*$W166)</f>
        <v/>
      </c>
      <c r="Z166" s="19">
        <f>IF($A166="","",(N(Items!K166)-N(Items!J166))*$W166)</f>
        <v/>
      </c>
      <c r="AA166" s="19">
        <f>IF($A166="","",$Z166-$X166)</f>
        <v/>
      </c>
      <c r="AB166" s="10">
        <f>IF($A166="","",IF(TRIM(Items!C166&amp;"")="","CHECK: import country missing",IF(OR(LEN($C166)&lt;&gt;10,ISERROR(VALUE($C166))),"CHECK: HTS must be 10 digits",IF(LEN($E166)&lt;&gt;2,"CHECK: origin code missing or not 2 letters",IF(OR(Items!G166="",Items!I166="",Items!J166=""),"CHECK: value, rate or cost missing",IF(ISNUMBER(Items!G166)*ISNUMBER(Items!I166)*ISNUMBER(Items!J166)=0,"CHECK: text in a number column",IF(AND($L166="Y",UPPER(TRIM(act_RateType&amp;""))="REPLACE",$N166&lt;N(act_PriorRate)),"CHECK: current rate is below the rate being replaced",IF(AND($L166="Y",$W166=0),"NOTE: in scope, no volume","OK"))))))))</f>
        <v/>
      </c>
      <c r="AC166" s="20">
        <f>IF($A166="","",IF(AND($L166="Y",$X166&lt;&gt;0),ABS($X166)+ROW()/1000000000,""))</f>
        <v/>
      </c>
    </row>
    <row r="167">
      <c r="A167" s="10">
        <f>IF(TRIM(Items!A167&amp;"")="","",TRIM(Items!A167&amp;""))</f>
        <v/>
      </c>
      <c r="B167" s="10">
        <f>IF($A167="","",Items!B167&amp;"")</f>
        <v/>
      </c>
      <c r="C167" s="10">
        <f>IF($A167="","",SUBSTITUTE(SUBSTITUTE(SUBSTITUTE(TRIM(Items!D167&amp;""),".","")," ",""),"-",""))</f>
        <v/>
      </c>
      <c r="D167" s="10">
        <f>IF($A167="","",LEFT($C167,2))</f>
        <v/>
      </c>
      <c r="E167" s="10">
        <f>IF($A167="","",UPPER(TRIM(Items!E167&amp;"")))</f>
        <v/>
      </c>
      <c r="F167" s="10">
        <f>IF($A167="","",IF(UPPER(TRIM(Items!C167&amp;""))=UPPER(TRIM(act_Country&amp;"")),"Y","N"))</f>
        <v/>
      </c>
      <c r="G167" s="10">
        <f>IF($A167="","",IF(SUMPRODUCT((scope_HTS&lt;&gt;"")*(LEFT($C167,LEN(scope_HTS))=scope_HTS))&gt;0,"Y","N"))</f>
        <v/>
      </c>
      <c r="H167" s="10">
        <f>IF($A167="","",IF(SUMPRODUCT((excl_HTS&lt;&gt;"")*(LEFT($C167,LEN(excl_HTS))=excl_HTS))&gt;0,"Y","N"))</f>
        <v/>
      </c>
      <c r="I167" s="10">
        <f>IF($A167="","",IF($E167="","N",IF(COUNTIF(scope_COO,$E167)&gt;0,"Y","N")))</f>
        <v/>
      </c>
      <c r="J167" s="10">
        <f>IF($A167="","",IF(AND(UPPER(TRIM(act_USMCAExempt&amp;""))="Y",UPPER(TRIM(Items!F167&amp;""))="Y"),"Y","N"))</f>
        <v/>
      </c>
      <c r="K167" s="10">
        <f>IF($A167="","",IFERROR(UPPER(TRIM(INDEX(det_Status,MATCH($A167,det_Item,0))&amp;"")),""))</f>
        <v/>
      </c>
      <c r="L167" s="10">
        <f>IF($A167="","",IF($K167="IN","Y",IF($K167="OUT","N",IF(AND($F167="Y",$G167="Y",$H167="N",$I167="Y",$J167="N"),"Y","N"))))</f>
        <v/>
      </c>
      <c r="M167" s="10">
        <f>IF($A167="","",IF($K167="IN","In: Research determination",IF($K167="OUT","Out: Research determination",IF($F167="N","Out: different import country",IF($G167="N","Out: HTS not on scope list",IF($H167="Y","Out: HTS on exclusion list",IF($I167="N","Out: origin not on scope list",IF($J167="Y","Out: USMCA-qualifying, exempt","In: matches scope rules"))))))))</f>
        <v/>
      </c>
      <c r="N167" s="16">
        <f>IF($A167="","",N(Items!I167))</f>
        <v/>
      </c>
      <c r="O167" s="16">
        <f>IF($A167="","",IF($L167="Y",$N167+N(act_Rate)-IF(UPPER(TRIM(act_RateType&amp;""))="REPLACE",N(act_PriorRate),0),$N167))</f>
        <v/>
      </c>
      <c r="P167" s="17">
        <f>IF($A167="","",N(Items!G167)*$N167)</f>
        <v/>
      </c>
      <c r="Q167" s="17">
        <f>IF($A167="","",N(Items!G167)*$O167)</f>
        <v/>
      </c>
      <c r="R167" s="17">
        <f>IF($A167="","",$Q167-$P167)</f>
        <v/>
      </c>
      <c r="S167" s="17">
        <f>IF($A167="","",N(Items!J167)+$R167)</f>
        <v/>
      </c>
      <c r="T167" s="16">
        <f>IF($A167="","",IF(N(Items!K167)=0,"",(N(Items!K167)-N(Items!J167))/N(Items!K167)))</f>
        <v/>
      </c>
      <c r="U167" s="16">
        <f>IF($A167="","",IF(N(Items!K167)=0,"",(N(Items!K167)-$S167)/N(Items!K167)))</f>
        <v/>
      </c>
      <c r="V167" s="16">
        <f>IF(OR($T167="",$U167=""),"",$U167-$T167)</f>
        <v/>
      </c>
      <c r="W167" s="18">
        <f>IF($A167="","",N(Items!H167))</f>
        <v/>
      </c>
      <c r="X167" s="19">
        <f>IF($A167="","",$R167*$W167)</f>
        <v/>
      </c>
      <c r="Y167" s="19">
        <f>IF($A167="","",N(Items!K167)*$W167)</f>
        <v/>
      </c>
      <c r="Z167" s="19">
        <f>IF($A167="","",(N(Items!K167)-N(Items!J167))*$W167)</f>
        <v/>
      </c>
      <c r="AA167" s="19">
        <f>IF($A167="","",$Z167-$X167)</f>
        <v/>
      </c>
      <c r="AB167" s="10">
        <f>IF($A167="","",IF(TRIM(Items!C167&amp;"")="","CHECK: import country missing",IF(OR(LEN($C167)&lt;&gt;10,ISERROR(VALUE($C167))),"CHECK: HTS must be 10 digits",IF(LEN($E167)&lt;&gt;2,"CHECK: origin code missing or not 2 letters",IF(OR(Items!G167="",Items!I167="",Items!J167=""),"CHECK: value, rate or cost missing",IF(ISNUMBER(Items!G167)*ISNUMBER(Items!I167)*ISNUMBER(Items!J167)=0,"CHECK: text in a number column",IF(AND($L167="Y",UPPER(TRIM(act_RateType&amp;""))="REPLACE",$N167&lt;N(act_PriorRate)),"CHECK: current rate is below the rate being replaced",IF(AND($L167="Y",$W167=0),"NOTE: in scope, no volume","OK"))))))))</f>
        <v/>
      </c>
      <c r="AC167" s="20">
        <f>IF($A167="","",IF(AND($L167="Y",$X167&lt;&gt;0),ABS($X167)+ROW()/1000000000,""))</f>
        <v/>
      </c>
    </row>
    <row r="168">
      <c r="A168" s="10">
        <f>IF(TRIM(Items!A168&amp;"")="","",TRIM(Items!A168&amp;""))</f>
        <v/>
      </c>
      <c r="B168" s="10">
        <f>IF($A168="","",Items!B168&amp;"")</f>
        <v/>
      </c>
      <c r="C168" s="10">
        <f>IF($A168="","",SUBSTITUTE(SUBSTITUTE(SUBSTITUTE(TRIM(Items!D168&amp;""),".","")," ",""),"-",""))</f>
        <v/>
      </c>
      <c r="D168" s="10">
        <f>IF($A168="","",LEFT($C168,2))</f>
        <v/>
      </c>
      <c r="E168" s="10">
        <f>IF($A168="","",UPPER(TRIM(Items!E168&amp;"")))</f>
        <v/>
      </c>
      <c r="F168" s="10">
        <f>IF($A168="","",IF(UPPER(TRIM(Items!C168&amp;""))=UPPER(TRIM(act_Country&amp;"")),"Y","N"))</f>
        <v/>
      </c>
      <c r="G168" s="10">
        <f>IF($A168="","",IF(SUMPRODUCT((scope_HTS&lt;&gt;"")*(LEFT($C168,LEN(scope_HTS))=scope_HTS))&gt;0,"Y","N"))</f>
        <v/>
      </c>
      <c r="H168" s="10">
        <f>IF($A168="","",IF(SUMPRODUCT((excl_HTS&lt;&gt;"")*(LEFT($C168,LEN(excl_HTS))=excl_HTS))&gt;0,"Y","N"))</f>
        <v/>
      </c>
      <c r="I168" s="10">
        <f>IF($A168="","",IF($E168="","N",IF(COUNTIF(scope_COO,$E168)&gt;0,"Y","N")))</f>
        <v/>
      </c>
      <c r="J168" s="10">
        <f>IF($A168="","",IF(AND(UPPER(TRIM(act_USMCAExempt&amp;""))="Y",UPPER(TRIM(Items!F168&amp;""))="Y"),"Y","N"))</f>
        <v/>
      </c>
      <c r="K168" s="10">
        <f>IF($A168="","",IFERROR(UPPER(TRIM(INDEX(det_Status,MATCH($A168,det_Item,0))&amp;"")),""))</f>
        <v/>
      </c>
      <c r="L168" s="10">
        <f>IF($A168="","",IF($K168="IN","Y",IF($K168="OUT","N",IF(AND($F168="Y",$G168="Y",$H168="N",$I168="Y",$J168="N"),"Y","N"))))</f>
        <v/>
      </c>
      <c r="M168" s="10">
        <f>IF($A168="","",IF($K168="IN","In: Research determination",IF($K168="OUT","Out: Research determination",IF($F168="N","Out: different import country",IF($G168="N","Out: HTS not on scope list",IF($H168="Y","Out: HTS on exclusion list",IF($I168="N","Out: origin not on scope list",IF($J168="Y","Out: USMCA-qualifying, exempt","In: matches scope rules"))))))))</f>
        <v/>
      </c>
      <c r="N168" s="16">
        <f>IF($A168="","",N(Items!I168))</f>
        <v/>
      </c>
      <c r="O168" s="16">
        <f>IF($A168="","",IF($L168="Y",$N168+N(act_Rate)-IF(UPPER(TRIM(act_RateType&amp;""))="REPLACE",N(act_PriorRate),0),$N168))</f>
        <v/>
      </c>
      <c r="P168" s="17">
        <f>IF($A168="","",N(Items!G168)*$N168)</f>
        <v/>
      </c>
      <c r="Q168" s="17">
        <f>IF($A168="","",N(Items!G168)*$O168)</f>
        <v/>
      </c>
      <c r="R168" s="17">
        <f>IF($A168="","",$Q168-$P168)</f>
        <v/>
      </c>
      <c r="S168" s="17">
        <f>IF($A168="","",N(Items!J168)+$R168)</f>
        <v/>
      </c>
      <c r="T168" s="16">
        <f>IF($A168="","",IF(N(Items!K168)=0,"",(N(Items!K168)-N(Items!J168))/N(Items!K168)))</f>
        <v/>
      </c>
      <c r="U168" s="16">
        <f>IF($A168="","",IF(N(Items!K168)=0,"",(N(Items!K168)-$S168)/N(Items!K168)))</f>
        <v/>
      </c>
      <c r="V168" s="16">
        <f>IF(OR($T168="",$U168=""),"",$U168-$T168)</f>
        <v/>
      </c>
      <c r="W168" s="18">
        <f>IF($A168="","",N(Items!H168))</f>
        <v/>
      </c>
      <c r="X168" s="19">
        <f>IF($A168="","",$R168*$W168)</f>
        <v/>
      </c>
      <c r="Y168" s="19">
        <f>IF($A168="","",N(Items!K168)*$W168)</f>
        <v/>
      </c>
      <c r="Z168" s="19">
        <f>IF($A168="","",(N(Items!K168)-N(Items!J168))*$W168)</f>
        <v/>
      </c>
      <c r="AA168" s="19">
        <f>IF($A168="","",$Z168-$X168)</f>
        <v/>
      </c>
      <c r="AB168" s="10">
        <f>IF($A168="","",IF(TRIM(Items!C168&amp;"")="","CHECK: import country missing",IF(OR(LEN($C168)&lt;&gt;10,ISERROR(VALUE($C168))),"CHECK: HTS must be 10 digits",IF(LEN($E168)&lt;&gt;2,"CHECK: origin code missing or not 2 letters",IF(OR(Items!G168="",Items!I168="",Items!J168=""),"CHECK: value, rate or cost missing",IF(ISNUMBER(Items!G168)*ISNUMBER(Items!I168)*ISNUMBER(Items!J168)=0,"CHECK: text in a number column",IF(AND($L168="Y",UPPER(TRIM(act_RateType&amp;""))="REPLACE",$N168&lt;N(act_PriorRate)),"CHECK: current rate is below the rate being replaced",IF(AND($L168="Y",$W168=0),"NOTE: in scope, no volume","OK"))))))))</f>
        <v/>
      </c>
      <c r="AC168" s="20">
        <f>IF($A168="","",IF(AND($L168="Y",$X168&lt;&gt;0),ABS($X168)+ROW()/1000000000,""))</f>
        <v/>
      </c>
    </row>
    <row r="169">
      <c r="A169" s="10">
        <f>IF(TRIM(Items!A169&amp;"")="","",TRIM(Items!A169&amp;""))</f>
        <v/>
      </c>
      <c r="B169" s="10">
        <f>IF($A169="","",Items!B169&amp;"")</f>
        <v/>
      </c>
      <c r="C169" s="10">
        <f>IF($A169="","",SUBSTITUTE(SUBSTITUTE(SUBSTITUTE(TRIM(Items!D169&amp;""),".","")," ",""),"-",""))</f>
        <v/>
      </c>
      <c r="D169" s="10">
        <f>IF($A169="","",LEFT($C169,2))</f>
        <v/>
      </c>
      <c r="E169" s="10">
        <f>IF($A169="","",UPPER(TRIM(Items!E169&amp;"")))</f>
        <v/>
      </c>
      <c r="F169" s="10">
        <f>IF($A169="","",IF(UPPER(TRIM(Items!C169&amp;""))=UPPER(TRIM(act_Country&amp;"")),"Y","N"))</f>
        <v/>
      </c>
      <c r="G169" s="10">
        <f>IF($A169="","",IF(SUMPRODUCT((scope_HTS&lt;&gt;"")*(LEFT($C169,LEN(scope_HTS))=scope_HTS))&gt;0,"Y","N"))</f>
        <v/>
      </c>
      <c r="H169" s="10">
        <f>IF($A169="","",IF(SUMPRODUCT((excl_HTS&lt;&gt;"")*(LEFT($C169,LEN(excl_HTS))=excl_HTS))&gt;0,"Y","N"))</f>
        <v/>
      </c>
      <c r="I169" s="10">
        <f>IF($A169="","",IF($E169="","N",IF(COUNTIF(scope_COO,$E169)&gt;0,"Y","N")))</f>
        <v/>
      </c>
      <c r="J169" s="10">
        <f>IF($A169="","",IF(AND(UPPER(TRIM(act_USMCAExempt&amp;""))="Y",UPPER(TRIM(Items!F169&amp;""))="Y"),"Y","N"))</f>
        <v/>
      </c>
      <c r="K169" s="10">
        <f>IF($A169="","",IFERROR(UPPER(TRIM(INDEX(det_Status,MATCH($A169,det_Item,0))&amp;"")),""))</f>
        <v/>
      </c>
      <c r="L169" s="10">
        <f>IF($A169="","",IF($K169="IN","Y",IF($K169="OUT","N",IF(AND($F169="Y",$G169="Y",$H169="N",$I169="Y",$J169="N"),"Y","N"))))</f>
        <v/>
      </c>
      <c r="M169" s="10">
        <f>IF($A169="","",IF($K169="IN","In: Research determination",IF($K169="OUT","Out: Research determination",IF($F169="N","Out: different import country",IF($G169="N","Out: HTS not on scope list",IF($H169="Y","Out: HTS on exclusion list",IF($I169="N","Out: origin not on scope list",IF($J169="Y","Out: USMCA-qualifying, exempt","In: matches scope rules"))))))))</f>
        <v/>
      </c>
      <c r="N169" s="16">
        <f>IF($A169="","",N(Items!I169))</f>
        <v/>
      </c>
      <c r="O169" s="16">
        <f>IF($A169="","",IF($L169="Y",$N169+N(act_Rate)-IF(UPPER(TRIM(act_RateType&amp;""))="REPLACE",N(act_PriorRate),0),$N169))</f>
        <v/>
      </c>
      <c r="P169" s="17">
        <f>IF($A169="","",N(Items!G169)*$N169)</f>
        <v/>
      </c>
      <c r="Q169" s="17">
        <f>IF($A169="","",N(Items!G169)*$O169)</f>
        <v/>
      </c>
      <c r="R169" s="17">
        <f>IF($A169="","",$Q169-$P169)</f>
        <v/>
      </c>
      <c r="S169" s="17">
        <f>IF($A169="","",N(Items!J169)+$R169)</f>
        <v/>
      </c>
      <c r="T169" s="16">
        <f>IF($A169="","",IF(N(Items!K169)=0,"",(N(Items!K169)-N(Items!J169))/N(Items!K169)))</f>
        <v/>
      </c>
      <c r="U169" s="16">
        <f>IF($A169="","",IF(N(Items!K169)=0,"",(N(Items!K169)-$S169)/N(Items!K169)))</f>
        <v/>
      </c>
      <c r="V169" s="16">
        <f>IF(OR($T169="",$U169=""),"",$U169-$T169)</f>
        <v/>
      </c>
      <c r="W169" s="18">
        <f>IF($A169="","",N(Items!H169))</f>
        <v/>
      </c>
      <c r="X169" s="19">
        <f>IF($A169="","",$R169*$W169)</f>
        <v/>
      </c>
      <c r="Y169" s="19">
        <f>IF($A169="","",N(Items!K169)*$W169)</f>
        <v/>
      </c>
      <c r="Z169" s="19">
        <f>IF($A169="","",(N(Items!K169)-N(Items!J169))*$W169)</f>
        <v/>
      </c>
      <c r="AA169" s="19">
        <f>IF($A169="","",$Z169-$X169)</f>
        <v/>
      </c>
      <c r="AB169" s="10">
        <f>IF($A169="","",IF(TRIM(Items!C169&amp;"")="","CHECK: import country missing",IF(OR(LEN($C169)&lt;&gt;10,ISERROR(VALUE($C169))),"CHECK: HTS must be 10 digits",IF(LEN($E169)&lt;&gt;2,"CHECK: origin code missing or not 2 letters",IF(OR(Items!G169="",Items!I169="",Items!J169=""),"CHECK: value, rate or cost missing",IF(ISNUMBER(Items!G169)*ISNUMBER(Items!I169)*ISNUMBER(Items!J169)=0,"CHECK: text in a number column",IF(AND($L169="Y",UPPER(TRIM(act_RateType&amp;""))="REPLACE",$N169&lt;N(act_PriorRate)),"CHECK: current rate is below the rate being replaced",IF(AND($L169="Y",$W169=0),"NOTE: in scope, no volume","OK"))))))))</f>
        <v/>
      </c>
      <c r="AC169" s="20">
        <f>IF($A169="","",IF(AND($L169="Y",$X169&lt;&gt;0),ABS($X169)+ROW()/1000000000,""))</f>
        <v/>
      </c>
    </row>
    <row r="170">
      <c r="A170" s="10">
        <f>IF(TRIM(Items!A170&amp;"")="","",TRIM(Items!A170&amp;""))</f>
        <v/>
      </c>
      <c r="B170" s="10">
        <f>IF($A170="","",Items!B170&amp;"")</f>
        <v/>
      </c>
      <c r="C170" s="10">
        <f>IF($A170="","",SUBSTITUTE(SUBSTITUTE(SUBSTITUTE(TRIM(Items!D170&amp;""),".","")," ",""),"-",""))</f>
        <v/>
      </c>
      <c r="D170" s="10">
        <f>IF($A170="","",LEFT($C170,2))</f>
        <v/>
      </c>
      <c r="E170" s="10">
        <f>IF($A170="","",UPPER(TRIM(Items!E170&amp;"")))</f>
        <v/>
      </c>
      <c r="F170" s="10">
        <f>IF($A170="","",IF(UPPER(TRIM(Items!C170&amp;""))=UPPER(TRIM(act_Country&amp;"")),"Y","N"))</f>
        <v/>
      </c>
      <c r="G170" s="10">
        <f>IF($A170="","",IF(SUMPRODUCT((scope_HTS&lt;&gt;"")*(LEFT($C170,LEN(scope_HTS))=scope_HTS))&gt;0,"Y","N"))</f>
        <v/>
      </c>
      <c r="H170" s="10">
        <f>IF($A170="","",IF(SUMPRODUCT((excl_HTS&lt;&gt;"")*(LEFT($C170,LEN(excl_HTS))=excl_HTS))&gt;0,"Y","N"))</f>
        <v/>
      </c>
      <c r="I170" s="10">
        <f>IF($A170="","",IF($E170="","N",IF(COUNTIF(scope_COO,$E170)&gt;0,"Y","N")))</f>
        <v/>
      </c>
      <c r="J170" s="10">
        <f>IF($A170="","",IF(AND(UPPER(TRIM(act_USMCAExempt&amp;""))="Y",UPPER(TRIM(Items!F170&amp;""))="Y"),"Y","N"))</f>
        <v/>
      </c>
      <c r="K170" s="10">
        <f>IF($A170="","",IFERROR(UPPER(TRIM(INDEX(det_Status,MATCH($A170,det_Item,0))&amp;"")),""))</f>
        <v/>
      </c>
      <c r="L170" s="10">
        <f>IF($A170="","",IF($K170="IN","Y",IF($K170="OUT","N",IF(AND($F170="Y",$G170="Y",$H170="N",$I170="Y",$J170="N"),"Y","N"))))</f>
        <v/>
      </c>
      <c r="M170" s="10">
        <f>IF($A170="","",IF($K170="IN","In: Research determination",IF($K170="OUT","Out: Research determination",IF($F170="N","Out: different import country",IF($G170="N","Out: HTS not on scope list",IF($H170="Y","Out: HTS on exclusion list",IF($I170="N","Out: origin not on scope list",IF($J170="Y","Out: USMCA-qualifying, exempt","In: matches scope rules"))))))))</f>
        <v/>
      </c>
      <c r="N170" s="16">
        <f>IF($A170="","",N(Items!I170))</f>
        <v/>
      </c>
      <c r="O170" s="16">
        <f>IF($A170="","",IF($L170="Y",$N170+N(act_Rate)-IF(UPPER(TRIM(act_RateType&amp;""))="REPLACE",N(act_PriorRate),0),$N170))</f>
        <v/>
      </c>
      <c r="P170" s="17">
        <f>IF($A170="","",N(Items!G170)*$N170)</f>
        <v/>
      </c>
      <c r="Q170" s="17">
        <f>IF($A170="","",N(Items!G170)*$O170)</f>
        <v/>
      </c>
      <c r="R170" s="17">
        <f>IF($A170="","",$Q170-$P170)</f>
        <v/>
      </c>
      <c r="S170" s="17">
        <f>IF($A170="","",N(Items!J170)+$R170)</f>
        <v/>
      </c>
      <c r="T170" s="16">
        <f>IF($A170="","",IF(N(Items!K170)=0,"",(N(Items!K170)-N(Items!J170))/N(Items!K170)))</f>
        <v/>
      </c>
      <c r="U170" s="16">
        <f>IF($A170="","",IF(N(Items!K170)=0,"",(N(Items!K170)-$S170)/N(Items!K170)))</f>
        <v/>
      </c>
      <c r="V170" s="16">
        <f>IF(OR($T170="",$U170=""),"",$U170-$T170)</f>
        <v/>
      </c>
      <c r="W170" s="18">
        <f>IF($A170="","",N(Items!H170))</f>
        <v/>
      </c>
      <c r="X170" s="19">
        <f>IF($A170="","",$R170*$W170)</f>
        <v/>
      </c>
      <c r="Y170" s="19">
        <f>IF($A170="","",N(Items!K170)*$W170)</f>
        <v/>
      </c>
      <c r="Z170" s="19">
        <f>IF($A170="","",(N(Items!K170)-N(Items!J170))*$W170)</f>
        <v/>
      </c>
      <c r="AA170" s="19">
        <f>IF($A170="","",$Z170-$X170)</f>
        <v/>
      </c>
      <c r="AB170" s="10">
        <f>IF($A170="","",IF(TRIM(Items!C170&amp;"")="","CHECK: import country missing",IF(OR(LEN($C170)&lt;&gt;10,ISERROR(VALUE($C170))),"CHECK: HTS must be 10 digits",IF(LEN($E170)&lt;&gt;2,"CHECK: origin code missing or not 2 letters",IF(OR(Items!G170="",Items!I170="",Items!J170=""),"CHECK: value, rate or cost missing",IF(ISNUMBER(Items!G170)*ISNUMBER(Items!I170)*ISNUMBER(Items!J170)=0,"CHECK: text in a number column",IF(AND($L170="Y",UPPER(TRIM(act_RateType&amp;""))="REPLACE",$N170&lt;N(act_PriorRate)),"CHECK: current rate is below the rate being replaced",IF(AND($L170="Y",$W170=0),"NOTE: in scope, no volume","OK"))))))))</f>
        <v/>
      </c>
      <c r="AC170" s="20">
        <f>IF($A170="","",IF(AND($L170="Y",$X170&lt;&gt;0),ABS($X170)+ROW()/1000000000,""))</f>
        <v/>
      </c>
    </row>
    <row r="171">
      <c r="A171" s="10">
        <f>IF(TRIM(Items!A171&amp;"")="","",TRIM(Items!A171&amp;""))</f>
        <v/>
      </c>
      <c r="B171" s="10">
        <f>IF($A171="","",Items!B171&amp;"")</f>
        <v/>
      </c>
      <c r="C171" s="10">
        <f>IF($A171="","",SUBSTITUTE(SUBSTITUTE(SUBSTITUTE(TRIM(Items!D171&amp;""),".","")," ",""),"-",""))</f>
        <v/>
      </c>
      <c r="D171" s="10">
        <f>IF($A171="","",LEFT($C171,2))</f>
        <v/>
      </c>
      <c r="E171" s="10">
        <f>IF($A171="","",UPPER(TRIM(Items!E171&amp;"")))</f>
        <v/>
      </c>
      <c r="F171" s="10">
        <f>IF($A171="","",IF(UPPER(TRIM(Items!C171&amp;""))=UPPER(TRIM(act_Country&amp;"")),"Y","N"))</f>
        <v/>
      </c>
      <c r="G171" s="10">
        <f>IF($A171="","",IF(SUMPRODUCT((scope_HTS&lt;&gt;"")*(LEFT($C171,LEN(scope_HTS))=scope_HTS))&gt;0,"Y","N"))</f>
        <v/>
      </c>
      <c r="H171" s="10">
        <f>IF($A171="","",IF(SUMPRODUCT((excl_HTS&lt;&gt;"")*(LEFT($C171,LEN(excl_HTS))=excl_HTS))&gt;0,"Y","N"))</f>
        <v/>
      </c>
      <c r="I171" s="10">
        <f>IF($A171="","",IF($E171="","N",IF(COUNTIF(scope_COO,$E171)&gt;0,"Y","N")))</f>
        <v/>
      </c>
      <c r="J171" s="10">
        <f>IF($A171="","",IF(AND(UPPER(TRIM(act_USMCAExempt&amp;""))="Y",UPPER(TRIM(Items!F171&amp;""))="Y"),"Y","N"))</f>
        <v/>
      </c>
      <c r="K171" s="10">
        <f>IF($A171="","",IFERROR(UPPER(TRIM(INDEX(det_Status,MATCH($A171,det_Item,0))&amp;"")),""))</f>
        <v/>
      </c>
      <c r="L171" s="10">
        <f>IF($A171="","",IF($K171="IN","Y",IF($K171="OUT","N",IF(AND($F171="Y",$G171="Y",$H171="N",$I171="Y",$J171="N"),"Y","N"))))</f>
        <v/>
      </c>
      <c r="M171" s="10">
        <f>IF($A171="","",IF($K171="IN","In: Research determination",IF($K171="OUT","Out: Research determination",IF($F171="N","Out: different import country",IF($G171="N","Out: HTS not on scope list",IF($H171="Y","Out: HTS on exclusion list",IF($I171="N","Out: origin not on scope list",IF($J171="Y","Out: USMCA-qualifying, exempt","In: matches scope rules"))))))))</f>
        <v/>
      </c>
      <c r="N171" s="16">
        <f>IF($A171="","",N(Items!I171))</f>
        <v/>
      </c>
      <c r="O171" s="16">
        <f>IF($A171="","",IF($L171="Y",$N171+N(act_Rate)-IF(UPPER(TRIM(act_RateType&amp;""))="REPLACE",N(act_PriorRate),0),$N171))</f>
        <v/>
      </c>
      <c r="P171" s="17">
        <f>IF($A171="","",N(Items!G171)*$N171)</f>
        <v/>
      </c>
      <c r="Q171" s="17">
        <f>IF($A171="","",N(Items!G171)*$O171)</f>
        <v/>
      </c>
      <c r="R171" s="17">
        <f>IF($A171="","",$Q171-$P171)</f>
        <v/>
      </c>
      <c r="S171" s="17">
        <f>IF($A171="","",N(Items!J171)+$R171)</f>
        <v/>
      </c>
      <c r="T171" s="16">
        <f>IF($A171="","",IF(N(Items!K171)=0,"",(N(Items!K171)-N(Items!J171))/N(Items!K171)))</f>
        <v/>
      </c>
      <c r="U171" s="16">
        <f>IF($A171="","",IF(N(Items!K171)=0,"",(N(Items!K171)-$S171)/N(Items!K171)))</f>
        <v/>
      </c>
      <c r="V171" s="16">
        <f>IF(OR($T171="",$U171=""),"",$U171-$T171)</f>
        <v/>
      </c>
      <c r="W171" s="18">
        <f>IF($A171="","",N(Items!H171))</f>
        <v/>
      </c>
      <c r="X171" s="19">
        <f>IF($A171="","",$R171*$W171)</f>
        <v/>
      </c>
      <c r="Y171" s="19">
        <f>IF($A171="","",N(Items!K171)*$W171)</f>
        <v/>
      </c>
      <c r="Z171" s="19">
        <f>IF($A171="","",(N(Items!K171)-N(Items!J171))*$W171)</f>
        <v/>
      </c>
      <c r="AA171" s="19">
        <f>IF($A171="","",$Z171-$X171)</f>
        <v/>
      </c>
      <c r="AB171" s="10">
        <f>IF($A171="","",IF(TRIM(Items!C171&amp;"")="","CHECK: import country missing",IF(OR(LEN($C171)&lt;&gt;10,ISERROR(VALUE($C171))),"CHECK: HTS must be 10 digits",IF(LEN($E171)&lt;&gt;2,"CHECK: origin code missing or not 2 letters",IF(OR(Items!G171="",Items!I171="",Items!J171=""),"CHECK: value, rate or cost missing",IF(ISNUMBER(Items!G171)*ISNUMBER(Items!I171)*ISNUMBER(Items!J171)=0,"CHECK: text in a number column",IF(AND($L171="Y",UPPER(TRIM(act_RateType&amp;""))="REPLACE",$N171&lt;N(act_PriorRate)),"CHECK: current rate is below the rate being replaced",IF(AND($L171="Y",$W171=0),"NOTE: in scope, no volume","OK"))))))))</f>
        <v/>
      </c>
      <c r="AC171" s="20">
        <f>IF($A171="","",IF(AND($L171="Y",$X171&lt;&gt;0),ABS($X171)+ROW()/1000000000,""))</f>
        <v/>
      </c>
    </row>
    <row r="172">
      <c r="A172" s="10">
        <f>IF(TRIM(Items!A172&amp;"")="","",TRIM(Items!A172&amp;""))</f>
        <v/>
      </c>
      <c r="B172" s="10">
        <f>IF($A172="","",Items!B172&amp;"")</f>
        <v/>
      </c>
      <c r="C172" s="10">
        <f>IF($A172="","",SUBSTITUTE(SUBSTITUTE(SUBSTITUTE(TRIM(Items!D172&amp;""),".","")," ",""),"-",""))</f>
        <v/>
      </c>
      <c r="D172" s="10">
        <f>IF($A172="","",LEFT($C172,2))</f>
        <v/>
      </c>
      <c r="E172" s="10">
        <f>IF($A172="","",UPPER(TRIM(Items!E172&amp;"")))</f>
        <v/>
      </c>
      <c r="F172" s="10">
        <f>IF($A172="","",IF(UPPER(TRIM(Items!C172&amp;""))=UPPER(TRIM(act_Country&amp;"")),"Y","N"))</f>
        <v/>
      </c>
      <c r="G172" s="10">
        <f>IF($A172="","",IF(SUMPRODUCT((scope_HTS&lt;&gt;"")*(LEFT($C172,LEN(scope_HTS))=scope_HTS))&gt;0,"Y","N"))</f>
        <v/>
      </c>
      <c r="H172" s="10">
        <f>IF($A172="","",IF(SUMPRODUCT((excl_HTS&lt;&gt;"")*(LEFT($C172,LEN(excl_HTS))=excl_HTS))&gt;0,"Y","N"))</f>
        <v/>
      </c>
      <c r="I172" s="10">
        <f>IF($A172="","",IF($E172="","N",IF(COUNTIF(scope_COO,$E172)&gt;0,"Y","N")))</f>
        <v/>
      </c>
      <c r="J172" s="10">
        <f>IF($A172="","",IF(AND(UPPER(TRIM(act_USMCAExempt&amp;""))="Y",UPPER(TRIM(Items!F172&amp;""))="Y"),"Y","N"))</f>
        <v/>
      </c>
      <c r="K172" s="10">
        <f>IF($A172="","",IFERROR(UPPER(TRIM(INDEX(det_Status,MATCH($A172,det_Item,0))&amp;"")),""))</f>
        <v/>
      </c>
      <c r="L172" s="10">
        <f>IF($A172="","",IF($K172="IN","Y",IF($K172="OUT","N",IF(AND($F172="Y",$G172="Y",$H172="N",$I172="Y",$J172="N"),"Y","N"))))</f>
        <v/>
      </c>
      <c r="M172" s="10">
        <f>IF($A172="","",IF($K172="IN","In: Research determination",IF($K172="OUT","Out: Research determination",IF($F172="N","Out: different import country",IF($G172="N","Out: HTS not on scope list",IF($H172="Y","Out: HTS on exclusion list",IF($I172="N","Out: origin not on scope list",IF($J172="Y","Out: USMCA-qualifying, exempt","In: matches scope rules"))))))))</f>
        <v/>
      </c>
      <c r="N172" s="16">
        <f>IF($A172="","",N(Items!I172))</f>
        <v/>
      </c>
      <c r="O172" s="16">
        <f>IF($A172="","",IF($L172="Y",$N172+N(act_Rate)-IF(UPPER(TRIM(act_RateType&amp;""))="REPLACE",N(act_PriorRate),0),$N172))</f>
        <v/>
      </c>
      <c r="P172" s="17">
        <f>IF($A172="","",N(Items!G172)*$N172)</f>
        <v/>
      </c>
      <c r="Q172" s="17">
        <f>IF($A172="","",N(Items!G172)*$O172)</f>
        <v/>
      </c>
      <c r="R172" s="17">
        <f>IF($A172="","",$Q172-$P172)</f>
        <v/>
      </c>
      <c r="S172" s="17">
        <f>IF($A172="","",N(Items!J172)+$R172)</f>
        <v/>
      </c>
      <c r="T172" s="16">
        <f>IF($A172="","",IF(N(Items!K172)=0,"",(N(Items!K172)-N(Items!J172))/N(Items!K172)))</f>
        <v/>
      </c>
      <c r="U172" s="16">
        <f>IF($A172="","",IF(N(Items!K172)=0,"",(N(Items!K172)-$S172)/N(Items!K172)))</f>
        <v/>
      </c>
      <c r="V172" s="16">
        <f>IF(OR($T172="",$U172=""),"",$U172-$T172)</f>
        <v/>
      </c>
      <c r="W172" s="18">
        <f>IF($A172="","",N(Items!H172))</f>
        <v/>
      </c>
      <c r="X172" s="19">
        <f>IF($A172="","",$R172*$W172)</f>
        <v/>
      </c>
      <c r="Y172" s="19">
        <f>IF($A172="","",N(Items!K172)*$W172)</f>
        <v/>
      </c>
      <c r="Z172" s="19">
        <f>IF($A172="","",(N(Items!K172)-N(Items!J172))*$W172)</f>
        <v/>
      </c>
      <c r="AA172" s="19">
        <f>IF($A172="","",$Z172-$X172)</f>
        <v/>
      </c>
      <c r="AB172" s="10">
        <f>IF($A172="","",IF(TRIM(Items!C172&amp;"")="","CHECK: import country missing",IF(OR(LEN($C172)&lt;&gt;10,ISERROR(VALUE($C172))),"CHECK: HTS must be 10 digits",IF(LEN($E172)&lt;&gt;2,"CHECK: origin code missing or not 2 letters",IF(OR(Items!G172="",Items!I172="",Items!J172=""),"CHECK: value, rate or cost missing",IF(ISNUMBER(Items!G172)*ISNUMBER(Items!I172)*ISNUMBER(Items!J172)=0,"CHECK: text in a number column",IF(AND($L172="Y",UPPER(TRIM(act_RateType&amp;""))="REPLACE",$N172&lt;N(act_PriorRate)),"CHECK: current rate is below the rate being replaced",IF(AND($L172="Y",$W172=0),"NOTE: in scope, no volume","OK"))))))))</f>
        <v/>
      </c>
      <c r="AC172" s="20">
        <f>IF($A172="","",IF(AND($L172="Y",$X172&lt;&gt;0),ABS($X172)+ROW()/1000000000,""))</f>
        <v/>
      </c>
    </row>
    <row r="173">
      <c r="A173" s="10">
        <f>IF(TRIM(Items!A173&amp;"")="","",TRIM(Items!A173&amp;""))</f>
        <v/>
      </c>
      <c r="B173" s="10">
        <f>IF($A173="","",Items!B173&amp;"")</f>
        <v/>
      </c>
      <c r="C173" s="10">
        <f>IF($A173="","",SUBSTITUTE(SUBSTITUTE(SUBSTITUTE(TRIM(Items!D173&amp;""),".","")," ",""),"-",""))</f>
        <v/>
      </c>
      <c r="D173" s="10">
        <f>IF($A173="","",LEFT($C173,2))</f>
        <v/>
      </c>
      <c r="E173" s="10">
        <f>IF($A173="","",UPPER(TRIM(Items!E173&amp;"")))</f>
        <v/>
      </c>
      <c r="F173" s="10">
        <f>IF($A173="","",IF(UPPER(TRIM(Items!C173&amp;""))=UPPER(TRIM(act_Country&amp;"")),"Y","N"))</f>
        <v/>
      </c>
      <c r="G173" s="10">
        <f>IF($A173="","",IF(SUMPRODUCT((scope_HTS&lt;&gt;"")*(LEFT($C173,LEN(scope_HTS))=scope_HTS))&gt;0,"Y","N"))</f>
        <v/>
      </c>
      <c r="H173" s="10">
        <f>IF($A173="","",IF(SUMPRODUCT((excl_HTS&lt;&gt;"")*(LEFT($C173,LEN(excl_HTS))=excl_HTS))&gt;0,"Y","N"))</f>
        <v/>
      </c>
      <c r="I173" s="10">
        <f>IF($A173="","",IF($E173="","N",IF(COUNTIF(scope_COO,$E173)&gt;0,"Y","N")))</f>
        <v/>
      </c>
      <c r="J173" s="10">
        <f>IF($A173="","",IF(AND(UPPER(TRIM(act_USMCAExempt&amp;""))="Y",UPPER(TRIM(Items!F173&amp;""))="Y"),"Y","N"))</f>
        <v/>
      </c>
      <c r="K173" s="10">
        <f>IF($A173="","",IFERROR(UPPER(TRIM(INDEX(det_Status,MATCH($A173,det_Item,0))&amp;"")),""))</f>
        <v/>
      </c>
      <c r="L173" s="10">
        <f>IF($A173="","",IF($K173="IN","Y",IF($K173="OUT","N",IF(AND($F173="Y",$G173="Y",$H173="N",$I173="Y",$J173="N"),"Y","N"))))</f>
        <v/>
      </c>
      <c r="M173" s="10">
        <f>IF($A173="","",IF($K173="IN","In: Research determination",IF($K173="OUT","Out: Research determination",IF($F173="N","Out: different import country",IF($G173="N","Out: HTS not on scope list",IF($H173="Y","Out: HTS on exclusion list",IF($I173="N","Out: origin not on scope list",IF($J173="Y","Out: USMCA-qualifying, exempt","In: matches scope rules"))))))))</f>
        <v/>
      </c>
      <c r="N173" s="16">
        <f>IF($A173="","",N(Items!I173))</f>
        <v/>
      </c>
      <c r="O173" s="16">
        <f>IF($A173="","",IF($L173="Y",$N173+N(act_Rate)-IF(UPPER(TRIM(act_RateType&amp;""))="REPLACE",N(act_PriorRate),0),$N173))</f>
        <v/>
      </c>
      <c r="P173" s="17">
        <f>IF($A173="","",N(Items!G173)*$N173)</f>
        <v/>
      </c>
      <c r="Q173" s="17">
        <f>IF($A173="","",N(Items!G173)*$O173)</f>
        <v/>
      </c>
      <c r="R173" s="17">
        <f>IF($A173="","",$Q173-$P173)</f>
        <v/>
      </c>
      <c r="S173" s="17">
        <f>IF($A173="","",N(Items!J173)+$R173)</f>
        <v/>
      </c>
      <c r="T173" s="16">
        <f>IF($A173="","",IF(N(Items!K173)=0,"",(N(Items!K173)-N(Items!J173))/N(Items!K173)))</f>
        <v/>
      </c>
      <c r="U173" s="16">
        <f>IF($A173="","",IF(N(Items!K173)=0,"",(N(Items!K173)-$S173)/N(Items!K173)))</f>
        <v/>
      </c>
      <c r="V173" s="16">
        <f>IF(OR($T173="",$U173=""),"",$U173-$T173)</f>
        <v/>
      </c>
      <c r="W173" s="18">
        <f>IF($A173="","",N(Items!H173))</f>
        <v/>
      </c>
      <c r="X173" s="19">
        <f>IF($A173="","",$R173*$W173)</f>
        <v/>
      </c>
      <c r="Y173" s="19">
        <f>IF($A173="","",N(Items!K173)*$W173)</f>
        <v/>
      </c>
      <c r="Z173" s="19">
        <f>IF($A173="","",(N(Items!K173)-N(Items!J173))*$W173)</f>
        <v/>
      </c>
      <c r="AA173" s="19">
        <f>IF($A173="","",$Z173-$X173)</f>
        <v/>
      </c>
      <c r="AB173" s="10">
        <f>IF($A173="","",IF(TRIM(Items!C173&amp;"")="","CHECK: import country missing",IF(OR(LEN($C173)&lt;&gt;10,ISERROR(VALUE($C173))),"CHECK: HTS must be 10 digits",IF(LEN($E173)&lt;&gt;2,"CHECK: origin code missing or not 2 letters",IF(OR(Items!G173="",Items!I173="",Items!J173=""),"CHECK: value, rate or cost missing",IF(ISNUMBER(Items!G173)*ISNUMBER(Items!I173)*ISNUMBER(Items!J173)=0,"CHECK: text in a number column",IF(AND($L173="Y",UPPER(TRIM(act_RateType&amp;""))="REPLACE",$N173&lt;N(act_PriorRate)),"CHECK: current rate is below the rate being replaced",IF(AND($L173="Y",$W173=0),"NOTE: in scope, no volume","OK"))))))))</f>
        <v/>
      </c>
      <c r="AC173" s="20">
        <f>IF($A173="","",IF(AND($L173="Y",$X173&lt;&gt;0),ABS($X173)+ROW()/1000000000,""))</f>
        <v/>
      </c>
    </row>
    <row r="174">
      <c r="A174" s="10">
        <f>IF(TRIM(Items!A174&amp;"")="","",TRIM(Items!A174&amp;""))</f>
        <v/>
      </c>
      <c r="B174" s="10">
        <f>IF($A174="","",Items!B174&amp;"")</f>
        <v/>
      </c>
      <c r="C174" s="10">
        <f>IF($A174="","",SUBSTITUTE(SUBSTITUTE(SUBSTITUTE(TRIM(Items!D174&amp;""),".","")," ",""),"-",""))</f>
        <v/>
      </c>
      <c r="D174" s="10">
        <f>IF($A174="","",LEFT($C174,2))</f>
        <v/>
      </c>
      <c r="E174" s="10">
        <f>IF($A174="","",UPPER(TRIM(Items!E174&amp;"")))</f>
        <v/>
      </c>
      <c r="F174" s="10">
        <f>IF($A174="","",IF(UPPER(TRIM(Items!C174&amp;""))=UPPER(TRIM(act_Country&amp;"")),"Y","N"))</f>
        <v/>
      </c>
      <c r="G174" s="10">
        <f>IF($A174="","",IF(SUMPRODUCT((scope_HTS&lt;&gt;"")*(LEFT($C174,LEN(scope_HTS))=scope_HTS))&gt;0,"Y","N"))</f>
        <v/>
      </c>
      <c r="H174" s="10">
        <f>IF($A174="","",IF(SUMPRODUCT((excl_HTS&lt;&gt;"")*(LEFT($C174,LEN(excl_HTS))=excl_HTS))&gt;0,"Y","N"))</f>
        <v/>
      </c>
      <c r="I174" s="10">
        <f>IF($A174="","",IF($E174="","N",IF(COUNTIF(scope_COO,$E174)&gt;0,"Y","N")))</f>
        <v/>
      </c>
      <c r="J174" s="10">
        <f>IF($A174="","",IF(AND(UPPER(TRIM(act_USMCAExempt&amp;""))="Y",UPPER(TRIM(Items!F174&amp;""))="Y"),"Y","N"))</f>
        <v/>
      </c>
      <c r="K174" s="10">
        <f>IF($A174="","",IFERROR(UPPER(TRIM(INDEX(det_Status,MATCH($A174,det_Item,0))&amp;"")),""))</f>
        <v/>
      </c>
      <c r="L174" s="10">
        <f>IF($A174="","",IF($K174="IN","Y",IF($K174="OUT","N",IF(AND($F174="Y",$G174="Y",$H174="N",$I174="Y",$J174="N"),"Y","N"))))</f>
        <v/>
      </c>
      <c r="M174" s="10">
        <f>IF($A174="","",IF($K174="IN","In: Research determination",IF($K174="OUT","Out: Research determination",IF($F174="N","Out: different import country",IF($G174="N","Out: HTS not on scope list",IF($H174="Y","Out: HTS on exclusion list",IF($I174="N","Out: origin not on scope list",IF($J174="Y","Out: USMCA-qualifying, exempt","In: matches scope rules"))))))))</f>
        <v/>
      </c>
      <c r="N174" s="16">
        <f>IF($A174="","",N(Items!I174))</f>
        <v/>
      </c>
      <c r="O174" s="16">
        <f>IF($A174="","",IF($L174="Y",$N174+N(act_Rate)-IF(UPPER(TRIM(act_RateType&amp;""))="REPLACE",N(act_PriorRate),0),$N174))</f>
        <v/>
      </c>
      <c r="P174" s="17">
        <f>IF($A174="","",N(Items!G174)*$N174)</f>
        <v/>
      </c>
      <c r="Q174" s="17">
        <f>IF($A174="","",N(Items!G174)*$O174)</f>
        <v/>
      </c>
      <c r="R174" s="17">
        <f>IF($A174="","",$Q174-$P174)</f>
        <v/>
      </c>
      <c r="S174" s="17">
        <f>IF($A174="","",N(Items!J174)+$R174)</f>
        <v/>
      </c>
      <c r="T174" s="16">
        <f>IF($A174="","",IF(N(Items!K174)=0,"",(N(Items!K174)-N(Items!J174))/N(Items!K174)))</f>
        <v/>
      </c>
      <c r="U174" s="16">
        <f>IF($A174="","",IF(N(Items!K174)=0,"",(N(Items!K174)-$S174)/N(Items!K174)))</f>
        <v/>
      </c>
      <c r="V174" s="16">
        <f>IF(OR($T174="",$U174=""),"",$U174-$T174)</f>
        <v/>
      </c>
      <c r="W174" s="18">
        <f>IF($A174="","",N(Items!H174))</f>
        <v/>
      </c>
      <c r="X174" s="19">
        <f>IF($A174="","",$R174*$W174)</f>
        <v/>
      </c>
      <c r="Y174" s="19">
        <f>IF($A174="","",N(Items!K174)*$W174)</f>
        <v/>
      </c>
      <c r="Z174" s="19">
        <f>IF($A174="","",(N(Items!K174)-N(Items!J174))*$W174)</f>
        <v/>
      </c>
      <c r="AA174" s="19">
        <f>IF($A174="","",$Z174-$X174)</f>
        <v/>
      </c>
      <c r="AB174" s="10">
        <f>IF($A174="","",IF(TRIM(Items!C174&amp;"")="","CHECK: import country missing",IF(OR(LEN($C174)&lt;&gt;10,ISERROR(VALUE($C174))),"CHECK: HTS must be 10 digits",IF(LEN($E174)&lt;&gt;2,"CHECK: origin code missing or not 2 letters",IF(OR(Items!G174="",Items!I174="",Items!J174=""),"CHECK: value, rate or cost missing",IF(ISNUMBER(Items!G174)*ISNUMBER(Items!I174)*ISNUMBER(Items!J174)=0,"CHECK: text in a number column",IF(AND($L174="Y",UPPER(TRIM(act_RateType&amp;""))="REPLACE",$N174&lt;N(act_PriorRate)),"CHECK: current rate is below the rate being replaced",IF(AND($L174="Y",$W174=0),"NOTE: in scope, no volume","OK"))))))))</f>
        <v/>
      </c>
      <c r="AC174" s="20">
        <f>IF($A174="","",IF(AND($L174="Y",$X174&lt;&gt;0),ABS($X174)+ROW()/1000000000,""))</f>
        <v/>
      </c>
    </row>
    <row r="175">
      <c r="A175" s="10">
        <f>IF(TRIM(Items!A175&amp;"")="","",TRIM(Items!A175&amp;""))</f>
        <v/>
      </c>
      <c r="B175" s="10">
        <f>IF($A175="","",Items!B175&amp;"")</f>
        <v/>
      </c>
      <c r="C175" s="10">
        <f>IF($A175="","",SUBSTITUTE(SUBSTITUTE(SUBSTITUTE(TRIM(Items!D175&amp;""),".","")," ",""),"-",""))</f>
        <v/>
      </c>
      <c r="D175" s="10">
        <f>IF($A175="","",LEFT($C175,2))</f>
        <v/>
      </c>
      <c r="E175" s="10">
        <f>IF($A175="","",UPPER(TRIM(Items!E175&amp;"")))</f>
        <v/>
      </c>
      <c r="F175" s="10">
        <f>IF($A175="","",IF(UPPER(TRIM(Items!C175&amp;""))=UPPER(TRIM(act_Country&amp;"")),"Y","N"))</f>
        <v/>
      </c>
      <c r="G175" s="10">
        <f>IF($A175="","",IF(SUMPRODUCT((scope_HTS&lt;&gt;"")*(LEFT($C175,LEN(scope_HTS))=scope_HTS))&gt;0,"Y","N"))</f>
        <v/>
      </c>
      <c r="H175" s="10">
        <f>IF($A175="","",IF(SUMPRODUCT((excl_HTS&lt;&gt;"")*(LEFT($C175,LEN(excl_HTS))=excl_HTS))&gt;0,"Y","N"))</f>
        <v/>
      </c>
      <c r="I175" s="10">
        <f>IF($A175="","",IF($E175="","N",IF(COUNTIF(scope_COO,$E175)&gt;0,"Y","N")))</f>
        <v/>
      </c>
      <c r="J175" s="10">
        <f>IF($A175="","",IF(AND(UPPER(TRIM(act_USMCAExempt&amp;""))="Y",UPPER(TRIM(Items!F175&amp;""))="Y"),"Y","N"))</f>
        <v/>
      </c>
      <c r="K175" s="10">
        <f>IF($A175="","",IFERROR(UPPER(TRIM(INDEX(det_Status,MATCH($A175,det_Item,0))&amp;"")),""))</f>
        <v/>
      </c>
      <c r="L175" s="10">
        <f>IF($A175="","",IF($K175="IN","Y",IF($K175="OUT","N",IF(AND($F175="Y",$G175="Y",$H175="N",$I175="Y",$J175="N"),"Y","N"))))</f>
        <v/>
      </c>
      <c r="M175" s="10">
        <f>IF($A175="","",IF($K175="IN","In: Research determination",IF($K175="OUT","Out: Research determination",IF($F175="N","Out: different import country",IF($G175="N","Out: HTS not on scope list",IF($H175="Y","Out: HTS on exclusion list",IF($I175="N","Out: origin not on scope list",IF($J175="Y","Out: USMCA-qualifying, exempt","In: matches scope rules"))))))))</f>
        <v/>
      </c>
      <c r="N175" s="16">
        <f>IF($A175="","",N(Items!I175))</f>
        <v/>
      </c>
      <c r="O175" s="16">
        <f>IF($A175="","",IF($L175="Y",$N175+N(act_Rate)-IF(UPPER(TRIM(act_RateType&amp;""))="REPLACE",N(act_PriorRate),0),$N175))</f>
        <v/>
      </c>
      <c r="P175" s="17">
        <f>IF($A175="","",N(Items!G175)*$N175)</f>
        <v/>
      </c>
      <c r="Q175" s="17">
        <f>IF($A175="","",N(Items!G175)*$O175)</f>
        <v/>
      </c>
      <c r="R175" s="17">
        <f>IF($A175="","",$Q175-$P175)</f>
        <v/>
      </c>
      <c r="S175" s="17">
        <f>IF($A175="","",N(Items!J175)+$R175)</f>
        <v/>
      </c>
      <c r="T175" s="16">
        <f>IF($A175="","",IF(N(Items!K175)=0,"",(N(Items!K175)-N(Items!J175))/N(Items!K175)))</f>
        <v/>
      </c>
      <c r="U175" s="16">
        <f>IF($A175="","",IF(N(Items!K175)=0,"",(N(Items!K175)-$S175)/N(Items!K175)))</f>
        <v/>
      </c>
      <c r="V175" s="16">
        <f>IF(OR($T175="",$U175=""),"",$U175-$T175)</f>
        <v/>
      </c>
      <c r="W175" s="18">
        <f>IF($A175="","",N(Items!H175))</f>
        <v/>
      </c>
      <c r="X175" s="19">
        <f>IF($A175="","",$R175*$W175)</f>
        <v/>
      </c>
      <c r="Y175" s="19">
        <f>IF($A175="","",N(Items!K175)*$W175)</f>
        <v/>
      </c>
      <c r="Z175" s="19">
        <f>IF($A175="","",(N(Items!K175)-N(Items!J175))*$W175)</f>
        <v/>
      </c>
      <c r="AA175" s="19">
        <f>IF($A175="","",$Z175-$X175)</f>
        <v/>
      </c>
      <c r="AB175" s="10">
        <f>IF($A175="","",IF(TRIM(Items!C175&amp;"")="","CHECK: import country missing",IF(OR(LEN($C175)&lt;&gt;10,ISERROR(VALUE($C175))),"CHECK: HTS must be 10 digits",IF(LEN($E175)&lt;&gt;2,"CHECK: origin code missing or not 2 letters",IF(OR(Items!G175="",Items!I175="",Items!J175=""),"CHECK: value, rate or cost missing",IF(ISNUMBER(Items!G175)*ISNUMBER(Items!I175)*ISNUMBER(Items!J175)=0,"CHECK: text in a number column",IF(AND($L175="Y",UPPER(TRIM(act_RateType&amp;""))="REPLACE",$N175&lt;N(act_PriorRate)),"CHECK: current rate is below the rate being replaced",IF(AND($L175="Y",$W175=0),"NOTE: in scope, no volume","OK"))))))))</f>
        <v/>
      </c>
      <c r="AC175" s="20">
        <f>IF($A175="","",IF(AND($L175="Y",$X175&lt;&gt;0),ABS($X175)+ROW()/1000000000,""))</f>
        <v/>
      </c>
    </row>
    <row r="176">
      <c r="A176" s="10">
        <f>IF(TRIM(Items!A176&amp;"")="","",TRIM(Items!A176&amp;""))</f>
        <v/>
      </c>
      <c r="B176" s="10">
        <f>IF($A176="","",Items!B176&amp;"")</f>
        <v/>
      </c>
      <c r="C176" s="10">
        <f>IF($A176="","",SUBSTITUTE(SUBSTITUTE(SUBSTITUTE(TRIM(Items!D176&amp;""),".","")," ",""),"-",""))</f>
        <v/>
      </c>
      <c r="D176" s="10">
        <f>IF($A176="","",LEFT($C176,2))</f>
        <v/>
      </c>
      <c r="E176" s="10">
        <f>IF($A176="","",UPPER(TRIM(Items!E176&amp;"")))</f>
        <v/>
      </c>
      <c r="F176" s="10">
        <f>IF($A176="","",IF(UPPER(TRIM(Items!C176&amp;""))=UPPER(TRIM(act_Country&amp;"")),"Y","N"))</f>
        <v/>
      </c>
      <c r="G176" s="10">
        <f>IF($A176="","",IF(SUMPRODUCT((scope_HTS&lt;&gt;"")*(LEFT($C176,LEN(scope_HTS))=scope_HTS))&gt;0,"Y","N"))</f>
        <v/>
      </c>
      <c r="H176" s="10">
        <f>IF($A176="","",IF(SUMPRODUCT((excl_HTS&lt;&gt;"")*(LEFT($C176,LEN(excl_HTS))=excl_HTS))&gt;0,"Y","N"))</f>
        <v/>
      </c>
      <c r="I176" s="10">
        <f>IF($A176="","",IF($E176="","N",IF(COUNTIF(scope_COO,$E176)&gt;0,"Y","N")))</f>
        <v/>
      </c>
      <c r="J176" s="10">
        <f>IF($A176="","",IF(AND(UPPER(TRIM(act_USMCAExempt&amp;""))="Y",UPPER(TRIM(Items!F176&amp;""))="Y"),"Y","N"))</f>
        <v/>
      </c>
      <c r="K176" s="10">
        <f>IF($A176="","",IFERROR(UPPER(TRIM(INDEX(det_Status,MATCH($A176,det_Item,0))&amp;"")),""))</f>
        <v/>
      </c>
      <c r="L176" s="10">
        <f>IF($A176="","",IF($K176="IN","Y",IF($K176="OUT","N",IF(AND($F176="Y",$G176="Y",$H176="N",$I176="Y",$J176="N"),"Y","N"))))</f>
        <v/>
      </c>
      <c r="M176" s="10">
        <f>IF($A176="","",IF($K176="IN","In: Research determination",IF($K176="OUT","Out: Research determination",IF($F176="N","Out: different import country",IF($G176="N","Out: HTS not on scope list",IF($H176="Y","Out: HTS on exclusion list",IF($I176="N","Out: origin not on scope list",IF($J176="Y","Out: USMCA-qualifying, exempt","In: matches scope rules"))))))))</f>
        <v/>
      </c>
      <c r="N176" s="16">
        <f>IF($A176="","",N(Items!I176))</f>
        <v/>
      </c>
      <c r="O176" s="16">
        <f>IF($A176="","",IF($L176="Y",$N176+N(act_Rate)-IF(UPPER(TRIM(act_RateType&amp;""))="REPLACE",N(act_PriorRate),0),$N176))</f>
        <v/>
      </c>
      <c r="P176" s="17">
        <f>IF($A176="","",N(Items!G176)*$N176)</f>
        <v/>
      </c>
      <c r="Q176" s="17">
        <f>IF($A176="","",N(Items!G176)*$O176)</f>
        <v/>
      </c>
      <c r="R176" s="17">
        <f>IF($A176="","",$Q176-$P176)</f>
        <v/>
      </c>
      <c r="S176" s="17">
        <f>IF($A176="","",N(Items!J176)+$R176)</f>
        <v/>
      </c>
      <c r="T176" s="16">
        <f>IF($A176="","",IF(N(Items!K176)=0,"",(N(Items!K176)-N(Items!J176))/N(Items!K176)))</f>
        <v/>
      </c>
      <c r="U176" s="16">
        <f>IF($A176="","",IF(N(Items!K176)=0,"",(N(Items!K176)-$S176)/N(Items!K176)))</f>
        <v/>
      </c>
      <c r="V176" s="16">
        <f>IF(OR($T176="",$U176=""),"",$U176-$T176)</f>
        <v/>
      </c>
      <c r="W176" s="18">
        <f>IF($A176="","",N(Items!H176))</f>
        <v/>
      </c>
      <c r="X176" s="19">
        <f>IF($A176="","",$R176*$W176)</f>
        <v/>
      </c>
      <c r="Y176" s="19">
        <f>IF($A176="","",N(Items!K176)*$W176)</f>
        <v/>
      </c>
      <c r="Z176" s="19">
        <f>IF($A176="","",(N(Items!K176)-N(Items!J176))*$W176)</f>
        <v/>
      </c>
      <c r="AA176" s="19">
        <f>IF($A176="","",$Z176-$X176)</f>
        <v/>
      </c>
      <c r="AB176" s="10">
        <f>IF($A176="","",IF(TRIM(Items!C176&amp;"")="","CHECK: import country missing",IF(OR(LEN($C176)&lt;&gt;10,ISERROR(VALUE($C176))),"CHECK: HTS must be 10 digits",IF(LEN($E176)&lt;&gt;2,"CHECK: origin code missing or not 2 letters",IF(OR(Items!G176="",Items!I176="",Items!J176=""),"CHECK: value, rate or cost missing",IF(ISNUMBER(Items!G176)*ISNUMBER(Items!I176)*ISNUMBER(Items!J176)=0,"CHECK: text in a number column",IF(AND($L176="Y",UPPER(TRIM(act_RateType&amp;""))="REPLACE",$N176&lt;N(act_PriorRate)),"CHECK: current rate is below the rate being replaced",IF(AND($L176="Y",$W176=0),"NOTE: in scope, no volume","OK"))))))))</f>
        <v/>
      </c>
      <c r="AC176" s="20">
        <f>IF($A176="","",IF(AND($L176="Y",$X176&lt;&gt;0),ABS($X176)+ROW()/1000000000,""))</f>
        <v/>
      </c>
    </row>
    <row r="177">
      <c r="A177" s="10">
        <f>IF(TRIM(Items!A177&amp;"")="","",TRIM(Items!A177&amp;""))</f>
        <v/>
      </c>
      <c r="B177" s="10">
        <f>IF($A177="","",Items!B177&amp;"")</f>
        <v/>
      </c>
      <c r="C177" s="10">
        <f>IF($A177="","",SUBSTITUTE(SUBSTITUTE(SUBSTITUTE(TRIM(Items!D177&amp;""),".","")," ",""),"-",""))</f>
        <v/>
      </c>
      <c r="D177" s="10">
        <f>IF($A177="","",LEFT($C177,2))</f>
        <v/>
      </c>
      <c r="E177" s="10">
        <f>IF($A177="","",UPPER(TRIM(Items!E177&amp;"")))</f>
        <v/>
      </c>
      <c r="F177" s="10">
        <f>IF($A177="","",IF(UPPER(TRIM(Items!C177&amp;""))=UPPER(TRIM(act_Country&amp;"")),"Y","N"))</f>
        <v/>
      </c>
      <c r="G177" s="10">
        <f>IF($A177="","",IF(SUMPRODUCT((scope_HTS&lt;&gt;"")*(LEFT($C177,LEN(scope_HTS))=scope_HTS))&gt;0,"Y","N"))</f>
        <v/>
      </c>
      <c r="H177" s="10">
        <f>IF($A177="","",IF(SUMPRODUCT((excl_HTS&lt;&gt;"")*(LEFT($C177,LEN(excl_HTS))=excl_HTS))&gt;0,"Y","N"))</f>
        <v/>
      </c>
      <c r="I177" s="10">
        <f>IF($A177="","",IF($E177="","N",IF(COUNTIF(scope_COO,$E177)&gt;0,"Y","N")))</f>
        <v/>
      </c>
      <c r="J177" s="10">
        <f>IF($A177="","",IF(AND(UPPER(TRIM(act_USMCAExempt&amp;""))="Y",UPPER(TRIM(Items!F177&amp;""))="Y"),"Y","N"))</f>
        <v/>
      </c>
      <c r="K177" s="10">
        <f>IF($A177="","",IFERROR(UPPER(TRIM(INDEX(det_Status,MATCH($A177,det_Item,0))&amp;"")),""))</f>
        <v/>
      </c>
      <c r="L177" s="10">
        <f>IF($A177="","",IF($K177="IN","Y",IF($K177="OUT","N",IF(AND($F177="Y",$G177="Y",$H177="N",$I177="Y",$J177="N"),"Y","N"))))</f>
        <v/>
      </c>
      <c r="M177" s="10">
        <f>IF($A177="","",IF($K177="IN","In: Research determination",IF($K177="OUT","Out: Research determination",IF($F177="N","Out: different import country",IF($G177="N","Out: HTS not on scope list",IF($H177="Y","Out: HTS on exclusion list",IF($I177="N","Out: origin not on scope list",IF($J177="Y","Out: USMCA-qualifying, exempt","In: matches scope rules"))))))))</f>
        <v/>
      </c>
      <c r="N177" s="16">
        <f>IF($A177="","",N(Items!I177))</f>
        <v/>
      </c>
      <c r="O177" s="16">
        <f>IF($A177="","",IF($L177="Y",$N177+N(act_Rate)-IF(UPPER(TRIM(act_RateType&amp;""))="REPLACE",N(act_PriorRate),0),$N177))</f>
        <v/>
      </c>
      <c r="P177" s="17">
        <f>IF($A177="","",N(Items!G177)*$N177)</f>
        <v/>
      </c>
      <c r="Q177" s="17">
        <f>IF($A177="","",N(Items!G177)*$O177)</f>
        <v/>
      </c>
      <c r="R177" s="17">
        <f>IF($A177="","",$Q177-$P177)</f>
        <v/>
      </c>
      <c r="S177" s="17">
        <f>IF($A177="","",N(Items!J177)+$R177)</f>
        <v/>
      </c>
      <c r="T177" s="16">
        <f>IF($A177="","",IF(N(Items!K177)=0,"",(N(Items!K177)-N(Items!J177))/N(Items!K177)))</f>
        <v/>
      </c>
      <c r="U177" s="16">
        <f>IF($A177="","",IF(N(Items!K177)=0,"",(N(Items!K177)-$S177)/N(Items!K177)))</f>
        <v/>
      </c>
      <c r="V177" s="16">
        <f>IF(OR($T177="",$U177=""),"",$U177-$T177)</f>
        <v/>
      </c>
      <c r="W177" s="18">
        <f>IF($A177="","",N(Items!H177))</f>
        <v/>
      </c>
      <c r="X177" s="19">
        <f>IF($A177="","",$R177*$W177)</f>
        <v/>
      </c>
      <c r="Y177" s="19">
        <f>IF($A177="","",N(Items!K177)*$W177)</f>
        <v/>
      </c>
      <c r="Z177" s="19">
        <f>IF($A177="","",(N(Items!K177)-N(Items!J177))*$W177)</f>
        <v/>
      </c>
      <c r="AA177" s="19">
        <f>IF($A177="","",$Z177-$X177)</f>
        <v/>
      </c>
      <c r="AB177" s="10">
        <f>IF($A177="","",IF(TRIM(Items!C177&amp;"")="","CHECK: import country missing",IF(OR(LEN($C177)&lt;&gt;10,ISERROR(VALUE($C177))),"CHECK: HTS must be 10 digits",IF(LEN($E177)&lt;&gt;2,"CHECK: origin code missing or not 2 letters",IF(OR(Items!G177="",Items!I177="",Items!J177=""),"CHECK: value, rate or cost missing",IF(ISNUMBER(Items!G177)*ISNUMBER(Items!I177)*ISNUMBER(Items!J177)=0,"CHECK: text in a number column",IF(AND($L177="Y",UPPER(TRIM(act_RateType&amp;""))="REPLACE",$N177&lt;N(act_PriorRate)),"CHECK: current rate is below the rate being replaced",IF(AND($L177="Y",$W177=0),"NOTE: in scope, no volume","OK"))))))))</f>
        <v/>
      </c>
      <c r="AC177" s="20">
        <f>IF($A177="","",IF(AND($L177="Y",$X177&lt;&gt;0),ABS($X177)+ROW()/1000000000,""))</f>
        <v/>
      </c>
    </row>
    <row r="178">
      <c r="A178" s="10">
        <f>IF(TRIM(Items!A178&amp;"")="","",TRIM(Items!A178&amp;""))</f>
        <v/>
      </c>
      <c r="B178" s="10">
        <f>IF($A178="","",Items!B178&amp;"")</f>
        <v/>
      </c>
      <c r="C178" s="10">
        <f>IF($A178="","",SUBSTITUTE(SUBSTITUTE(SUBSTITUTE(TRIM(Items!D178&amp;""),".","")," ",""),"-",""))</f>
        <v/>
      </c>
      <c r="D178" s="10">
        <f>IF($A178="","",LEFT($C178,2))</f>
        <v/>
      </c>
      <c r="E178" s="10">
        <f>IF($A178="","",UPPER(TRIM(Items!E178&amp;"")))</f>
        <v/>
      </c>
      <c r="F178" s="10">
        <f>IF($A178="","",IF(UPPER(TRIM(Items!C178&amp;""))=UPPER(TRIM(act_Country&amp;"")),"Y","N"))</f>
        <v/>
      </c>
      <c r="G178" s="10">
        <f>IF($A178="","",IF(SUMPRODUCT((scope_HTS&lt;&gt;"")*(LEFT($C178,LEN(scope_HTS))=scope_HTS))&gt;0,"Y","N"))</f>
        <v/>
      </c>
      <c r="H178" s="10">
        <f>IF($A178="","",IF(SUMPRODUCT((excl_HTS&lt;&gt;"")*(LEFT($C178,LEN(excl_HTS))=excl_HTS))&gt;0,"Y","N"))</f>
        <v/>
      </c>
      <c r="I178" s="10">
        <f>IF($A178="","",IF($E178="","N",IF(COUNTIF(scope_COO,$E178)&gt;0,"Y","N")))</f>
        <v/>
      </c>
      <c r="J178" s="10">
        <f>IF($A178="","",IF(AND(UPPER(TRIM(act_USMCAExempt&amp;""))="Y",UPPER(TRIM(Items!F178&amp;""))="Y"),"Y","N"))</f>
        <v/>
      </c>
      <c r="K178" s="10">
        <f>IF($A178="","",IFERROR(UPPER(TRIM(INDEX(det_Status,MATCH($A178,det_Item,0))&amp;"")),""))</f>
        <v/>
      </c>
      <c r="L178" s="10">
        <f>IF($A178="","",IF($K178="IN","Y",IF($K178="OUT","N",IF(AND($F178="Y",$G178="Y",$H178="N",$I178="Y",$J178="N"),"Y","N"))))</f>
        <v/>
      </c>
      <c r="M178" s="10">
        <f>IF($A178="","",IF($K178="IN","In: Research determination",IF($K178="OUT","Out: Research determination",IF($F178="N","Out: different import country",IF($G178="N","Out: HTS not on scope list",IF($H178="Y","Out: HTS on exclusion list",IF($I178="N","Out: origin not on scope list",IF($J178="Y","Out: USMCA-qualifying, exempt","In: matches scope rules"))))))))</f>
        <v/>
      </c>
      <c r="N178" s="16">
        <f>IF($A178="","",N(Items!I178))</f>
        <v/>
      </c>
      <c r="O178" s="16">
        <f>IF($A178="","",IF($L178="Y",$N178+N(act_Rate)-IF(UPPER(TRIM(act_RateType&amp;""))="REPLACE",N(act_PriorRate),0),$N178))</f>
        <v/>
      </c>
      <c r="P178" s="17">
        <f>IF($A178="","",N(Items!G178)*$N178)</f>
        <v/>
      </c>
      <c r="Q178" s="17">
        <f>IF($A178="","",N(Items!G178)*$O178)</f>
        <v/>
      </c>
      <c r="R178" s="17">
        <f>IF($A178="","",$Q178-$P178)</f>
        <v/>
      </c>
      <c r="S178" s="17">
        <f>IF($A178="","",N(Items!J178)+$R178)</f>
        <v/>
      </c>
      <c r="T178" s="16">
        <f>IF($A178="","",IF(N(Items!K178)=0,"",(N(Items!K178)-N(Items!J178))/N(Items!K178)))</f>
        <v/>
      </c>
      <c r="U178" s="16">
        <f>IF($A178="","",IF(N(Items!K178)=0,"",(N(Items!K178)-$S178)/N(Items!K178)))</f>
        <v/>
      </c>
      <c r="V178" s="16">
        <f>IF(OR($T178="",$U178=""),"",$U178-$T178)</f>
        <v/>
      </c>
      <c r="W178" s="18">
        <f>IF($A178="","",N(Items!H178))</f>
        <v/>
      </c>
      <c r="X178" s="19">
        <f>IF($A178="","",$R178*$W178)</f>
        <v/>
      </c>
      <c r="Y178" s="19">
        <f>IF($A178="","",N(Items!K178)*$W178)</f>
        <v/>
      </c>
      <c r="Z178" s="19">
        <f>IF($A178="","",(N(Items!K178)-N(Items!J178))*$W178)</f>
        <v/>
      </c>
      <c r="AA178" s="19">
        <f>IF($A178="","",$Z178-$X178)</f>
        <v/>
      </c>
      <c r="AB178" s="10">
        <f>IF($A178="","",IF(TRIM(Items!C178&amp;"")="","CHECK: import country missing",IF(OR(LEN($C178)&lt;&gt;10,ISERROR(VALUE($C178))),"CHECK: HTS must be 10 digits",IF(LEN($E178)&lt;&gt;2,"CHECK: origin code missing or not 2 letters",IF(OR(Items!G178="",Items!I178="",Items!J178=""),"CHECK: value, rate or cost missing",IF(ISNUMBER(Items!G178)*ISNUMBER(Items!I178)*ISNUMBER(Items!J178)=0,"CHECK: text in a number column",IF(AND($L178="Y",UPPER(TRIM(act_RateType&amp;""))="REPLACE",$N178&lt;N(act_PriorRate)),"CHECK: current rate is below the rate being replaced",IF(AND($L178="Y",$W178=0),"NOTE: in scope, no volume","OK"))))))))</f>
        <v/>
      </c>
      <c r="AC178" s="20">
        <f>IF($A178="","",IF(AND($L178="Y",$X178&lt;&gt;0),ABS($X178)+ROW()/1000000000,""))</f>
        <v/>
      </c>
    </row>
    <row r="179">
      <c r="A179" s="10">
        <f>IF(TRIM(Items!A179&amp;"")="","",TRIM(Items!A179&amp;""))</f>
        <v/>
      </c>
      <c r="B179" s="10">
        <f>IF($A179="","",Items!B179&amp;"")</f>
        <v/>
      </c>
      <c r="C179" s="10">
        <f>IF($A179="","",SUBSTITUTE(SUBSTITUTE(SUBSTITUTE(TRIM(Items!D179&amp;""),".","")," ",""),"-",""))</f>
        <v/>
      </c>
      <c r="D179" s="10">
        <f>IF($A179="","",LEFT($C179,2))</f>
        <v/>
      </c>
      <c r="E179" s="10">
        <f>IF($A179="","",UPPER(TRIM(Items!E179&amp;"")))</f>
        <v/>
      </c>
      <c r="F179" s="10">
        <f>IF($A179="","",IF(UPPER(TRIM(Items!C179&amp;""))=UPPER(TRIM(act_Country&amp;"")),"Y","N"))</f>
        <v/>
      </c>
      <c r="G179" s="10">
        <f>IF($A179="","",IF(SUMPRODUCT((scope_HTS&lt;&gt;"")*(LEFT($C179,LEN(scope_HTS))=scope_HTS))&gt;0,"Y","N"))</f>
        <v/>
      </c>
      <c r="H179" s="10">
        <f>IF($A179="","",IF(SUMPRODUCT((excl_HTS&lt;&gt;"")*(LEFT($C179,LEN(excl_HTS))=excl_HTS))&gt;0,"Y","N"))</f>
        <v/>
      </c>
      <c r="I179" s="10">
        <f>IF($A179="","",IF($E179="","N",IF(COUNTIF(scope_COO,$E179)&gt;0,"Y","N")))</f>
        <v/>
      </c>
      <c r="J179" s="10">
        <f>IF($A179="","",IF(AND(UPPER(TRIM(act_USMCAExempt&amp;""))="Y",UPPER(TRIM(Items!F179&amp;""))="Y"),"Y","N"))</f>
        <v/>
      </c>
      <c r="K179" s="10">
        <f>IF($A179="","",IFERROR(UPPER(TRIM(INDEX(det_Status,MATCH($A179,det_Item,0))&amp;"")),""))</f>
        <v/>
      </c>
      <c r="L179" s="10">
        <f>IF($A179="","",IF($K179="IN","Y",IF($K179="OUT","N",IF(AND($F179="Y",$G179="Y",$H179="N",$I179="Y",$J179="N"),"Y","N"))))</f>
        <v/>
      </c>
      <c r="M179" s="10">
        <f>IF($A179="","",IF($K179="IN","In: Research determination",IF($K179="OUT","Out: Research determination",IF($F179="N","Out: different import country",IF($G179="N","Out: HTS not on scope list",IF($H179="Y","Out: HTS on exclusion list",IF($I179="N","Out: origin not on scope list",IF($J179="Y","Out: USMCA-qualifying, exempt","In: matches scope rules"))))))))</f>
        <v/>
      </c>
      <c r="N179" s="16">
        <f>IF($A179="","",N(Items!I179))</f>
        <v/>
      </c>
      <c r="O179" s="16">
        <f>IF($A179="","",IF($L179="Y",$N179+N(act_Rate)-IF(UPPER(TRIM(act_RateType&amp;""))="REPLACE",N(act_PriorRate),0),$N179))</f>
        <v/>
      </c>
      <c r="P179" s="17">
        <f>IF($A179="","",N(Items!G179)*$N179)</f>
        <v/>
      </c>
      <c r="Q179" s="17">
        <f>IF($A179="","",N(Items!G179)*$O179)</f>
        <v/>
      </c>
      <c r="R179" s="17">
        <f>IF($A179="","",$Q179-$P179)</f>
        <v/>
      </c>
      <c r="S179" s="17">
        <f>IF($A179="","",N(Items!J179)+$R179)</f>
        <v/>
      </c>
      <c r="T179" s="16">
        <f>IF($A179="","",IF(N(Items!K179)=0,"",(N(Items!K179)-N(Items!J179))/N(Items!K179)))</f>
        <v/>
      </c>
      <c r="U179" s="16">
        <f>IF($A179="","",IF(N(Items!K179)=0,"",(N(Items!K179)-$S179)/N(Items!K179)))</f>
        <v/>
      </c>
      <c r="V179" s="16">
        <f>IF(OR($T179="",$U179=""),"",$U179-$T179)</f>
        <v/>
      </c>
      <c r="W179" s="18">
        <f>IF($A179="","",N(Items!H179))</f>
        <v/>
      </c>
      <c r="X179" s="19">
        <f>IF($A179="","",$R179*$W179)</f>
        <v/>
      </c>
      <c r="Y179" s="19">
        <f>IF($A179="","",N(Items!K179)*$W179)</f>
        <v/>
      </c>
      <c r="Z179" s="19">
        <f>IF($A179="","",(N(Items!K179)-N(Items!J179))*$W179)</f>
        <v/>
      </c>
      <c r="AA179" s="19">
        <f>IF($A179="","",$Z179-$X179)</f>
        <v/>
      </c>
      <c r="AB179" s="10">
        <f>IF($A179="","",IF(TRIM(Items!C179&amp;"")="","CHECK: import country missing",IF(OR(LEN($C179)&lt;&gt;10,ISERROR(VALUE($C179))),"CHECK: HTS must be 10 digits",IF(LEN($E179)&lt;&gt;2,"CHECK: origin code missing or not 2 letters",IF(OR(Items!G179="",Items!I179="",Items!J179=""),"CHECK: value, rate or cost missing",IF(ISNUMBER(Items!G179)*ISNUMBER(Items!I179)*ISNUMBER(Items!J179)=0,"CHECK: text in a number column",IF(AND($L179="Y",UPPER(TRIM(act_RateType&amp;""))="REPLACE",$N179&lt;N(act_PriorRate)),"CHECK: current rate is below the rate being replaced",IF(AND($L179="Y",$W179=0),"NOTE: in scope, no volume","OK"))))))))</f>
        <v/>
      </c>
      <c r="AC179" s="20">
        <f>IF($A179="","",IF(AND($L179="Y",$X179&lt;&gt;0),ABS($X179)+ROW()/1000000000,""))</f>
        <v/>
      </c>
    </row>
    <row r="180">
      <c r="A180" s="10">
        <f>IF(TRIM(Items!A180&amp;"")="","",TRIM(Items!A180&amp;""))</f>
        <v/>
      </c>
      <c r="B180" s="10">
        <f>IF($A180="","",Items!B180&amp;"")</f>
        <v/>
      </c>
      <c r="C180" s="10">
        <f>IF($A180="","",SUBSTITUTE(SUBSTITUTE(SUBSTITUTE(TRIM(Items!D180&amp;""),".","")," ",""),"-",""))</f>
        <v/>
      </c>
      <c r="D180" s="10">
        <f>IF($A180="","",LEFT($C180,2))</f>
        <v/>
      </c>
      <c r="E180" s="10">
        <f>IF($A180="","",UPPER(TRIM(Items!E180&amp;"")))</f>
        <v/>
      </c>
      <c r="F180" s="10">
        <f>IF($A180="","",IF(UPPER(TRIM(Items!C180&amp;""))=UPPER(TRIM(act_Country&amp;"")),"Y","N"))</f>
        <v/>
      </c>
      <c r="G180" s="10">
        <f>IF($A180="","",IF(SUMPRODUCT((scope_HTS&lt;&gt;"")*(LEFT($C180,LEN(scope_HTS))=scope_HTS))&gt;0,"Y","N"))</f>
        <v/>
      </c>
      <c r="H180" s="10">
        <f>IF($A180="","",IF(SUMPRODUCT((excl_HTS&lt;&gt;"")*(LEFT($C180,LEN(excl_HTS))=excl_HTS))&gt;0,"Y","N"))</f>
        <v/>
      </c>
      <c r="I180" s="10">
        <f>IF($A180="","",IF($E180="","N",IF(COUNTIF(scope_COO,$E180)&gt;0,"Y","N")))</f>
        <v/>
      </c>
      <c r="J180" s="10">
        <f>IF($A180="","",IF(AND(UPPER(TRIM(act_USMCAExempt&amp;""))="Y",UPPER(TRIM(Items!F180&amp;""))="Y"),"Y","N"))</f>
        <v/>
      </c>
      <c r="K180" s="10">
        <f>IF($A180="","",IFERROR(UPPER(TRIM(INDEX(det_Status,MATCH($A180,det_Item,0))&amp;"")),""))</f>
        <v/>
      </c>
      <c r="L180" s="10">
        <f>IF($A180="","",IF($K180="IN","Y",IF($K180="OUT","N",IF(AND($F180="Y",$G180="Y",$H180="N",$I180="Y",$J180="N"),"Y","N"))))</f>
        <v/>
      </c>
      <c r="M180" s="10">
        <f>IF($A180="","",IF($K180="IN","In: Research determination",IF($K180="OUT","Out: Research determination",IF($F180="N","Out: different import country",IF($G180="N","Out: HTS not on scope list",IF($H180="Y","Out: HTS on exclusion list",IF($I180="N","Out: origin not on scope list",IF($J180="Y","Out: USMCA-qualifying, exempt","In: matches scope rules"))))))))</f>
        <v/>
      </c>
      <c r="N180" s="16">
        <f>IF($A180="","",N(Items!I180))</f>
        <v/>
      </c>
      <c r="O180" s="16">
        <f>IF($A180="","",IF($L180="Y",$N180+N(act_Rate)-IF(UPPER(TRIM(act_RateType&amp;""))="REPLACE",N(act_PriorRate),0),$N180))</f>
        <v/>
      </c>
      <c r="P180" s="17">
        <f>IF($A180="","",N(Items!G180)*$N180)</f>
        <v/>
      </c>
      <c r="Q180" s="17">
        <f>IF($A180="","",N(Items!G180)*$O180)</f>
        <v/>
      </c>
      <c r="R180" s="17">
        <f>IF($A180="","",$Q180-$P180)</f>
        <v/>
      </c>
      <c r="S180" s="17">
        <f>IF($A180="","",N(Items!J180)+$R180)</f>
        <v/>
      </c>
      <c r="T180" s="16">
        <f>IF($A180="","",IF(N(Items!K180)=0,"",(N(Items!K180)-N(Items!J180))/N(Items!K180)))</f>
        <v/>
      </c>
      <c r="U180" s="16">
        <f>IF($A180="","",IF(N(Items!K180)=0,"",(N(Items!K180)-$S180)/N(Items!K180)))</f>
        <v/>
      </c>
      <c r="V180" s="16">
        <f>IF(OR($T180="",$U180=""),"",$U180-$T180)</f>
        <v/>
      </c>
      <c r="W180" s="18">
        <f>IF($A180="","",N(Items!H180))</f>
        <v/>
      </c>
      <c r="X180" s="19">
        <f>IF($A180="","",$R180*$W180)</f>
        <v/>
      </c>
      <c r="Y180" s="19">
        <f>IF($A180="","",N(Items!K180)*$W180)</f>
        <v/>
      </c>
      <c r="Z180" s="19">
        <f>IF($A180="","",(N(Items!K180)-N(Items!J180))*$W180)</f>
        <v/>
      </c>
      <c r="AA180" s="19">
        <f>IF($A180="","",$Z180-$X180)</f>
        <v/>
      </c>
      <c r="AB180" s="10">
        <f>IF($A180="","",IF(TRIM(Items!C180&amp;"")="","CHECK: import country missing",IF(OR(LEN($C180)&lt;&gt;10,ISERROR(VALUE($C180))),"CHECK: HTS must be 10 digits",IF(LEN($E180)&lt;&gt;2,"CHECK: origin code missing or not 2 letters",IF(OR(Items!G180="",Items!I180="",Items!J180=""),"CHECK: value, rate or cost missing",IF(ISNUMBER(Items!G180)*ISNUMBER(Items!I180)*ISNUMBER(Items!J180)=0,"CHECK: text in a number column",IF(AND($L180="Y",UPPER(TRIM(act_RateType&amp;""))="REPLACE",$N180&lt;N(act_PriorRate)),"CHECK: current rate is below the rate being replaced",IF(AND($L180="Y",$W180=0),"NOTE: in scope, no volume","OK"))))))))</f>
        <v/>
      </c>
      <c r="AC180" s="20">
        <f>IF($A180="","",IF(AND($L180="Y",$X180&lt;&gt;0),ABS($X180)+ROW()/1000000000,""))</f>
        <v/>
      </c>
    </row>
    <row r="181">
      <c r="A181" s="10">
        <f>IF(TRIM(Items!A181&amp;"")="","",TRIM(Items!A181&amp;""))</f>
        <v/>
      </c>
      <c r="B181" s="10">
        <f>IF($A181="","",Items!B181&amp;"")</f>
        <v/>
      </c>
      <c r="C181" s="10">
        <f>IF($A181="","",SUBSTITUTE(SUBSTITUTE(SUBSTITUTE(TRIM(Items!D181&amp;""),".","")," ",""),"-",""))</f>
        <v/>
      </c>
      <c r="D181" s="10">
        <f>IF($A181="","",LEFT($C181,2))</f>
        <v/>
      </c>
      <c r="E181" s="10">
        <f>IF($A181="","",UPPER(TRIM(Items!E181&amp;"")))</f>
        <v/>
      </c>
      <c r="F181" s="10">
        <f>IF($A181="","",IF(UPPER(TRIM(Items!C181&amp;""))=UPPER(TRIM(act_Country&amp;"")),"Y","N"))</f>
        <v/>
      </c>
      <c r="G181" s="10">
        <f>IF($A181="","",IF(SUMPRODUCT((scope_HTS&lt;&gt;"")*(LEFT($C181,LEN(scope_HTS))=scope_HTS))&gt;0,"Y","N"))</f>
        <v/>
      </c>
      <c r="H181" s="10">
        <f>IF($A181="","",IF(SUMPRODUCT((excl_HTS&lt;&gt;"")*(LEFT($C181,LEN(excl_HTS))=excl_HTS))&gt;0,"Y","N"))</f>
        <v/>
      </c>
      <c r="I181" s="10">
        <f>IF($A181="","",IF($E181="","N",IF(COUNTIF(scope_COO,$E181)&gt;0,"Y","N")))</f>
        <v/>
      </c>
      <c r="J181" s="10">
        <f>IF($A181="","",IF(AND(UPPER(TRIM(act_USMCAExempt&amp;""))="Y",UPPER(TRIM(Items!F181&amp;""))="Y"),"Y","N"))</f>
        <v/>
      </c>
      <c r="K181" s="10">
        <f>IF($A181="","",IFERROR(UPPER(TRIM(INDEX(det_Status,MATCH($A181,det_Item,0))&amp;"")),""))</f>
        <v/>
      </c>
      <c r="L181" s="10">
        <f>IF($A181="","",IF($K181="IN","Y",IF($K181="OUT","N",IF(AND($F181="Y",$G181="Y",$H181="N",$I181="Y",$J181="N"),"Y","N"))))</f>
        <v/>
      </c>
      <c r="M181" s="10">
        <f>IF($A181="","",IF($K181="IN","In: Research determination",IF($K181="OUT","Out: Research determination",IF($F181="N","Out: different import country",IF($G181="N","Out: HTS not on scope list",IF($H181="Y","Out: HTS on exclusion list",IF($I181="N","Out: origin not on scope list",IF($J181="Y","Out: USMCA-qualifying, exempt","In: matches scope rules"))))))))</f>
        <v/>
      </c>
      <c r="N181" s="16">
        <f>IF($A181="","",N(Items!I181))</f>
        <v/>
      </c>
      <c r="O181" s="16">
        <f>IF($A181="","",IF($L181="Y",$N181+N(act_Rate)-IF(UPPER(TRIM(act_RateType&amp;""))="REPLACE",N(act_PriorRate),0),$N181))</f>
        <v/>
      </c>
      <c r="P181" s="17">
        <f>IF($A181="","",N(Items!G181)*$N181)</f>
        <v/>
      </c>
      <c r="Q181" s="17">
        <f>IF($A181="","",N(Items!G181)*$O181)</f>
        <v/>
      </c>
      <c r="R181" s="17">
        <f>IF($A181="","",$Q181-$P181)</f>
        <v/>
      </c>
      <c r="S181" s="17">
        <f>IF($A181="","",N(Items!J181)+$R181)</f>
        <v/>
      </c>
      <c r="T181" s="16">
        <f>IF($A181="","",IF(N(Items!K181)=0,"",(N(Items!K181)-N(Items!J181))/N(Items!K181)))</f>
        <v/>
      </c>
      <c r="U181" s="16">
        <f>IF($A181="","",IF(N(Items!K181)=0,"",(N(Items!K181)-$S181)/N(Items!K181)))</f>
        <v/>
      </c>
      <c r="V181" s="16">
        <f>IF(OR($T181="",$U181=""),"",$U181-$T181)</f>
        <v/>
      </c>
      <c r="W181" s="18">
        <f>IF($A181="","",N(Items!H181))</f>
        <v/>
      </c>
      <c r="X181" s="19">
        <f>IF($A181="","",$R181*$W181)</f>
        <v/>
      </c>
      <c r="Y181" s="19">
        <f>IF($A181="","",N(Items!K181)*$W181)</f>
        <v/>
      </c>
      <c r="Z181" s="19">
        <f>IF($A181="","",(N(Items!K181)-N(Items!J181))*$W181)</f>
        <v/>
      </c>
      <c r="AA181" s="19">
        <f>IF($A181="","",$Z181-$X181)</f>
        <v/>
      </c>
      <c r="AB181" s="10">
        <f>IF($A181="","",IF(TRIM(Items!C181&amp;"")="","CHECK: import country missing",IF(OR(LEN($C181)&lt;&gt;10,ISERROR(VALUE($C181))),"CHECK: HTS must be 10 digits",IF(LEN($E181)&lt;&gt;2,"CHECK: origin code missing or not 2 letters",IF(OR(Items!G181="",Items!I181="",Items!J181=""),"CHECK: value, rate or cost missing",IF(ISNUMBER(Items!G181)*ISNUMBER(Items!I181)*ISNUMBER(Items!J181)=0,"CHECK: text in a number column",IF(AND($L181="Y",UPPER(TRIM(act_RateType&amp;""))="REPLACE",$N181&lt;N(act_PriorRate)),"CHECK: current rate is below the rate being replaced",IF(AND($L181="Y",$W181=0),"NOTE: in scope, no volume","OK"))))))))</f>
        <v/>
      </c>
      <c r="AC181" s="20">
        <f>IF($A181="","",IF(AND($L181="Y",$X181&lt;&gt;0),ABS($X181)+ROW()/1000000000,""))</f>
        <v/>
      </c>
    </row>
    <row r="182">
      <c r="A182" s="10">
        <f>IF(TRIM(Items!A182&amp;"")="","",TRIM(Items!A182&amp;""))</f>
        <v/>
      </c>
      <c r="B182" s="10">
        <f>IF($A182="","",Items!B182&amp;"")</f>
        <v/>
      </c>
      <c r="C182" s="10">
        <f>IF($A182="","",SUBSTITUTE(SUBSTITUTE(SUBSTITUTE(TRIM(Items!D182&amp;""),".","")," ",""),"-",""))</f>
        <v/>
      </c>
      <c r="D182" s="10">
        <f>IF($A182="","",LEFT($C182,2))</f>
        <v/>
      </c>
      <c r="E182" s="10">
        <f>IF($A182="","",UPPER(TRIM(Items!E182&amp;"")))</f>
        <v/>
      </c>
      <c r="F182" s="10">
        <f>IF($A182="","",IF(UPPER(TRIM(Items!C182&amp;""))=UPPER(TRIM(act_Country&amp;"")),"Y","N"))</f>
        <v/>
      </c>
      <c r="G182" s="10">
        <f>IF($A182="","",IF(SUMPRODUCT((scope_HTS&lt;&gt;"")*(LEFT($C182,LEN(scope_HTS))=scope_HTS))&gt;0,"Y","N"))</f>
        <v/>
      </c>
      <c r="H182" s="10">
        <f>IF($A182="","",IF(SUMPRODUCT((excl_HTS&lt;&gt;"")*(LEFT($C182,LEN(excl_HTS))=excl_HTS))&gt;0,"Y","N"))</f>
        <v/>
      </c>
      <c r="I182" s="10">
        <f>IF($A182="","",IF($E182="","N",IF(COUNTIF(scope_COO,$E182)&gt;0,"Y","N")))</f>
        <v/>
      </c>
      <c r="J182" s="10">
        <f>IF($A182="","",IF(AND(UPPER(TRIM(act_USMCAExempt&amp;""))="Y",UPPER(TRIM(Items!F182&amp;""))="Y"),"Y","N"))</f>
        <v/>
      </c>
      <c r="K182" s="10">
        <f>IF($A182="","",IFERROR(UPPER(TRIM(INDEX(det_Status,MATCH($A182,det_Item,0))&amp;"")),""))</f>
        <v/>
      </c>
      <c r="L182" s="10">
        <f>IF($A182="","",IF($K182="IN","Y",IF($K182="OUT","N",IF(AND($F182="Y",$G182="Y",$H182="N",$I182="Y",$J182="N"),"Y","N"))))</f>
        <v/>
      </c>
      <c r="M182" s="10">
        <f>IF($A182="","",IF($K182="IN","In: Research determination",IF($K182="OUT","Out: Research determination",IF($F182="N","Out: different import country",IF($G182="N","Out: HTS not on scope list",IF($H182="Y","Out: HTS on exclusion list",IF($I182="N","Out: origin not on scope list",IF($J182="Y","Out: USMCA-qualifying, exempt","In: matches scope rules"))))))))</f>
        <v/>
      </c>
      <c r="N182" s="16">
        <f>IF($A182="","",N(Items!I182))</f>
        <v/>
      </c>
      <c r="O182" s="16">
        <f>IF($A182="","",IF($L182="Y",$N182+N(act_Rate)-IF(UPPER(TRIM(act_RateType&amp;""))="REPLACE",N(act_PriorRate),0),$N182))</f>
        <v/>
      </c>
      <c r="P182" s="17">
        <f>IF($A182="","",N(Items!G182)*$N182)</f>
        <v/>
      </c>
      <c r="Q182" s="17">
        <f>IF($A182="","",N(Items!G182)*$O182)</f>
        <v/>
      </c>
      <c r="R182" s="17">
        <f>IF($A182="","",$Q182-$P182)</f>
        <v/>
      </c>
      <c r="S182" s="17">
        <f>IF($A182="","",N(Items!J182)+$R182)</f>
        <v/>
      </c>
      <c r="T182" s="16">
        <f>IF($A182="","",IF(N(Items!K182)=0,"",(N(Items!K182)-N(Items!J182))/N(Items!K182)))</f>
        <v/>
      </c>
      <c r="U182" s="16">
        <f>IF($A182="","",IF(N(Items!K182)=0,"",(N(Items!K182)-$S182)/N(Items!K182)))</f>
        <v/>
      </c>
      <c r="V182" s="16">
        <f>IF(OR($T182="",$U182=""),"",$U182-$T182)</f>
        <v/>
      </c>
      <c r="W182" s="18">
        <f>IF($A182="","",N(Items!H182))</f>
        <v/>
      </c>
      <c r="X182" s="19">
        <f>IF($A182="","",$R182*$W182)</f>
        <v/>
      </c>
      <c r="Y182" s="19">
        <f>IF($A182="","",N(Items!K182)*$W182)</f>
        <v/>
      </c>
      <c r="Z182" s="19">
        <f>IF($A182="","",(N(Items!K182)-N(Items!J182))*$W182)</f>
        <v/>
      </c>
      <c r="AA182" s="19">
        <f>IF($A182="","",$Z182-$X182)</f>
        <v/>
      </c>
      <c r="AB182" s="10">
        <f>IF($A182="","",IF(TRIM(Items!C182&amp;"")="","CHECK: import country missing",IF(OR(LEN($C182)&lt;&gt;10,ISERROR(VALUE($C182))),"CHECK: HTS must be 10 digits",IF(LEN($E182)&lt;&gt;2,"CHECK: origin code missing or not 2 letters",IF(OR(Items!G182="",Items!I182="",Items!J182=""),"CHECK: value, rate or cost missing",IF(ISNUMBER(Items!G182)*ISNUMBER(Items!I182)*ISNUMBER(Items!J182)=0,"CHECK: text in a number column",IF(AND($L182="Y",UPPER(TRIM(act_RateType&amp;""))="REPLACE",$N182&lt;N(act_PriorRate)),"CHECK: current rate is below the rate being replaced",IF(AND($L182="Y",$W182=0),"NOTE: in scope, no volume","OK"))))))))</f>
        <v/>
      </c>
      <c r="AC182" s="20">
        <f>IF($A182="","",IF(AND($L182="Y",$X182&lt;&gt;0),ABS($X182)+ROW()/1000000000,""))</f>
        <v/>
      </c>
    </row>
    <row r="183">
      <c r="A183" s="10">
        <f>IF(TRIM(Items!A183&amp;"")="","",TRIM(Items!A183&amp;""))</f>
        <v/>
      </c>
      <c r="B183" s="10">
        <f>IF($A183="","",Items!B183&amp;"")</f>
        <v/>
      </c>
      <c r="C183" s="10">
        <f>IF($A183="","",SUBSTITUTE(SUBSTITUTE(SUBSTITUTE(TRIM(Items!D183&amp;""),".","")," ",""),"-",""))</f>
        <v/>
      </c>
      <c r="D183" s="10">
        <f>IF($A183="","",LEFT($C183,2))</f>
        <v/>
      </c>
      <c r="E183" s="10">
        <f>IF($A183="","",UPPER(TRIM(Items!E183&amp;"")))</f>
        <v/>
      </c>
      <c r="F183" s="10">
        <f>IF($A183="","",IF(UPPER(TRIM(Items!C183&amp;""))=UPPER(TRIM(act_Country&amp;"")),"Y","N"))</f>
        <v/>
      </c>
      <c r="G183" s="10">
        <f>IF($A183="","",IF(SUMPRODUCT((scope_HTS&lt;&gt;"")*(LEFT($C183,LEN(scope_HTS))=scope_HTS))&gt;0,"Y","N"))</f>
        <v/>
      </c>
      <c r="H183" s="10">
        <f>IF($A183="","",IF(SUMPRODUCT((excl_HTS&lt;&gt;"")*(LEFT($C183,LEN(excl_HTS))=excl_HTS))&gt;0,"Y","N"))</f>
        <v/>
      </c>
      <c r="I183" s="10">
        <f>IF($A183="","",IF($E183="","N",IF(COUNTIF(scope_COO,$E183)&gt;0,"Y","N")))</f>
        <v/>
      </c>
      <c r="J183" s="10">
        <f>IF($A183="","",IF(AND(UPPER(TRIM(act_USMCAExempt&amp;""))="Y",UPPER(TRIM(Items!F183&amp;""))="Y"),"Y","N"))</f>
        <v/>
      </c>
      <c r="K183" s="10">
        <f>IF($A183="","",IFERROR(UPPER(TRIM(INDEX(det_Status,MATCH($A183,det_Item,0))&amp;"")),""))</f>
        <v/>
      </c>
      <c r="L183" s="10">
        <f>IF($A183="","",IF($K183="IN","Y",IF($K183="OUT","N",IF(AND($F183="Y",$G183="Y",$H183="N",$I183="Y",$J183="N"),"Y","N"))))</f>
        <v/>
      </c>
      <c r="M183" s="10">
        <f>IF($A183="","",IF($K183="IN","In: Research determination",IF($K183="OUT","Out: Research determination",IF($F183="N","Out: different import country",IF($G183="N","Out: HTS not on scope list",IF($H183="Y","Out: HTS on exclusion list",IF($I183="N","Out: origin not on scope list",IF($J183="Y","Out: USMCA-qualifying, exempt","In: matches scope rules"))))))))</f>
        <v/>
      </c>
      <c r="N183" s="16">
        <f>IF($A183="","",N(Items!I183))</f>
        <v/>
      </c>
      <c r="O183" s="16">
        <f>IF($A183="","",IF($L183="Y",$N183+N(act_Rate)-IF(UPPER(TRIM(act_RateType&amp;""))="REPLACE",N(act_PriorRate),0),$N183))</f>
        <v/>
      </c>
      <c r="P183" s="17">
        <f>IF($A183="","",N(Items!G183)*$N183)</f>
        <v/>
      </c>
      <c r="Q183" s="17">
        <f>IF($A183="","",N(Items!G183)*$O183)</f>
        <v/>
      </c>
      <c r="R183" s="17">
        <f>IF($A183="","",$Q183-$P183)</f>
        <v/>
      </c>
      <c r="S183" s="17">
        <f>IF($A183="","",N(Items!J183)+$R183)</f>
        <v/>
      </c>
      <c r="T183" s="16">
        <f>IF($A183="","",IF(N(Items!K183)=0,"",(N(Items!K183)-N(Items!J183))/N(Items!K183)))</f>
        <v/>
      </c>
      <c r="U183" s="16">
        <f>IF($A183="","",IF(N(Items!K183)=0,"",(N(Items!K183)-$S183)/N(Items!K183)))</f>
        <v/>
      </c>
      <c r="V183" s="16">
        <f>IF(OR($T183="",$U183=""),"",$U183-$T183)</f>
        <v/>
      </c>
      <c r="W183" s="18">
        <f>IF($A183="","",N(Items!H183))</f>
        <v/>
      </c>
      <c r="X183" s="19">
        <f>IF($A183="","",$R183*$W183)</f>
        <v/>
      </c>
      <c r="Y183" s="19">
        <f>IF($A183="","",N(Items!K183)*$W183)</f>
        <v/>
      </c>
      <c r="Z183" s="19">
        <f>IF($A183="","",(N(Items!K183)-N(Items!J183))*$W183)</f>
        <v/>
      </c>
      <c r="AA183" s="19">
        <f>IF($A183="","",$Z183-$X183)</f>
        <v/>
      </c>
      <c r="AB183" s="10">
        <f>IF($A183="","",IF(TRIM(Items!C183&amp;"")="","CHECK: import country missing",IF(OR(LEN($C183)&lt;&gt;10,ISERROR(VALUE($C183))),"CHECK: HTS must be 10 digits",IF(LEN($E183)&lt;&gt;2,"CHECK: origin code missing or not 2 letters",IF(OR(Items!G183="",Items!I183="",Items!J183=""),"CHECK: value, rate or cost missing",IF(ISNUMBER(Items!G183)*ISNUMBER(Items!I183)*ISNUMBER(Items!J183)=0,"CHECK: text in a number column",IF(AND($L183="Y",UPPER(TRIM(act_RateType&amp;""))="REPLACE",$N183&lt;N(act_PriorRate)),"CHECK: current rate is below the rate being replaced",IF(AND($L183="Y",$W183=0),"NOTE: in scope, no volume","OK"))))))))</f>
        <v/>
      </c>
      <c r="AC183" s="20">
        <f>IF($A183="","",IF(AND($L183="Y",$X183&lt;&gt;0),ABS($X183)+ROW()/1000000000,""))</f>
        <v/>
      </c>
    </row>
    <row r="184">
      <c r="A184" s="10">
        <f>IF(TRIM(Items!A184&amp;"")="","",TRIM(Items!A184&amp;""))</f>
        <v/>
      </c>
      <c r="B184" s="10">
        <f>IF($A184="","",Items!B184&amp;"")</f>
        <v/>
      </c>
      <c r="C184" s="10">
        <f>IF($A184="","",SUBSTITUTE(SUBSTITUTE(SUBSTITUTE(TRIM(Items!D184&amp;""),".","")," ",""),"-",""))</f>
        <v/>
      </c>
      <c r="D184" s="10">
        <f>IF($A184="","",LEFT($C184,2))</f>
        <v/>
      </c>
      <c r="E184" s="10">
        <f>IF($A184="","",UPPER(TRIM(Items!E184&amp;"")))</f>
        <v/>
      </c>
      <c r="F184" s="10">
        <f>IF($A184="","",IF(UPPER(TRIM(Items!C184&amp;""))=UPPER(TRIM(act_Country&amp;"")),"Y","N"))</f>
        <v/>
      </c>
      <c r="G184" s="10">
        <f>IF($A184="","",IF(SUMPRODUCT((scope_HTS&lt;&gt;"")*(LEFT($C184,LEN(scope_HTS))=scope_HTS))&gt;0,"Y","N"))</f>
        <v/>
      </c>
      <c r="H184" s="10">
        <f>IF($A184="","",IF(SUMPRODUCT((excl_HTS&lt;&gt;"")*(LEFT($C184,LEN(excl_HTS))=excl_HTS))&gt;0,"Y","N"))</f>
        <v/>
      </c>
      <c r="I184" s="10">
        <f>IF($A184="","",IF($E184="","N",IF(COUNTIF(scope_COO,$E184)&gt;0,"Y","N")))</f>
        <v/>
      </c>
      <c r="J184" s="10">
        <f>IF($A184="","",IF(AND(UPPER(TRIM(act_USMCAExempt&amp;""))="Y",UPPER(TRIM(Items!F184&amp;""))="Y"),"Y","N"))</f>
        <v/>
      </c>
      <c r="K184" s="10">
        <f>IF($A184="","",IFERROR(UPPER(TRIM(INDEX(det_Status,MATCH($A184,det_Item,0))&amp;"")),""))</f>
        <v/>
      </c>
      <c r="L184" s="10">
        <f>IF($A184="","",IF($K184="IN","Y",IF($K184="OUT","N",IF(AND($F184="Y",$G184="Y",$H184="N",$I184="Y",$J184="N"),"Y","N"))))</f>
        <v/>
      </c>
      <c r="M184" s="10">
        <f>IF($A184="","",IF($K184="IN","In: Research determination",IF($K184="OUT","Out: Research determination",IF($F184="N","Out: different import country",IF($G184="N","Out: HTS not on scope list",IF($H184="Y","Out: HTS on exclusion list",IF($I184="N","Out: origin not on scope list",IF($J184="Y","Out: USMCA-qualifying, exempt","In: matches scope rules"))))))))</f>
        <v/>
      </c>
      <c r="N184" s="16">
        <f>IF($A184="","",N(Items!I184))</f>
        <v/>
      </c>
      <c r="O184" s="16">
        <f>IF($A184="","",IF($L184="Y",$N184+N(act_Rate)-IF(UPPER(TRIM(act_RateType&amp;""))="REPLACE",N(act_PriorRate),0),$N184))</f>
        <v/>
      </c>
      <c r="P184" s="17">
        <f>IF($A184="","",N(Items!G184)*$N184)</f>
        <v/>
      </c>
      <c r="Q184" s="17">
        <f>IF($A184="","",N(Items!G184)*$O184)</f>
        <v/>
      </c>
      <c r="R184" s="17">
        <f>IF($A184="","",$Q184-$P184)</f>
        <v/>
      </c>
      <c r="S184" s="17">
        <f>IF($A184="","",N(Items!J184)+$R184)</f>
        <v/>
      </c>
      <c r="T184" s="16">
        <f>IF($A184="","",IF(N(Items!K184)=0,"",(N(Items!K184)-N(Items!J184))/N(Items!K184)))</f>
        <v/>
      </c>
      <c r="U184" s="16">
        <f>IF($A184="","",IF(N(Items!K184)=0,"",(N(Items!K184)-$S184)/N(Items!K184)))</f>
        <v/>
      </c>
      <c r="V184" s="16">
        <f>IF(OR($T184="",$U184=""),"",$U184-$T184)</f>
        <v/>
      </c>
      <c r="W184" s="18">
        <f>IF($A184="","",N(Items!H184))</f>
        <v/>
      </c>
      <c r="X184" s="19">
        <f>IF($A184="","",$R184*$W184)</f>
        <v/>
      </c>
      <c r="Y184" s="19">
        <f>IF($A184="","",N(Items!K184)*$W184)</f>
        <v/>
      </c>
      <c r="Z184" s="19">
        <f>IF($A184="","",(N(Items!K184)-N(Items!J184))*$W184)</f>
        <v/>
      </c>
      <c r="AA184" s="19">
        <f>IF($A184="","",$Z184-$X184)</f>
        <v/>
      </c>
      <c r="AB184" s="10">
        <f>IF($A184="","",IF(TRIM(Items!C184&amp;"")="","CHECK: import country missing",IF(OR(LEN($C184)&lt;&gt;10,ISERROR(VALUE($C184))),"CHECK: HTS must be 10 digits",IF(LEN($E184)&lt;&gt;2,"CHECK: origin code missing or not 2 letters",IF(OR(Items!G184="",Items!I184="",Items!J184=""),"CHECK: value, rate or cost missing",IF(ISNUMBER(Items!G184)*ISNUMBER(Items!I184)*ISNUMBER(Items!J184)=0,"CHECK: text in a number column",IF(AND($L184="Y",UPPER(TRIM(act_RateType&amp;""))="REPLACE",$N184&lt;N(act_PriorRate)),"CHECK: current rate is below the rate being replaced",IF(AND($L184="Y",$W184=0),"NOTE: in scope, no volume","OK"))))))))</f>
        <v/>
      </c>
      <c r="AC184" s="20">
        <f>IF($A184="","",IF(AND($L184="Y",$X184&lt;&gt;0),ABS($X184)+ROW()/1000000000,""))</f>
        <v/>
      </c>
    </row>
    <row r="185">
      <c r="A185" s="10">
        <f>IF(TRIM(Items!A185&amp;"")="","",TRIM(Items!A185&amp;""))</f>
        <v/>
      </c>
      <c r="B185" s="10">
        <f>IF($A185="","",Items!B185&amp;"")</f>
        <v/>
      </c>
      <c r="C185" s="10">
        <f>IF($A185="","",SUBSTITUTE(SUBSTITUTE(SUBSTITUTE(TRIM(Items!D185&amp;""),".","")," ",""),"-",""))</f>
        <v/>
      </c>
      <c r="D185" s="10">
        <f>IF($A185="","",LEFT($C185,2))</f>
        <v/>
      </c>
      <c r="E185" s="10">
        <f>IF($A185="","",UPPER(TRIM(Items!E185&amp;"")))</f>
        <v/>
      </c>
      <c r="F185" s="10">
        <f>IF($A185="","",IF(UPPER(TRIM(Items!C185&amp;""))=UPPER(TRIM(act_Country&amp;"")),"Y","N"))</f>
        <v/>
      </c>
      <c r="G185" s="10">
        <f>IF($A185="","",IF(SUMPRODUCT((scope_HTS&lt;&gt;"")*(LEFT($C185,LEN(scope_HTS))=scope_HTS))&gt;0,"Y","N"))</f>
        <v/>
      </c>
      <c r="H185" s="10">
        <f>IF($A185="","",IF(SUMPRODUCT((excl_HTS&lt;&gt;"")*(LEFT($C185,LEN(excl_HTS))=excl_HTS))&gt;0,"Y","N"))</f>
        <v/>
      </c>
      <c r="I185" s="10">
        <f>IF($A185="","",IF($E185="","N",IF(COUNTIF(scope_COO,$E185)&gt;0,"Y","N")))</f>
        <v/>
      </c>
      <c r="J185" s="10">
        <f>IF($A185="","",IF(AND(UPPER(TRIM(act_USMCAExempt&amp;""))="Y",UPPER(TRIM(Items!F185&amp;""))="Y"),"Y","N"))</f>
        <v/>
      </c>
      <c r="K185" s="10">
        <f>IF($A185="","",IFERROR(UPPER(TRIM(INDEX(det_Status,MATCH($A185,det_Item,0))&amp;"")),""))</f>
        <v/>
      </c>
      <c r="L185" s="10">
        <f>IF($A185="","",IF($K185="IN","Y",IF($K185="OUT","N",IF(AND($F185="Y",$G185="Y",$H185="N",$I185="Y",$J185="N"),"Y","N"))))</f>
        <v/>
      </c>
      <c r="M185" s="10">
        <f>IF($A185="","",IF($K185="IN","In: Research determination",IF($K185="OUT","Out: Research determination",IF($F185="N","Out: different import country",IF($G185="N","Out: HTS not on scope list",IF($H185="Y","Out: HTS on exclusion list",IF($I185="N","Out: origin not on scope list",IF($J185="Y","Out: USMCA-qualifying, exempt","In: matches scope rules"))))))))</f>
        <v/>
      </c>
      <c r="N185" s="16">
        <f>IF($A185="","",N(Items!I185))</f>
        <v/>
      </c>
      <c r="O185" s="16">
        <f>IF($A185="","",IF($L185="Y",$N185+N(act_Rate)-IF(UPPER(TRIM(act_RateType&amp;""))="REPLACE",N(act_PriorRate),0),$N185))</f>
        <v/>
      </c>
      <c r="P185" s="17">
        <f>IF($A185="","",N(Items!G185)*$N185)</f>
        <v/>
      </c>
      <c r="Q185" s="17">
        <f>IF($A185="","",N(Items!G185)*$O185)</f>
        <v/>
      </c>
      <c r="R185" s="17">
        <f>IF($A185="","",$Q185-$P185)</f>
        <v/>
      </c>
      <c r="S185" s="17">
        <f>IF($A185="","",N(Items!J185)+$R185)</f>
        <v/>
      </c>
      <c r="T185" s="16">
        <f>IF($A185="","",IF(N(Items!K185)=0,"",(N(Items!K185)-N(Items!J185))/N(Items!K185)))</f>
        <v/>
      </c>
      <c r="U185" s="16">
        <f>IF($A185="","",IF(N(Items!K185)=0,"",(N(Items!K185)-$S185)/N(Items!K185)))</f>
        <v/>
      </c>
      <c r="V185" s="16">
        <f>IF(OR($T185="",$U185=""),"",$U185-$T185)</f>
        <v/>
      </c>
      <c r="W185" s="18">
        <f>IF($A185="","",N(Items!H185))</f>
        <v/>
      </c>
      <c r="X185" s="19">
        <f>IF($A185="","",$R185*$W185)</f>
        <v/>
      </c>
      <c r="Y185" s="19">
        <f>IF($A185="","",N(Items!K185)*$W185)</f>
        <v/>
      </c>
      <c r="Z185" s="19">
        <f>IF($A185="","",(N(Items!K185)-N(Items!J185))*$W185)</f>
        <v/>
      </c>
      <c r="AA185" s="19">
        <f>IF($A185="","",$Z185-$X185)</f>
        <v/>
      </c>
      <c r="AB185" s="10">
        <f>IF($A185="","",IF(TRIM(Items!C185&amp;"")="","CHECK: import country missing",IF(OR(LEN($C185)&lt;&gt;10,ISERROR(VALUE($C185))),"CHECK: HTS must be 10 digits",IF(LEN($E185)&lt;&gt;2,"CHECK: origin code missing or not 2 letters",IF(OR(Items!G185="",Items!I185="",Items!J185=""),"CHECK: value, rate or cost missing",IF(ISNUMBER(Items!G185)*ISNUMBER(Items!I185)*ISNUMBER(Items!J185)=0,"CHECK: text in a number column",IF(AND($L185="Y",UPPER(TRIM(act_RateType&amp;""))="REPLACE",$N185&lt;N(act_PriorRate)),"CHECK: current rate is below the rate being replaced",IF(AND($L185="Y",$W185=0),"NOTE: in scope, no volume","OK"))))))))</f>
        <v/>
      </c>
      <c r="AC185" s="20">
        <f>IF($A185="","",IF(AND($L185="Y",$X185&lt;&gt;0),ABS($X185)+ROW()/1000000000,""))</f>
        <v/>
      </c>
    </row>
    <row r="186">
      <c r="A186" s="10">
        <f>IF(TRIM(Items!A186&amp;"")="","",TRIM(Items!A186&amp;""))</f>
        <v/>
      </c>
      <c r="B186" s="10">
        <f>IF($A186="","",Items!B186&amp;"")</f>
        <v/>
      </c>
      <c r="C186" s="10">
        <f>IF($A186="","",SUBSTITUTE(SUBSTITUTE(SUBSTITUTE(TRIM(Items!D186&amp;""),".","")," ",""),"-",""))</f>
        <v/>
      </c>
      <c r="D186" s="10">
        <f>IF($A186="","",LEFT($C186,2))</f>
        <v/>
      </c>
      <c r="E186" s="10">
        <f>IF($A186="","",UPPER(TRIM(Items!E186&amp;"")))</f>
        <v/>
      </c>
      <c r="F186" s="10">
        <f>IF($A186="","",IF(UPPER(TRIM(Items!C186&amp;""))=UPPER(TRIM(act_Country&amp;"")),"Y","N"))</f>
        <v/>
      </c>
      <c r="G186" s="10">
        <f>IF($A186="","",IF(SUMPRODUCT((scope_HTS&lt;&gt;"")*(LEFT($C186,LEN(scope_HTS))=scope_HTS))&gt;0,"Y","N"))</f>
        <v/>
      </c>
      <c r="H186" s="10">
        <f>IF($A186="","",IF(SUMPRODUCT((excl_HTS&lt;&gt;"")*(LEFT($C186,LEN(excl_HTS))=excl_HTS))&gt;0,"Y","N"))</f>
        <v/>
      </c>
      <c r="I186" s="10">
        <f>IF($A186="","",IF($E186="","N",IF(COUNTIF(scope_COO,$E186)&gt;0,"Y","N")))</f>
        <v/>
      </c>
      <c r="J186" s="10">
        <f>IF($A186="","",IF(AND(UPPER(TRIM(act_USMCAExempt&amp;""))="Y",UPPER(TRIM(Items!F186&amp;""))="Y"),"Y","N"))</f>
        <v/>
      </c>
      <c r="K186" s="10">
        <f>IF($A186="","",IFERROR(UPPER(TRIM(INDEX(det_Status,MATCH($A186,det_Item,0))&amp;"")),""))</f>
        <v/>
      </c>
      <c r="L186" s="10">
        <f>IF($A186="","",IF($K186="IN","Y",IF($K186="OUT","N",IF(AND($F186="Y",$G186="Y",$H186="N",$I186="Y",$J186="N"),"Y","N"))))</f>
        <v/>
      </c>
      <c r="M186" s="10">
        <f>IF($A186="","",IF($K186="IN","In: Research determination",IF($K186="OUT","Out: Research determination",IF($F186="N","Out: different import country",IF($G186="N","Out: HTS not on scope list",IF($H186="Y","Out: HTS on exclusion list",IF($I186="N","Out: origin not on scope list",IF($J186="Y","Out: USMCA-qualifying, exempt","In: matches scope rules"))))))))</f>
        <v/>
      </c>
      <c r="N186" s="16">
        <f>IF($A186="","",N(Items!I186))</f>
        <v/>
      </c>
      <c r="O186" s="16">
        <f>IF($A186="","",IF($L186="Y",$N186+N(act_Rate)-IF(UPPER(TRIM(act_RateType&amp;""))="REPLACE",N(act_PriorRate),0),$N186))</f>
        <v/>
      </c>
      <c r="P186" s="17">
        <f>IF($A186="","",N(Items!G186)*$N186)</f>
        <v/>
      </c>
      <c r="Q186" s="17">
        <f>IF($A186="","",N(Items!G186)*$O186)</f>
        <v/>
      </c>
      <c r="R186" s="17">
        <f>IF($A186="","",$Q186-$P186)</f>
        <v/>
      </c>
      <c r="S186" s="17">
        <f>IF($A186="","",N(Items!J186)+$R186)</f>
        <v/>
      </c>
      <c r="T186" s="16">
        <f>IF($A186="","",IF(N(Items!K186)=0,"",(N(Items!K186)-N(Items!J186))/N(Items!K186)))</f>
        <v/>
      </c>
      <c r="U186" s="16">
        <f>IF($A186="","",IF(N(Items!K186)=0,"",(N(Items!K186)-$S186)/N(Items!K186)))</f>
        <v/>
      </c>
      <c r="V186" s="16">
        <f>IF(OR($T186="",$U186=""),"",$U186-$T186)</f>
        <v/>
      </c>
      <c r="W186" s="18">
        <f>IF($A186="","",N(Items!H186))</f>
        <v/>
      </c>
      <c r="X186" s="19">
        <f>IF($A186="","",$R186*$W186)</f>
        <v/>
      </c>
      <c r="Y186" s="19">
        <f>IF($A186="","",N(Items!K186)*$W186)</f>
        <v/>
      </c>
      <c r="Z186" s="19">
        <f>IF($A186="","",(N(Items!K186)-N(Items!J186))*$W186)</f>
        <v/>
      </c>
      <c r="AA186" s="19">
        <f>IF($A186="","",$Z186-$X186)</f>
        <v/>
      </c>
      <c r="AB186" s="10">
        <f>IF($A186="","",IF(TRIM(Items!C186&amp;"")="","CHECK: import country missing",IF(OR(LEN($C186)&lt;&gt;10,ISERROR(VALUE($C186))),"CHECK: HTS must be 10 digits",IF(LEN($E186)&lt;&gt;2,"CHECK: origin code missing or not 2 letters",IF(OR(Items!G186="",Items!I186="",Items!J186=""),"CHECK: value, rate or cost missing",IF(ISNUMBER(Items!G186)*ISNUMBER(Items!I186)*ISNUMBER(Items!J186)=0,"CHECK: text in a number column",IF(AND($L186="Y",UPPER(TRIM(act_RateType&amp;""))="REPLACE",$N186&lt;N(act_PriorRate)),"CHECK: current rate is below the rate being replaced",IF(AND($L186="Y",$W186=0),"NOTE: in scope, no volume","OK"))))))))</f>
        <v/>
      </c>
      <c r="AC186" s="20">
        <f>IF($A186="","",IF(AND($L186="Y",$X186&lt;&gt;0),ABS($X186)+ROW()/1000000000,""))</f>
        <v/>
      </c>
    </row>
    <row r="187">
      <c r="A187" s="10">
        <f>IF(TRIM(Items!A187&amp;"")="","",TRIM(Items!A187&amp;""))</f>
        <v/>
      </c>
      <c r="B187" s="10">
        <f>IF($A187="","",Items!B187&amp;"")</f>
        <v/>
      </c>
      <c r="C187" s="10">
        <f>IF($A187="","",SUBSTITUTE(SUBSTITUTE(SUBSTITUTE(TRIM(Items!D187&amp;""),".","")," ",""),"-",""))</f>
        <v/>
      </c>
      <c r="D187" s="10">
        <f>IF($A187="","",LEFT($C187,2))</f>
        <v/>
      </c>
      <c r="E187" s="10">
        <f>IF($A187="","",UPPER(TRIM(Items!E187&amp;"")))</f>
        <v/>
      </c>
      <c r="F187" s="10">
        <f>IF($A187="","",IF(UPPER(TRIM(Items!C187&amp;""))=UPPER(TRIM(act_Country&amp;"")),"Y","N"))</f>
        <v/>
      </c>
      <c r="G187" s="10">
        <f>IF($A187="","",IF(SUMPRODUCT((scope_HTS&lt;&gt;"")*(LEFT($C187,LEN(scope_HTS))=scope_HTS))&gt;0,"Y","N"))</f>
        <v/>
      </c>
      <c r="H187" s="10">
        <f>IF($A187="","",IF(SUMPRODUCT((excl_HTS&lt;&gt;"")*(LEFT($C187,LEN(excl_HTS))=excl_HTS))&gt;0,"Y","N"))</f>
        <v/>
      </c>
      <c r="I187" s="10">
        <f>IF($A187="","",IF($E187="","N",IF(COUNTIF(scope_COO,$E187)&gt;0,"Y","N")))</f>
        <v/>
      </c>
      <c r="J187" s="10">
        <f>IF($A187="","",IF(AND(UPPER(TRIM(act_USMCAExempt&amp;""))="Y",UPPER(TRIM(Items!F187&amp;""))="Y"),"Y","N"))</f>
        <v/>
      </c>
      <c r="K187" s="10">
        <f>IF($A187="","",IFERROR(UPPER(TRIM(INDEX(det_Status,MATCH($A187,det_Item,0))&amp;"")),""))</f>
        <v/>
      </c>
      <c r="L187" s="10">
        <f>IF($A187="","",IF($K187="IN","Y",IF($K187="OUT","N",IF(AND($F187="Y",$G187="Y",$H187="N",$I187="Y",$J187="N"),"Y","N"))))</f>
        <v/>
      </c>
      <c r="M187" s="10">
        <f>IF($A187="","",IF($K187="IN","In: Research determination",IF($K187="OUT","Out: Research determination",IF($F187="N","Out: different import country",IF($G187="N","Out: HTS not on scope list",IF($H187="Y","Out: HTS on exclusion list",IF($I187="N","Out: origin not on scope list",IF($J187="Y","Out: USMCA-qualifying, exempt","In: matches scope rules"))))))))</f>
        <v/>
      </c>
      <c r="N187" s="16">
        <f>IF($A187="","",N(Items!I187))</f>
        <v/>
      </c>
      <c r="O187" s="16">
        <f>IF($A187="","",IF($L187="Y",$N187+N(act_Rate)-IF(UPPER(TRIM(act_RateType&amp;""))="REPLACE",N(act_PriorRate),0),$N187))</f>
        <v/>
      </c>
      <c r="P187" s="17">
        <f>IF($A187="","",N(Items!G187)*$N187)</f>
        <v/>
      </c>
      <c r="Q187" s="17">
        <f>IF($A187="","",N(Items!G187)*$O187)</f>
        <v/>
      </c>
      <c r="R187" s="17">
        <f>IF($A187="","",$Q187-$P187)</f>
        <v/>
      </c>
      <c r="S187" s="17">
        <f>IF($A187="","",N(Items!J187)+$R187)</f>
        <v/>
      </c>
      <c r="T187" s="16">
        <f>IF($A187="","",IF(N(Items!K187)=0,"",(N(Items!K187)-N(Items!J187))/N(Items!K187)))</f>
        <v/>
      </c>
      <c r="U187" s="16">
        <f>IF($A187="","",IF(N(Items!K187)=0,"",(N(Items!K187)-$S187)/N(Items!K187)))</f>
        <v/>
      </c>
      <c r="V187" s="16">
        <f>IF(OR($T187="",$U187=""),"",$U187-$T187)</f>
        <v/>
      </c>
      <c r="W187" s="18">
        <f>IF($A187="","",N(Items!H187))</f>
        <v/>
      </c>
      <c r="X187" s="19">
        <f>IF($A187="","",$R187*$W187)</f>
        <v/>
      </c>
      <c r="Y187" s="19">
        <f>IF($A187="","",N(Items!K187)*$W187)</f>
        <v/>
      </c>
      <c r="Z187" s="19">
        <f>IF($A187="","",(N(Items!K187)-N(Items!J187))*$W187)</f>
        <v/>
      </c>
      <c r="AA187" s="19">
        <f>IF($A187="","",$Z187-$X187)</f>
        <v/>
      </c>
      <c r="AB187" s="10">
        <f>IF($A187="","",IF(TRIM(Items!C187&amp;"")="","CHECK: import country missing",IF(OR(LEN($C187)&lt;&gt;10,ISERROR(VALUE($C187))),"CHECK: HTS must be 10 digits",IF(LEN($E187)&lt;&gt;2,"CHECK: origin code missing or not 2 letters",IF(OR(Items!G187="",Items!I187="",Items!J187=""),"CHECK: value, rate or cost missing",IF(ISNUMBER(Items!G187)*ISNUMBER(Items!I187)*ISNUMBER(Items!J187)=0,"CHECK: text in a number column",IF(AND($L187="Y",UPPER(TRIM(act_RateType&amp;""))="REPLACE",$N187&lt;N(act_PriorRate)),"CHECK: current rate is below the rate being replaced",IF(AND($L187="Y",$W187=0),"NOTE: in scope, no volume","OK"))))))))</f>
        <v/>
      </c>
      <c r="AC187" s="20">
        <f>IF($A187="","",IF(AND($L187="Y",$X187&lt;&gt;0),ABS($X187)+ROW()/1000000000,""))</f>
        <v/>
      </c>
    </row>
    <row r="188">
      <c r="A188" s="10">
        <f>IF(TRIM(Items!A188&amp;"")="","",TRIM(Items!A188&amp;""))</f>
        <v/>
      </c>
      <c r="B188" s="10">
        <f>IF($A188="","",Items!B188&amp;"")</f>
        <v/>
      </c>
      <c r="C188" s="10">
        <f>IF($A188="","",SUBSTITUTE(SUBSTITUTE(SUBSTITUTE(TRIM(Items!D188&amp;""),".","")," ",""),"-",""))</f>
        <v/>
      </c>
      <c r="D188" s="10">
        <f>IF($A188="","",LEFT($C188,2))</f>
        <v/>
      </c>
      <c r="E188" s="10">
        <f>IF($A188="","",UPPER(TRIM(Items!E188&amp;"")))</f>
        <v/>
      </c>
      <c r="F188" s="10">
        <f>IF($A188="","",IF(UPPER(TRIM(Items!C188&amp;""))=UPPER(TRIM(act_Country&amp;"")),"Y","N"))</f>
        <v/>
      </c>
      <c r="G188" s="10">
        <f>IF($A188="","",IF(SUMPRODUCT((scope_HTS&lt;&gt;"")*(LEFT($C188,LEN(scope_HTS))=scope_HTS))&gt;0,"Y","N"))</f>
        <v/>
      </c>
      <c r="H188" s="10">
        <f>IF($A188="","",IF(SUMPRODUCT((excl_HTS&lt;&gt;"")*(LEFT($C188,LEN(excl_HTS))=excl_HTS))&gt;0,"Y","N"))</f>
        <v/>
      </c>
      <c r="I188" s="10">
        <f>IF($A188="","",IF($E188="","N",IF(COUNTIF(scope_COO,$E188)&gt;0,"Y","N")))</f>
        <v/>
      </c>
      <c r="J188" s="10">
        <f>IF($A188="","",IF(AND(UPPER(TRIM(act_USMCAExempt&amp;""))="Y",UPPER(TRIM(Items!F188&amp;""))="Y"),"Y","N"))</f>
        <v/>
      </c>
      <c r="K188" s="10">
        <f>IF($A188="","",IFERROR(UPPER(TRIM(INDEX(det_Status,MATCH($A188,det_Item,0))&amp;"")),""))</f>
        <v/>
      </c>
      <c r="L188" s="10">
        <f>IF($A188="","",IF($K188="IN","Y",IF($K188="OUT","N",IF(AND($F188="Y",$G188="Y",$H188="N",$I188="Y",$J188="N"),"Y","N"))))</f>
        <v/>
      </c>
      <c r="M188" s="10">
        <f>IF($A188="","",IF($K188="IN","In: Research determination",IF($K188="OUT","Out: Research determination",IF($F188="N","Out: different import country",IF($G188="N","Out: HTS not on scope list",IF($H188="Y","Out: HTS on exclusion list",IF($I188="N","Out: origin not on scope list",IF($J188="Y","Out: USMCA-qualifying, exempt","In: matches scope rules"))))))))</f>
        <v/>
      </c>
      <c r="N188" s="16">
        <f>IF($A188="","",N(Items!I188))</f>
        <v/>
      </c>
      <c r="O188" s="16">
        <f>IF($A188="","",IF($L188="Y",$N188+N(act_Rate)-IF(UPPER(TRIM(act_RateType&amp;""))="REPLACE",N(act_PriorRate),0),$N188))</f>
        <v/>
      </c>
      <c r="P188" s="17">
        <f>IF($A188="","",N(Items!G188)*$N188)</f>
        <v/>
      </c>
      <c r="Q188" s="17">
        <f>IF($A188="","",N(Items!G188)*$O188)</f>
        <v/>
      </c>
      <c r="R188" s="17">
        <f>IF($A188="","",$Q188-$P188)</f>
        <v/>
      </c>
      <c r="S188" s="17">
        <f>IF($A188="","",N(Items!J188)+$R188)</f>
        <v/>
      </c>
      <c r="T188" s="16">
        <f>IF($A188="","",IF(N(Items!K188)=0,"",(N(Items!K188)-N(Items!J188))/N(Items!K188)))</f>
        <v/>
      </c>
      <c r="U188" s="16">
        <f>IF($A188="","",IF(N(Items!K188)=0,"",(N(Items!K188)-$S188)/N(Items!K188)))</f>
        <v/>
      </c>
      <c r="V188" s="16">
        <f>IF(OR($T188="",$U188=""),"",$U188-$T188)</f>
        <v/>
      </c>
      <c r="W188" s="18">
        <f>IF($A188="","",N(Items!H188))</f>
        <v/>
      </c>
      <c r="X188" s="19">
        <f>IF($A188="","",$R188*$W188)</f>
        <v/>
      </c>
      <c r="Y188" s="19">
        <f>IF($A188="","",N(Items!K188)*$W188)</f>
        <v/>
      </c>
      <c r="Z188" s="19">
        <f>IF($A188="","",(N(Items!K188)-N(Items!J188))*$W188)</f>
        <v/>
      </c>
      <c r="AA188" s="19">
        <f>IF($A188="","",$Z188-$X188)</f>
        <v/>
      </c>
      <c r="AB188" s="10">
        <f>IF($A188="","",IF(TRIM(Items!C188&amp;"")="","CHECK: import country missing",IF(OR(LEN($C188)&lt;&gt;10,ISERROR(VALUE($C188))),"CHECK: HTS must be 10 digits",IF(LEN($E188)&lt;&gt;2,"CHECK: origin code missing or not 2 letters",IF(OR(Items!G188="",Items!I188="",Items!J188=""),"CHECK: value, rate or cost missing",IF(ISNUMBER(Items!G188)*ISNUMBER(Items!I188)*ISNUMBER(Items!J188)=0,"CHECK: text in a number column",IF(AND($L188="Y",UPPER(TRIM(act_RateType&amp;""))="REPLACE",$N188&lt;N(act_PriorRate)),"CHECK: current rate is below the rate being replaced",IF(AND($L188="Y",$W188=0),"NOTE: in scope, no volume","OK"))))))))</f>
        <v/>
      </c>
      <c r="AC188" s="20">
        <f>IF($A188="","",IF(AND($L188="Y",$X188&lt;&gt;0),ABS($X188)+ROW()/1000000000,""))</f>
        <v/>
      </c>
    </row>
    <row r="189">
      <c r="A189" s="10">
        <f>IF(TRIM(Items!A189&amp;"")="","",TRIM(Items!A189&amp;""))</f>
        <v/>
      </c>
      <c r="B189" s="10">
        <f>IF($A189="","",Items!B189&amp;"")</f>
        <v/>
      </c>
      <c r="C189" s="10">
        <f>IF($A189="","",SUBSTITUTE(SUBSTITUTE(SUBSTITUTE(TRIM(Items!D189&amp;""),".","")," ",""),"-",""))</f>
        <v/>
      </c>
      <c r="D189" s="10">
        <f>IF($A189="","",LEFT($C189,2))</f>
        <v/>
      </c>
      <c r="E189" s="10">
        <f>IF($A189="","",UPPER(TRIM(Items!E189&amp;"")))</f>
        <v/>
      </c>
      <c r="F189" s="10">
        <f>IF($A189="","",IF(UPPER(TRIM(Items!C189&amp;""))=UPPER(TRIM(act_Country&amp;"")),"Y","N"))</f>
        <v/>
      </c>
      <c r="G189" s="10">
        <f>IF($A189="","",IF(SUMPRODUCT((scope_HTS&lt;&gt;"")*(LEFT($C189,LEN(scope_HTS))=scope_HTS))&gt;0,"Y","N"))</f>
        <v/>
      </c>
      <c r="H189" s="10">
        <f>IF($A189="","",IF(SUMPRODUCT((excl_HTS&lt;&gt;"")*(LEFT($C189,LEN(excl_HTS))=excl_HTS))&gt;0,"Y","N"))</f>
        <v/>
      </c>
      <c r="I189" s="10">
        <f>IF($A189="","",IF($E189="","N",IF(COUNTIF(scope_COO,$E189)&gt;0,"Y","N")))</f>
        <v/>
      </c>
      <c r="J189" s="10">
        <f>IF($A189="","",IF(AND(UPPER(TRIM(act_USMCAExempt&amp;""))="Y",UPPER(TRIM(Items!F189&amp;""))="Y"),"Y","N"))</f>
        <v/>
      </c>
      <c r="K189" s="10">
        <f>IF($A189="","",IFERROR(UPPER(TRIM(INDEX(det_Status,MATCH($A189,det_Item,0))&amp;"")),""))</f>
        <v/>
      </c>
      <c r="L189" s="10">
        <f>IF($A189="","",IF($K189="IN","Y",IF($K189="OUT","N",IF(AND($F189="Y",$G189="Y",$H189="N",$I189="Y",$J189="N"),"Y","N"))))</f>
        <v/>
      </c>
      <c r="M189" s="10">
        <f>IF($A189="","",IF($K189="IN","In: Research determination",IF($K189="OUT","Out: Research determination",IF($F189="N","Out: different import country",IF($G189="N","Out: HTS not on scope list",IF($H189="Y","Out: HTS on exclusion list",IF($I189="N","Out: origin not on scope list",IF($J189="Y","Out: USMCA-qualifying, exempt","In: matches scope rules"))))))))</f>
        <v/>
      </c>
      <c r="N189" s="16">
        <f>IF($A189="","",N(Items!I189))</f>
        <v/>
      </c>
      <c r="O189" s="16">
        <f>IF($A189="","",IF($L189="Y",$N189+N(act_Rate)-IF(UPPER(TRIM(act_RateType&amp;""))="REPLACE",N(act_PriorRate),0),$N189))</f>
        <v/>
      </c>
      <c r="P189" s="17">
        <f>IF($A189="","",N(Items!G189)*$N189)</f>
        <v/>
      </c>
      <c r="Q189" s="17">
        <f>IF($A189="","",N(Items!G189)*$O189)</f>
        <v/>
      </c>
      <c r="R189" s="17">
        <f>IF($A189="","",$Q189-$P189)</f>
        <v/>
      </c>
      <c r="S189" s="17">
        <f>IF($A189="","",N(Items!J189)+$R189)</f>
        <v/>
      </c>
      <c r="T189" s="16">
        <f>IF($A189="","",IF(N(Items!K189)=0,"",(N(Items!K189)-N(Items!J189))/N(Items!K189)))</f>
        <v/>
      </c>
      <c r="U189" s="16">
        <f>IF($A189="","",IF(N(Items!K189)=0,"",(N(Items!K189)-$S189)/N(Items!K189)))</f>
        <v/>
      </c>
      <c r="V189" s="16">
        <f>IF(OR($T189="",$U189=""),"",$U189-$T189)</f>
        <v/>
      </c>
      <c r="W189" s="18">
        <f>IF($A189="","",N(Items!H189))</f>
        <v/>
      </c>
      <c r="X189" s="19">
        <f>IF($A189="","",$R189*$W189)</f>
        <v/>
      </c>
      <c r="Y189" s="19">
        <f>IF($A189="","",N(Items!K189)*$W189)</f>
        <v/>
      </c>
      <c r="Z189" s="19">
        <f>IF($A189="","",(N(Items!K189)-N(Items!J189))*$W189)</f>
        <v/>
      </c>
      <c r="AA189" s="19">
        <f>IF($A189="","",$Z189-$X189)</f>
        <v/>
      </c>
      <c r="AB189" s="10">
        <f>IF($A189="","",IF(TRIM(Items!C189&amp;"")="","CHECK: import country missing",IF(OR(LEN($C189)&lt;&gt;10,ISERROR(VALUE($C189))),"CHECK: HTS must be 10 digits",IF(LEN($E189)&lt;&gt;2,"CHECK: origin code missing or not 2 letters",IF(OR(Items!G189="",Items!I189="",Items!J189=""),"CHECK: value, rate or cost missing",IF(ISNUMBER(Items!G189)*ISNUMBER(Items!I189)*ISNUMBER(Items!J189)=0,"CHECK: text in a number column",IF(AND($L189="Y",UPPER(TRIM(act_RateType&amp;""))="REPLACE",$N189&lt;N(act_PriorRate)),"CHECK: current rate is below the rate being replaced",IF(AND($L189="Y",$W189=0),"NOTE: in scope, no volume","OK"))))))))</f>
        <v/>
      </c>
      <c r="AC189" s="20">
        <f>IF($A189="","",IF(AND($L189="Y",$X189&lt;&gt;0),ABS($X189)+ROW()/1000000000,""))</f>
        <v/>
      </c>
    </row>
    <row r="190">
      <c r="A190" s="10">
        <f>IF(TRIM(Items!A190&amp;"")="","",TRIM(Items!A190&amp;""))</f>
        <v/>
      </c>
      <c r="B190" s="10">
        <f>IF($A190="","",Items!B190&amp;"")</f>
        <v/>
      </c>
      <c r="C190" s="10">
        <f>IF($A190="","",SUBSTITUTE(SUBSTITUTE(SUBSTITUTE(TRIM(Items!D190&amp;""),".","")," ",""),"-",""))</f>
        <v/>
      </c>
      <c r="D190" s="10">
        <f>IF($A190="","",LEFT($C190,2))</f>
        <v/>
      </c>
      <c r="E190" s="10">
        <f>IF($A190="","",UPPER(TRIM(Items!E190&amp;"")))</f>
        <v/>
      </c>
      <c r="F190" s="10">
        <f>IF($A190="","",IF(UPPER(TRIM(Items!C190&amp;""))=UPPER(TRIM(act_Country&amp;"")),"Y","N"))</f>
        <v/>
      </c>
      <c r="G190" s="10">
        <f>IF($A190="","",IF(SUMPRODUCT((scope_HTS&lt;&gt;"")*(LEFT($C190,LEN(scope_HTS))=scope_HTS))&gt;0,"Y","N"))</f>
        <v/>
      </c>
      <c r="H190" s="10">
        <f>IF($A190="","",IF(SUMPRODUCT((excl_HTS&lt;&gt;"")*(LEFT($C190,LEN(excl_HTS))=excl_HTS))&gt;0,"Y","N"))</f>
        <v/>
      </c>
      <c r="I190" s="10">
        <f>IF($A190="","",IF($E190="","N",IF(COUNTIF(scope_COO,$E190)&gt;0,"Y","N")))</f>
        <v/>
      </c>
      <c r="J190" s="10">
        <f>IF($A190="","",IF(AND(UPPER(TRIM(act_USMCAExempt&amp;""))="Y",UPPER(TRIM(Items!F190&amp;""))="Y"),"Y","N"))</f>
        <v/>
      </c>
      <c r="K190" s="10">
        <f>IF($A190="","",IFERROR(UPPER(TRIM(INDEX(det_Status,MATCH($A190,det_Item,0))&amp;"")),""))</f>
        <v/>
      </c>
      <c r="L190" s="10">
        <f>IF($A190="","",IF($K190="IN","Y",IF($K190="OUT","N",IF(AND($F190="Y",$G190="Y",$H190="N",$I190="Y",$J190="N"),"Y","N"))))</f>
        <v/>
      </c>
      <c r="M190" s="10">
        <f>IF($A190="","",IF($K190="IN","In: Research determination",IF($K190="OUT","Out: Research determination",IF($F190="N","Out: different import country",IF($G190="N","Out: HTS not on scope list",IF($H190="Y","Out: HTS on exclusion list",IF($I190="N","Out: origin not on scope list",IF($J190="Y","Out: USMCA-qualifying, exempt","In: matches scope rules"))))))))</f>
        <v/>
      </c>
      <c r="N190" s="16">
        <f>IF($A190="","",N(Items!I190))</f>
        <v/>
      </c>
      <c r="O190" s="16">
        <f>IF($A190="","",IF($L190="Y",$N190+N(act_Rate)-IF(UPPER(TRIM(act_RateType&amp;""))="REPLACE",N(act_PriorRate),0),$N190))</f>
        <v/>
      </c>
      <c r="P190" s="17">
        <f>IF($A190="","",N(Items!G190)*$N190)</f>
        <v/>
      </c>
      <c r="Q190" s="17">
        <f>IF($A190="","",N(Items!G190)*$O190)</f>
        <v/>
      </c>
      <c r="R190" s="17">
        <f>IF($A190="","",$Q190-$P190)</f>
        <v/>
      </c>
      <c r="S190" s="17">
        <f>IF($A190="","",N(Items!J190)+$R190)</f>
        <v/>
      </c>
      <c r="T190" s="16">
        <f>IF($A190="","",IF(N(Items!K190)=0,"",(N(Items!K190)-N(Items!J190))/N(Items!K190)))</f>
        <v/>
      </c>
      <c r="U190" s="16">
        <f>IF($A190="","",IF(N(Items!K190)=0,"",(N(Items!K190)-$S190)/N(Items!K190)))</f>
        <v/>
      </c>
      <c r="V190" s="16">
        <f>IF(OR($T190="",$U190=""),"",$U190-$T190)</f>
        <v/>
      </c>
      <c r="W190" s="18">
        <f>IF($A190="","",N(Items!H190))</f>
        <v/>
      </c>
      <c r="X190" s="19">
        <f>IF($A190="","",$R190*$W190)</f>
        <v/>
      </c>
      <c r="Y190" s="19">
        <f>IF($A190="","",N(Items!K190)*$W190)</f>
        <v/>
      </c>
      <c r="Z190" s="19">
        <f>IF($A190="","",(N(Items!K190)-N(Items!J190))*$W190)</f>
        <v/>
      </c>
      <c r="AA190" s="19">
        <f>IF($A190="","",$Z190-$X190)</f>
        <v/>
      </c>
      <c r="AB190" s="10">
        <f>IF($A190="","",IF(TRIM(Items!C190&amp;"")="","CHECK: import country missing",IF(OR(LEN($C190)&lt;&gt;10,ISERROR(VALUE($C190))),"CHECK: HTS must be 10 digits",IF(LEN($E190)&lt;&gt;2,"CHECK: origin code missing or not 2 letters",IF(OR(Items!G190="",Items!I190="",Items!J190=""),"CHECK: value, rate or cost missing",IF(ISNUMBER(Items!G190)*ISNUMBER(Items!I190)*ISNUMBER(Items!J190)=0,"CHECK: text in a number column",IF(AND($L190="Y",UPPER(TRIM(act_RateType&amp;""))="REPLACE",$N190&lt;N(act_PriorRate)),"CHECK: current rate is below the rate being replaced",IF(AND($L190="Y",$W190=0),"NOTE: in scope, no volume","OK"))))))))</f>
        <v/>
      </c>
      <c r="AC190" s="20">
        <f>IF($A190="","",IF(AND($L190="Y",$X190&lt;&gt;0),ABS($X190)+ROW()/1000000000,""))</f>
        <v/>
      </c>
    </row>
    <row r="191">
      <c r="A191" s="10">
        <f>IF(TRIM(Items!A191&amp;"")="","",TRIM(Items!A191&amp;""))</f>
        <v/>
      </c>
      <c r="B191" s="10">
        <f>IF($A191="","",Items!B191&amp;"")</f>
        <v/>
      </c>
      <c r="C191" s="10">
        <f>IF($A191="","",SUBSTITUTE(SUBSTITUTE(SUBSTITUTE(TRIM(Items!D191&amp;""),".","")," ",""),"-",""))</f>
        <v/>
      </c>
      <c r="D191" s="10">
        <f>IF($A191="","",LEFT($C191,2))</f>
        <v/>
      </c>
      <c r="E191" s="10">
        <f>IF($A191="","",UPPER(TRIM(Items!E191&amp;"")))</f>
        <v/>
      </c>
      <c r="F191" s="10">
        <f>IF($A191="","",IF(UPPER(TRIM(Items!C191&amp;""))=UPPER(TRIM(act_Country&amp;"")),"Y","N"))</f>
        <v/>
      </c>
      <c r="G191" s="10">
        <f>IF($A191="","",IF(SUMPRODUCT((scope_HTS&lt;&gt;"")*(LEFT($C191,LEN(scope_HTS))=scope_HTS))&gt;0,"Y","N"))</f>
        <v/>
      </c>
      <c r="H191" s="10">
        <f>IF($A191="","",IF(SUMPRODUCT((excl_HTS&lt;&gt;"")*(LEFT($C191,LEN(excl_HTS))=excl_HTS))&gt;0,"Y","N"))</f>
        <v/>
      </c>
      <c r="I191" s="10">
        <f>IF($A191="","",IF($E191="","N",IF(COUNTIF(scope_COO,$E191)&gt;0,"Y","N")))</f>
        <v/>
      </c>
      <c r="J191" s="10">
        <f>IF($A191="","",IF(AND(UPPER(TRIM(act_USMCAExempt&amp;""))="Y",UPPER(TRIM(Items!F191&amp;""))="Y"),"Y","N"))</f>
        <v/>
      </c>
      <c r="K191" s="10">
        <f>IF($A191="","",IFERROR(UPPER(TRIM(INDEX(det_Status,MATCH($A191,det_Item,0))&amp;"")),""))</f>
        <v/>
      </c>
      <c r="L191" s="10">
        <f>IF($A191="","",IF($K191="IN","Y",IF($K191="OUT","N",IF(AND($F191="Y",$G191="Y",$H191="N",$I191="Y",$J191="N"),"Y","N"))))</f>
        <v/>
      </c>
      <c r="M191" s="10">
        <f>IF($A191="","",IF($K191="IN","In: Research determination",IF($K191="OUT","Out: Research determination",IF($F191="N","Out: different import country",IF($G191="N","Out: HTS not on scope list",IF($H191="Y","Out: HTS on exclusion list",IF($I191="N","Out: origin not on scope list",IF($J191="Y","Out: USMCA-qualifying, exempt","In: matches scope rules"))))))))</f>
        <v/>
      </c>
      <c r="N191" s="16">
        <f>IF($A191="","",N(Items!I191))</f>
        <v/>
      </c>
      <c r="O191" s="16">
        <f>IF($A191="","",IF($L191="Y",$N191+N(act_Rate)-IF(UPPER(TRIM(act_RateType&amp;""))="REPLACE",N(act_PriorRate),0),$N191))</f>
        <v/>
      </c>
      <c r="P191" s="17">
        <f>IF($A191="","",N(Items!G191)*$N191)</f>
        <v/>
      </c>
      <c r="Q191" s="17">
        <f>IF($A191="","",N(Items!G191)*$O191)</f>
        <v/>
      </c>
      <c r="R191" s="17">
        <f>IF($A191="","",$Q191-$P191)</f>
        <v/>
      </c>
      <c r="S191" s="17">
        <f>IF($A191="","",N(Items!J191)+$R191)</f>
        <v/>
      </c>
      <c r="T191" s="16">
        <f>IF($A191="","",IF(N(Items!K191)=0,"",(N(Items!K191)-N(Items!J191))/N(Items!K191)))</f>
        <v/>
      </c>
      <c r="U191" s="16">
        <f>IF($A191="","",IF(N(Items!K191)=0,"",(N(Items!K191)-$S191)/N(Items!K191)))</f>
        <v/>
      </c>
      <c r="V191" s="16">
        <f>IF(OR($T191="",$U191=""),"",$U191-$T191)</f>
        <v/>
      </c>
      <c r="W191" s="18">
        <f>IF($A191="","",N(Items!H191))</f>
        <v/>
      </c>
      <c r="X191" s="19">
        <f>IF($A191="","",$R191*$W191)</f>
        <v/>
      </c>
      <c r="Y191" s="19">
        <f>IF($A191="","",N(Items!K191)*$W191)</f>
        <v/>
      </c>
      <c r="Z191" s="19">
        <f>IF($A191="","",(N(Items!K191)-N(Items!J191))*$W191)</f>
        <v/>
      </c>
      <c r="AA191" s="19">
        <f>IF($A191="","",$Z191-$X191)</f>
        <v/>
      </c>
      <c r="AB191" s="10">
        <f>IF($A191="","",IF(TRIM(Items!C191&amp;"")="","CHECK: import country missing",IF(OR(LEN($C191)&lt;&gt;10,ISERROR(VALUE($C191))),"CHECK: HTS must be 10 digits",IF(LEN($E191)&lt;&gt;2,"CHECK: origin code missing or not 2 letters",IF(OR(Items!G191="",Items!I191="",Items!J191=""),"CHECK: value, rate or cost missing",IF(ISNUMBER(Items!G191)*ISNUMBER(Items!I191)*ISNUMBER(Items!J191)=0,"CHECK: text in a number column",IF(AND($L191="Y",UPPER(TRIM(act_RateType&amp;""))="REPLACE",$N191&lt;N(act_PriorRate)),"CHECK: current rate is below the rate being replaced",IF(AND($L191="Y",$W191=0),"NOTE: in scope, no volume","OK"))))))))</f>
        <v/>
      </c>
      <c r="AC191" s="20">
        <f>IF($A191="","",IF(AND($L191="Y",$X191&lt;&gt;0),ABS($X191)+ROW()/1000000000,""))</f>
        <v/>
      </c>
    </row>
    <row r="192">
      <c r="A192" s="10">
        <f>IF(TRIM(Items!A192&amp;"")="","",TRIM(Items!A192&amp;""))</f>
        <v/>
      </c>
      <c r="B192" s="10">
        <f>IF($A192="","",Items!B192&amp;"")</f>
        <v/>
      </c>
      <c r="C192" s="10">
        <f>IF($A192="","",SUBSTITUTE(SUBSTITUTE(SUBSTITUTE(TRIM(Items!D192&amp;""),".","")," ",""),"-",""))</f>
        <v/>
      </c>
      <c r="D192" s="10">
        <f>IF($A192="","",LEFT($C192,2))</f>
        <v/>
      </c>
      <c r="E192" s="10">
        <f>IF($A192="","",UPPER(TRIM(Items!E192&amp;"")))</f>
        <v/>
      </c>
      <c r="F192" s="10">
        <f>IF($A192="","",IF(UPPER(TRIM(Items!C192&amp;""))=UPPER(TRIM(act_Country&amp;"")),"Y","N"))</f>
        <v/>
      </c>
      <c r="G192" s="10">
        <f>IF($A192="","",IF(SUMPRODUCT((scope_HTS&lt;&gt;"")*(LEFT($C192,LEN(scope_HTS))=scope_HTS))&gt;0,"Y","N"))</f>
        <v/>
      </c>
      <c r="H192" s="10">
        <f>IF($A192="","",IF(SUMPRODUCT((excl_HTS&lt;&gt;"")*(LEFT($C192,LEN(excl_HTS))=excl_HTS))&gt;0,"Y","N"))</f>
        <v/>
      </c>
      <c r="I192" s="10">
        <f>IF($A192="","",IF($E192="","N",IF(COUNTIF(scope_COO,$E192)&gt;0,"Y","N")))</f>
        <v/>
      </c>
      <c r="J192" s="10">
        <f>IF($A192="","",IF(AND(UPPER(TRIM(act_USMCAExempt&amp;""))="Y",UPPER(TRIM(Items!F192&amp;""))="Y"),"Y","N"))</f>
        <v/>
      </c>
      <c r="K192" s="10">
        <f>IF($A192="","",IFERROR(UPPER(TRIM(INDEX(det_Status,MATCH($A192,det_Item,0))&amp;"")),""))</f>
        <v/>
      </c>
      <c r="L192" s="10">
        <f>IF($A192="","",IF($K192="IN","Y",IF($K192="OUT","N",IF(AND($F192="Y",$G192="Y",$H192="N",$I192="Y",$J192="N"),"Y","N"))))</f>
        <v/>
      </c>
      <c r="M192" s="10">
        <f>IF($A192="","",IF($K192="IN","In: Research determination",IF($K192="OUT","Out: Research determination",IF($F192="N","Out: different import country",IF($G192="N","Out: HTS not on scope list",IF($H192="Y","Out: HTS on exclusion list",IF($I192="N","Out: origin not on scope list",IF($J192="Y","Out: USMCA-qualifying, exempt","In: matches scope rules"))))))))</f>
        <v/>
      </c>
      <c r="N192" s="16">
        <f>IF($A192="","",N(Items!I192))</f>
        <v/>
      </c>
      <c r="O192" s="16">
        <f>IF($A192="","",IF($L192="Y",$N192+N(act_Rate)-IF(UPPER(TRIM(act_RateType&amp;""))="REPLACE",N(act_PriorRate),0),$N192))</f>
        <v/>
      </c>
      <c r="P192" s="17">
        <f>IF($A192="","",N(Items!G192)*$N192)</f>
        <v/>
      </c>
      <c r="Q192" s="17">
        <f>IF($A192="","",N(Items!G192)*$O192)</f>
        <v/>
      </c>
      <c r="R192" s="17">
        <f>IF($A192="","",$Q192-$P192)</f>
        <v/>
      </c>
      <c r="S192" s="17">
        <f>IF($A192="","",N(Items!J192)+$R192)</f>
        <v/>
      </c>
      <c r="T192" s="16">
        <f>IF($A192="","",IF(N(Items!K192)=0,"",(N(Items!K192)-N(Items!J192))/N(Items!K192)))</f>
        <v/>
      </c>
      <c r="U192" s="16">
        <f>IF($A192="","",IF(N(Items!K192)=0,"",(N(Items!K192)-$S192)/N(Items!K192)))</f>
        <v/>
      </c>
      <c r="V192" s="16">
        <f>IF(OR($T192="",$U192=""),"",$U192-$T192)</f>
        <v/>
      </c>
      <c r="W192" s="18">
        <f>IF($A192="","",N(Items!H192))</f>
        <v/>
      </c>
      <c r="X192" s="19">
        <f>IF($A192="","",$R192*$W192)</f>
        <v/>
      </c>
      <c r="Y192" s="19">
        <f>IF($A192="","",N(Items!K192)*$W192)</f>
        <v/>
      </c>
      <c r="Z192" s="19">
        <f>IF($A192="","",(N(Items!K192)-N(Items!J192))*$W192)</f>
        <v/>
      </c>
      <c r="AA192" s="19">
        <f>IF($A192="","",$Z192-$X192)</f>
        <v/>
      </c>
      <c r="AB192" s="10">
        <f>IF($A192="","",IF(TRIM(Items!C192&amp;"")="","CHECK: import country missing",IF(OR(LEN($C192)&lt;&gt;10,ISERROR(VALUE($C192))),"CHECK: HTS must be 10 digits",IF(LEN($E192)&lt;&gt;2,"CHECK: origin code missing or not 2 letters",IF(OR(Items!G192="",Items!I192="",Items!J192=""),"CHECK: value, rate or cost missing",IF(ISNUMBER(Items!G192)*ISNUMBER(Items!I192)*ISNUMBER(Items!J192)=0,"CHECK: text in a number column",IF(AND($L192="Y",UPPER(TRIM(act_RateType&amp;""))="REPLACE",$N192&lt;N(act_PriorRate)),"CHECK: current rate is below the rate being replaced",IF(AND($L192="Y",$W192=0),"NOTE: in scope, no volume","OK"))))))))</f>
        <v/>
      </c>
      <c r="AC192" s="20">
        <f>IF($A192="","",IF(AND($L192="Y",$X192&lt;&gt;0),ABS($X192)+ROW()/1000000000,""))</f>
        <v/>
      </c>
    </row>
    <row r="193">
      <c r="A193" s="10">
        <f>IF(TRIM(Items!A193&amp;"")="","",TRIM(Items!A193&amp;""))</f>
        <v/>
      </c>
      <c r="B193" s="10">
        <f>IF($A193="","",Items!B193&amp;"")</f>
        <v/>
      </c>
      <c r="C193" s="10">
        <f>IF($A193="","",SUBSTITUTE(SUBSTITUTE(SUBSTITUTE(TRIM(Items!D193&amp;""),".","")," ",""),"-",""))</f>
        <v/>
      </c>
      <c r="D193" s="10">
        <f>IF($A193="","",LEFT($C193,2))</f>
        <v/>
      </c>
      <c r="E193" s="10">
        <f>IF($A193="","",UPPER(TRIM(Items!E193&amp;"")))</f>
        <v/>
      </c>
      <c r="F193" s="10">
        <f>IF($A193="","",IF(UPPER(TRIM(Items!C193&amp;""))=UPPER(TRIM(act_Country&amp;"")),"Y","N"))</f>
        <v/>
      </c>
      <c r="G193" s="10">
        <f>IF($A193="","",IF(SUMPRODUCT((scope_HTS&lt;&gt;"")*(LEFT($C193,LEN(scope_HTS))=scope_HTS))&gt;0,"Y","N"))</f>
        <v/>
      </c>
      <c r="H193" s="10">
        <f>IF($A193="","",IF(SUMPRODUCT((excl_HTS&lt;&gt;"")*(LEFT($C193,LEN(excl_HTS))=excl_HTS))&gt;0,"Y","N"))</f>
        <v/>
      </c>
      <c r="I193" s="10">
        <f>IF($A193="","",IF($E193="","N",IF(COUNTIF(scope_COO,$E193)&gt;0,"Y","N")))</f>
        <v/>
      </c>
      <c r="J193" s="10">
        <f>IF($A193="","",IF(AND(UPPER(TRIM(act_USMCAExempt&amp;""))="Y",UPPER(TRIM(Items!F193&amp;""))="Y"),"Y","N"))</f>
        <v/>
      </c>
      <c r="K193" s="10">
        <f>IF($A193="","",IFERROR(UPPER(TRIM(INDEX(det_Status,MATCH($A193,det_Item,0))&amp;"")),""))</f>
        <v/>
      </c>
      <c r="L193" s="10">
        <f>IF($A193="","",IF($K193="IN","Y",IF($K193="OUT","N",IF(AND($F193="Y",$G193="Y",$H193="N",$I193="Y",$J193="N"),"Y","N"))))</f>
        <v/>
      </c>
      <c r="M193" s="10">
        <f>IF($A193="","",IF($K193="IN","In: Research determination",IF($K193="OUT","Out: Research determination",IF($F193="N","Out: different import country",IF($G193="N","Out: HTS not on scope list",IF($H193="Y","Out: HTS on exclusion list",IF($I193="N","Out: origin not on scope list",IF($J193="Y","Out: USMCA-qualifying, exempt","In: matches scope rules"))))))))</f>
        <v/>
      </c>
      <c r="N193" s="16">
        <f>IF($A193="","",N(Items!I193))</f>
        <v/>
      </c>
      <c r="O193" s="16">
        <f>IF($A193="","",IF($L193="Y",$N193+N(act_Rate)-IF(UPPER(TRIM(act_RateType&amp;""))="REPLACE",N(act_PriorRate),0),$N193))</f>
        <v/>
      </c>
      <c r="P193" s="17">
        <f>IF($A193="","",N(Items!G193)*$N193)</f>
        <v/>
      </c>
      <c r="Q193" s="17">
        <f>IF($A193="","",N(Items!G193)*$O193)</f>
        <v/>
      </c>
      <c r="R193" s="17">
        <f>IF($A193="","",$Q193-$P193)</f>
        <v/>
      </c>
      <c r="S193" s="17">
        <f>IF($A193="","",N(Items!J193)+$R193)</f>
        <v/>
      </c>
      <c r="T193" s="16">
        <f>IF($A193="","",IF(N(Items!K193)=0,"",(N(Items!K193)-N(Items!J193))/N(Items!K193)))</f>
        <v/>
      </c>
      <c r="U193" s="16">
        <f>IF($A193="","",IF(N(Items!K193)=0,"",(N(Items!K193)-$S193)/N(Items!K193)))</f>
        <v/>
      </c>
      <c r="V193" s="16">
        <f>IF(OR($T193="",$U193=""),"",$U193-$T193)</f>
        <v/>
      </c>
      <c r="W193" s="18">
        <f>IF($A193="","",N(Items!H193))</f>
        <v/>
      </c>
      <c r="X193" s="19">
        <f>IF($A193="","",$R193*$W193)</f>
        <v/>
      </c>
      <c r="Y193" s="19">
        <f>IF($A193="","",N(Items!K193)*$W193)</f>
        <v/>
      </c>
      <c r="Z193" s="19">
        <f>IF($A193="","",(N(Items!K193)-N(Items!J193))*$W193)</f>
        <v/>
      </c>
      <c r="AA193" s="19">
        <f>IF($A193="","",$Z193-$X193)</f>
        <v/>
      </c>
      <c r="AB193" s="10">
        <f>IF($A193="","",IF(TRIM(Items!C193&amp;"")="","CHECK: import country missing",IF(OR(LEN($C193)&lt;&gt;10,ISERROR(VALUE($C193))),"CHECK: HTS must be 10 digits",IF(LEN($E193)&lt;&gt;2,"CHECK: origin code missing or not 2 letters",IF(OR(Items!G193="",Items!I193="",Items!J193=""),"CHECK: value, rate or cost missing",IF(ISNUMBER(Items!G193)*ISNUMBER(Items!I193)*ISNUMBER(Items!J193)=0,"CHECK: text in a number column",IF(AND($L193="Y",UPPER(TRIM(act_RateType&amp;""))="REPLACE",$N193&lt;N(act_PriorRate)),"CHECK: current rate is below the rate being replaced",IF(AND($L193="Y",$W193=0),"NOTE: in scope, no volume","OK"))))))))</f>
        <v/>
      </c>
      <c r="AC193" s="20">
        <f>IF($A193="","",IF(AND($L193="Y",$X193&lt;&gt;0),ABS($X193)+ROW()/1000000000,""))</f>
        <v/>
      </c>
    </row>
    <row r="194">
      <c r="A194" s="10">
        <f>IF(TRIM(Items!A194&amp;"")="","",TRIM(Items!A194&amp;""))</f>
        <v/>
      </c>
      <c r="B194" s="10">
        <f>IF($A194="","",Items!B194&amp;"")</f>
        <v/>
      </c>
      <c r="C194" s="10">
        <f>IF($A194="","",SUBSTITUTE(SUBSTITUTE(SUBSTITUTE(TRIM(Items!D194&amp;""),".","")," ",""),"-",""))</f>
        <v/>
      </c>
      <c r="D194" s="10">
        <f>IF($A194="","",LEFT($C194,2))</f>
        <v/>
      </c>
      <c r="E194" s="10">
        <f>IF($A194="","",UPPER(TRIM(Items!E194&amp;"")))</f>
        <v/>
      </c>
      <c r="F194" s="10">
        <f>IF($A194="","",IF(UPPER(TRIM(Items!C194&amp;""))=UPPER(TRIM(act_Country&amp;"")),"Y","N"))</f>
        <v/>
      </c>
      <c r="G194" s="10">
        <f>IF($A194="","",IF(SUMPRODUCT((scope_HTS&lt;&gt;"")*(LEFT($C194,LEN(scope_HTS))=scope_HTS))&gt;0,"Y","N"))</f>
        <v/>
      </c>
      <c r="H194" s="10">
        <f>IF($A194="","",IF(SUMPRODUCT((excl_HTS&lt;&gt;"")*(LEFT($C194,LEN(excl_HTS))=excl_HTS))&gt;0,"Y","N"))</f>
        <v/>
      </c>
      <c r="I194" s="10">
        <f>IF($A194="","",IF($E194="","N",IF(COUNTIF(scope_COO,$E194)&gt;0,"Y","N")))</f>
        <v/>
      </c>
      <c r="J194" s="10">
        <f>IF($A194="","",IF(AND(UPPER(TRIM(act_USMCAExempt&amp;""))="Y",UPPER(TRIM(Items!F194&amp;""))="Y"),"Y","N"))</f>
        <v/>
      </c>
      <c r="K194" s="10">
        <f>IF($A194="","",IFERROR(UPPER(TRIM(INDEX(det_Status,MATCH($A194,det_Item,0))&amp;"")),""))</f>
        <v/>
      </c>
      <c r="L194" s="10">
        <f>IF($A194="","",IF($K194="IN","Y",IF($K194="OUT","N",IF(AND($F194="Y",$G194="Y",$H194="N",$I194="Y",$J194="N"),"Y","N"))))</f>
        <v/>
      </c>
      <c r="M194" s="10">
        <f>IF($A194="","",IF($K194="IN","In: Research determination",IF($K194="OUT","Out: Research determination",IF($F194="N","Out: different import country",IF($G194="N","Out: HTS not on scope list",IF($H194="Y","Out: HTS on exclusion list",IF($I194="N","Out: origin not on scope list",IF($J194="Y","Out: USMCA-qualifying, exempt","In: matches scope rules"))))))))</f>
        <v/>
      </c>
      <c r="N194" s="16">
        <f>IF($A194="","",N(Items!I194))</f>
        <v/>
      </c>
      <c r="O194" s="16">
        <f>IF($A194="","",IF($L194="Y",$N194+N(act_Rate)-IF(UPPER(TRIM(act_RateType&amp;""))="REPLACE",N(act_PriorRate),0),$N194))</f>
        <v/>
      </c>
      <c r="P194" s="17">
        <f>IF($A194="","",N(Items!G194)*$N194)</f>
        <v/>
      </c>
      <c r="Q194" s="17">
        <f>IF($A194="","",N(Items!G194)*$O194)</f>
        <v/>
      </c>
      <c r="R194" s="17">
        <f>IF($A194="","",$Q194-$P194)</f>
        <v/>
      </c>
      <c r="S194" s="17">
        <f>IF($A194="","",N(Items!J194)+$R194)</f>
        <v/>
      </c>
      <c r="T194" s="16">
        <f>IF($A194="","",IF(N(Items!K194)=0,"",(N(Items!K194)-N(Items!J194))/N(Items!K194)))</f>
        <v/>
      </c>
      <c r="U194" s="16">
        <f>IF($A194="","",IF(N(Items!K194)=0,"",(N(Items!K194)-$S194)/N(Items!K194)))</f>
        <v/>
      </c>
      <c r="V194" s="16">
        <f>IF(OR($T194="",$U194=""),"",$U194-$T194)</f>
        <v/>
      </c>
      <c r="W194" s="18">
        <f>IF($A194="","",N(Items!H194))</f>
        <v/>
      </c>
      <c r="X194" s="19">
        <f>IF($A194="","",$R194*$W194)</f>
        <v/>
      </c>
      <c r="Y194" s="19">
        <f>IF($A194="","",N(Items!K194)*$W194)</f>
        <v/>
      </c>
      <c r="Z194" s="19">
        <f>IF($A194="","",(N(Items!K194)-N(Items!J194))*$W194)</f>
        <v/>
      </c>
      <c r="AA194" s="19">
        <f>IF($A194="","",$Z194-$X194)</f>
        <v/>
      </c>
      <c r="AB194" s="10">
        <f>IF($A194="","",IF(TRIM(Items!C194&amp;"")="","CHECK: import country missing",IF(OR(LEN($C194)&lt;&gt;10,ISERROR(VALUE($C194))),"CHECK: HTS must be 10 digits",IF(LEN($E194)&lt;&gt;2,"CHECK: origin code missing or not 2 letters",IF(OR(Items!G194="",Items!I194="",Items!J194=""),"CHECK: value, rate or cost missing",IF(ISNUMBER(Items!G194)*ISNUMBER(Items!I194)*ISNUMBER(Items!J194)=0,"CHECK: text in a number column",IF(AND($L194="Y",UPPER(TRIM(act_RateType&amp;""))="REPLACE",$N194&lt;N(act_PriorRate)),"CHECK: current rate is below the rate being replaced",IF(AND($L194="Y",$W194=0),"NOTE: in scope, no volume","OK"))))))))</f>
        <v/>
      </c>
      <c r="AC194" s="20">
        <f>IF($A194="","",IF(AND($L194="Y",$X194&lt;&gt;0),ABS($X194)+ROW()/1000000000,""))</f>
        <v/>
      </c>
    </row>
    <row r="195">
      <c r="A195" s="10">
        <f>IF(TRIM(Items!A195&amp;"")="","",TRIM(Items!A195&amp;""))</f>
        <v/>
      </c>
      <c r="B195" s="10">
        <f>IF($A195="","",Items!B195&amp;"")</f>
        <v/>
      </c>
      <c r="C195" s="10">
        <f>IF($A195="","",SUBSTITUTE(SUBSTITUTE(SUBSTITUTE(TRIM(Items!D195&amp;""),".","")," ",""),"-",""))</f>
        <v/>
      </c>
      <c r="D195" s="10">
        <f>IF($A195="","",LEFT($C195,2))</f>
        <v/>
      </c>
      <c r="E195" s="10">
        <f>IF($A195="","",UPPER(TRIM(Items!E195&amp;"")))</f>
        <v/>
      </c>
      <c r="F195" s="10">
        <f>IF($A195="","",IF(UPPER(TRIM(Items!C195&amp;""))=UPPER(TRIM(act_Country&amp;"")),"Y","N"))</f>
        <v/>
      </c>
      <c r="G195" s="10">
        <f>IF($A195="","",IF(SUMPRODUCT((scope_HTS&lt;&gt;"")*(LEFT($C195,LEN(scope_HTS))=scope_HTS))&gt;0,"Y","N"))</f>
        <v/>
      </c>
      <c r="H195" s="10">
        <f>IF($A195="","",IF(SUMPRODUCT((excl_HTS&lt;&gt;"")*(LEFT($C195,LEN(excl_HTS))=excl_HTS))&gt;0,"Y","N"))</f>
        <v/>
      </c>
      <c r="I195" s="10">
        <f>IF($A195="","",IF($E195="","N",IF(COUNTIF(scope_COO,$E195)&gt;0,"Y","N")))</f>
        <v/>
      </c>
      <c r="J195" s="10">
        <f>IF($A195="","",IF(AND(UPPER(TRIM(act_USMCAExempt&amp;""))="Y",UPPER(TRIM(Items!F195&amp;""))="Y"),"Y","N"))</f>
        <v/>
      </c>
      <c r="K195" s="10">
        <f>IF($A195="","",IFERROR(UPPER(TRIM(INDEX(det_Status,MATCH($A195,det_Item,0))&amp;"")),""))</f>
        <v/>
      </c>
      <c r="L195" s="10">
        <f>IF($A195="","",IF($K195="IN","Y",IF($K195="OUT","N",IF(AND($F195="Y",$G195="Y",$H195="N",$I195="Y",$J195="N"),"Y","N"))))</f>
        <v/>
      </c>
      <c r="M195" s="10">
        <f>IF($A195="","",IF($K195="IN","In: Research determination",IF($K195="OUT","Out: Research determination",IF($F195="N","Out: different import country",IF($G195="N","Out: HTS not on scope list",IF($H195="Y","Out: HTS on exclusion list",IF($I195="N","Out: origin not on scope list",IF($J195="Y","Out: USMCA-qualifying, exempt","In: matches scope rules"))))))))</f>
        <v/>
      </c>
      <c r="N195" s="16">
        <f>IF($A195="","",N(Items!I195))</f>
        <v/>
      </c>
      <c r="O195" s="16">
        <f>IF($A195="","",IF($L195="Y",$N195+N(act_Rate)-IF(UPPER(TRIM(act_RateType&amp;""))="REPLACE",N(act_PriorRate),0),$N195))</f>
        <v/>
      </c>
      <c r="P195" s="17">
        <f>IF($A195="","",N(Items!G195)*$N195)</f>
        <v/>
      </c>
      <c r="Q195" s="17">
        <f>IF($A195="","",N(Items!G195)*$O195)</f>
        <v/>
      </c>
      <c r="R195" s="17">
        <f>IF($A195="","",$Q195-$P195)</f>
        <v/>
      </c>
      <c r="S195" s="17">
        <f>IF($A195="","",N(Items!J195)+$R195)</f>
        <v/>
      </c>
      <c r="T195" s="16">
        <f>IF($A195="","",IF(N(Items!K195)=0,"",(N(Items!K195)-N(Items!J195))/N(Items!K195)))</f>
        <v/>
      </c>
      <c r="U195" s="16">
        <f>IF($A195="","",IF(N(Items!K195)=0,"",(N(Items!K195)-$S195)/N(Items!K195)))</f>
        <v/>
      </c>
      <c r="V195" s="16">
        <f>IF(OR($T195="",$U195=""),"",$U195-$T195)</f>
        <v/>
      </c>
      <c r="W195" s="18">
        <f>IF($A195="","",N(Items!H195))</f>
        <v/>
      </c>
      <c r="X195" s="19">
        <f>IF($A195="","",$R195*$W195)</f>
        <v/>
      </c>
      <c r="Y195" s="19">
        <f>IF($A195="","",N(Items!K195)*$W195)</f>
        <v/>
      </c>
      <c r="Z195" s="19">
        <f>IF($A195="","",(N(Items!K195)-N(Items!J195))*$W195)</f>
        <v/>
      </c>
      <c r="AA195" s="19">
        <f>IF($A195="","",$Z195-$X195)</f>
        <v/>
      </c>
      <c r="AB195" s="10">
        <f>IF($A195="","",IF(TRIM(Items!C195&amp;"")="","CHECK: import country missing",IF(OR(LEN($C195)&lt;&gt;10,ISERROR(VALUE($C195))),"CHECK: HTS must be 10 digits",IF(LEN($E195)&lt;&gt;2,"CHECK: origin code missing or not 2 letters",IF(OR(Items!G195="",Items!I195="",Items!J195=""),"CHECK: value, rate or cost missing",IF(ISNUMBER(Items!G195)*ISNUMBER(Items!I195)*ISNUMBER(Items!J195)=0,"CHECK: text in a number column",IF(AND($L195="Y",UPPER(TRIM(act_RateType&amp;""))="REPLACE",$N195&lt;N(act_PriorRate)),"CHECK: current rate is below the rate being replaced",IF(AND($L195="Y",$W195=0),"NOTE: in scope, no volume","OK"))))))))</f>
        <v/>
      </c>
      <c r="AC195" s="20">
        <f>IF($A195="","",IF(AND($L195="Y",$X195&lt;&gt;0),ABS($X195)+ROW()/1000000000,""))</f>
        <v/>
      </c>
    </row>
    <row r="196">
      <c r="A196" s="10">
        <f>IF(TRIM(Items!A196&amp;"")="","",TRIM(Items!A196&amp;""))</f>
        <v/>
      </c>
      <c r="B196" s="10">
        <f>IF($A196="","",Items!B196&amp;"")</f>
        <v/>
      </c>
      <c r="C196" s="10">
        <f>IF($A196="","",SUBSTITUTE(SUBSTITUTE(SUBSTITUTE(TRIM(Items!D196&amp;""),".","")," ",""),"-",""))</f>
        <v/>
      </c>
      <c r="D196" s="10">
        <f>IF($A196="","",LEFT($C196,2))</f>
        <v/>
      </c>
      <c r="E196" s="10">
        <f>IF($A196="","",UPPER(TRIM(Items!E196&amp;"")))</f>
        <v/>
      </c>
      <c r="F196" s="10">
        <f>IF($A196="","",IF(UPPER(TRIM(Items!C196&amp;""))=UPPER(TRIM(act_Country&amp;"")),"Y","N"))</f>
        <v/>
      </c>
      <c r="G196" s="10">
        <f>IF($A196="","",IF(SUMPRODUCT((scope_HTS&lt;&gt;"")*(LEFT($C196,LEN(scope_HTS))=scope_HTS))&gt;0,"Y","N"))</f>
        <v/>
      </c>
      <c r="H196" s="10">
        <f>IF($A196="","",IF(SUMPRODUCT((excl_HTS&lt;&gt;"")*(LEFT($C196,LEN(excl_HTS))=excl_HTS))&gt;0,"Y","N"))</f>
        <v/>
      </c>
      <c r="I196" s="10">
        <f>IF($A196="","",IF($E196="","N",IF(COUNTIF(scope_COO,$E196)&gt;0,"Y","N")))</f>
        <v/>
      </c>
      <c r="J196" s="10">
        <f>IF($A196="","",IF(AND(UPPER(TRIM(act_USMCAExempt&amp;""))="Y",UPPER(TRIM(Items!F196&amp;""))="Y"),"Y","N"))</f>
        <v/>
      </c>
      <c r="K196" s="10">
        <f>IF($A196="","",IFERROR(UPPER(TRIM(INDEX(det_Status,MATCH($A196,det_Item,0))&amp;"")),""))</f>
        <v/>
      </c>
      <c r="L196" s="10">
        <f>IF($A196="","",IF($K196="IN","Y",IF($K196="OUT","N",IF(AND($F196="Y",$G196="Y",$H196="N",$I196="Y",$J196="N"),"Y","N"))))</f>
        <v/>
      </c>
      <c r="M196" s="10">
        <f>IF($A196="","",IF($K196="IN","In: Research determination",IF($K196="OUT","Out: Research determination",IF($F196="N","Out: different import country",IF($G196="N","Out: HTS not on scope list",IF($H196="Y","Out: HTS on exclusion list",IF($I196="N","Out: origin not on scope list",IF($J196="Y","Out: USMCA-qualifying, exempt","In: matches scope rules"))))))))</f>
        <v/>
      </c>
      <c r="N196" s="16">
        <f>IF($A196="","",N(Items!I196))</f>
        <v/>
      </c>
      <c r="O196" s="16">
        <f>IF($A196="","",IF($L196="Y",$N196+N(act_Rate)-IF(UPPER(TRIM(act_RateType&amp;""))="REPLACE",N(act_PriorRate),0),$N196))</f>
        <v/>
      </c>
      <c r="P196" s="17">
        <f>IF($A196="","",N(Items!G196)*$N196)</f>
        <v/>
      </c>
      <c r="Q196" s="17">
        <f>IF($A196="","",N(Items!G196)*$O196)</f>
        <v/>
      </c>
      <c r="R196" s="17">
        <f>IF($A196="","",$Q196-$P196)</f>
        <v/>
      </c>
      <c r="S196" s="17">
        <f>IF($A196="","",N(Items!J196)+$R196)</f>
        <v/>
      </c>
      <c r="T196" s="16">
        <f>IF($A196="","",IF(N(Items!K196)=0,"",(N(Items!K196)-N(Items!J196))/N(Items!K196)))</f>
        <v/>
      </c>
      <c r="U196" s="16">
        <f>IF($A196="","",IF(N(Items!K196)=0,"",(N(Items!K196)-$S196)/N(Items!K196)))</f>
        <v/>
      </c>
      <c r="V196" s="16">
        <f>IF(OR($T196="",$U196=""),"",$U196-$T196)</f>
        <v/>
      </c>
      <c r="W196" s="18">
        <f>IF($A196="","",N(Items!H196))</f>
        <v/>
      </c>
      <c r="X196" s="19">
        <f>IF($A196="","",$R196*$W196)</f>
        <v/>
      </c>
      <c r="Y196" s="19">
        <f>IF($A196="","",N(Items!K196)*$W196)</f>
        <v/>
      </c>
      <c r="Z196" s="19">
        <f>IF($A196="","",(N(Items!K196)-N(Items!J196))*$W196)</f>
        <v/>
      </c>
      <c r="AA196" s="19">
        <f>IF($A196="","",$Z196-$X196)</f>
        <v/>
      </c>
      <c r="AB196" s="10">
        <f>IF($A196="","",IF(TRIM(Items!C196&amp;"")="","CHECK: import country missing",IF(OR(LEN($C196)&lt;&gt;10,ISERROR(VALUE($C196))),"CHECK: HTS must be 10 digits",IF(LEN($E196)&lt;&gt;2,"CHECK: origin code missing or not 2 letters",IF(OR(Items!G196="",Items!I196="",Items!J196=""),"CHECK: value, rate or cost missing",IF(ISNUMBER(Items!G196)*ISNUMBER(Items!I196)*ISNUMBER(Items!J196)=0,"CHECK: text in a number column",IF(AND($L196="Y",UPPER(TRIM(act_RateType&amp;""))="REPLACE",$N196&lt;N(act_PriorRate)),"CHECK: current rate is below the rate being replaced",IF(AND($L196="Y",$W196=0),"NOTE: in scope, no volume","OK"))))))))</f>
        <v/>
      </c>
      <c r="AC196" s="20">
        <f>IF($A196="","",IF(AND($L196="Y",$X196&lt;&gt;0),ABS($X196)+ROW()/1000000000,""))</f>
        <v/>
      </c>
    </row>
    <row r="197">
      <c r="A197" s="10">
        <f>IF(TRIM(Items!A197&amp;"")="","",TRIM(Items!A197&amp;""))</f>
        <v/>
      </c>
      <c r="B197" s="10">
        <f>IF($A197="","",Items!B197&amp;"")</f>
        <v/>
      </c>
      <c r="C197" s="10">
        <f>IF($A197="","",SUBSTITUTE(SUBSTITUTE(SUBSTITUTE(TRIM(Items!D197&amp;""),".","")," ",""),"-",""))</f>
        <v/>
      </c>
      <c r="D197" s="10">
        <f>IF($A197="","",LEFT($C197,2))</f>
        <v/>
      </c>
      <c r="E197" s="10">
        <f>IF($A197="","",UPPER(TRIM(Items!E197&amp;"")))</f>
        <v/>
      </c>
      <c r="F197" s="10">
        <f>IF($A197="","",IF(UPPER(TRIM(Items!C197&amp;""))=UPPER(TRIM(act_Country&amp;"")),"Y","N"))</f>
        <v/>
      </c>
      <c r="G197" s="10">
        <f>IF($A197="","",IF(SUMPRODUCT((scope_HTS&lt;&gt;"")*(LEFT($C197,LEN(scope_HTS))=scope_HTS))&gt;0,"Y","N"))</f>
        <v/>
      </c>
      <c r="H197" s="10">
        <f>IF($A197="","",IF(SUMPRODUCT((excl_HTS&lt;&gt;"")*(LEFT($C197,LEN(excl_HTS))=excl_HTS))&gt;0,"Y","N"))</f>
        <v/>
      </c>
      <c r="I197" s="10">
        <f>IF($A197="","",IF($E197="","N",IF(COUNTIF(scope_COO,$E197)&gt;0,"Y","N")))</f>
        <v/>
      </c>
      <c r="J197" s="10">
        <f>IF($A197="","",IF(AND(UPPER(TRIM(act_USMCAExempt&amp;""))="Y",UPPER(TRIM(Items!F197&amp;""))="Y"),"Y","N"))</f>
        <v/>
      </c>
      <c r="K197" s="10">
        <f>IF($A197="","",IFERROR(UPPER(TRIM(INDEX(det_Status,MATCH($A197,det_Item,0))&amp;"")),""))</f>
        <v/>
      </c>
      <c r="L197" s="10">
        <f>IF($A197="","",IF($K197="IN","Y",IF($K197="OUT","N",IF(AND($F197="Y",$G197="Y",$H197="N",$I197="Y",$J197="N"),"Y","N"))))</f>
        <v/>
      </c>
      <c r="M197" s="10">
        <f>IF($A197="","",IF($K197="IN","In: Research determination",IF($K197="OUT","Out: Research determination",IF($F197="N","Out: different import country",IF($G197="N","Out: HTS not on scope list",IF($H197="Y","Out: HTS on exclusion list",IF($I197="N","Out: origin not on scope list",IF($J197="Y","Out: USMCA-qualifying, exempt","In: matches scope rules"))))))))</f>
        <v/>
      </c>
      <c r="N197" s="16">
        <f>IF($A197="","",N(Items!I197))</f>
        <v/>
      </c>
      <c r="O197" s="16">
        <f>IF($A197="","",IF($L197="Y",$N197+N(act_Rate)-IF(UPPER(TRIM(act_RateType&amp;""))="REPLACE",N(act_PriorRate),0),$N197))</f>
        <v/>
      </c>
      <c r="P197" s="17">
        <f>IF($A197="","",N(Items!G197)*$N197)</f>
        <v/>
      </c>
      <c r="Q197" s="17">
        <f>IF($A197="","",N(Items!G197)*$O197)</f>
        <v/>
      </c>
      <c r="R197" s="17">
        <f>IF($A197="","",$Q197-$P197)</f>
        <v/>
      </c>
      <c r="S197" s="17">
        <f>IF($A197="","",N(Items!J197)+$R197)</f>
        <v/>
      </c>
      <c r="T197" s="16">
        <f>IF($A197="","",IF(N(Items!K197)=0,"",(N(Items!K197)-N(Items!J197))/N(Items!K197)))</f>
        <v/>
      </c>
      <c r="U197" s="16">
        <f>IF($A197="","",IF(N(Items!K197)=0,"",(N(Items!K197)-$S197)/N(Items!K197)))</f>
        <v/>
      </c>
      <c r="V197" s="16">
        <f>IF(OR($T197="",$U197=""),"",$U197-$T197)</f>
        <v/>
      </c>
      <c r="W197" s="18">
        <f>IF($A197="","",N(Items!H197))</f>
        <v/>
      </c>
      <c r="X197" s="19">
        <f>IF($A197="","",$R197*$W197)</f>
        <v/>
      </c>
      <c r="Y197" s="19">
        <f>IF($A197="","",N(Items!K197)*$W197)</f>
        <v/>
      </c>
      <c r="Z197" s="19">
        <f>IF($A197="","",(N(Items!K197)-N(Items!J197))*$W197)</f>
        <v/>
      </c>
      <c r="AA197" s="19">
        <f>IF($A197="","",$Z197-$X197)</f>
        <v/>
      </c>
      <c r="AB197" s="10">
        <f>IF($A197="","",IF(TRIM(Items!C197&amp;"")="","CHECK: import country missing",IF(OR(LEN($C197)&lt;&gt;10,ISERROR(VALUE($C197))),"CHECK: HTS must be 10 digits",IF(LEN($E197)&lt;&gt;2,"CHECK: origin code missing or not 2 letters",IF(OR(Items!G197="",Items!I197="",Items!J197=""),"CHECK: value, rate or cost missing",IF(ISNUMBER(Items!G197)*ISNUMBER(Items!I197)*ISNUMBER(Items!J197)=0,"CHECK: text in a number column",IF(AND($L197="Y",UPPER(TRIM(act_RateType&amp;""))="REPLACE",$N197&lt;N(act_PriorRate)),"CHECK: current rate is below the rate being replaced",IF(AND($L197="Y",$W197=0),"NOTE: in scope, no volume","OK"))))))))</f>
        <v/>
      </c>
      <c r="AC197" s="20">
        <f>IF($A197="","",IF(AND($L197="Y",$X197&lt;&gt;0),ABS($X197)+ROW()/1000000000,""))</f>
        <v/>
      </c>
    </row>
    <row r="198">
      <c r="A198" s="10">
        <f>IF(TRIM(Items!A198&amp;"")="","",TRIM(Items!A198&amp;""))</f>
        <v/>
      </c>
      <c r="B198" s="10">
        <f>IF($A198="","",Items!B198&amp;"")</f>
        <v/>
      </c>
      <c r="C198" s="10">
        <f>IF($A198="","",SUBSTITUTE(SUBSTITUTE(SUBSTITUTE(TRIM(Items!D198&amp;""),".","")," ",""),"-",""))</f>
        <v/>
      </c>
      <c r="D198" s="10">
        <f>IF($A198="","",LEFT($C198,2))</f>
        <v/>
      </c>
      <c r="E198" s="10">
        <f>IF($A198="","",UPPER(TRIM(Items!E198&amp;"")))</f>
        <v/>
      </c>
      <c r="F198" s="10">
        <f>IF($A198="","",IF(UPPER(TRIM(Items!C198&amp;""))=UPPER(TRIM(act_Country&amp;"")),"Y","N"))</f>
        <v/>
      </c>
      <c r="G198" s="10">
        <f>IF($A198="","",IF(SUMPRODUCT((scope_HTS&lt;&gt;"")*(LEFT($C198,LEN(scope_HTS))=scope_HTS))&gt;0,"Y","N"))</f>
        <v/>
      </c>
      <c r="H198" s="10">
        <f>IF($A198="","",IF(SUMPRODUCT((excl_HTS&lt;&gt;"")*(LEFT($C198,LEN(excl_HTS))=excl_HTS))&gt;0,"Y","N"))</f>
        <v/>
      </c>
      <c r="I198" s="10">
        <f>IF($A198="","",IF($E198="","N",IF(COUNTIF(scope_COO,$E198)&gt;0,"Y","N")))</f>
        <v/>
      </c>
      <c r="J198" s="10">
        <f>IF($A198="","",IF(AND(UPPER(TRIM(act_USMCAExempt&amp;""))="Y",UPPER(TRIM(Items!F198&amp;""))="Y"),"Y","N"))</f>
        <v/>
      </c>
      <c r="K198" s="10">
        <f>IF($A198="","",IFERROR(UPPER(TRIM(INDEX(det_Status,MATCH($A198,det_Item,0))&amp;"")),""))</f>
        <v/>
      </c>
      <c r="L198" s="10">
        <f>IF($A198="","",IF($K198="IN","Y",IF($K198="OUT","N",IF(AND($F198="Y",$G198="Y",$H198="N",$I198="Y",$J198="N"),"Y","N"))))</f>
        <v/>
      </c>
      <c r="M198" s="10">
        <f>IF($A198="","",IF($K198="IN","In: Research determination",IF($K198="OUT","Out: Research determination",IF($F198="N","Out: different import country",IF($G198="N","Out: HTS not on scope list",IF($H198="Y","Out: HTS on exclusion list",IF($I198="N","Out: origin not on scope list",IF($J198="Y","Out: USMCA-qualifying, exempt","In: matches scope rules"))))))))</f>
        <v/>
      </c>
      <c r="N198" s="16">
        <f>IF($A198="","",N(Items!I198))</f>
        <v/>
      </c>
      <c r="O198" s="16">
        <f>IF($A198="","",IF($L198="Y",$N198+N(act_Rate)-IF(UPPER(TRIM(act_RateType&amp;""))="REPLACE",N(act_PriorRate),0),$N198))</f>
        <v/>
      </c>
      <c r="P198" s="17">
        <f>IF($A198="","",N(Items!G198)*$N198)</f>
        <v/>
      </c>
      <c r="Q198" s="17">
        <f>IF($A198="","",N(Items!G198)*$O198)</f>
        <v/>
      </c>
      <c r="R198" s="17">
        <f>IF($A198="","",$Q198-$P198)</f>
        <v/>
      </c>
      <c r="S198" s="17">
        <f>IF($A198="","",N(Items!J198)+$R198)</f>
        <v/>
      </c>
      <c r="T198" s="16">
        <f>IF($A198="","",IF(N(Items!K198)=0,"",(N(Items!K198)-N(Items!J198))/N(Items!K198)))</f>
        <v/>
      </c>
      <c r="U198" s="16">
        <f>IF($A198="","",IF(N(Items!K198)=0,"",(N(Items!K198)-$S198)/N(Items!K198)))</f>
        <v/>
      </c>
      <c r="V198" s="16">
        <f>IF(OR($T198="",$U198=""),"",$U198-$T198)</f>
        <v/>
      </c>
      <c r="W198" s="18">
        <f>IF($A198="","",N(Items!H198))</f>
        <v/>
      </c>
      <c r="X198" s="19">
        <f>IF($A198="","",$R198*$W198)</f>
        <v/>
      </c>
      <c r="Y198" s="19">
        <f>IF($A198="","",N(Items!K198)*$W198)</f>
        <v/>
      </c>
      <c r="Z198" s="19">
        <f>IF($A198="","",(N(Items!K198)-N(Items!J198))*$W198)</f>
        <v/>
      </c>
      <c r="AA198" s="19">
        <f>IF($A198="","",$Z198-$X198)</f>
        <v/>
      </c>
      <c r="AB198" s="10">
        <f>IF($A198="","",IF(TRIM(Items!C198&amp;"")="","CHECK: import country missing",IF(OR(LEN($C198)&lt;&gt;10,ISERROR(VALUE($C198))),"CHECK: HTS must be 10 digits",IF(LEN($E198)&lt;&gt;2,"CHECK: origin code missing or not 2 letters",IF(OR(Items!G198="",Items!I198="",Items!J198=""),"CHECK: value, rate or cost missing",IF(ISNUMBER(Items!G198)*ISNUMBER(Items!I198)*ISNUMBER(Items!J198)=0,"CHECK: text in a number column",IF(AND($L198="Y",UPPER(TRIM(act_RateType&amp;""))="REPLACE",$N198&lt;N(act_PriorRate)),"CHECK: current rate is below the rate being replaced",IF(AND($L198="Y",$W198=0),"NOTE: in scope, no volume","OK"))))))))</f>
        <v/>
      </c>
      <c r="AC198" s="20">
        <f>IF($A198="","",IF(AND($L198="Y",$X198&lt;&gt;0),ABS($X198)+ROW()/1000000000,""))</f>
        <v/>
      </c>
    </row>
    <row r="199">
      <c r="A199" s="10">
        <f>IF(TRIM(Items!A199&amp;"")="","",TRIM(Items!A199&amp;""))</f>
        <v/>
      </c>
      <c r="B199" s="10">
        <f>IF($A199="","",Items!B199&amp;"")</f>
        <v/>
      </c>
      <c r="C199" s="10">
        <f>IF($A199="","",SUBSTITUTE(SUBSTITUTE(SUBSTITUTE(TRIM(Items!D199&amp;""),".","")," ",""),"-",""))</f>
        <v/>
      </c>
      <c r="D199" s="10">
        <f>IF($A199="","",LEFT($C199,2))</f>
        <v/>
      </c>
      <c r="E199" s="10">
        <f>IF($A199="","",UPPER(TRIM(Items!E199&amp;"")))</f>
        <v/>
      </c>
      <c r="F199" s="10">
        <f>IF($A199="","",IF(UPPER(TRIM(Items!C199&amp;""))=UPPER(TRIM(act_Country&amp;"")),"Y","N"))</f>
        <v/>
      </c>
      <c r="G199" s="10">
        <f>IF($A199="","",IF(SUMPRODUCT((scope_HTS&lt;&gt;"")*(LEFT($C199,LEN(scope_HTS))=scope_HTS))&gt;0,"Y","N"))</f>
        <v/>
      </c>
      <c r="H199" s="10">
        <f>IF($A199="","",IF(SUMPRODUCT((excl_HTS&lt;&gt;"")*(LEFT($C199,LEN(excl_HTS))=excl_HTS))&gt;0,"Y","N"))</f>
        <v/>
      </c>
      <c r="I199" s="10">
        <f>IF($A199="","",IF($E199="","N",IF(COUNTIF(scope_COO,$E199)&gt;0,"Y","N")))</f>
        <v/>
      </c>
      <c r="J199" s="10">
        <f>IF($A199="","",IF(AND(UPPER(TRIM(act_USMCAExempt&amp;""))="Y",UPPER(TRIM(Items!F199&amp;""))="Y"),"Y","N"))</f>
        <v/>
      </c>
      <c r="K199" s="10">
        <f>IF($A199="","",IFERROR(UPPER(TRIM(INDEX(det_Status,MATCH($A199,det_Item,0))&amp;"")),""))</f>
        <v/>
      </c>
      <c r="L199" s="10">
        <f>IF($A199="","",IF($K199="IN","Y",IF($K199="OUT","N",IF(AND($F199="Y",$G199="Y",$H199="N",$I199="Y",$J199="N"),"Y","N"))))</f>
        <v/>
      </c>
      <c r="M199" s="10">
        <f>IF($A199="","",IF($K199="IN","In: Research determination",IF($K199="OUT","Out: Research determination",IF($F199="N","Out: different import country",IF($G199="N","Out: HTS not on scope list",IF($H199="Y","Out: HTS on exclusion list",IF($I199="N","Out: origin not on scope list",IF($J199="Y","Out: USMCA-qualifying, exempt","In: matches scope rules"))))))))</f>
        <v/>
      </c>
      <c r="N199" s="16">
        <f>IF($A199="","",N(Items!I199))</f>
        <v/>
      </c>
      <c r="O199" s="16">
        <f>IF($A199="","",IF($L199="Y",$N199+N(act_Rate)-IF(UPPER(TRIM(act_RateType&amp;""))="REPLACE",N(act_PriorRate),0),$N199))</f>
        <v/>
      </c>
      <c r="P199" s="17">
        <f>IF($A199="","",N(Items!G199)*$N199)</f>
        <v/>
      </c>
      <c r="Q199" s="17">
        <f>IF($A199="","",N(Items!G199)*$O199)</f>
        <v/>
      </c>
      <c r="R199" s="17">
        <f>IF($A199="","",$Q199-$P199)</f>
        <v/>
      </c>
      <c r="S199" s="17">
        <f>IF($A199="","",N(Items!J199)+$R199)</f>
        <v/>
      </c>
      <c r="T199" s="16">
        <f>IF($A199="","",IF(N(Items!K199)=0,"",(N(Items!K199)-N(Items!J199))/N(Items!K199)))</f>
        <v/>
      </c>
      <c r="U199" s="16">
        <f>IF($A199="","",IF(N(Items!K199)=0,"",(N(Items!K199)-$S199)/N(Items!K199)))</f>
        <v/>
      </c>
      <c r="V199" s="16">
        <f>IF(OR($T199="",$U199=""),"",$U199-$T199)</f>
        <v/>
      </c>
      <c r="W199" s="18">
        <f>IF($A199="","",N(Items!H199))</f>
        <v/>
      </c>
      <c r="X199" s="19">
        <f>IF($A199="","",$R199*$W199)</f>
        <v/>
      </c>
      <c r="Y199" s="19">
        <f>IF($A199="","",N(Items!K199)*$W199)</f>
        <v/>
      </c>
      <c r="Z199" s="19">
        <f>IF($A199="","",(N(Items!K199)-N(Items!J199))*$W199)</f>
        <v/>
      </c>
      <c r="AA199" s="19">
        <f>IF($A199="","",$Z199-$X199)</f>
        <v/>
      </c>
      <c r="AB199" s="10">
        <f>IF($A199="","",IF(TRIM(Items!C199&amp;"")="","CHECK: import country missing",IF(OR(LEN($C199)&lt;&gt;10,ISERROR(VALUE($C199))),"CHECK: HTS must be 10 digits",IF(LEN($E199)&lt;&gt;2,"CHECK: origin code missing or not 2 letters",IF(OR(Items!G199="",Items!I199="",Items!J199=""),"CHECK: value, rate or cost missing",IF(ISNUMBER(Items!G199)*ISNUMBER(Items!I199)*ISNUMBER(Items!J199)=0,"CHECK: text in a number column",IF(AND($L199="Y",UPPER(TRIM(act_RateType&amp;""))="REPLACE",$N199&lt;N(act_PriorRate)),"CHECK: current rate is below the rate being replaced",IF(AND($L199="Y",$W199=0),"NOTE: in scope, no volume","OK"))))))))</f>
        <v/>
      </c>
      <c r="AC199" s="20">
        <f>IF($A199="","",IF(AND($L199="Y",$X199&lt;&gt;0),ABS($X199)+ROW()/1000000000,""))</f>
        <v/>
      </c>
    </row>
    <row r="200">
      <c r="A200" s="10">
        <f>IF(TRIM(Items!A200&amp;"")="","",TRIM(Items!A200&amp;""))</f>
        <v/>
      </c>
      <c r="B200" s="10">
        <f>IF($A200="","",Items!B200&amp;"")</f>
        <v/>
      </c>
      <c r="C200" s="10">
        <f>IF($A200="","",SUBSTITUTE(SUBSTITUTE(SUBSTITUTE(TRIM(Items!D200&amp;""),".","")," ",""),"-",""))</f>
        <v/>
      </c>
      <c r="D200" s="10">
        <f>IF($A200="","",LEFT($C200,2))</f>
        <v/>
      </c>
      <c r="E200" s="10">
        <f>IF($A200="","",UPPER(TRIM(Items!E200&amp;"")))</f>
        <v/>
      </c>
      <c r="F200" s="10">
        <f>IF($A200="","",IF(UPPER(TRIM(Items!C200&amp;""))=UPPER(TRIM(act_Country&amp;"")),"Y","N"))</f>
        <v/>
      </c>
      <c r="G200" s="10">
        <f>IF($A200="","",IF(SUMPRODUCT((scope_HTS&lt;&gt;"")*(LEFT($C200,LEN(scope_HTS))=scope_HTS))&gt;0,"Y","N"))</f>
        <v/>
      </c>
      <c r="H200" s="10">
        <f>IF($A200="","",IF(SUMPRODUCT((excl_HTS&lt;&gt;"")*(LEFT($C200,LEN(excl_HTS))=excl_HTS))&gt;0,"Y","N"))</f>
        <v/>
      </c>
      <c r="I200" s="10">
        <f>IF($A200="","",IF($E200="","N",IF(COUNTIF(scope_COO,$E200)&gt;0,"Y","N")))</f>
        <v/>
      </c>
      <c r="J200" s="10">
        <f>IF($A200="","",IF(AND(UPPER(TRIM(act_USMCAExempt&amp;""))="Y",UPPER(TRIM(Items!F200&amp;""))="Y"),"Y","N"))</f>
        <v/>
      </c>
      <c r="K200" s="10">
        <f>IF($A200="","",IFERROR(UPPER(TRIM(INDEX(det_Status,MATCH($A200,det_Item,0))&amp;"")),""))</f>
        <v/>
      </c>
      <c r="L200" s="10">
        <f>IF($A200="","",IF($K200="IN","Y",IF($K200="OUT","N",IF(AND($F200="Y",$G200="Y",$H200="N",$I200="Y",$J200="N"),"Y","N"))))</f>
        <v/>
      </c>
      <c r="M200" s="10">
        <f>IF($A200="","",IF($K200="IN","In: Research determination",IF($K200="OUT","Out: Research determination",IF($F200="N","Out: different import country",IF($G200="N","Out: HTS not on scope list",IF($H200="Y","Out: HTS on exclusion list",IF($I200="N","Out: origin not on scope list",IF($J200="Y","Out: USMCA-qualifying, exempt","In: matches scope rules"))))))))</f>
        <v/>
      </c>
      <c r="N200" s="16">
        <f>IF($A200="","",N(Items!I200))</f>
        <v/>
      </c>
      <c r="O200" s="16">
        <f>IF($A200="","",IF($L200="Y",$N200+N(act_Rate)-IF(UPPER(TRIM(act_RateType&amp;""))="REPLACE",N(act_PriorRate),0),$N200))</f>
        <v/>
      </c>
      <c r="P200" s="17">
        <f>IF($A200="","",N(Items!G200)*$N200)</f>
        <v/>
      </c>
      <c r="Q200" s="17">
        <f>IF($A200="","",N(Items!G200)*$O200)</f>
        <v/>
      </c>
      <c r="R200" s="17">
        <f>IF($A200="","",$Q200-$P200)</f>
        <v/>
      </c>
      <c r="S200" s="17">
        <f>IF($A200="","",N(Items!J200)+$R200)</f>
        <v/>
      </c>
      <c r="T200" s="16">
        <f>IF($A200="","",IF(N(Items!K200)=0,"",(N(Items!K200)-N(Items!J200))/N(Items!K200)))</f>
        <v/>
      </c>
      <c r="U200" s="16">
        <f>IF($A200="","",IF(N(Items!K200)=0,"",(N(Items!K200)-$S200)/N(Items!K200)))</f>
        <v/>
      </c>
      <c r="V200" s="16">
        <f>IF(OR($T200="",$U200=""),"",$U200-$T200)</f>
        <v/>
      </c>
      <c r="W200" s="18">
        <f>IF($A200="","",N(Items!H200))</f>
        <v/>
      </c>
      <c r="X200" s="19">
        <f>IF($A200="","",$R200*$W200)</f>
        <v/>
      </c>
      <c r="Y200" s="19">
        <f>IF($A200="","",N(Items!K200)*$W200)</f>
        <v/>
      </c>
      <c r="Z200" s="19">
        <f>IF($A200="","",(N(Items!K200)-N(Items!J200))*$W200)</f>
        <v/>
      </c>
      <c r="AA200" s="19">
        <f>IF($A200="","",$Z200-$X200)</f>
        <v/>
      </c>
      <c r="AB200" s="10">
        <f>IF($A200="","",IF(TRIM(Items!C200&amp;"")="","CHECK: import country missing",IF(OR(LEN($C200)&lt;&gt;10,ISERROR(VALUE($C200))),"CHECK: HTS must be 10 digits",IF(LEN($E200)&lt;&gt;2,"CHECK: origin code missing or not 2 letters",IF(OR(Items!G200="",Items!I200="",Items!J200=""),"CHECK: value, rate or cost missing",IF(ISNUMBER(Items!G200)*ISNUMBER(Items!I200)*ISNUMBER(Items!J200)=0,"CHECK: text in a number column",IF(AND($L200="Y",UPPER(TRIM(act_RateType&amp;""))="REPLACE",$N200&lt;N(act_PriorRate)),"CHECK: current rate is below the rate being replaced",IF(AND($L200="Y",$W200=0),"NOTE: in scope, no volume","OK"))))))))</f>
        <v/>
      </c>
      <c r="AC200" s="20">
        <f>IF($A200="","",IF(AND($L200="Y",$X200&lt;&gt;0),ABS($X200)+ROW()/1000000000,""))</f>
        <v/>
      </c>
    </row>
    <row r="201">
      <c r="A201" s="10">
        <f>IF(TRIM(Items!A201&amp;"")="","",TRIM(Items!A201&amp;""))</f>
        <v/>
      </c>
      <c r="B201" s="10">
        <f>IF($A201="","",Items!B201&amp;"")</f>
        <v/>
      </c>
      <c r="C201" s="10">
        <f>IF($A201="","",SUBSTITUTE(SUBSTITUTE(SUBSTITUTE(TRIM(Items!D201&amp;""),".","")," ",""),"-",""))</f>
        <v/>
      </c>
      <c r="D201" s="10">
        <f>IF($A201="","",LEFT($C201,2))</f>
        <v/>
      </c>
      <c r="E201" s="10">
        <f>IF($A201="","",UPPER(TRIM(Items!E201&amp;"")))</f>
        <v/>
      </c>
      <c r="F201" s="10">
        <f>IF($A201="","",IF(UPPER(TRIM(Items!C201&amp;""))=UPPER(TRIM(act_Country&amp;"")),"Y","N"))</f>
        <v/>
      </c>
      <c r="G201" s="10">
        <f>IF($A201="","",IF(SUMPRODUCT((scope_HTS&lt;&gt;"")*(LEFT($C201,LEN(scope_HTS))=scope_HTS))&gt;0,"Y","N"))</f>
        <v/>
      </c>
      <c r="H201" s="10">
        <f>IF($A201="","",IF(SUMPRODUCT((excl_HTS&lt;&gt;"")*(LEFT($C201,LEN(excl_HTS))=excl_HTS))&gt;0,"Y","N"))</f>
        <v/>
      </c>
      <c r="I201" s="10">
        <f>IF($A201="","",IF($E201="","N",IF(COUNTIF(scope_COO,$E201)&gt;0,"Y","N")))</f>
        <v/>
      </c>
      <c r="J201" s="10">
        <f>IF($A201="","",IF(AND(UPPER(TRIM(act_USMCAExempt&amp;""))="Y",UPPER(TRIM(Items!F201&amp;""))="Y"),"Y","N"))</f>
        <v/>
      </c>
      <c r="K201" s="10">
        <f>IF($A201="","",IFERROR(UPPER(TRIM(INDEX(det_Status,MATCH($A201,det_Item,0))&amp;"")),""))</f>
        <v/>
      </c>
      <c r="L201" s="10">
        <f>IF($A201="","",IF($K201="IN","Y",IF($K201="OUT","N",IF(AND($F201="Y",$G201="Y",$H201="N",$I201="Y",$J201="N"),"Y","N"))))</f>
        <v/>
      </c>
      <c r="M201" s="10">
        <f>IF($A201="","",IF($K201="IN","In: Research determination",IF($K201="OUT","Out: Research determination",IF($F201="N","Out: different import country",IF($G201="N","Out: HTS not on scope list",IF($H201="Y","Out: HTS on exclusion list",IF($I201="N","Out: origin not on scope list",IF($J201="Y","Out: USMCA-qualifying, exempt","In: matches scope rules"))))))))</f>
        <v/>
      </c>
      <c r="N201" s="16">
        <f>IF($A201="","",N(Items!I201))</f>
        <v/>
      </c>
      <c r="O201" s="16">
        <f>IF($A201="","",IF($L201="Y",$N201+N(act_Rate)-IF(UPPER(TRIM(act_RateType&amp;""))="REPLACE",N(act_PriorRate),0),$N201))</f>
        <v/>
      </c>
      <c r="P201" s="17">
        <f>IF($A201="","",N(Items!G201)*$N201)</f>
        <v/>
      </c>
      <c r="Q201" s="17">
        <f>IF($A201="","",N(Items!G201)*$O201)</f>
        <v/>
      </c>
      <c r="R201" s="17">
        <f>IF($A201="","",$Q201-$P201)</f>
        <v/>
      </c>
      <c r="S201" s="17">
        <f>IF($A201="","",N(Items!J201)+$R201)</f>
        <v/>
      </c>
      <c r="T201" s="16">
        <f>IF($A201="","",IF(N(Items!K201)=0,"",(N(Items!K201)-N(Items!J201))/N(Items!K201)))</f>
        <v/>
      </c>
      <c r="U201" s="16">
        <f>IF($A201="","",IF(N(Items!K201)=0,"",(N(Items!K201)-$S201)/N(Items!K201)))</f>
        <v/>
      </c>
      <c r="V201" s="16">
        <f>IF(OR($T201="",$U201=""),"",$U201-$T201)</f>
        <v/>
      </c>
      <c r="W201" s="18">
        <f>IF($A201="","",N(Items!H201))</f>
        <v/>
      </c>
      <c r="X201" s="19">
        <f>IF($A201="","",$R201*$W201)</f>
        <v/>
      </c>
      <c r="Y201" s="19">
        <f>IF($A201="","",N(Items!K201)*$W201)</f>
        <v/>
      </c>
      <c r="Z201" s="19">
        <f>IF($A201="","",(N(Items!K201)-N(Items!J201))*$W201)</f>
        <v/>
      </c>
      <c r="AA201" s="19">
        <f>IF($A201="","",$Z201-$X201)</f>
        <v/>
      </c>
      <c r="AB201" s="10">
        <f>IF($A201="","",IF(TRIM(Items!C201&amp;"")="","CHECK: import country missing",IF(OR(LEN($C201)&lt;&gt;10,ISERROR(VALUE($C201))),"CHECK: HTS must be 10 digits",IF(LEN($E201)&lt;&gt;2,"CHECK: origin code missing or not 2 letters",IF(OR(Items!G201="",Items!I201="",Items!J201=""),"CHECK: value, rate or cost missing",IF(ISNUMBER(Items!G201)*ISNUMBER(Items!I201)*ISNUMBER(Items!J201)=0,"CHECK: text in a number column",IF(AND($L201="Y",UPPER(TRIM(act_RateType&amp;""))="REPLACE",$N201&lt;N(act_PriorRate)),"CHECK: current rate is below the rate being replaced",IF(AND($L201="Y",$W201=0),"NOTE: in scope, no volume","OK"))))))))</f>
        <v/>
      </c>
      <c r="AC201" s="20">
        <f>IF($A201="","",IF(AND($L201="Y",$X201&lt;&gt;0),ABS($X201)+ROW()/1000000000,""))</f>
        <v/>
      </c>
    </row>
    <row r="202">
      <c r="A202" s="10">
        <f>IF(TRIM(Items!A202&amp;"")="","",TRIM(Items!A202&amp;""))</f>
        <v/>
      </c>
      <c r="B202" s="10">
        <f>IF($A202="","",Items!B202&amp;"")</f>
        <v/>
      </c>
      <c r="C202" s="10">
        <f>IF($A202="","",SUBSTITUTE(SUBSTITUTE(SUBSTITUTE(TRIM(Items!D202&amp;""),".","")," ",""),"-",""))</f>
        <v/>
      </c>
      <c r="D202" s="10">
        <f>IF($A202="","",LEFT($C202,2))</f>
        <v/>
      </c>
      <c r="E202" s="10">
        <f>IF($A202="","",UPPER(TRIM(Items!E202&amp;"")))</f>
        <v/>
      </c>
      <c r="F202" s="10">
        <f>IF($A202="","",IF(UPPER(TRIM(Items!C202&amp;""))=UPPER(TRIM(act_Country&amp;"")),"Y","N"))</f>
        <v/>
      </c>
      <c r="G202" s="10">
        <f>IF($A202="","",IF(SUMPRODUCT((scope_HTS&lt;&gt;"")*(LEFT($C202,LEN(scope_HTS))=scope_HTS))&gt;0,"Y","N"))</f>
        <v/>
      </c>
      <c r="H202" s="10">
        <f>IF($A202="","",IF(SUMPRODUCT((excl_HTS&lt;&gt;"")*(LEFT($C202,LEN(excl_HTS))=excl_HTS))&gt;0,"Y","N"))</f>
        <v/>
      </c>
      <c r="I202" s="10">
        <f>IF($A202="","",IF($E202="","N",IF(COUNTIF(scope_COO,$E202)&gt;0,"Y","N")))</f>
        <v/>
      </c>
      <c r="J202" s="10">
        <f>IF($A202="","",IF(AND(UPPER(TRIM(act_USMCAExempt&amp;""))="Y",UPPER(TRIM(Items!F202&amp;""))="Y"),"Y","N"))</f>
        <v/>
      </c>
      <c r="K202" s="10">
        <f>IF($A202="","",IFERROR(UPPER(TRIM(INDEX(det_Status,MATCH($A202,det_Item,0))&amp;"")),""))</f>
        <v/>
      </c>
      <c r="L202" s="10">
        <f>IF($A202="","",IF($K202="IN","Y",IF($K202="OUT","N",IF(AND($F202="Y",$G202="Y",$H202="N",$I202="Y",$J202="N"),"Y","N"))))</f>
        <v/>
      </c>
      <c r="M202" s="10">
        <f>IF($A202="","",IF($K202="IN","In: Research determination",IF($K202="OUT","Out: Research determination",IF($F202="N","Out: different import country",IF($G202="N","Out: HTS not on scope list",IF($H202="Y","Out: HTS on exclusion list",IF($I202="N","Out: origin not on scope list",IF($J202="Y","Out: USMCA-qualifying, exempt","In: matches scope rules"))))))))</f>
        <v/>
      </c>
      <c r="N202" s="16">
        <f>IF($A202="","",N(Items!I202))</f>
        <v/>
      </c>
      <c r="O202" s="16">
        <f>IF($A202="","",IF($L202="Y",$N202+N(act_Rate)-IF(UPPER(TRIM(act_RateType&amp;""))="REPLACE",N(act_PriorRate),0),$N202))</f>
        <v/>
      </c>
      <c r="P202" s="17">
        <f>IF($A202="","",N(Items!G202)*$N202)</f>
        <v/>
      </c>
      <c r="Q202" s="17">
        <f>IF($A202="","",N(Items!G202)*$O202)</f>
        <v/>
      </c>
      <c r="R202" s="17">
        <f>IF($A202="","",$Q202-$P202)</f>
        <v/>
      </c>
      <c r="S202" s="17">
        <f>IF($A202="","",N(Items!J202)+$R202)</f>
        <v/>
      </c>
      <c r="T202" s="16">
        <f>IF($A202="","",IF(N(Items!K202)=0,"",(N(Items!K202)-N(Items!J202))/N(Items!K202)))</f>
        <v/>
      </c>
      <c r="U202" s="16">
        <f>IF($A202="","",IF(N(Items!K202)=0,"",(N(Items!K202)-$S202)/N(Items!K202)))</f>
        <v/>
      </c>
      <c r="V202" s="16">
        <f>IF(OR($T202="",$U202=""),"",$U202-$T202)</f>
        <v/>
      </c>
      <c r="W202" s="18">
        <f>IF($A202="","",N(Items!H202))</f>
        <v/>
      </c>
      <c r="X202" s="19">
        <f>IF($A202="","",$R202*$W202)</f>
        <v/>
      </c>
      <c r="Y202" s="19">
        <f>IF($A202="","",N(Items!K202)*$W202)</f>
        <v/>
      </c>
      <c r="Z202" s="19">
        <f>IF($A202="","",(N(Items!K202)-N(Items!J202))*$W202)</f>
        <v/>
      </c>
      <c r="AA202" s="19">
        <f>IF($A202="","",$Z202-$X202)</f>
        <v/>
      </c>
      <c r="AB202" s="10">
        <f>IF($A202="","",IF(TRIM(Items!C202&amp;"")="","CHECK: import country missing",IF(OR(LEN($C202)&lt;&gt;10,ISERROR(VALUE($C202))),"CHECK: HTS must be 10 digits",IF(LEN($E202)&lt;&gt;2,"CHECK: origin code missing or not 2 letters",IF(OR(Items!G202="",Items!I202="",Items!J202=""),"CHECK: value, rate or cost missing",IF(ISNUMBER(Items!G202)*ISNUMBER(Items!I202)*ISNUMBER(Items!J202)=0,"CHECK: text in a number column",IF(AND($L202="Y",UPPER(TRIM(act_RateType&amp;""))="REPLACE",$N202&lt;N(act_PriorRate)),"CHECK: current rate is below the rate being replaced",IF(AND($L202="Y",$W202=0),"NOTE: in scope, no volume","OK"))))))))</f>
        <v/>
      </c>
      <c r="AC202" s="20">
        <f>IF($A202="","",IF(AND($L202="Y",$X202&lt;&gt;0),ABS($X202)+ROW()/1000000000,""))</f>
        <v/>
      </c>
    </row>
    <row r="203">
      <c r="A203" s="10">
        <f>IF(TRIM(Items!A203&amp;"")="","",TRIM(Items!A203&amp;""))</f>
        <v/>
      </c>
      <c r="B203" s="10">
        <f>IF($A203="","",Items!B203&amp;"")</f>
        <v/>
      </c>
      <c r="C203" s="10">
        <f>IF($A203="","",SUBSTITUTE(SUBSTITUTE(SUBSTITUTE(TRIM(Items!D203&amp;""),".","")," ",""),"-",""))</f>
        <v/>
      </c>
      <c r="D203" s="10">
        <f>IF($A203="","",LEFT($C203,2))</f>
        <v/>
      </c>
      <c r="E203" s="10">
        <f>IF($A203="","",UPPER(TRIM(Items!E203&amp;"")))</f>
        <v/>
      </c>
      <c r="F203" s="10">
        <f>IF($A203="","",IF(UPPER(TRIM(Items!C203&amp;""))=UPPER(TRIM(act_Country&amp;"")),"Y","N"))</f>
        <v/>
      </c>
      <c r="G203" s="10">
        <f>IF($A203="","",IF(SUMPRODUCT((scope_HTS&lt;&gt;"")*(LEFT($C203,LEN(scope_HTS))=scope_HTS))&gt;0,"Y","N"))</f>
        <v/>
      </c>
      <c r="H203" s="10">
        <f>IF($A203="","",IF(SUMPRODUCT((excl_HTS&lt;&gt;"")*(LEFT($C203,LEN(excl_HTS))=excl_HTS))&gt;0,"Y","N"))</f>
        <v/>
      </c>
      <c r="I203" s="10">
        <f>IF($A203="","",IF($E203="","N",IF(COUNTIF(scope_COO,$E203)&gt;0,"Y","N")))</f>
        <v/>
      </c>
      <c r="J203" s="10">
        <f>IF($A203="","",IF(AND(UPPER(TRIM(act_USMCAExempt&amp;""))="Y",UPPER(TRIM(Items!F203&amp;""))="Y"),"Y","N"))</f>
        <v/>
      </c>
      <c r="K203" s="10">
        <f>IF($A203="","",IFERROR(UPPER(TRIM(INDEX(det_Status,MATCH($A203,det_Item,0))&amp;"")),""))</f>
        <v/>
      </c>
      <c r="L203" s="10">
        <f>IF($A203="","",IF($K203="IN","Y",IF($K203="OUT","N",IF(AND($F203="Y",$G203="Y",$H203="N",$I203="Y",$J203="N"),"Y","N"))))</f>
        <v/>
      </c>
      <c r="M203" s="10">
        <f>IF($A203="","",IF($K203="IN","In: Research determination",IF($K203="OUT","Out: Research determination",IF($F203="N","Out: different import country",IF($G203="N","Out: HTS not on scope list",IF($H203="Y","Out: HTS on exclusion list",IF($I203="N","Out: origin not on scope list",IF($J203="Y","Out: USMCA-qualifying, exempt","In: matches scope rules"))))))))</f>
        <v/>
      </c>
      <c r="N203" s="16">
        <f>IF($A203="","",N(Items!I203))</f>
        <v/>
      </c>
      <c r="O203" s="16">
        <f>IF($A203="","",IF($L203="Y",$N203+N(act_Rate)-IF(UPPER(TRIM(act_RateType&amp;""))="REPLACE",N(act_PriorRate),0),$N203))</f>
        <v/>
      </c>
      <c r="P203" s="17">
        <f>IF($A203="","",N(Items!G203)*$N203)</f>
        <v/>
      </c>
      <c r="Q203" s="17">
        <f>IF($A203="","",N(Items!G203)*$O203)</f>
        <v/>
      </c>
      <c r="R203" s="17">
        <f>IF($A203="","",$Q203-$P203)</f>
        <v/>
      </c>
      <c r="S203" s="17">
        <f>IF($A203="","",N(Items!J203)+$R203)</f>
        <v/>
      </c>
      <c r="T203" s="16">
        <f>IF($A203="","",IF(N(Items!K203)=0,"",(N(Items!K203)-N(Items!J203))/N(Items!K203)))</f>
        <v/>
      </c>
      <c r="U203" s="16">
        <f>IF($A203="","",IF(N(Items!K203)=0,"",(N(Items!K203)-$S203)/N(Items!K203)))</f>
        <v/>
      </c>
      <c r="V203" s="16">
        <f>IF(OR($T203="",$U203=""),"",$U203-$T203)</f>
        <v/>
      </c>
      <c r="W203" s="18">
        <f>IF($A203="","",N(Items!H203))</f>
        <v/>
      </c>
      <c r="X203" s="19">
        <f>IF($A203="","",$R203*$W203)</f>
        <v/>
      </c>
      <c r="Y203" s="19">
        <f>IF($A203="","",N(Items!K203)*$W203)</f>
        <v/>
      </c>
      <c r="Z203" s="19">
        <f>IF($A203="","",(N(Items!K203)-N(Items!J203))*$W203)</f>
        <v/>
      </c>
      <c r="AA203" s="19">
        <f>IF($A203="","",$Z203-$X203)</f>
        <v/>
      </c>
      <c r="AB203" s="10">
        <f>IF($A203="","",IF(TRIM(Items!C203&amp;"")="","CHECK: import country missing",IF(OR(LEN($C203)&lt;&gt;10,ISERROR(VALUE($C203))),"CHECK: HTS must be 10 digits",IF(LEN($E203)&lt;&gt;2,"CHECK: origin code missing or not 2 letters",IF(OR(Items!G203="",Items!I203="",Items!J203=""),"CHECK: value, rate or cost missing",IF(ISNUMBER(Items!G203)*ISNUMBER(Items!I203)*ISNUMBER(Items!J203)=0,"CHECK: text in a number column",IF(AND($L203="Y",UPPER(TRIM(act_RateType&amp;""))="REPLACE",$N203&lt;N(act_PriorRate)),"CHECK: current rate is below the rate being replaced",IF(AND($L203="Y",$W203=0),"NOTE: in scope, no volume","OK"))))))))</f>
        <v/>
      </c>
      <c r="AC203" s="20">
        <f>IF($A203="","",IF(AND($L203="Y",$X203&lt;&gt;0),ABS($X203)+ROW()/1000000000,""))</f>
        <v/>
      </c>
    </row>
    <row r="204">
      <c r="A204" s="10">
        <f>IF(TRIM(Items!A204&amp;"")="","",TRIM(Items!A204&amp;""))</f>
        <v/>
      </c>
      <c r="B204" s="10">
        <f>IF($A204="","",Items!B204&amp;"")</f>
        <v/>
      </c>
      <c r="C204" s="10">
        <f>IF($A204="","",SUBSTITUTE(SUBSTITUTE(SUBSTITUTE(TRIM(Items!D204&amp;""),".","")," ",""),"-",""))</f>
        <v/>
      </c>
      <c r="D204" s="10">
        <f>IF($A204="","",LEFT($C204,2))</f>
        <v/>
      </c>
      <c r="E204" s="10">
        <f>IF($A204="","",UPPER(TRIM(Items!E204&amp;"")))</f>
        <v/>
      </c>
      <c r="F204" s="10">
        <f>IF($A204="","",IF(UPPER(TRIM(Items!C204&amp;""))=UPPER(TRIM(act_Country&amp;"")),"Y","N"))</f>
        <v/>
      </c>
      <c r="G204" s="10">
        <f>IF($A204="","",IF(SUMPRODUCT((scope_HTS&lt;&gt;"")*(LEFT($C204,LEN(scope_HTS))=scope_HTS))&gt;0,"Y","N"))</f>
        <v/>
      </c>
      <c r="H204" s="10">
        <f>IF($A204="","",IF(SUMPRODUCT((excl_HTS&lt;&gt;"")*(LEFT($C204,LEN(excl_HTS))=excl_HTS))&gt;0,"Y","N"))</f>
        <v/>
      </c>
      <c r="I204" s="10">
        <f>IF($A204="","",IF($E204="","N",IF(COUNTIF(scope_COO,$E204)&gt;0,"Y","N")))</f>
        <v/>
      </c>
      <c r="J204" s="10">
        <f>IF($A204="","",IF(AND(UPPER(TRIM(act_USMCAExempt&amp;""))="Y",UPPER(TRIM(Items!F204&amp;""))="Y"),"Y","N"))</f>
        <v/>
      </c>
      <c r="K204" s="10">
        <f>IF($A204="","",IFERROR(UPPER(TRIM(INDEX(det_Status,MATCH($A204,det_Item,0))&amp;"")),""))</f>
        <v/>
      </c>
      <c r="L204" s="10">
        <f>IF($A204="","",IF($K204="IN","Y",IF($K204="OUT","N",IF(AND($F204="Y",$G204="Y",$H204="N",$I204="Y",$J204="N"),"Y","N"))))</f>
        <v/>
      </c>
      <c r="M204" s="10">
        <f>IF($A204="","",IF($K204="IN","In: Research determination",IF($K204="OUT","Out: Research determination",IF($F204="N","Out: different import country",IF($G204="N","Out: HTS not on scope list",IF($H204="Y","Out: HTS on exclusion list",IF($I204="N","Out: origin not on scope list",IF($J204="Y","Out: USMCA-qualifying, exempt","In: matches scope rules"))))))))</f>
        <v/>
      </c>
      <c r="N204" s="16">
        <f>IF($A204="","",N(Items!I204))</f>
        <v/>
      </c>
      <c r="O204" s="16">
        <f>IF($A204="","",IF($L204="Y",$N204+N(act_Rate)-IF(UPPER(TRIM(act_RateType&amp;""))="REPLACE",N(act_PriorRate),0),$N204))</f>
        <v/>
      </c>
      <c r="P204" s="17">
        <f>IF($A204="","",N(Items!G204)*$N204)</f>
        <v/>
      </c>
      <c r="Q204" s="17">
        <f>IF($A204="","",N(Items!G204)*$O204)</f>
        <v/>
      </c>
      <c r="R204" s="17">
        <f>IF($A204="","",$Q204-$P204)</f>
        <v/>
      </c>
      <c r="S204" s="17">
        <f>IF($A204="","",N(Items!J204)+$R204)</f>
        <v/>
      </c>
      <c r="T204" s="16">
        <f>IF($A204="","",IF(N(Items!K204)=0,"",(N(Items!K204)-N(Items!J204))/N(Items!K204)))</f>
        <v/>
      </c>
      <c r="U204" s="16">
        <f>IF($A204="","",IF(N(Items!K204)=0,"",(N(Items!K204)-$S204)/N(Items!K204)))</f>
        <v/>
      </c>
      <c r="V204" s="16">
        <f>IF(OR($T204="",$U204=""),"",$U204-$T204)</f>
        <v/>
      </c>
      <c r="W204" s="18">
        <f>IF($A204="","",N(Items!H204))</f>
        <v/>
      </c>
      <c r="X204" s="19">
        <f>IF($A204="","",$R204*$W204)</f>
        <v/>
      </c>
      <c r="Y204" s="19">
        <f>IF($A204="","",N(Items!K204)*$W204)</f>
        <v/>
      </c>
      <c r="Z204" s="19">
        <f>IF($A204="","",(N(Items!K204)-N(Items!J204))*$W204)</f>
        <v/>
      </c>
      <c r="AA204" s="19">
        <f>IF($A204="","",$Z204-$X204)</f>
        <v/>
      </c>
      <c r="AB204" s="10">
        <f>IF($A204="","",IF(TRIM(Items!C204&amp;"")="","CHECK: import country missing",IF(OR(LEN($C204)&lt;&gt;10,ISERROR(VALUE($C204))),"CHECK: HTS must be 10 digits",IF(LEN($E204)&lt;&gt;2,"CHECK: origin code missing or not 2 letters",IF(OR(Items!G204="",Items!I204="",Items!J204=""),"CHECK: value, rate or cost missing",IF(ISNUMBER(Items!G204)*ISNUMBER(Items!I204)*ISNUMBER(Items!J204)=0,"CHECK: text in a number column",IF(AND($L204="Y",UPPER(TRIM(act_RateType&amp;""))="REPLACE",$N204&lt;N(act_PriorRate)),"CHECK: current rate is below the rate being replaced",IF(AND($L204="Y",$W204=0),"NOTE: in scope, no volume","OK"))))))))</f>
        <v/>
      </c>
      <c r="AC204" s="20">
        <f>IF($A204="","",IF(AND($L204="Y",$X204&lt;&gt;0),ABS($X204)+ROW()/1000000000,""))</f>
        <v/>
      </c>
    </row>
    <row r="205">
      <c r="A205" s="10">
        <f>IF(TRIM(Items!A205&amp;"")="","",TRIM(Items!A205&amp;""))</f>
        <v/>
      </c>
      <c r="B205" s="10">
        <f>IF($A205="","",Items!B205&amp;"")</f>
        <v/>
      </c>
      <c r="C205" s="10">
        <f>IF($A205="","",SUBSTITUTE(SUBSTITUTE(SUBSTITUTE(TRIM(Items!D205&amp;""),".","")," ",""),"-",""))</f>
        <v/>
      </c>
      <c r="D205" s="10">
        <f>IF($A205="","",LEFT($C205,2))</f>
        <v/>
      </c>
      <c r="E205" s="10">
        <f>IF($A205="","",UPPER(TRIM(Items!E205&amp;"")))</f>
        <v/>
      </c>
      <c r="F205" s="10">
        <f>IF($A205="","",IF(UPPER(TRIM(Items!C205&amp;""))=UPPER(TRIM(act_Country&amp;"")),"Y","N"))</f>
        <v/>
      </c>
      <c r="G205" s="10">
        <f>IF($A205="","",IF(SUMPRODUCT((scope_HTS&lt;&gt;"")*(LEFT($C205,LEN(scope_HTS))=scope_HTS))&gt;0,"Y","N"))</f>
        <v/>
      </c>
      <c r="H205" s="10">
        <f>IF($A205="","",IF(SUMPRODUCT((excl_HTS&lt;&gt;"")*(LEFT($C205,LEN(excl_HTS))=excl_HTS))&gt;0,"Y","N"))</f>
        <v/>
      </c>
      <c r="I205" s="10">
        <f>IF($A205="","",IF($E205="","N",IF(COUNTIF(scope_COO,$E205)&gt;0,"Y","N")))</f>
        <v/>
      </c>
      <c r="J205" s="10">
        <f>IF($A205="","",IF(AND(UPPER(TRIM(act_USMCAExempt&amp;""))="Y",UPPER(TRIM(Items!F205&amp;""))="Y"),"Y","N"))</f>
        <v/>
      </c>
      <c r="K205" s="10">
        <f>IF($A205="","",IFERROR(UPPER(TRIM(INDEX(det_Status,MATCH($A205,det_Item,0))&amp;"")),""))</f>
        <v/>
      </c>
      <c r="L205" s="10">
        <f>IF($A205="","",IF($K205="IN","Y",IF($K205="OUT","N",IF(AND($F205="Y",$G205="Y",$H205="N",$I205="Y",$J205="N"),"Y","N"))))</f>
        <v/>
      </c>
      <c r="M205" s="10">
        <f>IF($A205="","",IF($K205="IN","In: Research determination",IF($K205="OUT","Out: Research determination",IF($F205="N","Out: different import country",IF($G205="N","Out: HTS not on scope list",IF($H205="Y","Out: HTS on exclusion list",IF($I205="N","Out: origin not on scope list",IF($J205="Y","Out: USMCA-qualifying, exempt","In: matches scope rules"))))))))</f>
        <v/>
      </c>
      <c r="N205" s="16">
        <f>IF($A205="","",N(Items!I205))</f>
        <v/>
      </c>
      <c r="O205" s="16">
        <f>IF($A205="","",IF($L205="Y",$N205+N(act_Rate)-IF(UPPER(TRIM(act_RateType&amp;""))="REPLACE",N(act_PriorRate),0),$N205))</f>
        <v/>
      </c>
      <c r="P205" s="17">
        <f>IF($A205="","",N(Items!G205)*$N205)</f>
        <v/>
      </c>
      <c r="Q205" s="17">
        <f>IF($A205="","",N(Items!G205)*$O205)</f>
        <v/>
      </c>
      <c r="R205" s="17">
        <f>IF($A205="","",$Q205-$P205)</f>
        <v/>
      </c>
      <c r="S205" s="17">
        <f>IF($A205="","",N(Items!J205)+$R205)</f>
        <v/>
      </c>
      <c r="T205" s="16">
        <f>IF($A205="","",IF(N(Items!K205)=0,"",(N(Items!K205)-N(Items!J205))/N(Items!K205)))</f>
        <v/>
      </c>
      <c r="U205" s="16">
        <f>IF($A205="","",IF(N(Items!K205)=0,"",(N(Items!K205)-$S205)/N(Items!K205)))</f>
        <v/>
      </c>
      <c r="V205" s="16">
        <f>IF(OR($T205="",$U205=""),"",$U205-$T205)</f>
        <v/>
      </c>
      <c r="W205" s="18">
        <f>IF($A205="","",N(Items!H205))</f>
        <v/>
      </c>
      <c r="X205" s="19">
        <f>IF($A205="","",$R205*$W205)</f>
        <v/>
      </c>
      <c r="Y205" s="19">
        <f>IF($A205="","",N(Items!K205)*$W205)</f>
        <v/>
      </c>
      <c r="Z205" s="19">
        <f>IF($A205="","",(N(Items!K205)-N(Items!J205))*$W205)</f>
        <v/>
      </c>
      <c r="AA205" s="19">
        <f>IF($A205="","",$Z205-$X205)</f>
        <v/>
      </c>
      <c r="AB205" s="10">
        <f>IF($A205="","",IF(TRIM(Items!C205&amp;"")="","CHECK: import country missing",IF(OR(LEN($C205)&lt;&gt;10,ISERROR(VALUE($C205))),"CHECK: HTS must be 10 digits",IF(LEN($E205)&lt;&gt;2,"CHECK: origin code missing or not 2 letters",IF(OR(Items!G205="",Items!I205="",Items!J205=""),"CHECK: value, rate or cost missing",IF(ISNUMBER(Items!G205)*ISNUMBER(Items!I205)*ISNUMBER(Items!J205)=0,"CHECK: text in a number column",IF(AND($L205="Y",UPPER(TRIM(act_RateType&amp;""))="REPLACE",$N205&lt;N(act_PriorRate)),"CHECK: current rate is below the rate being replaced",IF(AND($L205="Y",$W205=0),"NOTE: in scope, no volume","OK"))))))))</f>
        <v/>
      </c>
      <c r="AC205" s="20">
        <f>IF($A205="","",IF(AND($L205="Y",$X205&lt;&gt;0),ABS($X205)+ROW()/1000000000,""))</f>
        <v/>
      </c>
    </row>
    <row r="206">
      <c r="A206" s="10">
        <f>IF(TRIM(Items!A206&amp;"")="","",TRIM(Items!A206&amp;""))</f>
        <v/>
      </c>
      <c r="B206" s="10">
        <f>IF($A206="","",Items!B206&amp;"")</f>
        <v/>
      </c>
      <c r="C206" s="10">
        <f>IF($A206="","",SUBSTITUTE(SUBSTITUTE(SUBSTITUTE(TRIM(Items!D206&amp;""),".","")," ",""),"-",""))</f>
        <v/>
      </c>
      <c r="D206" s="10">
        <f>IF($A206="","",LEFT($C206,2))</f>
        <v/>
      </c>
      <c r="E206" s="10">
        <f>IF($A206="","",UPPER(TRIM(Items!E206&amp;"")))</f>
        <v/>
      </c>
      <c r="F206" s="10">
        <f>IF($A206="","",IF(UPPER(TRIM(Items!C206&amp;""))=UPPER(TRIM(act_Country&amp;"")),"Y","N"))</f>
        <v/>
      </c>
      <c r="G206" s="10">
        <f>IF($A206="","",IF(SUMPRODUCT((scope_HTS&lt;&gt;"")*(LEFT($C206,LEN(scope_HTS))=scope_HTS))&gt;0,"Y","N"))</f>
        <v/>
      </c>
      <c r="H206" s="10">
        <f>IF($A206="","",IF(SUMPRODUCT((excl_HTS&lt;&gt;"")*(LEFT($C206,LEN(excl_HTS))=excl_HTS))&gt;0,"Y","N"))</f>
        <v/>
      </c>
      <c r="I206" s="10">
        <f>IF($A206="","",IF($E206="","N",IF(COUNTIF(scope_COO,$E206)&gt;0,"Y","N")))</f>
        <v/>
      </c>
      <c r="J206" s="10">
        <f>IF($A206="","",IF(AND(UPPER(TRIM(act_USMCAExempt&amp;""))="Y",UPPER(TRIM(Items!F206&amp;""))="Y"),"Y","N"))</f>
        <v/>
      </c>
      <c r="K206" s="10">
        <f>IF($A206="","",IFERROR(UPPER(TRIM(INDEX(det_Status,MATCH($A206,det_Item,0))&amp;"")),""))</f>
        <v/>
      </c>
      <c r="L206" s="10">
        <f>IF($A206="","",IF($K206="IN","Y",IF($K206="OUT","N",IF(AND($F206="Y",$G206="Y",$H206="N",$I206="Y",$J206="N"),"Y","N"))))</f>
        <v/>
      </c>
      <c r="M206" s="10">
        <f>IF($A206="","",IF($K206="IN","In: Research determination",IF($K206="OUT","Out: Research determination",IF($F206="N","Out: different import country",IF($G206="N","Out: HTS not on scope list",IF($H206="Y","Out: HTS on exclusion list",IF($I206="N","Out: origin not on scope list",IF($J206="Y","Out: USMCA-qualifying, exempt","In: matches scope rules"))))))))</f>
        <v/>
      </c>
      <c r="N206" s="16">
        <f>IF($A206="","",N(Items!I206))</f>
        <v/>
      </c>
      <c r="O206" s="16">
        <f>IF($A206="","",IF($L206="Y",$N206+N(act_Rate)-IF(UPPER(TRIM(act_RateType&amp;""))="REPLACE",N(act_PriorRate),0),$N206))</f>
        <v/>
      </c>
      <c r="P206" s="17">
        <f>IF($A206="","",N(Items!G206)*$N206)</f>
        <v/>
      </c>
      <c r="Q206" s="17">
        <f>IF($A206="","",N(Items!G206)*$O206)</f>
        <v/>
      </c>
      <c r="R206" s="17">
        <f>IF($A206="","",$Q206-$P206)</f>
        <v/>
      </c>
      <c r="S206" s="17">
        <f>IF($A206="","",N(Items!J206)+$R206)</f>
        <v/>
      </c>
      <c r="T206" s="16">
        <f>IF($A206="","",IF(N(Items!K206)=0,"",(N(Items!K206)-N(Items!J206))/N(Items!K206)))</f>
        <v/>
      </c>
      <c r="U206" s="16">
        <f>IF($A206="","",IF(N(Items!K206)=0,"",(N(Items!K206)-$S206)/N(Items!K206)))</f>
        <v/>
      </c>
      <c r="V206" s="16">
        <f>IF(OR($T206="",$U206=""),"",$U206-$T206)</f>
        <v/>
      </c>
      <c r="W206" s="18">
        <f>IF($A206="","",N(Items!H206))</f>
        <v/>
      </c>
      <c r="X206" s="19">
        <f>IF($A206="","",$R206*$W206)</f>
        <v/>
      </c>
      <c r="Y206" s="19">
        <f>IF($A206="","",N(Items!K206)*$W206)</f>
        <v/>
      </c>
      <c r="Z206" s="19">
        <f>IF($A206="","",(N(Items!K206)-N(Items!J206))*$W206)</f>
        <v/>
      </c>
      <c r="AA206" s="19">
        <f>IF($A206="","",$Z206-$X206)</f>
        <v/>
      </c>
      <c r="AB206" s="10">
        <f>IF($A206="","",IF(TRIM(Items!C206&amp;"")="","CHECK: import country missing",IF(OR(LEN($C206)&lt;&gt;10,ISERROR(VALUE($C206))),"CHECK: HTS must be 10 digits",IF(LEN($E206)&lt;&gt;2,"CHECK: origin code missing or not 2 letters",IF(OR(Items!G206="",Items!I206="",Items!J206=""),"CHECK: value, rate or cost missing",IF(ISNUMBER(Items!G206)*ISNUMBER(Items!I206)*ISNUMBER(Items!J206)=0,"CHECK: text in a number column",IF(AND($L206="Y",UPPER(TRIM(act_RateType&amp;""))="REPLACE",$N206&lt;N(act_PriorRate)),"CHECK: current rate is below the rate being replaced",IF(AND($L206="Y",$W206=0),"NOTE: in scope, no volume","OK"))))))))</f>
        <v/>
      </c>
      <c r="AC206" s="20">
        <f>IF($A206="","",IF(AND($L206="Y",$X206&lt;&gt;0),ABS($X206)+ROW()/1000000000,""))</f>
        <v/>
      </c>
    </row>
    <row r="207">
      <c r="A207" s="10">
        <f>IF(TRIM(Items!A207&amp;"")="","",TRIM(Items!A207&amp;""))</f>
        <v/>
      </c>
      <c r="B207" s="10">
        <f>IF($A207="","",Items!B207&amp;"")</f>
        <v/>
      </c>
      <c r="C207" s="10">
        <f>IF($A207="","",SUBSTITUTE(SUBSTITUTE(SUBSTITUTE(TRIM(Items!D207&amp;""),".","")," ",""),"-",""))</f>
        <v/>
      </c>
      <c r="D207" s="10">
        <f>IF($A207="","",LEFT($C207,2))</f>
        <v/>
      </c>
      <c r="E207" s="10">
        <f>IF($A207="","",UPPER(TRIM(Items!E207&amp;"")))</f>
        <v/>
      </c>
      <c r="F207" s="10">
        <f>IF($A207="","",IF(UPPER(TRIM(Items!C207&amp;""))=UPPER(TRIM(act_Country&amp;"")),"Y","N"))</f>
        <v/>
      </c>
      <c r="G207" s="10">
        <f>IF($A207="","",IF(SUMPRODUCT((scope_HTS&lt;&gt;"")*(LEFT($C207,LEN(scope_HTS))=scope_HTS))&gt;0,"Y","N"))</f>
        <v/>
      </c>
      <c r="H207" s="10">
        <f>IF($A207="","",IF(SUMPRODUCT((excl_HTS&lt;&gt;"")*(LEFT($C207,LEN(excl_HTS))=excl_HTS))&gt;0,"Y","N"))</f>
        <v/>
      </c>
      <c r="I207" s="10">
        <f>IF($A207="","",IF($E207="","N",IF(COUNTIF(scope_COO,$E207)&gt;0,"Y","N")))</f>
        <v/>
      </c>
      <c r="J207" s="10">
        <f>IF($A207="","",IF(AND(UPPER(TRIM(act_USMCAExempt&amp;""))="Y",UPPER(TRIM(Items!F207&amp;""))="Y"),"Y","N"))</f>
        <v/>
      </c>
      <c r="K207" s="10">
        <f>IF($A207="","",IFERROR(UPPER(TRIM(INDEX(det_Status,MATCH($A207,det_Item,0))&amp;"")),""))</f>
        <v/>
      </c>
      <c r="L207" s="10">
        <f>IF($A207="","",IF($K207="IN","Y",IF($K207="OUT","N",IF(AND($F207="Y",$G207="Y",$H207="N",$I207="Y",$J207="N"),"Y","N"))))</f>
        <v/>
      </c>
      <c r="M207" s="10">
        <f>IF($A207="","",IF($K207="IN","In: Research determination",IF($K207="OUT","Out: Research determination",IF($F207="N","Out: different import country",IF($G207="N","Out: HTS not on scope list",IF($H207="Y","Out: HTS on exclusion list",IF($I207="N","Out: origin not on scope list",IF($J207="Y","Out: USMCA-qualifying, exempt","In: matches scope rules"))))))))</f>
        <v/>
      </c>
      <c r="N207" s="16">
        <f>IF($A207="","",N(Items!I207))</f>
        <v/>
      </c>
      <c r="O207" s="16">
        <f>IF($A207="","",IF($L207="Y",$N207+N(act_Rate)-IF(UPPER(TRIM(act_RateType&amp;""))="REPLACE",N(act_PriorRate),0),$N207))</f>
        <v/>
      </c>
      <c r="P207" s="17">
        <f>IF($A207="","",N(Items!G207)*$N207)</f>
        <v/>
      </c>
      <c r="Q207" s="17">
        <f>IF($A207="","",N(Items!G207)*$O207)</f>
        <v/>
      </c>
      <c r="R207" s="17">
        <f>IF($A207="","",$Q207-$P207)</f>
        <v/>
      </c>
      <c r="S207" s="17">
        <f>IF($A207="","",N(Items!J207)+$R207)</f>
        <v/>
      </c>
      <c r="T207" s="16">
        <f>IF($A207="","",IF(N(Items!K207)=0,"",(N(Items!K207)-N(Items!J207))/N(Items!K207)))</f>
        <v/>
      </c>
      <c r="U207" s="16">
        <f>IF($A207="","",IF(N(Items!K207)=0,"",(N(Items!K207)-$S207)/N(Items!K207)))</f>
        <v/>
      </c>
      <c r="V207" s="16">
        <f>IF(OR($T207="",$U207=""),"",$U207-$T207)</f>
        <v/>
      </c>
      <c r="W207" s="18">
        <f>IF($A207="","",N(Items!H207))</f>
        <v/>
      </c>
      <c r="X207" s="19">
        <f>IF($A207="","",$R207*$W207)</f>
        <v/>
      </c>
      <c r="Y207" s="19">
        <f>IF($A207="","",N(Items!K207)*$W207)</f>
        <v/>
      </c>
      <c r="Z207" s="19">
        <f>IF($A207="","",(N(Items!K207)-N(Items!J207))*$W207)</f>
        <v/>
      </c>
      <c r="AA207" s="19">
        <f>IF($A207="","",$Z207-$X207)</f>
        <v/>
      </c>
      <c r="AB207" s="10">
        <f>IF($A207="","",IF(TRIM(Items!C207&amp;"")="","CHECK: import country missing",IF(OR(LEN($C207)&lt;&gt;10,ISERROR(VALUE($C207))),"CHECK: HTS must be 10 digits",IF(LEN($E207)&lt;&gt;2,"CHECK: origin code missing or not 2 letters",IF(OR(Items!G207="",Items!I207="",Items!J207=""),"CHECK: value, rate or cost missing",IF(ISNUMBER(Items!G207)*ISNUMBER(Items!I207)*ISNUMBER(Items!J207)=0,"CHECK: text in a number column",IF(AND($L207="Y",UPPER(TRIM(act_RateType&amp;""))="REPLACE",$N207&lt;N(act_PriorRate)),"CHECK: current rate is below the rate being replaced",IF(AND($L207="Y",$W207=0),"NOTE: in scope, no volume","OK"))))))))</f>
        <v/>
      </c>
      <c r="AC207" s="20">
        <f>IF($A207="","",IF(AND($L207="Y",$X207&lt;&gt;0),ABS($X207)+ROW()/1000000000,""))</f>
        <v/>
      </c>
    </row>
    <row r="208">
      <c r="A208" s="10">
        <f>IF(TRIM(Items!A208&amp;"")="","",TRIM(Items!A208&amp;""))</f>
        <v/>
      </c>
      <c r="B208" s="10">
        <f>IF($A208="","",Items!B208&amp;"")</f>
        <v/>
      </c>
      <c r="C208" s="10">
        <f>IF($A208="","",SUBSTITUTE(SUBSTITUTE(SUBSTITUTE(TRIM(Items!D208&amp;""),".","")," ",""),"-",""))</f>
        <v/>
      </c>
      <c r="D208" s="10">
        <f>IF($A208="","",LEFT($C208,2))</f>
        <v/>
      </c>
      <c r="E208" s="10">
        <f>IF($A208="","",UPPER(TRIM(Items!E208&amp;"")))</f>
        <v/>
      </c>
      <c r="F208" s="10">
        <f>IF($A208="","",IF(UPPER(TRIM(Items!C208&amp;""))=UPPER(TRIM(act_Country&amp;"")),"Y","N"))</f>
        <v/>
      </c>
      <c r="G208" s="10">
        <f>IF($A208="","",IF(SUMPRODUCT((scope_HTS&lt;&gt;"")*(LEFT($C208,LEN(scope_HTS))=scope_HTS))&gt;0,"Y","N"))</f>
        <v/>
      </c>
      <c r="H208" s="10">
        <f>IF($A208="","",IF(SUMPRODUCT((excl_HTS&lt;&gt;"")*(LEFT($C208,LEN(excl_HTS))=excl_HTS))&gt;0,"Y","N"))</f>
        <v/>
      </c>
      <c r="I208" s="10">
        <f>IF($A208="","",IF($E208="","N",IF(COUNTIF(scope_COO,$E208)&gt;0,"Y","N")))</f>
        <v/>
      </c>
      <c r="J208" s="10">
        <f>IF($A208="","",IF(AND(UPPER(TRIM(act_USMCAExempt&amp;""))="Y",UPPER(TRIM(Items!F208&amp;""))="Y"),"Y","N"))</f>
        <v/>
      </c>
      <c r="K208" s="10">
        <f>IF($A208="","",IFERROR(UPPER(TRIM(INDEX(det_Status,MATCH($A208,det_Item,0))&amp;"")),""))</f>
        <v/>
      </c>
      <c r="L208" s="10">
        <f>IF($A208="","",IF($K208="IN","Y",IF($K208="OUT","N",IF(AND($F208="Y",$G208="Y",$H208="N",$I208="Y",$J208="N"),"Y","N"))))</f>
        <v/>
      </c>
      <c r="M208" s="10">
        <f>IF($A208="","",IF($K208="IN","In: Research determination",IF($K208="OUT","Out: Research determination",IF($F208="N","Out: different import country",IF($G208="N","Out: HTS not on scope list",IF($H208="Y","Out: HTS on exclusion list",IF($I208="N","Out: origin not on scope list",IF($J208="Y","Out: USMCA-qualifying, exempt","In: matches scope rules"))))))))</f>
        <v/>
      </c>
      <c r="N208" s="16">
        <f>IF($A208="","",N(Items!I208))</f>
        <v/>
      </c>
      <c r="O208" s="16">
        <f>IF($A208="","",IF($L208="Y",$N208+N(act_Rate)-IF(UPPER(TRIM(act_RateType&amp;""))="REPLACE",N(act_PriorRate),0),$N208))</f>
        <v/>
      </c>
      <c r="P208" s="17">
        <f>IF($A208="","",N(Items!G208)*$N208)</f>
        <v/>
      </c>
      <c r="Q208" s="17">
        <f>IF($A208="","",N(Items!G208)*$O208)</f>
        <v/>
      </c>
      <c r="R208" s="17">
        <f>IF($A208="","",$Q208-$P208)</f>
        <v/>
      </c>
      <c r="S208" s="17">
        <f>IF($A208="","",N(Items!J208)+$R208)</f>
        <v/>
      </c>
      <c r="T208" s="16">
        <f>IF($A208="","",IF(N(Items!K208)=0,"",(N(Items!K208)-N(Items!J208))/N(Items!K208)))</f>
        <v/>
      </c>
      <c r="U208" s="16">
        <f>IF($A208="","",IF(N(Items!K208)=0,"",(N(Items!K208)-$S208)/N(Items!K208)))</f>
        <v/>
      </c>
      <c r="V208" s="16">
        <f>IF(OR($T208="",$U208=""),"",$U208-$T208)</f>
        <v/>
      </c>
      <c r="W208" s="18">
        <f>IF($A208="","",N(Items!H208))</f>
        <v/>
      </c>
      <c r="X208" s="19">
        <f>IF($A208="","",$R208*$W208)</f>
        <v/>
      </c>
      <c r="Y208" s="19">
        <f>IF($A208="","",N(Items!K208)*$W208)</f>
        <v/>
      </c>
      <c r="Z208" s="19">
        <f>IF($A208="","",(N(Items!K208)-N(Items!J208))*$W208)</f>
        <v/>
      </c>
      <c r="AA208" s="19">
        <f>IF($A208="","",$Z208-$X208)</f>
        <v/>
      </c>
      <c r="AB208" s="10">
        <f>IF($A208="","",IF(TRIM(Items!C208&amp;"")="","CHECK: import country missing",IF(OR(LEN($C208)&lt;&gt;10,ISERROR(VALUE($C208))),"CHECK: HTS must be 10 digits",IF(LEN($E208)&lt;&gt;2,"CHECK: origin code missing or not 2 letters",IF(OR(Items!G208="",Items!I208="",Items!J208=""),"CHECK: value, rate or cost missing",IF(ISNUMBER(Items!G208)*ISNUMBER(Items!I208)*ISNUMBER(Items!J208)=0,"CHECK: text in a number column",IF(AND($L208="Y",UPPER(TRIM(act_RateType&amp;""))="REPLACE",$N208&lt;N(act_PriorRate)),"CHECK: current rate is below the rate being replaced",IF(AND($L208="Y",$W208=0),"NOTE: in scope, no volume","OK"))))))))</f>
        <v/>
      </c>
      <c r="AC208" s="20">
        <f>IF($A208="","",IF(AND($L208="Y",$X208&lt;&gt;0),ABS($X208)+ROW()/1000000000,""))</f>
        <v/>
      </c>
    </row>
    <row r="209">
      <c r="A209" s="10">
        <f>IF(TRIM(Items!A209&amp;"")="","",TRIM(Items!A209&amp;""))</f>
        <v/>
      </c>
      <c r="B209" s="10">
        <f>IF($A209="","",Items!B209&amp;"")</f>
        <v/>
      </c>
      <c r="C209" s="10">
        <f>IF($A209="","",SUBSTITUTE(SUBSTITUTE(SUBSTITUTE(TRIM(Items!D209&amp;""),".","")," ",""),"-",""))</f>
        <v/>
      </c>
      <c r="D209" s="10">
        <f>IF($A209="","",LEFT($C209,2))</f>
        <v/>
      </c>
      <c r="E209" s="10">
        <f>IF($A209="","",UPPER(TRIM(Items!E209&amp;"")))</f>
        <v/>
      </c>
      <c r="F209" s="10">
        <f>IF($A209="","",IF(UPPER(TRIM(Items!C209&amp;""))=UPPER(TRIM(act_Country&amp;"")),"Y","N"))</f>
        <v/>
      </c>
      <c r="G209" s="10">
        <f>IF($A209="","",IF(SUMPRODUCT((scope_HTS&lt;&gt;"")*(LEFT($C209,LEN(scope_HTS))=scope_HTS))&gt;0,"Y","N"))</f>
        <v/>
      </c>
      <c r="H209" s="10">
        <f>IF($A209="","",IF(SUMPRODUCT((excl_HTS&lt;&gt;"")*(LEFT($C209,LEN(excl_HTS))=excl_HTS))&gt;0,"Y","N"))</f>
        <v/>
      </c>
      <c r="I209" s="10">
        <f>IF($A209="","",IF($E209="","N",IF(COUNTIF(scope_COO,$E209)&gt;0,"Y","N")))</f>
        <v/>
      </c>
      <c r="J209" s="10">
        <f>IF($A209="","",IF(AND(UPPER(TRIM(act_USMCAExempt&amp;""))="Y",UPPER(TRIM(Items!F209&amp;""))="Y"),"Y","N"))</f>
        <v/>
      </c>
      <c r="K209" s="10">
        <f>IF($A209="","",IFERROR(UPPER(TRIM(INDEX(det_Status,MATCH($A209,det_Item,0))&amp;"")),""))</f>
        <v/>
      </c>
      <c r="L209" s="10">
        <f>IF($A209="","",IF($K209="IN","Y",IF($K209="OUT","N",IF(AND($F209="Y",$G209="Y",$H209="N",$I209="Y",$J209="N"),"Y","N"))))</f>
        <v/>
      </c>
      <c r="M209" s="10">
        <f>IF($A209="","",IF($K209="IN","In: Research determination",IF($K209="OUT","Out: Research determination",IF($F209="N","Out: different import country",IF($G209="N","Out: HTS not on scope list",IF($H209="Y","Out: HTS on exclusion list",IF($I209="N","Out: origin not on scope list",IF($J209="Y","Out: USMCA-qualifying, exempt","In: matches scope rules"))))))))</f>
        <v/>
      </c>
      <c r="N209" s="16">
        <f>IF($A209="","",N(Items!I209))</f>
        <v/>
      </c>
      <c r="O209" s="16">
        <f>IF($A209="","",IF($L209="Y",$N209+N(act_Rate)-IF(UPPER(TRIM(act_RateType&amp;""))="REPLACE",N(act_PriorRate),0),$N209))</f>
        <v/>
      </c>
      <c r="P209" s="17">
        <f>IF($A209="","",N(Items!G209)*$N209)</f>
        <v/>
      </c>
      <c r="Q209" s="17">
        <f>IF($A209="","",N(Items!G209)*$O209)</f>
        <v/>
      </c>
      <c r="R209" s="17">
        <f>IF($A209="","",$Q209-$P209)</f>
        <v/>
      </c>
      <c r="S209" s="17">
        <f>IF($A209="","",N(Items!J209)+$R209)</f>
        <v/>
      </c>
      <c r="T209" s="16">
        <f>IF($A209="","",IF(N(Items!K209)=0,"",(N(Items!K209)-N(Items!J209))/N(Items!K209)))</f>
        <v/>
      </c>
      <c r="U209" s="16">
        <f>IF($A209="","",IF(N(Items!K209)=0,"",(N(Items!K209)-$S209)/N(Items!K209)))</f>
        <v/>
      </c>
      <c r="V209" s="16">
        <f>IF(OR($T209="",$U209=""),"",$U209-$T209)</f>
        <v/>
      </c>
      <c r="W209" s="18">
        <f>IF($A209="","",N(Items!H209))</f>
        <v/>
      </c>
      <c r="X209" s="19">
        <f>IF($A209="","",$R209*$W209)</f>
        <v/>
      </c>
      <c r="Y209" s="19">
        <f>IF($A209="","",N(Items!K209)*$W209)</f>
        <v/>
      </c>
      <c r="Z209" s="19">
        <f>IF($A209="","",(N(Items!K209)-N(Items!J209))*$W209)</f>
        <v/>
      </c>
      <c r="AA209" s="19">
        <f>IF($A209="","",$Z209-$X209)</f>
        <v/>
      </c>
      <c r="AB209" s="10">
        <f>IF($A209="","",IF(TRIM(Items!C209&amp;"")="","CHECK: import country missing",IF(OR(LEN($C209)&lt;&gt;10,ISERROR(VALUE($C209))),"CHECK: HTS must be 10 digits",IF(LEN($E209)&lt;&gt;2,"CHECK: origin code missing or not 2 letters",IF(OR(Items!G209="",Items!I209="",Items!J209=""),"CHECK: value, rate or cost missing",IF(ISNUMBER(Items!G209)*ISNUMBER(Items!I209)*ISNUMBER(Items!J209)=0,"CHECK: text in a number column",IF(AND($L209="Y",UPPER(TRIM(act_RateType&amp;""))="REPLACE",$N209&lt;N(act_PriorRate)),"CHECK: current rate is below the rate being replaced",IF(AND($L209="Y",$W209=0),"NOTE: in scope, no volume","OK"))))))))</f>
        <v/>
      </c>
      <c r="AC209" s="20">
        <f>IF($A209="","",IF(AND($L209="Y",$X209&lt;&gt;0),ABS($X209)+ROW()/1000000000,""))</f>
        <v/>
      </c>
    </row>
    <row r="210">
      <c r="A210" s="10">
        <f>IF(TRIM(Items!A210&amp;"")="","",TRIM(Items!A210&amp;""))</f>
        <v/>
      </c>
      <c r="B210" s="10">
        <f>IF($A210="","",Items!B210&amp;"")</f>
        <v/>
      </c>
      <c r="C210" s="10">
        <f>IF($A210="","",SUBSTITUTE(SUBSTITUTE(SUBSTITUTE(TRIM(Items!D210&amp;""),".","")," ",""),"-",""))</f>
        <v/>
      </c>
      <c r="D210" s="10">
        <f>IF($A210="","",LEFT($C210,2))</f>
        <v/>
      </c>
      <c r="E210" s="10">
        <f>IF($A210="","",UPPER(TRIM(Items!E210&amp;"")))</f>
        <v/>
      </c>
      <c r="F210" s="10">
        <f>IF($A210="","",IF(UPPER(TRIM(Items!C210&amp;""))=UPPER(TRIM(act_Country&amp;"")),"Y","N"))</f>
        <v/>
      </c>
      <c r="G210" s="10">
        <f>IF($A210="","",IF(SUMPRODUCT((scope_HTS&lt;&gt;"")*(LEFT($C210,LEN(scope_HTS))=scope_HTS))&gt;0,"Y","N"))</f>
        <v/>
      </c>
      <c r="H210" s="10">
        <f>IF($A210="","",IF(SUMPRODUCT((excl_HTS&lt;&gt;"")*(LEFT($C210,LEN(excl_HTS))=excl_HTS))&gt;0,"Y","N"))</f>
        <v/>
      </c>
      <c r="I210" s="10">
        <f>IF($A210="","",IF($E210="","N",IF(COUNTIF(scope_COO,$E210)&gt;0,"Y","N")))</f>
        <v/>
      </c>
      <c r="J210" s="10">
        <f>IF($A210="","",IF(AND(UPPER(TRIM(act_USMCAExempt&amp;""))="Y",UPPER(TRIM(Items!F210&amp;""))="Y"),"Y","N"))</f>
        <v/>
      </c>
      <c r="K210" s="10">
        <f>IF($A210="","",IFERROR(UPPER(TRIM(INDEX(det_Status,MATCH($A210,det_Item,0))&amp;"")),""))</f>
        <v/>
      </c>
      <c r="L210" s="10">
        <f>IF($A210="","",IF($K210="IN","Y",IF($K210="OUT","N",IF(AND($F210="Y",$G210="Y",$H210="N",$I210="Y",$J210="N"),"Y","N"))))</f>
        <v/>
      </c>
      <c r="M210" s="10">
        <f>IF($A210="","",IF($K210="IN","In: Research determination",IF($K210="OUT","Out: Research determination",IF($F210="N","Out: different import country",IF($G210="N","Out: HTS not on scope list",IF($H210="Y","Out: HTS on exclusion list",IF($I210="N","Out: origin not on scope list",IF($J210="Y","Out: USMCA-qualifying, exempt","In: matches scope rules"))))))))</f>
        <v/>
      </c>
      <c r="N210" s="16">
        <f>IF($A210="","",N(Items!I210))</f>
        <v/>
      </c>
      <c r="O210" s="16">
        <f>IF($A210="","",IF($L210="Y",$N210+N(act_Rate)-IF(UPPER(TRIM(act_RateType&amp;""))="REPLACE",N(act_PriorRate),0),$N210))</f>
        <v/>
      </c>
      <c r="P210" s="17">
        <f>IF($A210="","",N(Items!G210)*$N210)</f>
        <v/>
      </c>
      <c r="Q210" s="17">
        <f>IF($A210="","",N(Items!G210)*$O210)</f>
        <v/>
      </c>
      <c r="R210" s="17">
        <f>IF($A210="","",$Q210-$P210)</f>
        <v/>
      </c>
      <c r="S210" s="17">
        <f>IF($A210="","",N(Items!J210)+$R210)</f>
        <v/>
      </c>
      <c r="T210" s="16">
        <f>IF($A210="","",IF(N(Items!K210)=0,"",(N(Items!K210)-N(Items!J210))/N(Items!K210)))</f>
        <v/>
      </c>
      <c r="U210" s="16">
        <f>IF($A210="","",IF(N(Items!K210)=0,"",(N(Items!K210)-$S210)/N(Items!K210)))</f>
        <v/>
      </c>
      <c r="V210" s="16">
        <f>IF(OR($T210="",$U210=""),"",$U210-$T210)</f>
        <v/>
      </c>
      <c r="W210" s="18">
        <f>IF($A210="","",N(Items!H210))</f>
        <v/>
      </c>
      <c r="X210" s="19">
        <f>IF($A210="","",$R210*$W210)</f>
        <v/>
      </c>
      <c r="Y210" s="19">
        <f>IF($A210="","",N(Items!K210)*$W210)</f>
        <v/>
      </c>
      <c r="Z210" s="19">
        <f>IF($A210="","",(N(Items!K210)-N(Items!J210))*$W210)</f>
        <v/>
      </c>
      <c r="AA210" s="19">
        <f>IF($A210="","",$Z210-$X210)</f>
        <v/>
      </c>
      <c r="AB210" s="10">
        <f>IF($A210="","",IF(TRIM(Items!C210&amp;"")="","CHECK: import country missing",IF(OR(LEN($C210)&lt;&gt;10,ISERROR(VALUE($C210))),"CHECK: HTS must be 10 digits",IF(LEN($E210)&lt;&gt;2,"CHECK: origin code missing or not 2 letters",IF(OR(Items!G210="",Items!I210="",Items!J210=""),"CHECK: value, rate or cost missing",IF(ISNUMBER(Items!G210)*ISNUMBER(Items!I210)*ISNUMBER(Items!J210)=0,"CHECK: text in a number column",IF(AND($L210="Y",UPPER(TRIM(act_RateType&amp;""))="REPLACE",$N210&lt;N(act_PriorRate)),"CHECK: current rate is below the rate being replaced",IF(AND($L210="Y",$W210=0),"NOTE: in scope, no volume","OK"))))))))</f>
        <v/>
      </c>
      <c r="AC210" s="20">
        <f>IF($A210="","",IF(AND($L210="Y",$X210&lt;&gt;0),ABS($X210)+ROW()/1000000000,""))</f>
        <v/>
      </c>
    </row>
    <row r="211">
      <c r="A211" s="10">
        <f>IF(TRIM(Items!A211&amp;"")="","",TRIM(Items!A211&amp;""))</f>
        <v/>
      </c>
      <c r="B211" s="10">
        <f>IF($A211="","",Items!B211&amp;"")</f>
        <v/>
      </c>
      <c r="C211" s="10">
        <f>IF($A211="","",SUBSTITUTE(SUBSTITUTE(SUBSTITUTE(TRIM(Items!D211&amp;""),".","")," ",""),"-",""))</f>
        <v/>
      </c>
      <c r="D211" s="10">
        <f>IF($A211="","",LEFT($C211,2))</f>
        <v/>
      </c>
      <c r="E211" s="10">
        <f>IF($A211="","",UPPER(TRIM(Items!E211&amp;"")))</f>
        <v/>
      </c>
      <c r="F211" s="10">
        <f>IF($A211="","",IF(UPPER(TRIM(Items!C211&amp;""))=UPPER(TRIM(act_Country&amp;"")),"Y","N"))</f>
        <v/>
      </c>
      <c r="G211" s="10">
        <f>IF($A211="","",IF(SUMPRODUCT((scope_HTS&lt;&gt;"")*(LEFT($C211,LEN(scope_HTS))=scope_HTS))&gt;0,"Y","N"))</f>
        <v/>
      </c>
      <c r="H211" s="10">
        <f>IF($A211="","",IF(SUMPRODUCT((excl_HTS&lt;&gt;"")*(LEFT($C211,LEN(excl_HTS))=excl_HTS))&gt;0,"Y","N"))</f>
        <v/>
      </c>
      <c r="I211" s="10">
        <f>IF($A211="","",IF($E211="","N",IF(COUNTIF(scope_COO,$E211)&gt;0,"Y","N")))</f>
        <v/>
      </c>
      <c r="J211" s="10">
        <f>IF($A211="","",IF(AND(UPPER(TRIM(act_USMCAExempt&amp;""))="Y",UPPER(TRIM(Items!F211&amp;""))="Y"),"Y","N"))</f>
        <v/>
      </c>
      <c r="K211" s="10">
        <f>IF($A211="","",IFERROR(UPPER(TRIM(INDEX(det_Status,MATCH($A211,det_Item,0))&amp;"")),""))</f>
        <v/>
      </c>
      <c r="L211" s="10">
        <f>IF($A211="","",IF($K211="IN","Y",IF($K211="OUT","N",IF(AND($F211="Y",$G211="Y",$H211="N",$I211="Y",$J211="N"),"Y","N"))))</f>
        <v/>
      </c>
      <c r="M211" s="10">
        <f>IF($A211="","",IF($K211="IN","In: Research determination",IF($K211="OUT","Out: Research determination",IF($F211="N","Out: different import country",IF($G211="N","Out: HTS not on scope list",IF($H211="Y","Out: HTS on exclusion list",IF($I211="N","Out: origin not on scope list",IF($J211="Y","Out: USMCA-qualifying, exempt","In: matches scope rules"))))))))</f>
        <v/>
      </c>
      <c r="N211" s="16">
        <f>IF($A211="","",N(Items!I211))</f>
        <v/>
      </c>
      <c r="O211" s="16">
        <f>IF($A211="","",IF($L211="Y",$N211+N(act_Rate)-IF(UPPER(TRIM(act_RateType&amp;""))="REPLACE",N(act_PriorRate),0),$N211))</f>
        <v/>
      </c>
      <c r="P211" s="17">
        <f>IF($A211="","",N(Items!G211)*$N211)</f>
        <v/>
      </c>
      <c r="Q211" s="17">
        <f>IF($A211="","",N(Items!G211)*$O211)</f>
        <v/>
      </c>
      <c r="R211" s="17">
        <f>IF($A211="","",$Q211-$P211)</f>
        <v/>
      </c>
      <c r="S211" s="17">
        <f>IF($A211="","",N(Items!J211)+$R211)</f>
        <v/>
      </c>
      <c r="T211" s="16">
        <f>IF($A211="","",IF(N(Items!K211)=0,"",(N(Items!K211)-N(Items!J211))/N(Items!K211)))</f>
        <v/>
      </c>
      <c r="U211" s="16">
        <f>IF($A211="","",IF(N(Items!K211)=0,"",(N(Items!K211)-$S211)/N(Items!K211)))</f>
        <v/>
      </c>
      <c r="V211" s="16">
        <f>IF(OR($T211="",$U211=""),"",$U211-$T211)</f>
        <v/>
      </c>
      <c r="W211" s="18">
        <f>IF($A211="","",N(Items!H211))</f>
        <v/>
      </c>
      <c r="X211" s="19">
        <f>IF($A211="","",$R211*$W211)</f>
        <v/>
      </c>
      <c r="Y211" s="19">
        <f>IF($A211="","",N(Items!K211)*$W211)</f>
        <v/>
      </c>
      <c r="Z211" s="19">
        <f>IF($A211="","",(N(Items!K211)-N(Items!J211))*$W211)</f>
        <v/>
      </c>
      <c r="AA211" s="19">
        <f>IF($A211="","",$Z211-$X211)</f>
        <v/>
      </c>
      <c r="AB211" s="10">
        <f>IF($A211="","",IF(TRIM(Items!C211&amp;"")="","CHECK: import country missing",IF(OR(LEN($C211)&lt;&gt;10,ISERROR(VALUE($C211))),"CHECK: HTS must be 10 digits",IF(LEN($E211)&lt;&gt;2,"CHECK: origin code missing or not 2 letters",IF(OR(Items!G211="",Items!I211="",Items!J211=""),"CHECK: value, rate or cost missing",IF(ISNUMBER(Items!G211)*ISNUMBER(Items!I211)*ISNUMBER(Items!J211)=0,"CHECK: text in a number column",IF(AND($L211="Y",UPPER(TRIM(act_RateType&amp;""))="REPLACE",$N211&lt;N(act_PriorRate)),"CHECK: current rate is below the rate being replaced",IF(AND($L211="Y",$W211=0),"NOTE: in scope, no volume","OK"))))))))</f>
        <v/>
      </c>
      <c r="AC211" s="20">
        <f>IF($A211="","",IF(AND($L211="Y",$X211&lt;&gt;0),ABS($X211)+ROW()/1000000000,""))</f>
        <v/>
      </c>
    </row>
    <row r="212">
      <c r="A212" s="10">
        <f>IF(TRIM(Items!A212&amp;"")="","",TRIM(Items!A212&amp;""))</f>
        <v/>
      </c>
      <c r="B212" s="10">
        <f>IF($A212="","",Items!B212&amp;"")</f>
        <v/>
      </c>
      <c r="C212" s="10">
        <f>IF($A212="","",SUBSTITUTE(SUBSTITUTE(SUBSTITUTE(TRIM(Items!D212&amp;""),".","")," ",""),"-",""))</f>
        <v/>
      </c>
      <c r="D212" s="10">
        <f>IF($A212="","",LEFT($C212,2))</f>
        <v/>
      </c>
      <c r="E212" s="10">
        <f>IF($A212="","",UPPER(TRIM(Items!E212&amp;"")))</f>
        <v/>
      </c>
      <c r="F212" s="10">
        <f>IF($A212="","",IF(UPPER(TRIM(Items!C212&amp;""))=UPPER(TRIM(act_Country&amp;"")),"Y","N"))</f>
        <v/>
      </c>
      <c r="G212" s="10">
        <f>IF($A212="","",IF(SUMPRODUCT((scope_HTS&lt;&gt;"")*(LEFT($C212,LEN(scope_HTS))=scope_HTS))&gt;0,"Y","N"))</f>
        <v/>
      </c>
      <c r="H212" s="10">
        <f>IF($A212="","",IF(SUMPRODUCT((excl_HTS&lt;&gt;"")*(LEFT($C212,LEN(excl_HTS))=excl_HTS))&gt;0,"Y","N"))</f>
        <v/>
      </c>
      <c r="I212" s="10">
        <f>IF($A212="","",IF($E212="","N",IF(COUNTIF(scope_COO,$E212)&gt;0,"Y","N")))</f>
        <v/>
      </c>
      <c r="J212" s="10">
        <f>IF($A212="","",IF(AND(UPPER(TRIM(act_USMCAExempt&amp;""))="Y",UPPER(TRIM(Items!F212&amp;""))="Y"),"Y","N"))</f>
        <v/>
      </c>
      <c r="K212" s="10">
        <f>IF($A212="","",IFERROR(UPPER(TRIM(INDEX(det_Status,MATCH($A212,det_Item,0))&amp;"")),""))</f>
        <v/>
      </c>
      <c r="L212" s="10">
        <f>IF($A212="","",IF($K212="IN","Y",IF($K212="OUT","N",IF(AND($F212="Y",$G212="Y",$H212="N",$I212="Y",$J212="N"),"Y","N"))))</f>
        <v/>
      </c>
      <c r="M212" s="10">
        <f>IF($A212="","",IF($K212="IN","In: Research determination",IF($K212="OUT","Out: Research determination",IF($F212="N","Out: different import country",IF($G212="N","Out: HTS not on scope list",IF($H212="Y","Out: HTS on exclusion list",IF($I212="N","Out: origin not on scope list",IF($J212="Y","Out: USMCA-qualifying, exempt","In: matches scope rules"))))))))</f>
        <v/>
      </c>
      <c r="N212" s="16">
        <f>IF($A212="","",N(Items!I212))</f>
        <v/>
      </c>
      <c r="O212" s="16">
        <f>IF($A212="","",IF($L212="Y",$N212+N(act_Rate)-IF(UPPER(TRIM(act_RateType&amp;""))="REPLACE",N(act_PriorRate),0),$N212))</f>
        <v/>
      </c>
      <c r="P212" s="17">
        <f>IF($A212="","",N(Items!G212)*$N212)</f>
        <v/>
      </c>
      <c r="Q212" s="17">
        <f>IF($A212="","",N(Items!G212)*$O212)</f>
        <v/>
      </c>
      <c r="R212" s="17">
        <f>IF($A212="","",$Q212-$P212)</f>
        <v/>
      </c>
      <c r="S212" s="17">
        <f>IF($A212="","",N(Items!J212)+$R212)</f>
        <v/>
      </c>
      <c r="T212" s="16">
        <f>IF($A212="","",IF(N(Items!K212)=0,"",(N(Items!K212)-N(Items!J212))/N(Items!K212)))</f>
        <v/>
      </c>
      <c r="U212" s="16">
        <f>IF($A212="","",IF(N(Items!K212)=0,"",(N(Items!K212)-$S212)/N(Items!K212)))</f>
        <v/>
      </c>
      <c r="V212" s="16">
        <f>IF(OR($T212="",$U212=""),"",$U212-$T212)</f>
        <v/>
      </c>
      <c r="W212" s="18">
        <f>IF($A212="","",N(Items!H212))</f>
        <v/>
      </c>
      <c r="X212" s="19">
        <f>IF($A212="","",$R212*$W212)</f>
        <v/>
      </c>
      <c r="Y212" s="19">
        <f>IF($A212="","",N(Items!K212)*$W212)</f>
        <v/>
      </c>
      <c r="Z212" s="19">
        <f>IF($A212="","",(N(Items!K212)-N(Items!J212))*$W212)</f>
        <v/>
      </c>
      <c r="AA212" s="19">
        <f>IF($A212="","",$Z212-$X212)</f>
        <v/>
      </c>
      <c r="AB212" s="10">
        <f>IF($A212="","",IF(TRIM(Items!C212&amp;"")="","CHECK: import country missing",IF(OR(LEN($C212)&lt;&gt;10,ISERROR(VALUE($C212))),"CHECK: HTS must be 10 digits",IF(LEN($E212)&lt;&gt;2,"CHECK: origin code missing or not 2 letters",IF(OR(Items!G212="",Items!I212="",Items!J212=""),"CHECK: value, rate or cost missing",IF(ISNUMBER(Items!G212)*ISNUMBER(Items!I212)*ISNUMBER(Items!J212)=0,"CHECK: text in a number column",IF(AND($L212="Y",UPPER(TRIM(act_RateType&amp;""))="REPLACE",$N212&lt;N(act_PriorRate)),"CHECK: current rate is below the rate being replaced",IF(AND($L212="Y",$W212=0),"NOTE: in scope, no volume","OK"))))))))</f>
        <v/>
      </c>
      <c r="AC212" s="20">
        <f>IF($A212="","",IF(AND($L212="Y",$X212&lt;&gt;0),ABS($X212)+ROW()/1000000000,""))</f>
        <v/>
      </c>
    </row>
    <row r="213">
      <c r="A213" s="10">
        <f>IF(TRIM(Items!A213&amp;"")="","",TRIM(Items!A213&amp;""))</f>
        <v/>
      </c>
      <c r="B213" s="10">
        <f>IF($A213="","",Items!B213&amp;"")</f>
        <v/>
      </c>
      <c r="C213" s="10">
        <f>IF($A213="","",SUBSTITUTE(SUBSTITUTE(SUBSTITUTE(TRIM(Items!D213&amp;""),".","")," ",""),"-",""))</f>
        <v/>
      </c>
      <c r="D213" s="10">
        <f>IF($A213="","",LEFT($C213,2))</f>
        <v/>
      </c>
      <c r="E213" s="10">
        <f>IF($A213="","",UPPER(TRIM(Items!E213&amp;"")))</f>
        <v/>
      </c>
      <c r="F213" s="10">
        <f>IF($A213="","",IF(UPPER(TRIM(Items!C213&amp;""))=UPPER(TRIM(act_Country&amp;"")),"Y","N"))</f>
        <v/>
      </c>
      <c r="G213" s="10">
        <f>IF($A213="","",IF(SUMPRODUCT((scope_HTS&lt;&gt;"")*(LEFT($C213,LEN(scope_HTS))=scope_HTS))&gt;0,"Y","N"))</f>
        <v/>
      </c>
      <c r="H213" s="10">
        <f>IF($A213="","",IF(SUMPRODUCT((excl_HTS&lt;&gt;"")*(LEFT($C213,LEN(excl_HTS))=excl_HTS))&gt;0,"Y","N"))</f>
        <v/>
      </c>
      <c r="I213" s="10">
        <f>IF($A213="","",IF($E213="","N",IF(COUNTIF(scope_COO,$E213)&gt;0,"Y","N")))</f>
        <v/>
      </c>
      <c r="J213" s="10">
        <f>IF($A213="","",IF(AND(UPPER(TRIM(act_USMCAExempt&amp;""))="Y",UPPER(TRIM(Items!F213&amp;""))="Y"),"Y","N"))</f>
        <v/>
      </c>
      <c r="K213" s="10">
        <f>IF($A213="","",IFERROR(UPPER(TRIM(INDEX(det_Status,MATCH($A213,det_Item,0))&amp;"")),""))</f>
        <v/>
      </c>
      <c r="L213" s="10">
        <f>IF($A213="","",IF($K213="IN","Y",IF($K213="OUT","N",IF(AND($F213="Y",$G213="Y",$H213="N",$I213="Y",$J213="N"),"Y","N"))))</f>
        <v/>
      </c>
      <c r="M213" s="10">
        <f>IF($A213="","",IF($K213="IN","In: Research determination",IF($K213="OUT","Out: Research determination",IF($F213="N","Out: different import country",IF($G213="N","Out: HTS not on scope list",IF($H213="Y","Out: HTS on exclusion list",IF($I213="N","Out: origin not on scope list",IF($J213="Y","Out: USMCA-qualifying, exempt","In: matches scope rules"))))))))</f>
        <v/>
      </c>
      <c r="N213" s="16">
        <f>IF($A213="","",N(Items!I213))</f>
        <v/>
      </c>
      <c r="O213" s="16">
        <f>IF($A213="","",IF($L213="Y",$N213+N(act_Rate)-IF(UPPER(TRIM(act_RateType&amp;""))="REPLACE",N(act_PriorRate),0),$N213))</f>
        <v/>
      </c>
      <c r="P213" s="17">
        <f>IF($A213="","",N(Items!G213)*$N213)</f>
        <v/>
      </c>
      <c r="Q213" s="17">
        <f>IF($A213="","",N(Items!G213)*$O213)</f>
        <v/>
      </c>
      <c r="R213" s="17">
        <f>IF($A213="","",$Q213-$P213)</f>
        <v/>
      </c>
      <c r="S213" s="17">
        <f>IF($A213="","",N(Items!J213)+$R213)</f>
        <v/>
      </c>
      <c r="T213" s="16">
        <f>IF($A213="","",IF(N(Items!K213)=0,"",(N(Items!K213)-N(Items!J213))/N(Items!K213)))</f>
        <v/>
      </c>
      <c r="U213" s="16">
        <f>IF($A213="","",IF(N(Items!K213)=0,"",(N(Items!K213)-$S213)/N(Items!K213)))</f>
        <v/>
      </c>
      <c r="V213" s="16">
        <f>IF(OR($T213="",$U213=""),"",$U213-$T213)</f>
        <v/>
      </c>
      <c r="W213" s="18">
        <f>IF($A213="","",N(Items!H213))</f>
        <v/>
      </c>
      <c r="X213" s="19">
        <f>IF($A213="","",$R213*$W213)</f>
        <v/>
      </c>
      <c r="Y213" s="19">
        <f>IF($A213="","",N(Items!K213)*$W213)</f>
        <v/>
      </c>
      <c r="Z213" s="19">
        <f>IF($A213="","",(N(Items!K213)-N(Items!J213))*$W213)</f>
        <v/>
      </c>
      <c r="AA213" s="19">
        <f>IF($A213="","",$Z213-$X213)</f>
        <v/>
      </c>
      <c r="AB213" s="10">
        <f>IF($A213="","",IF(TRIM(Items!C213&amp;"")="","CHECK: import country missing",IF(OR(LEN($C213)&lt;&gt;10,ISERROR(VALUE($C213))),"CHECK: HTS must be 10 digits",IF(LEN($E213)&lt;&gt;2,"CHECK: origin code missing or not 2 letters",IF(OR(Items!G213="",Items!I213="",Items!J213=""),"CHECK: value, rate or cost missing",IF(ISNUMBER(Items!G213)*ISNUMBER(Items!I213)*ISNUMBER(Items!J213)=0,"CHECK: text in a number column",IF(AND($L213="Y",UPPER(TRIM(act_RateType&amp;""))="REPLACE",$N213&lt;N(act_PriorRate)),"CHECK: current rate is below the rate being replaced",IF(AND($L213="Y",$W213=0),"NOTE: in scope, no volume","OK"))))))))</f>
        <v/>
      </c>
      <c r="AC213" s="20">
        <f>IF($A213="","",IF(AND($L213="Y",$X213&lt;&gt;0),ABS($X213)+ROW()/1000000000,""))</f>
        <v/>
      </c>
    </row>
    <row r="214">
      <c r="A214" s="10">
        <f>IF(TRIM(Items!A214&amp;"")="","",TRIM(Items!A214&amp;""))</f>
        <v/>
      </c>
      <c r="B214" s="10">
        <f>IF($A214="","",Items!B214&amp;"")</f>
        <v/>
      </c>
      <c r="C214" s="10">
        <f>IF($A214="","",SUBSTITUTE(SUBSTITUTE(SUBSTITUTE(TRIM(Items!D214&amp;""),".","")," ",""),"-",""))</f>
        <v/>
      </c>
      <c r="D214" s="10">
        <f>IF($A214="","",LEFT($C214,2))</f>
        <v/>
      </c>
      <c r="E214" s="10">
        <f>IF($A214="","",UPPER(TRIM(Items!E214&amp;"")))</f>
        <v/>
      </c>
      <c r="F214" s="10">
        <f>IF($A214="","",IF(UPPER(TRIM(Items!C214&amp;""))=UPPER(TRIM(act_Country&amp;"")),"Y","N"))</f>
        <v/>
      </c>
      <c r="G214" s="10">
        <f>IF($A214="","",IF(SUMPRODUCT((scope_HTS&lt;&gt;"")*(LEFT($C214,LEN(scope_HTS))=scope_HTS))&gt;0,"Y","N"))</f>
        <v/>
      </c>
      <c r="H214" s="10">
        <f>IF($A214="","",IF(SUMPRODUCT((excl_HTS&lt;&gt;"")*(LEFT($C214,LEN(excl_HTS))=excl_HTS))&gt;0,"Y","N"))</f>
        <v/>
      </c>
      <c r="I214" s="10">
        <f>IF($A214="","",IF($E214="","N",IF(COUNTIF(scope_COO,$E214)&gt;0,"Y","N")))</f>
        <v/>
      </c>
      <c r="J214" s="10">
        <f>IF($A214="","",IF(AND(UPPER(TRIM(act_USMCAExempt&amp;""))="Y",UPPER(TRIM(Items!F214&amp;""))="Y"),"Y","N"))</f>
        <v/>
      </c>
      <c r="K214" s="10">
        <f>IF($A214="","",IFERROR(UPPER(TRIM(INDEX(det_Status,MATCH($A214,det_Item,0))&amp;"")),""))</f>
        <v/>
      </c>
      <c r="L214" s="10">
        <f>IF($A214="","",IF($K214="IN","Y",IF($K214="OUT","N",IF(AND($F214="Y",$G214="Y",$H214="N",$I214="Y",$J214="N"),"Y","N"))))</f>
        <v/>
      </c>
      <c r="M214" s="10">
        <f>IF($A214="","",IF($K214="IN","In: Research determination",IF($K214="OUT","Out: Research determination",IF($F214="N","Out: different import country",IF($G214="N","Out: HTS not on scope list",IF($H214="Y","Out: HTS on exclusion list",IF($I214="N","Out: origin not on scope list",IF($J214="Y","Out: USMCA-qualifying, exempt","In: matches scope rules"))))))))</f>
        <v/>
      </c>
      <c r="N214" s="16">
        <f>IF($A214="","",N(Items!I214))</f>
        <v/>
      </c>
      <c r="O214" s="16">
        <f>IF($A214="","",IF($L214="Y",$N214+N(act_Rate)-IF(UPPER(TRIM(act_RateType&amp;""))="REPLACE",N(act_PriorRate),0),$N214))</f>
        <v/>
      </c>
      <c r="P214" s="17">
        <f>IF($A214="","",N(Items!G214)*$N214)</f>
        <v/>
      </c>
      <c r="Q214" s="17">
        <f>IF($A214="","",N(Items!G214)*$O214)</f>
        <v/>
      </c>
      <c r="R214" s="17">
        <f>IF($A214="","",$Q214-$P214)</f>
        <v/>
      </c>
      <c r="S214" s="17">
        <f>IF($A214="","",N(Items!J214)+$R214)</f>
        <v/>
      </c>
      <c r="T214" s="16">
        <f>IF($A214="","",IF(N(Items!K214)=0,"",(N(Items!K214)-N(Items!J214))/N(Items!K214)))</f>
        <v/>
      </c>
      <c r="U214" s="16">
        <f>IF($A214="","",IF(N(Items!K214)=0,"",(N(Items!K214)-$S214)/N(Items!K214)))</f>
        <v/>
      </c>
      <c r="V214" s="16">
        <f>IF(OR($T214="",$U214=""),"",$U214-$T214)</f>
        <v/>
      </c>
      <c r="W214" s="18">
        <f>IF($A214="","",N(Items!H214))</f>
        <v/>
      </c>
      <c r="X214" s="19">
        <f>IF($A214="","",$R214*$W214)</f>
        <v/>
      </c>
      <c r="Y214" s="19">
        <f>IF($A214="","",N(Items!K214)*$W214)</f>
        <v/>
      </c>
      <c r="Z214" s="19">
        <f>IF($A214="","",(N(Items!K214)-N(Items!J214))*$W214)</f>
        <v/>
      </c>
      <c r="AA214" s="19">
        <f>IF($A214="","",$Z214-$X214)</f>
        <v/>
      </c>
      <c r="AB214" s="10">
        <f>IF($A214="","",IF(TRIM(Items!C214&amp;"")="","CHECK: import country missing",IF(OR(LEN($C214)&lt;&gt;10,ISERROR(VALUE($C214))),"CHECK: HTS must be 10 digits",IF(LEN($E214)&lt;&gt;2,"CHECK: origin code missing or not 2 letters",IF(OR(Items!G214="",Items!I214="",Items!J214=""),"CHECK: value, rate or cost missing",IF(ISNUMBER(Items!G214)*ISNUMBER(Items!I214)*ISNUMBER(Items!J214)=0,"CHECK: text in a number column",IF(AND($L214="Y",UPPER(TRIM(act_RateType&amp;""))="REPLACE",$N214&lt;N(act_PriorRate)),"CHECK: current rate is below the rate being replaced",IF(AND($L214="Y",$W214=0),"NOTE: in scope, no volume","OK"))))))))</f>
        <v/>
      </c>
      <c r="AC214" s="20">
        <f>IF($A214="","",IF(AND($L214="Y",$X214&lt;&gt;0),ABS($X214)+ROW()/1000000000,""))</f>
        <v/>
      </c>
    </row>
    <row r="215">
      <c r="A215" s="10">
        <f>IF(TRIM(Items!A215&amp;"")="","",TRIM(Items!A215&amp;""))</f>
        <v/>
      </c>
      <c r="B215" s="10">
        <f>IF($A215="","",Items!B215&amp;"")</f>
        <v/>
      </c>
      <c r="C215" s="10">
        <f>IF($A215="","",SUBSTITUTE(SUBSTITUTE(SUBSTITUTE(TRIM(Items!D215&amp;""),".","")," ",""),"-",""))</f>
        <v/>
      </c>
      <c r="D215" s="10">
        <f>IF($A215="","",LEFT($C215,2))</f>
        <v/>
      </c>
      <c r="E215" s="10">
        <f>IF($A215="","",UPPER(TRIM(Items!E215&amp;"")))</f>
        <v/>
      </c>
      <c r="F215" s="10">
        <f>IF($A215="","",IF(UPPER(TRIM(Items!C215&amp;""))=UPPER(TRIM(act_Country&amp;"")),"Y","N"))</f>
        <v/>
      </c>
      <c r="G215" s="10">
        <f>IF($A215="","",IF(SUMPRODUCT((scope_HTS&lt;&gt;"")*(LEFT($C215,LEN(scope_HTS))=scope_HTS))&gt;0,"Y","N"))</f>
        <v/>
      </c>
      <c r="H215" s="10">
        <f>IF($A215="","",IF(SUMPRODUCT((excl_HTS&lt;&gt;"")*(LEFT($C215,LEN(excl_HTS))=excl_HTS))&gt;0,"Y","N"))</f>
        <v/>
      </c>
      <c r="I215" s="10">
        <f>IF($A215="","",IF($E215="","N",IF(COUNTIF(scope_COO,$E215)&gt;0,"Y","N")))</f>
        <v/>
      </c>
      <c r="J215" s="10">
        <f>IF($A215="","",IF(AND(UPPER(TRIM(act_USMCAExempt&amp;""))="Y",UPPER(TRIM(Items!F215&amp;""))="Y"),"Y","N"))</f>
        <v/>
      </c>
      <c r="K215" s="10">
        <f>IF($A215="","",IFERROR(UPPER(TRIM(INDEX(det_Status,MATCH($A215,det_Item,0))&amp;"")),""))</f>
        <v/>
      </c>
      <c r="L215" s="10">
        <f>IF($A215="","",IF($K215="IN","Y",IF($K215="OUT","N",IF(AND($F215="Y",$G215="Y",$H215="N",$I215="Y",$J215="N"),"Y","N"))))</f>
        <v/>
      </c>
      <c r="M215" s="10">
        <f>IF($A215="","",IF($K215="IN","In: Research determination",IF($K215="OUT","Out: Research determination",IF($F215="N","Out: different import country",IF($G215="N","Out: HTS not on scope list",IF($H215="Y","Out: HTS on exclusion list",IF($I215="N","Out: origin not on scope list",IF($J215="Y","Out: USMCA-qualifying, exempt","In: matches scope rules"))))))))</f>
        <v/>
      </c>
      <c r="N215" s="16">
        <f>IF($A215="","",N(Items!I215))</f>
        <v/>
      </c>
      <c r="O215" s="16">
        <f>IF($A215="","",IF($L215="Y",$N215+N(act_Rate)-IF(UPPER(TRIM(act_RateType&amp;""))="REPLACE",N(act_PriorRate),0),$N215))</f>
        <v/>
      </c>
      <c r="P215" s="17">
        <f>IF($A215="","",N(Items!G215)*$N215)</f>
        <v/>
      </c>
      <c r="Q215" s="17">
        <f>IF($A215="","",N(Items!G215)*$O215)</f>
        <v/>
      </c>
      <c r="R215" s="17">
        <f>IF($A215="","",$Q215-$P215)</f>
        <v/>
      </c>
      <c r="S215" s="17">
        <f>IF($A215="","",N(Items!J215)+$R215)</f>
        <v/>
      </c>
      <c r="T215" s="16">
        <f>IF($A215="","",IF(N(Items!K215)=0,"",(N(Items!K215)-N(Items!J215))/N(Items!K215)))</f>
        <v/>
      </c>
      <c r="U215" s="16">
        <f>IF($A215="","",IF(N(Items!K215)=0,"",(N(Items!K215)-$S215)/N(Items!K215)))</f>
        <v/>
      </c>
      <c r="V215" s="16">
        <f>IF(OR($T215="",$U215=""),"",$U215-$T215)</f>
        <v/>
      </c>
      <c r="W215" s="18">
        <f>IF($A215="","",N(Items!H215))</f>
        <v/>
      </c>
      <c r="X215" s="19">
        <f>IF($A215="","",$R215*$W215)</f>
        <v/>
      </c>
      <c r="Y215" s="19">
        <f>IF($A215="","",N(Items!K215)*$W215)</f>
        <v/>
      </c>
      <c r="Z215" s="19">
        <f>IF($A215="","",(N(Items!K215)-N(Items!J215))*$W215)</f>
        <v/>
      </c>
      <c r="AA215" s="19">
        <f>IF($A215="","",$Z215-$X215)</f>
        <v/>
      </c>
      <c r="AB215" s="10">
        <f>IF($A215="","",IF(TRIM(Items!C215&amp;"")="","CHECK: import country missing",IF(OR(LEN($C215)&lt;&gt;10,ISERROR(VALUE($C215))),"CHECK: HTS must be 10 digits",IF(LEN($E215)&lt;&gt;2,"CHECK: origin code missing or not 2 letters",IF(OR(Items!G215="",Items!I215="",Items!J215=""),"CHECK: value, rate or cost missing",IF(ISNUMBER(Items!G215)*ISNUMBER(Items!I215)*ISNUMBER(Items!J215)=0,"CHECK: text in a number column",IF(AND($L215="Y",UPPER(TRIM(act_RateType&amp;""))="REPLACE",$N215&lt;N(act_PriorRate)),"CHECK: current rate is below the rate being replaced",IF(AND($L215="Y",$W215=0),"NOTE: in scope, no volume","OK"))))))))</f>
        <v/>
      </c>
      <c r="AC215" s="20">
        <f>IF($A215="","",IF(AND($L215="Y",$X215&lt;&gt;0),ABS($X215)+ROW()/1000000000,""))</f>
        <v/>
      </c>
    </row>
    <row r="216">
      <c r="A216" s="10">
        <f>IF(TRIM(Items!A216&amp;"")="","",TRIM(Items!A216&amp;""))</f>
        <v/>
      </c>
      <c r="B216" s="10">
        <f>IF($A216="","",Items!B216&amp;"")</f>
        <v/>
      </c>
      <c r="C216" s="10">
        <f>IF($A216="","",SUBSTITUTE(SUBSTITUTE(SUBSTITUTE(TRIM(Items!D216&amp;""),".","")," ",""),"-",""))</f>
        <v/>
      </c>
      <c r="D216" s="10">
        <f>IF($A216="","",LEFT($C216,2))</f>
        <v/>
      </c>
      <c r="E216" s="10">
        <f>IF($A216="","",UPPER(TRIM(Items!E216&amp;"")))</f>
        <v/>
      </c>
      <c r="F216" s="10">
        <f>IF($A216="","",IF(UPPER(TRIM(Items!C216&amp;""))=UPPER(TRIM(act_Country&amp;"")),"Y","N"))</f>
        <v/>
      </c>
      <c r="G216" s="10">
        <f>IF($A216="","",IF(SUMPRODUCT((scope_HTS&lt;&gt;"")*(LEFT($C216,LEN(scope_HTS))=scope_HTS))&gt;0,"Y","N"))</f>
        <v/>
      </c>
      <c r="H216" s="10">
        <f>IF($A216="","",IF(SUMPRODUCT((excl_HTS&lt;&gt;"")*(LEFT($C216,LEN(excl_HTS))=excl_HTS))&gt;0,"Y","N"))</f>
        <v/>
      </c>
      <c r="I216" s="10">
        <f>IF($A216="","",IF($E216="","N",IF(COUNTIF(scope_COO,$E216)&gt;0,"Y","N")))</f>
        <v/>
      </c>
      <c r="J216" s="10">
        <f>IF($A216="","",IF(AND(UPPER(TRIM(act_USMCAExempt&amp;""))="Y",UPPER(TRIM(Items!F216&amp;""))="Y"),"Y","N"))</f>
        <v/>
      </c>
      <c r="K216" s="10">
        <f>IF($A216="","",IFERROR(UPPER(TRIM(INDEX(det_Status,MATCH($A216,det_Item,0))&amp;"")),""))</f>
        <v/>
      </c>
      <c r="L216" s="10">
        <f>IF($A216="","",IF($K216="IN","Y",IF($K216="OUT","N",IF(AND($F216="Y",$G216="Y",$H216="N",$I216="Y",$J216="N"),"Y","N"))))</f>
        <v/>
      </c>
      <c r="M216" s="10">
        <f>IF($A216="","",IF($K216="IN","In: Research determination",IF($K216="OUT","Out: Research determination",IF($F216="N","Out: different import country",IF($G216="N","Out: HTS not on scope list",IF($H216="Y","Out: HTS on exclusion list",IF($I216="N","Out: origin not on scope list",IF($J216="Y","Out: USMCA-qualifying, exempt","In: matches scope rules"))))))))</f>
        <v/>
      </c>
      <c r="N216" s="16">
        <f>IF($A216="","",N(Items!I216))</f>
        <v/>
      </c>
      <c r="O216" s="16">
        <f>IF($A216="","",IF($L216="Y",$N216+N(act_Rate)-IF(UPPER(TRIM(act_RateType&amp;""))="REPLACE",N(act_PriorRate),0),$N216))</f>
        <v/>
      </c>
      <c r="P216" s="17">
        <f>IF($A216="","",N(Items!G216)*$N216)</f>
        <v/>
      </c>
      <c r="Q216" s="17">
        <f>IF($A216="","",N(Items!G216)*$O216)</f>
        <v/>
      </c>
      <c r="R216" s="17">
        <f>IF($A216="","",$Q216-$P216)</f>
        <v/>
      </c>
      <c r="S216" s="17">
        <f>IF($A216="","",N(Items!J216)+$R216)</f>
        <v/>
      </c>
      <c r="T216" s="16">
        <f>IF($A216="","",IF(N(Items!K216)=0,"",(N(Items!K216)-N(Items!J216))/N(Items!K216)))</f>
        <v/>
      </c>
      <c r="U216" s="16">
        <f>IF($A216="","",IF(N(Items!K216)=0,"",(N(Items!K216)-$S216)/N(Items!K216)))</f>
        <v/>
      </c>
      <c r="V216" s="16">
        <f>IF(OR($T216="",$U216=""),"",$U216-$T216)</f>
        <v/>
      </c>
      <c r="W216" s="18">
        <f>IF($A216="","",N(Items!H216))</f>
        <v/>
      </c>
      <c r="X216" s="19">
        <f>IF($A216="","",$R216*$W216)</f>
        <v/>
      </c>
      <c r="Y216" s="19">
        <f>IF($A216="","",N(Items!K216)*$W216)</f>
        <v/>
      </c>
      <c r="Z216" s="19">
        <f>IF($A216="","",(N(Items!K216)-N(Items!J216))*$W216)</f>
        <v/>
      </c>
      <c r="AA216" s="19">
        <f>IF($A216="","",$Z216-$X216)</f>
        <v/>
      </c>
      <c r="AB216" s="10">
        <f>IF($A216="","",IF(TRIM(Items!C216&amp;"")="","CHECK: import country missing",IF(OR(LEN($C216)&lt;&gt;10,ISERROR(VALUE($C216))),"CHECK: HTS must be 10 digits",IF(LEN($E216)&lt;&gt;2,"CHECK: origin code missing or not 2 letters",IF(OR(Items!G216="",Items!I216="",Items!J216=""),"CHECK: value, rate or cost missing",IF(ISNUMBER(Items!G216)*ISNUMBER(Items!I216)*ISNUMBER(Items!J216)=0,"CHECK: text in a number column",IF(AND($L216="Y",UPPER(TRIM(act_RateType&amp;""))="REPLACE",$N216&lt;N(act_PriorRate)),"CHECK: current rate is below the rate being replaced",IF(AND($L216="Y",$W216=0),"NOTE: in scope, no volume","OK"))))))))</f>
        <v/>
      </c>
      <c r="AC216" s="20">
        <f>IF($A216="","",IF(AND($L216="Y",$X216&lt;&gt;0),ABS($X216)+ROW()/1000000000,""))</f>
        <v/>
      </c>
    </row>
    <row r="217">
      <c r="A217" s="10">
        <f>IF(TRIM(Items!A217&amp;"")="","",TRIM(Items!A217&amp;""))</f>
        <v/>
      </c>
      <c r="B217" s="10">
        <f>IF($A217="","",Items!B217&amp;"")</f>
        <v/>
      </c>
      <c r="C217" s="10">
        <f>IF($A217="","",SUBSTITUTE(SUBSTITUTE(SUBSTITUTE(TRIM(Items!D217&amp;""),".","")," ",""),"-",""))</f>
        <v/>
      </c>
      <c r="D217" s="10">
        <f>IF($A217="","",LEFT($C217,2))</f>
        <v/>
      </c>
      <c r="E217" s="10">
        <f>IF($A217="","",UPPER(TRIM(Items!E217&amp;"")))</f>
        <v/>
      </c>
      <c r="F217" s="10">
        <f>IF($A217="","",IF(UPPER(TRIM(Items!C217&amp;""))=UPPER(TRIM(act_Country&amp;"")),"Y","N"))</f>
        <v/>
      </c>
      <c r="G217" s="10">
        <f>IF($A217="","",IF(SUMPRODUCT((scope_HTS&lt;&gt;"")*(LEFT($C217,LEN(scope_HTS))=scope_HTS))&gt;0,"Y","N"))</f>
        <v/>
      </c>
      <c r="H217" s="10">
        <f>IF($A217="","",IF(SUMPRODUCT((excl_HTS&lt;&gt;"")*(LEFT($C217,LEN(excl_HTS))=excl_HTS))&gt;0,"Y","N"))</f>
        <v/>
      </c>
      <c r="I217" s="10">
        <f>IF($A217="","",IF($E217="","N",IF(COUNTIF(scope_COO,$E217)&gt;0,"Y","N")))</f>
        <v/>
      </c>
      <c r="J217" s="10">
        <f>IF($A217="","",IF(AND(UPPER(TRIM(act_USMCAExempt&amp;""))="Y",UPPER(TRIM(Items!F217&amp;""))="Y"),"Y","N"))</f>
        <v/>
      </c>
      <c r="K217" s="10">
        <f>IF($A217="","",IFERROR(UPPER(TRIM(INDEX(det_Status,MATCH($A217,det_Item,0))&amp;"")),""))</f>
        <v/>
      </c>
      <c r="L217" s="10">
        <f>IF($A217="","",IF($K217="IN","Y",IF($K217="OUT","N",IF(AND($F217="Y",$G217="Y",$H217="N",$I217="Y",$J217="N"),"Y","N"))))</f>
        <v/>
      </c>
      <c r="M217" s="10">
        <f>IF($A217="","",IF($K217="IN","In: Research determination",IF($K217="OUT","Out: Research determination",IF($F217="N","Out: different import country",IF($G217="N","Out: HTS not on scope list",IF($H217="Y","Out: HTS on exclusion list",IF($I217="N","Out: origin not on scope list",IF($J217="Y","Out: USMCA-qualifying, exempt","In: matches scope rules"))))))))</f>
        <v/>
      </c>
      <c r="N217" s="16">
        <f>IF($A217="","",N(Items!I217))</f>
        <v/>
      </c>
      <c r="O217" s="16">
        <f>IF($A217="","",IF($L217="Y",$N217+N(act_Rate)-IF(UPPER(TRIM(act_RateType&amp;""))="REPLACE",N(act_PriorRate),0),$N217))</f>
        <v/>
      </c>
      <c r="P217" s="17">
        <f>IF($A217="","",N(Items!G217)*$N217)</f>
        <v/>
      </c>
      <c r="Q217" s="17">
        <f>IF($A217="","",N(Items!G217)*$O217)</f>
        <v/>
      </c>
      <c r="R217" s="17">
        <f>IF($A217="","",$Q217-$P217)</f>
        <v/>
      </c>
      <c r="S217" s="17">
        <f>IF($A217="","",N(Items!J217)+$R217)</f>
        <v/>
      </c>
      <c r="T217" s="16">
        <f>IF($A217="","",IF(N(Items!K217)=0,"",(N(Items!K217)-N(Items!J217))/N(Items!K217)))</f>
        <v/>
      </c>
      <c r="U217" s="16">
        <f>IF($A217="","",IF(N(Items!K217)=0,"",(N(Items!K217)-$S217)/N(Items!K217)))</f>
        <v/>
      </c>
      <c r="V217" s="16">
        <f>IF(OR($T217="",$U217=""),"",$U217-$T217)</f>
        <v/>
      </c>
      <c r="W217" s="18">
        <f>IF($A217="","",N(Items!H217))</f>
        <v/>
      </c>
      <c r="X217" s="19">
        <f>IF($A217="","",$R217*$W217)</f>
        <v/>
      </c>
      <c r="Y217" s="19">
        <f>IF($A217="","",N(Items!K217)*$W217)</f>
        <v/>
      </c>
      <c r="Z217" s="19">
        <f>IF($A217="","",(N(Items!K217)-N(Items!J217))*$W217)</f>
        <v/>
      </c>
      <c r="AA217" s="19">
        <f>IF($A217="","",$Z217-$X217)</f>
        <v/>
      </c>
      <c r="AB217" s="10">
        <f>IF($A217="","",IF(TRIM(Items!C217&amp;"")="","CHECK: import country missing",IF(OR(LEN($C217)&lt;&gt;10,ISERROR(VALUE($C217))),"CHECK: HTS must be 10 digits",IF(LEN($E217)&lt;&gt;2,"CHECK: origin code missing or not 2 letters",IF(OR(Items!G217="",Items!I217="",Items!J217=""),"CHECK: value, rate or cost missing",IF(ISNUMBER(Items!G217)*ISNUMBER(Items!I217)*ISNUMBER(Items!J217)=0,"CHECK: text in a number column",IF(AND($L217="Y",UPPER(TRIM(act_RateType&amp;""))="REPLACE",$N217&lt;N(act_PriorRate)),"CHECK: current rate is below the rate being replaced",IF(AND($L217="Y",$W217=0),"NOTE: in scope, no volume","OK"))))))))</f>
        <v/>
      </c>
      <c r="AC217" s="20">
        <f>IF($A217="","",IF(AND($L217="Y",$X217&lt;&gt;0),ABS($X217)+ROW()/1000000000,""))</f>
        <v/>
      </c>
    </row>
    <row r="218">
      <c r="A218" s="10">
        <f>IF(TRIM(Items!A218&amp;"")="","",TRIM(Items!A218&amp;""))</f>
        <v/>
      </c>
      <c r="B218" s="10">
        <f>IF($A218="","",Items!B218&amp;"")</f>
        <v/>
      </c>
      <c r="C218" s="10">
        <f>IF($A218="","",SUBSTITUTE(SUBSTITUTE(SUBSTITUTE(TRIM(Items!D218&amp;""),".","")," ",""),"-",""))</f>
        <v/>
      </c>
      <c r="D218" s="10">
        <f>IF($A218="","",LEFT($C218,2))</f>
        <v/>
      </c>
      <c r="E218" s="10">
        <f>IF($A218="","",UPPER(TRIM(Items!E218&amp;"")))</f>
        <v/>
      </c>
      <c r="F218" s="10">
        <f>IF($A218="","",IF(UPPER(TRIM(Items!C218&amp;""))=UPPER(TRIM(act_Country&amp;"")),"Y","N"))</f>
        <v/>
      </c>
      <c r="G218" s="10">
        <f>IF($A218="","",IF(SUMPRODUCT((scope_HTS&lt;&gt;"")*(LEFT($C218,LEN(scope_HTS))=scope_HTS))&gt;0,"Y","N"))</f>
        <v/>
      </c>
      <c r="H218" s="10">
        <f>IF($A218="","",IF(SUMPRODUCT((excl_HTS&lt;&gt;"")*(LEFT($C218,LEN(excl_HTS))=excl_HTS))&gt;0,"Y","N"))</f>
        <v/>
      </c>
      <c r="I218" s="10">
        <f>IF($A218="","",IF($E218="","N",IF(COUNTIF(scope_COO,$E218)&gt;0,"Y","N")))</f>
        <v/>
      </c>
      <c r="J218" s="10">
        <f>IF($A218="","",IF(AND(UPPER(TRIM(act_USMCAExempt&amp;""))="Y",UPPER(TRIM(Items!F218&amp;""))="Y"),"Y","N"))</f>
        <v/>
      </c>
      <c r="K218" s="10">
        <f>IF($A218="","",IFERROR(UPPER(TRIM(INDEX(det_Status,MATCH($A218,det_Item,0))&amp;"")),""))</f>
        <v/>
      </c>
      <c r="L218" s="10">
        <f>IF($A218="","",IF($K218="IN","Y",IF($K218="OUT","N",IF(AND($F218="Y",$G218="Y",$H218="N",$I218="Y",$J218="N"),"Y","N"))))</f>
        <v/>
      </c>
      <c r="M218" s="10">
        <f>IF($A218="","",IF($K218="IN","In: Research determination",IF($K218="OUT","Out: Research determination",IF($F218="N","Out: different import country",IF($G218="N","Out: HTS not on scope list",IF($H218="Y","Out: HTS on exclusion list",IF($I218="N","Out: origin not on scope list",IF($J218="Y","Out: USMCA-qualifying, exempt","In: matches scope rules"))))))))</f>
        <v/>
      </c>
      <c r="N218" s="16">
        <f>IF($A218="","",N(Items!I218))</f>
        <v/>
      </c>
      <c r="O218" s="16">
        <f>IF($A218="","",IF($L218="Y",$N218+N(act_Rate)-IF(UPPER(TRIM(act_RateType&amp;""))="REPLACE",N(act_PriorRate),0),$N218))</f>
        <v/>
      </c>
      <c r="P218" s="17">
        <f>IF($A218="","",N(Items!G218)*$N218)</f>
        <v/>
      </c>
      <c r="Q218" s="17">
        <f>IF($A218="","",N(Items!G218)*$O218)</f>
        <v/>
      </c>
      <c r="R218" s="17">
        <f>IF($A218="","",$Q218-$P218)</f>
        <v/>
      </c>
      <c r="S218" s="17">
        <f>IF($A218="","",N(Items!J218)+$R218)</f>
        <v/>
      </c>
      <c r="T218" s="16">
        <f>IF($A218="","",IF(N(Items!K218)=0,"",(N(Items!K218)-N(Items!J218))/N(Items!K218)))</f>
        <v/>
      </c>
      <c r="U218" s="16">
        <f>IF($A218="","",IF(N(Items!K218)=0,"",(N(Items!K218)-$S218)/N(Items!K218)))</f>
        <v/>
      </c>
      <c r="V218" s="16">
        <f>IF(OR($T218="",$U218=""),"",$U218-$T218)</f>
        <v/>
      </c>
      <c r="W218" s="18">
        <f>IF($A218="","",N(Items!H218))</f>
        <v/>
      </c>
      <c r="X218" s="19">
        <f>IF($A218="","",$R218*$W218)</f>
        <v/>
      </c>
      <c r="Y218" s="19">
        <f>IF($A218="","",N(Items!K218)*$W218)</f>
        <v/>
      </c>
      <c r="Z218" s="19">
        <f>IF($A218="","",(N(Items!K218)-N(Items!J218))*$W218)</f>
        <v/>
      </c>
      <c r="AA218" s="19">
        <f>IF($A218="","",$Z218-$X218)</f>
        <v/>
      </c>
      <c r="AB218" s="10">
        <f>IF($A218="","",IF(TRIM(Items!C218&amp;"")="","CHECK: import country missing",IF(OR(LEN($C218)&lt;&gt;10,ISERROR(VALUE($C218))),"CHECK: HTS must be 10 digits",IF(LEN($E218)&lt;&gt;2,"CHECK: origin code missing or not 2 letters",IF(OR(Items!G218="",Items!I218="",Items!J218=""),"CHECK: value, rate or cost missing",IF(ISNUMBER(Items!G218)*ISNUMBER(Items!I218)*ISNUMBER(Items!J218)=0,"CHECK: text in a number column",IF(AND($L218="Y",UPPER(TRIM(act_RateType&amp;""))="REPLACE",$N218&lt;N(act_PriorRate)),"CHECK: current rate is below the rate being replaced",IF(AND($L218="Y",$W218=0),"NOTE: in scope, no volume","OK"))))))))</f>
        <v/>
      </c>
      <c r="AC218" s="20">
        <f>IF($A218="","",IF(AND($L218="Y",$X218&lt;&gt;0),ABS($X218)+ROW()/1000000000,""))</f>
        <v/>
      </c>
    </row>
    <row r="219">
      <c r="A219" s="10">
        <f>IF(TRIM(Items!A219&amp;"")="","",TRIM(Items!A219&amp;""))</f>
        <v/>
      </c>
      <c r="B219" s="10">
        <f>IF($A219="","",Items!B219&amp;"")</f>
        <v/>
      </c>
      <c r="C219" s="10">
        <f>IF($A219="","",SUBSTITUTE(SUBSTITUTE(SUBSTITUTE(TRIM(Items!D219&amp;""),".","")," ",""),"-",""))</f>
        <v/>
      </c>
      <c r="D219" s="10">
        <f>IF($A219="","",LEFT($C219,2))</f>
        <v/>
      </c>
      <c r="E219" s="10">
        <f>IF($A219="","",UPPER(TRIM(Items!E219&amp;"")))</f>
        <v/>
      </c>
      <c r="F219" s="10">
        <f>IF($A219="","",IF(UPPER(TRIM(Items!C219&amp;""))=UPPER(TRIM(act_Country&amp;"")),"Y","N"))</f>
        <v/>
      </c>
      <c r="G219" s="10">
        <f>IF($A219="","",IF(SUMPRODUCT((scope_HTS&lt;&gt;"")*(LEFT($C219,LEN(scope_HTS))=scope_HTS))&gt;0,"Y","N"))</f>
        <v/>
      </c>
      <c r="H219" s="10">
        <f>IF($A219="","",IF(SUMPRODUCT((excl_HTS&lt;&gt;"")*(LEFT($C219,LEN(excl_HTS))=excl_HTS))&gt;0,"Y","N"))</f>
        <v/>
      </c>
      <c r="I219" s="10">
        <f>IF($A219="","",IF($E219="","N",IF(COUNTIF(scope_COO,$E219)&gt;0,"Y","N")))</f>
        <v/>
      </c>
      <c r="J219" s="10">
        <f>IF($A219="","",IF(AND(UPPER(TRIM(act_USMCAExempt&amp;""))="Y",UPPER(TRIM(Items!F219&amp;""))="Y"),"Y","N"))</f>
        <v/>
      </c>
      <c r="K219" s="10">
        <f>IF($A219="","",IFERROR(UPPER(TRIM(INDEX(det_Status,MATCH($A219,det_Item,0))&amp;"")),""))</f>
        <v/>
      </c>
      <c r="L219" s="10">
        <f>IF($A219="","",IF($K219="IN","Y",IF($K219="OUT","N",IF(AND($F219="Y",$G219="Y",$H219="N",$I219="Y",$J219="N"),"Y","N"))))</f>
        <v/>
      </c>
      <c r="M219" s="10">
        <f>IF($A219="","",IF($K219="IN","In: Research determination",IF($K219="OUT","Out: Research determination",IF($F219="N","Out: different import country",IF($G219="N","Out: HTS not on scope list",IF($H219="Y","Out: HTS on exclusion list",IF($I219="N","Out: origin not on scope list",IF($J219="Y","Out: USMCA-qualifying, exempt","In: matches scope rules"))))))))</f>
        <v/>
      </c>
      <c r="N219" s="16">
        <f>IF($A219="","",N(Items!I219))</f>
        <v/>
      </c>
      <c r="O219" s="16">
        <f>IF($A219="","",IF($L219="Y",$N219+N(act_Rate)-IF(UPPER(TRIM(act_RateType&amp;""))="REPLACE",N(act_PriorRate),0),$N219))</f>
        <v/>
      </c>
      <c r="P219" s="17">
        <f>IF($A219="","",N(Items!G219)*$N219)</f>
        <v/>
      </c>
      <c r="Q219" s="17">
        <f>IF($A219="","",N(Items!G219)*$O219)</f>
        <v/>
      </c>
      <c r="R219" s="17">
        <f>IF($A219="","",$Q219-$P219)</f>
        <v/>
      </c>
      <c r="S219" s="17">
        <f>IF($A219="","",N(Items!J219)+$R219)</f>
        <v/>
      </c>
      <c r="T219" s="16">
        <f>IF($A219="","",IF(N(Items!K219)=0,"",(N(Items!K219)-N(Items!J219))/N(Items!K219)))</f>
        <v/>
      </c>
      <c r="U219" s="16">
        <f>IF($A219="","",IF(N(Items!K219)=0,"",(N(Items!K219)-$S219)/N(Items!K219)))</f>
        <v/>
      </c>
      <c r="V219" s="16">
        <f>IF(OR($T219="",$U219=""),"",$U219-$T219)</f>
        <v/>
      </c>
      <c r="W219" s="18">
        <f>IF($A219="","",N(Items!H219))</f>
        <v/>
      </c>
      <c r="X219" s="19">
        <f>IF($A219="","",$R219*$W219)</f>
        <v/>
      </c>
      <c r="Y219" s="19">
        <f>IF($A219="","",N(Items!K219)*$W219)</f>
        <v/>
      </c>
      <c r="Z219" s="19">
        <f>IF($A219="","",(N(Items!K219)-N(Items!J219))*$W219)</f>
        <v/>
      </c>
      <c r="AA219" s="19">
        <f>IF($A219="","",$Z219-$X219)</f>
        <v/>
      </c>
      <c r="AB219" s="10">
        <f>IF($A219="","",IF(TRIM(Items!C219&amp;"")="","CHECK: import country missing",IF(OR(LEN($C219)&lt;&gt;10,ISERROR(VALUE($C219))),"CHECK: HTS must be 10 digits",IF(LEN($E219)&lt;&gt;2,"CHECK: origin code missing or not 2 letters",IF(OR(Items!G219="",Items!I219="",Items!J219=""),"CHECK: value, rate or cost missing",IF(ISNUMBER(Items!G219)*ISNUMBER(Items!I219)*ISNUMBER(Items!J219)=0,"CHECK: text in a number column",IF(AND($L219="Y",UPPER(TRIM(act_RateType&amp;""))="REPLACE",$N219&lt;N(act_PriorRate)),"CHECK: current rate is below the rate being replaced",IF(AND($L219="Y",$W219=0),"NOTE: in scope, no volume","OK"))))))))</f>
        <v/>
      </c>
      <c r="AC219" s="20">
        <f>IF($A219="","",IF(AND($L219="Y",$X219&lt;&gt;0),ABS($X219)+ROW()/1000000000,""))</f>
        <v/>
      </c>
    </row>
    <row r="220">
      <c r="A220" s="10">
        <f>IF(TRIM(Items!A220&amp;"")="","",TRIM(Items!A220&amp;""))</f>
        <v/>
      </c>
      <c r="B220" s="10">
        <f>IF($A220="","",Items!B220&amp;"")</f>
        <v/>
      </c>
      <c r="C220" s="10">
        <f>IF($A220="","",SUBSTITUTE(SUBSTITUTE(SUBSTITUTE(TRIM(Items!D220&amp;""),".","")," ",""),"-",""))</f>
        <v/>
      </c>
      <c r="D220" s="10">
        <f>IF($A220="","",LEFT($C220,2))</f>
        <v/>
      </c>
      <c r="E220" s="10">
        <f>IF($A220="","",UPPER(TRIM(Items!E220&amp;"")))</f>
        <v/>
      </c>
      <c r="F220" s="10">
        <f>IF($A220="","",IF(UPPER(TRIM(Items!C220&amp;""))=UPPER(TRIM(act_Country&amp;"")),"Y","N"))</f>
        <v/>
      </c>
      <c r="G220" s="10">
        <f>IF($A220="","",IF(SUMPRODUCT((scope_HTS&lt;&gt;"")*(LEFT($C220,LEN(scope_HTS))=scope_HTS))&gt;0,"Y","N"))</f>
        <v/>
      </c>
      <c r="H220" s="10">
        <f>IF($A220="","",IF(SUMPRODUCT((excl_HTS&lt;&gt;"")*(LEFT($C220,LEN(excl_HTS))=excl_HTS))&gt;0,"Y","N"))</f>
        <v/>
      </c>
      <c r="I220" s="10">
        <f>IF($A220="","",IF($E220="","N",IF(COUNTIF(scope_COO,$E220)&gt;0,"Y","N")))</f>
        <v/>
      </c>
      <c r="J220" s="10">
        <f>IF($A220="","",IF(AND(UPPER(TRIM(act_USMCAExempt&amp;""))="Y",UPPER(TRIM(Items!F220&amp;""))="Y"),"Y","N"))</f>
        <v/>
      </c>
      <c r="K220" s="10">
        <f>IF($A220="","",IFERROR(UPPER(TRIM(INDEX(det_Status,MATCH($A220,det_Item,0))&amp;"")),""))</f>
        <v/>
      </c>
      <c r="L220" s="10">
        <f>IF($A220="","",IF($K220="IN","Y",IF($K220="OUT","N",IF(AND($F220="Y",$G220="Y",$H220="N",$I220="Y",$J220="N"),"Y","N"))))</f>
        <v/>
      </c>
      <c r="M220" s="10">
        <f>IF($A220="","",IF($K220="IN","In: Research determination",IF($K220="OUT","Out: Research determination",IF($F220="N","Out: different import country",IF($G220="N","Out: HTS not on scope list",IF($H220="Y","Out: HTS on exclusion list",IF($I220="N","Out: origin not on scope list",IF($J220="Y","Out: USMCA-qualifying, exempt","In: matches scope rules"))))))))</f>
        <v/>
      </c>
      <c r="N220" s="16">
        <f>IF($A220="","",N(Items!I220))</f>
        <v/>
      </c>
      <c r="O220" s="16">
        <f>IF($A220="","",IF($L220="Y",$N220+N(act_Rate)-IF(UPPER(TRIM(act_RateType&amp;""))="REPLACE",N(act_PriorRate),0),$N220))</f>
        <v/>
      </c>
      <c r="P220" s="17">
        <f>IF($A220="","",N(Items!G220)*$N220)</f>
        <v/>
      </c>
      <c r="Q220" s="17">
        <f>IF($A220="","",N(Items!G220)*$O220)</f>
        <v/>
      </c>
      <c r="R220" s="17">
        <f>IF($A220="","",$Q220-$P220)</f>
        <v/>
      </c>
      <c r="S220" s="17">
        <f>IF($A220="","",N(Items!J220)+$R220)</f>
        <v/>
      </c>
      <c r="T220" s="16">
        <f>IF($A220="","",IF(N(Items!K220)=0,"",(N(Items!K220)-N(Items!J220))/N(Items!K220)))</f>
        <v/>
      </c>
      <c r="U220" s="16">
        <f>IF($A220="","",IF(N(Items!K220)=0,"",(N(Items!K220)-$S220)/N(Items!K220)))</f>
        <v/>
      </c>
      <c r="V220" s="16">
        <f>IF(OR($T220="",$U220=""),"",$U220-$T220)</f>
        <v/>
      </c>
      <c r="W220" s="18">
        <f>IF($A220="","",N(Items!H220))</f>
        <v/>
      </c>
      <c r="X220" s="19">
        <f>IF($A220="","",$R220*$W220)</f>
        <v/>
      </c>
      <c r="Y220" s="19">
        <f>IF($A220="","",N(Items!K220)*$W220)</f>
        <v/>
      </c>
      <c r="Z220" s="19">
        <f>IF($A220="","",(N(Items!K220)-N(Items!J220))*$W220)</f>
        <v/>
      </c>
      <c r="AA220" s="19">
        <f>IF($A220="","",$Z220-$X220)</f>
        <v/>
      </c>
      <c r="AB220" s="10">
        <f>IF($A220="","",IF(TRIM(Items!C220&amp;"")="","CHECK: import country missing",IF(OR(LEN($C220)&lt;&gt;10,ISERROR(VALUE($C220))),"CHECK: HTS must be 10 digits",IF(LEN($E220)&lt;&gt;2,"CHECK: origin code missing or not 2 letters",IF(OR(Items!G220="",Items!I220="",Items!J220=""),"CHECK: value, rate or cost missing",IF(ISNUMBER(Items!G220)*ISNUMBER(Items!I220)*ISNUMBER(Items!J220)=0,"CHECK: text in a number column",IF(AND($L220="Y",UPPER(TRIM(act_RateType&amp;""))="REPLACE",$N220&lt;N(act_PriorRate)),"CHECK: current rate is below the rate being replaced",IF(AND($L220="Y",$W220=0),"NOTE: in scope, no volume","OK"))))))))</f>
        <v/>
      </c>
      <c r="AC220" s="20">
        <f>IF($A220="","",IF(AND($L220="Y",$X220&lt;&gt;0),ABS($X220)+ROW()/1000000000,""))</f>
        <v/>
      </c>
    </row>
    <row r="221">
      <c r="A221" s="10">
        <f>IF(TRIM(Items!A221&amp;"")="","",TRIM(Items!A221&amp;""))</f>
        <v/>
      </c>
      <c r="B221" s="10">
        <f>IF($A221="","",Items!B221&amp;"")</f>
        <v/>
      </c>
      <c r="C221" s="10">
        <f>IF($A221="","",SUBSTITUTE(SUBSTITUTE(SUBSTITUTE(TRIM(Items!D221&amp;""),".","")," ",""),"-",""))</f>
        <v/>
      </c>
      <c r="D221" s="10">
        <f>IF($A221="","",LEFT($C221,2))</f>
        <v/>
      </c>
      <c r="E221" s="10">
        <f>IF($A221="","",UPPER(TRIM(Items!E221&amp;"")))</f>
        <v/>
      </c>
      <c r="F221" s="10">
        <f>IF($A221="","",IF(UPPER(TRIM(Items!C221&amp;""))=UPPER(TRIM(act_Country&amp;"")),"Y","N"))</f>
        <v/>
      </c>
      <c r="G221" s="10">
        <f>IF($A221="","",IF(SUMPRODUCT((scope_HTS&lt;&gt;"")*(LEFT($C221,LEN(scope_HTS))=scope_HTS))&gt;0,"Y","N"))</f>
        <v/>
      </c>
      <c r="H221" s="10">
        <f>IF($A221="","",IF(SUMPRODUCT((excl_HTS&lt;&gt;"")*(LEFT($C221,LEN(excl_HTS))=excl_HTS))&gt;0,"Y","N"))</f>
        <v/>
      </c>
      <c r="I221" s="10">
        <f>IF($A221="","",IF($E221="","N",IF(COUNTIF(scope_COO,$E221)&gt;0,"Y","N")))</f>
        <v/>
      </c>
      <c r="J221" s="10">
        <f>IF($A221="","",IF(AND(UPPER(TRIM(act_USMCAExempt&amp;""))="Y",UPPER(TRIM(Items!F221&amp;""))="Y"),"Y","N"))</f>
        <v/>
      </c>
      <c r="K221" s="10">
        <f>IF($A221="","",IFERROR(UPPER(TRIM(INDEX(det_Status,MATCH($A221,det_Item,0))&amp;"")),""))</f>
        <v/>
      </c>
      <c r="L221" s="10">
        <f>IF($A221="","",IF($K221="IN","Y",IF($K221="OUT","N",IF(AND($F221="Y",$G221="Y",$H221="N",$I221="Y",$J221="N"),"Y","N"))))</f>
        <v/>
      </c>
      <c r="M221" s="10">
        <f>IF($A221="","",IF($K221="IN","In: Research determination",IF($K221="OUT","Out: Research determination",IF($F221="N","Out: different import country",IF($G221="N","Out: HTS not on scope list",IF($H221="Y","Out: HTS on exclusion list",IF($I221="N","Out: origin not on scope list",IF($J221="Y","Out: USMCA-qualifying, exempt","In: matches scope rules"))))))))</f>
        <v/>
      </c>
      <c r="N221" s="16">
        <f>IF($A221="","",N(Items!I221))</f>
        <v/>
      </c>
      <c r="O221" s="16">
        <f>IF($A221="","",IF($L221="Y",$N221+N(act_Rate)-IF(UPPER(TRIM(act_RateType&amp;""))="REPLACE",N(act_PriorRate),0),$N221))</f>
        <v/>
      </c>
      <c r="P221" s="17">
        <f>IF($A221="","",N(Items!G221)*$N221)</f>
        <v/>
      </c>
      <c r="Q221" s="17">
        <f>IF($A221="","",N(Items!G221)*$O221)</f>
        <v/>
      </c>
      <c r="R221" s="17">
        <f>IF($A221="","",$Q221-$P221)</f>
        <v/>
      </c>
      <c r="S221" s="17">
        <f>IF($A221="","",N(Items!J221)+$R221)</f>
        <v/>
      </c>
      <c r="T221" s="16">
        <f>IF($A221="","",IF(N(Items!K221)=0,"",(N(Items!K221)-N(Items!J221))/N(Items!K221)))</f>
        <v/>
      </c>
      <c r="U221" s="16">
        <f>IF($A221="","",IF(N(Items!K221)=0,"",(N(Items!K221)-$S221)/N(Items!K221)))</f>
        <v/>
      </c>
      <c r="V221" s="16">
        <f>IF(OR($T221="",$U221=""),"",$U221-$T221)</f>
        <v/>
      </c>
      <c r="W221" s="18">
        <f>IF($A221="","",N(Items!H221))</f>
        <v/>
      </c>
      <c r="X221" s="19">
        <f>IF($A221="","",$R221*$W221)</f>
        <v/>
      </c>
      <c r="Y221" s="19">
        <f>IF($A221="","",N(Items!K221)*$W221)</f>
        <v/>
      </c>
      <c r="Z221" s="19">
        <f>IF($A221="","",(N(Items!K221)-N(Items!J221))*$W221)</f>
        <v/>
      </c>
      <c r="AA221" s="19">
        <f>IF($A221="","",$Z221-$X221)</f>
        <v/>
      </c>
      <c r="AB221" s="10">
        <f>IF($A221="","",IF(TRIM(Items!C221&amp;"")="","CHECK: import country missing",IF(OR(LEN($C221)&lt;&gt;10,ISERROR(VALUE($C221))),"CHECK: HTS must be 10 digits",IF(LEN($E221)&lt;&gt;2,"CHECK: origin code missing or not 2 letters",IF(OR(Items!G221="",Items!I221="",Items!J221=""),"CHECK: value, rate or cost missing",IF(ISNUMBER(Items!G221)*ISNUMBER(Items!I221)*ISNUMBER(Items!J221)=0,"CHECK: text in a number column",IF(AND($L221="Y",UPPER(TRIM(act_RateType&amp;""))="REPLACE",$N221&lt;N(act_PriorRate)),"CHECK: current rate is below the rate being replaced",IF(AND($L221="Y",$W221=0),"NOTE: in scope, no volume","OK"))))))))</f>
        <v/>
      </c>
      <c r="AC221" s="20">
        <f>IF($A221="","",IF(AND($L221="Y",$X221&lt;&gt;0),ABS($X221)+ROW()/1000000000,""))</f>
        <v/>
      </c>
    </row>
    <row r="222">
      <c r="A222" s="10">
        <f>IF(TRIM(Items!A222&amp;"")="","",TRIM(Items!A222&amp;""))</f>
        <v/>
      </c>
      <c r="B222" s="10">
        <f>IF($A222="","",Items!B222&amp;"")</f>
        <v/>
      </c>
      <c r="C222" s="10">
        <f>IF($A222="","",SUBSTITUTE(SUBSTITUTE(SUBSTITUTE(TRIM(Items!D222&amp;""),".","")," ",""),"-",""))</f>
        <v/>
      </c>
      <c r="D222" s="10">
        <f>IF($A222="","",LEFT($C222,2))</f>
        <v/>
      </c>
      <c r="E222" s="10">
        <f>IF($A222="","",UPPER(TRIM(Items!E222&amp;"")))</f>
        <v/>
      </c>
      <c r="F222" s="10">
        <f>IF($A222="","",IF(UPPER(TRIM(Items!C222&amp;""))=UPPER(TRIM(act_Country&amp;"")),"Y","N"))</f>
        <v/>
      </c>
      <c r="G222" s="10">
        <f>IF($A222="","",IF(SUMPRODUCT((scope_HTS&lt;&gt;"")*(LEFT($C222,LEN(scope_HTS))=scope_HTS))&gt;0,"Y","N"))</f>
        <v/>
      </c>
      <c r="H222" s="10">
        <f>IF($A222="","",IF(SUMPRODUCT((excl_HTS&lt;&gt;"")*(LEFT($C222,LEN(excl_HTS))=excl_HTS))&gt;0,"Y","N"))</f>
        <v/>
      </c>
      <c r="I222" s="10">
        <f>IF($A222="","",IF($E222="","N",IF(COUNTIF(scope_COO,$E222)&gt;0,"Y","N")))</f>
        <v/>
      </c>
      <c r="J222" s="10">
        <f>IF($A222="","",IF(AND(UPPER(TRIM(act_USMCAExempt&amp;""))="Y",UPPER(TRIM(Items!F222&amp;""))="Y"),"Y","N"))</f>
        <v/>
      </c>
      <c r="K222" s="10">
        <f>IF($A222="","",IFERROR(UPPER(TRIM(INDEX(det_Status,MATCH($A222,det_Item,0))&amp;"")),""))</f>
        <v/>
      </c>
      <c r="L222" s="10">
        <f>IF($A222="","",IF($K222="IN","Y",IF($K222="OUT","N",IF(AND($F222="Y",$G222="Y",$H222="N",$I222="Y",$J222="N"),"Y","N"))))</f>
        <v/>
      </c>
      <c r="M222" s="10">
        <f>IF($A222="","",IF($K222="IN","In: Research determination",IF($K222="OUT","Out: Research determination",IF($F222="N","Out: different import country",IF($G222="N","Out: HTS not on scope list",IF($H222="Y","Out: HTS on exclusion list",IF($I222="N","Out: origin not on scope list",IF($J222="Y","Out: USMCA-qualifying, exempt","In: matches scope rules"))))))))</f>
        <v/>
      </c>
      <c r="N222" s="16">
        <f>IF($A222="","",N(Items!I222))</f>
        <v/>
      </c>
      <c r="O222" s="16">
        <f>IF($A222="","",IF($L222="Y",$N222+N(act_Rate)-IF(UPPER(TRIM(act_RateType&amp;""))="REPLACE",N(act_PriorRate),0),$N222))</f>
        <v/>
      </c>
      <c r="P222" s="17">
        <f>IF($A222="","",N(Items!G222)*$N222)</f>
        <v/>
      </c>
      <c r="Q222" s="17">
        <f>IF($A222="","",N(Items!G222)*$O222)</f>
        <v/>
      </c>
      <c r="R222" s="17">
        <f>IF($A222="","",$Q222-$P222)</f>
        <v/>
      </c>
      <c r="S222" s="17">
        <f>IF($A222="","",N(Items!J222)+$R222)</f>
        <v/>
      </c>
      <c r="T222" s="16">
        <f>IF($A222="","",IF(N(Items!K222)=0,"",(N(Items!K222)-N(Items!J222))/N(Items!K222)))</f>
        <v/>
      </c>
      <c r="U222" s="16">
        <f>IF($A222="","",IF(N(Items!K222)=0,"",(N(Items!K222)-$S222)/N(Items!K222)))</f>
        <v/>
      </c>
      <c r="V222" s="16">
        <f>IF(OR($T222="",$U222=""),"",$U222-$T222)</f>
        <v/>
      </c>
      <c r="W222" s="18">
        <f>IF($A222="","",N(Items!H222))</f>
        <v/>
      </c>
      <c r="X222" s="19">
        <f>IF($A222="","",$R222*$W222)</f>
        <v/>
      </c>
      <c r="Y222" s="19">
        <f>IF($A222="","",N(Items!K222)*$W222)</f>
        <v/>
      </c>
      <c r="Z222" s="19">
        <f>IF($A222="","",(N(Items!K222)-N(Items!J222))*$W222)</f>
        <v/>
      </c>
      <c r="AA222" s="19">
        <f>IF($A222="","",$Z222-$X222)</f>
        <v/>
      </c>
      <c r="AB222" s="10">
        <f>IF($A222="","",IF(TRIM(Items!C222&amp;"")="","CHECK: import country missing",IF(OR(LEN($C222)&lt;&gt;10,ISERROR(VALUE($C222))),"CHECK: HTS must be 10 digits",IF(LEN($E222)&lt;&gt;2,"CHECK: origin code missing or not 2 letters",IF(OR(Items!G222="",Items!I222="",Items!J222=""),"CHECK: value, rate or cost missing",IF(ISNUMBER(Items!G222)*ISNUMBER(Items!I222)*ISNUMBER(Items!J222)=0,"CHECK: text in a number column",IF(AND($L222="Y",UPPER(TRIM(act_RateType&amp;""))="REPLACE",$N222&lt;N(act_PriorRate)),"CHECK: current rate is below the rate being replaced",IF(AND($L222="Y",$W222=0),"NOTE: in scope, no volume","OK"))))))))</f>
        <v/>
      </c>
      <c r="AC222" s="20">
        <f>IF($A222="","",IF(AND($L222="Y",$X222&lt;&gt;0),ABS($X222)+ROW()/1000000000,""))</f>
        <v/>
      </c>
    </row>
    <row r="223">
      <c r="A223" s="10">
        <f>IF(TRIM(Items!A223&amp;"")="","",TRIM(Items!A223&amp;""))</f>
        <v/>
      </c>
      <c r="B223" s="10">
        <f>IF($A223="","",Items!B223&amp;"")</f>
        <v/>
      </c>
      <c r="C223" s="10">
        <f>IF($A223="","",SUBSTITUTE(SUBSTITUTE(SUBSTITUTE(TRIM(Items!D223&amp;""),".","")," ",""),"-",""))</f>
        <v/>
      </c>
      <c r="D223" s="10">
        <f>IF($A223="","",LEFT($C223,2))</f>
        <v/>
      </c>
      <c r="E223" s="10">
        <f>IF($A223="","",UPPER(TRIM(Items!E223&amp;"")))</f>
        <v/>
      </c>
      <c r="F223" s="10">
        <f>IF($A223="","",IF(UPPER(TRIM(Items!C223&amp;""))=UPPER(TRIM(act_Country&amp;"")),"Y","N"))</f>
        <v/>
      </c>
      <c r="G223" s="10">
        <f>IF($A223="","",IF(SUMPRODUCT((scope_HTS&lt;&gt;"")*(LEFT($C223,LEN(scope_HTS))=scope_HTS))&gt;0,"Y","N"))</f>
        <v/>
      </c>
      <c r="H223" s="10">
        <f>IF($A223="","",IF(SUMPRODUCT((excl_HTS&lt;&gt;"")*(LEFT($C223,LEN(excl_HTS))=excl_HTS))&gt;0,"Y","N"))</f>
        <v/>
      </c>
      <c r="I223" s="10">
        <f>IF($A223="","",IF($E223="","N",IF(COUNTIF(scope_COO,$E223)&gt;0,"Y","N")))</f>
        <v/>
      </c>
      <c r="J223" s="10">
        <f>IF($A223="","",IF(AND(UPPER(TRIM(act_USMCAExempt&amp;""))="Y",UPPER(TRIM(Items!F223&amp;""))="Y"),"Y","N"))</f>
        <v/>
      </c>
      <c r="K223" s="10">
        <f>IF($A223="","",IFERROR(UPPER(TRIM(INDEX(det_Status,MATCH($A223,det_Item,0))&amp;"")),""))</f>
        <v/>
      </c>
      <c r="L223" s="10">
        <f>IF($A223="","",IF($K223="IN","Y",IF($K223="OUT","N",IF(AND($F223="Y",$G223="Y",$H223="N",$I223="Y",$J223="N"),"Y","N"))))</f>
        <v/>
      </c>
      <c r="M223" s="10">
        <f>IF($A223="","",IF($K223="IN","In: Research determination",IF($K223="OUT","Out: Research determination",IF($F223="N","Out: different import country",IF($G223="N","Out: HTS not on scope list",IF($H223="Y","Out: HTS on exclusion list",IF($I223="N","Out: origin not on scope list",IF($J223="Y","Out: USMCA-qualifying, exempt","In: matches scope rules"))))))))</f>
        <v/>
      </c>
      <c r="N223" s="16">
        <f>IF($A223="","",N(Items!I223))</f>
        <v/>
      </c>
      <c r="O223" s="16">
        <f>IF($A223="","",IF($L223="Y",$N223+N(act_Rate)-IF(UPPER(TRIM(act_RateType&amp;""))="REPLACE",N(act_PriorRate),0),$N223))</f>
        <v/>
      </c>
      <c r="P223" s="17">
        <f>IF($A223="","",N(Items!G223)*$N223)</f>
        <v/>
      </c>
      <c r="Q223" s="17">
        <f>IF($A223="","",N(Items!G223)*$O223)</f>
        <v/>
      </c>
      <c r="R223" s="17">
        <f>IF($A223="","",$Q223-$P223)</f>
        <v/>
      </c>
      <c r="S223" s="17">
        <f>IF($A223="","",N(Items!J223)+$R223)</f>
        <v/>
      </c>
      <c r="T223" s="16">
        <f>IF($A223="","",IF(N(Items!K223)=0,"",(N(Items!K223)-N(Items!J223))/N(Items!K223)))</f>
        <v/>
      </c>
      <c r="U223" s="16">
        <f>IF($A223="","",IF(N(Items!K223)=0,"",(N(Items!K223)-$S223)/N(Items!K223)))</f>
        <v/>
      </c>
      <c r="V223" s="16">
        <f>IF(OR($T223="",$U223=""),"",$U223-$T223)</f>
        <v/>
      </c>
      <c r="W223" s="18">
        <f>IF($A223="","",N(Items!H223))</f>
        <v/>
      </c>
      <c r="X223" s="19">
        <f>IF($A223="","",$R223*$W223)</f>
        <v/>
      </c>
      <c r="Y223" s="19">
        <f>IF($A223="","",N(Items!K223)*$W223)</f>
        <v/>
      </c>
      <c r="Z223" s="19">
        <f>IF($A223="","",(N(Items!K223)-N(Items!J223))*$W223)</f>
        <v/>
      </c>
      <c r="AA223" s="19">
        <f>IF($A223="","",$Z223-$X223)</f>
        <v/>
      </c>
      <c r="AB223" s="10">
        <f>IF($A223="","",IF(TRIM(Items!C223&amp;"")="","CHECK: import country missing",IF(OR(LEN($C223)&lt;&gt;10,ISERROR(VALUE($C223))),"CHECK: HTS must be 10 digits",IF(LEN($E223)&lt;&gt;2,"CHECK: origin code missing or not 2 letters",IF(OR(Items!G223="",Items!I223="",Items!J223=""),"CHECK: value, rate or cost missing",IF(ISNUMBER(Items!G223)*ISNUMBER(Items!I223)*ISNUMBER(Items!J223)=0,"CHECK: text in a number column",IF(AND($L223="Y",UPPER(TRIM(act_RateType&amp;""))="REPLACE",$N223&lt;N(act_PriorRate)),"CHECK: current rate is below the rate being replaced",IF(AND($L223="Y",$W223=0),"NOTE: in scope, no volume","OK"))))))))</f>
        <v/>
      </c>
      <c r="AC223" s="20">
        <f>IF($A223="","",IF(AND($L223="Y",$X223&lt;&gt;0),ABS($X223)+ROW()/1000000000,""))</f>
        <v/>
      </c>
    </row>
    <row r="224">
      <c r="A224" s="10">
        <f>IF(TRIM(Items!A224&amp;"")="","",TRIM(Items!A224&amp;""))</f>
        <v/>
      </c>
      <c r="B224" s="10">
        <f>IF($A224="","",Items!B224&amp;"")</f>
        <v/>
      </c>
      <c r="C224" s="10">
        <f>IF($A224="","",SUBSTITUTE(SUBSTITUTE(SUBSTITUTE(TRIM(Items!D224&amp;""),".","")," ",""),"-",""))</f>
        <v/>
      </c>
      <c r="D224" s="10">
        <f>IF($A224="","",LEFT($C224,2))</f>
        <v/>
      </c>
      <c r="E224" s="10">
        <f>IF($A224="","",UPPER(TRIM(Items!E224&amp;"")))</f>
        <v/>
      </c>
      <c r="F224" s="10">
        <f>IF($A224="","",IF(UPPER(TRIM(Items!C224&amp;""))=UPPER(TRIM(act_Country&amp;"")),"Y","N"))</f>
        <v/>
      </c>
      <c r="G224" s="10">
        <f>IF($A224="","",IF(SUMPRODUCT((scope_HTS&lt;&gt;"")*(LEFT($C224,LEN(scope_HTS))=scope_HTS))&gt;0,"Y","N"))</f>
        <v/>
      </c>
      <c r="H224" s="10">
        <f>IF($A224="","",IF(SUMPRODUCT((excl_HTS&lt;&gt;"")*(LEFT($C224,LEN(excl_HTS))=excl_HTS))&gt;0,"Y","N"))</f>
        <v/>
      </c>
      <c r="I224" s="10">
        <f>IF($A224="","",IF($E224="","N",IF(COUNTIF(scope_COO,$E224)&gt;0,"Y","N")))</f>
        <v/>
      </c>
      <c r="J224" s="10">
        <f>IF($A224="","",IF(AND(UPPER(TRIM(act_USMCAExempt&amp;""))="Y",UPPER(TRIM(Items!F224&amp;""))="Y"),"Y","N"))</f>
        <v/>
      </c>
      <c r="K224" s="10">
        <f>IF($A224="","",IFERROR(UPPER(TRIM(INDEX(det_Status,MATCH($A224,det_Item,0))&amp;"")),""))</f>
        <v/>
      </c>
      <c r="L224" s="10">
        <f>IF($A224="","",IF($K224="IN","Y",IF($K224="OUT","N",IF(AND($F224="Y",$G224="Y",$H224="N",$I224="Y",$J224="N"),"Y","N"))))</f>
        <v/>
      </c>
      <c r="M224" s="10">
        <f>IF($A224="","",IF($K224="IN","In: Research determination",IF($K224="OUT","Out: Research determination",IF($F224="N","Out: different import country",IF($G224="N","Out: HTS not on scope list",IF($H224="Y","Out: HTS on exclusion list",IF($I224="N","Out: origin not on scope list",IF($J224="Y","Out: USMCA-qualifying, exempt","In: matches scope rules"))))))))</f>
        <v/>
      </c>
      <c r="N224" s="16">
        <f>IF($A224="","",N(Items!I224))</f>
        <v/>
      </c>
      <c r="O224" s="16">
        <f>IF($A224="","",IF($L224="Y",$N224+N(act_Rate)-IF(UPPER(TRIM(act_RateType&amp;""))="REPLACE",N(act_PriorRate),0),$N224))</f>
        <v/>
      </c>
      <c r="P224" s="17">
        <f>IF($A224="","",N(Items!G224)*$N224)</f>
        <v/>
      </c>
      <c r="Q224" s="17">
        <f>IF($A224="","",N(Items!G224)*$O224)</f>
        <v/>
      </c>
      <c r="R224" s="17">
        <f>IF($A224="","",$Q224-$P224)</f>
        <v/>
      </c>
      <c r="S224" s="17">
        <f>IF($A224="","",N(Items!J224)+$R224)</f>
        <v/>
      </c>
      <c r="T224" s="16">
        <f>IF($A224="","",IF(N(Items!K224)=0,"",(N(Items!K224)-N(Items!J224))/N(Items!K224)))</f>
        <v/>
      </c>
      <c r="U224" s="16">
        <f>IF($A224="","",IF(N(Items!K224)=0,"",(N(Items!K224)-$S224)/N(Items!K224)))</f>
        <v/>
      </c>
      <c r="V224" s="16">
        <f>IF(OR($T224="",$U224=""),"",$U224-$T224)</f>
        <v/>
      </c>
      <c r="W224" s="18">
        <f>IF($A224="","",N(Items!H224))</f>
        <v/>
      </c>
      <c r="X224" s="19">
        <f>IF($A224="","",$R224*$W224)</f>
        <v/>
      </c>
      <c r="Y224" s="19">
        <f>IF($A224="","",N(Items!K224)*$W224)</f>
        <v/>
      </c>
      <c r="Z224" s="19">
        <f>IF($A224="","",(N(Items!K224)-N(Items!J224))*$W224)</f>
        <v/>
      </c>
      <c r="AA224" s="19">
        <f>IF($A224="","",$Z224-$X224)</f>
        <v/>
      </c>
      <c r="AB224" s="10">
        <f>IF($A224="","",IF(TRIM(Items!C224&amp;"")="","CHECK: import country missing",IF(OR(LEN($C224)&lt;&gt;10,ISERROR(VALUE($C224))),"CHECK: HTS must be 10 digits",IF(LEN($E224)&lt;&gt;2,"CHECK: origin code missing or not 2 letters",IF(OR(Items!G224="",Items!I224="",Items!J224=""),"CHECK: value, rate or cost missing",IF(ISNUMBER(Items!G224)*ISNUMBER(Items!I224)*ISNUMBER(Items!J224)=0,"CHECK: text in a number column",IF(AND($L224="Y",UPPER(TRIM(act_RateType&amp;""))="REPLACE",$N224&lt;N(act_PriorRate)),"CHECK: current rate is below the rate being replaced",IF(AND($L224="Y",$W224=0),"NOTE: in scope, no volume","OK"))))))))</f>
        <v/>
      </c>
      <c r="AC224" s="20">
        <f>IF($A224="","",IF(AND($L224="Y",$X224&lt;&gt;0),ABS($X224)+ROW()/1000000000,""))</f>
        <v/>
      </c>
    </row>
    <row r="225">
      <c r="A225" s="10">
        <f>IF(TRIM(Items!A225&amp;"")="","",TRIM(Items!A225&amp;""))</f>
        <v/>
      </c>
      <c r="B225" s="10">
        <f>IF($A225="","",Items!B225&amp;"")</f>
        <v/>
      </c>
      <c r="C225" s="10">
        <f>IF($A225="","",SUBSTITUTE(SUBSTITUTE(SUBSTITUTE(TRIM(Items!D225&amp;""),".","")," ",""),"-",""))</f>
        <v/>
      </c>
      <c r="D225" s="10">
        <f>IF($A225="","",LEFT($C225,2))</f>
        <v/>
      </c>
      <c r="E225" s="10">
        <f>IF($A225="","",UPPER(TRIM(Items!E225&amp;"")))</f>
        <v/>
      </c>
      <c r="F225" s="10">
        <f>IF($A225="","",IF(UPPER(TRIM(Items!C225&amp;""))=UPPER(TRIM(act_Country&amp;"")),"Y","N"))</f>
        <v/>
      </c>
      <c r="G225" s="10">
        <f>IF($A225="","",IF(SUMPRODUCT((scope_HTS&lt;&gt;"")*(LEFT($C225,LEN(scope_HTS))=scope_HTS))&gt;0,"Y","N"))</f>
        <v/>
      </c>
      <c r="H225" s="10">
        <f>IF($A225="","",IF(SUMPRODUCT((excl_HTS&lt;&gt;"")*(LEFT($C225,LEN(excl_HTS))=excl_HTS))&gt;0,"Y","N"))</f>
        <v/>
      </c>
      <c r="I225" s="10">
        <f>IF($A225="","",IF($E225="","N",IF(COUNTIF(scope_COO,$E225)&gt;0,"Y","N")))</f>
        <v/>
      </c>
      <c r="J225" s="10">
        <f>IF($A225="","",IF(AND(UPPER(TRIM(act_USMCAExempt&amp;""))="Y",UPPER(TRIM(Items!F225&amp;""))="Y"),"Y","N"))</f>
        <v/>
      </c>
      <c r="K225" s="10">
        <f>IF($A225="","",IFERROR(UPPER(TRIM(INDEX(det_Status,MATCH($A225,det_Item,0))&amp;"")),""))</f>
        <v/>
      </c>
      <c r="L225" s="10">
        <f>IF($A225="","",IF($K225="IN","Y",IF($K225="OUT","N",IF(AND($F225="Y",$G225="Y",$H225="N",$I225="Y",$J225="N"),"Y","N"))))</f>
        <v/>
      </c>
      <c r="M225" s="10">
        <f>IF($A225="","",IF($K225="IN","In: Research determination",IF($K225="OUT","Out: Research determination",IF($F225="N","Out: different import country",IF($G225="N","Out: HTS not on scope list",IF($H225="Y","Out: HTS on exclusion list",IF($I225="N","Out: origin not on scope list",IF($J225="Y","Out: USMCA-qualifying, exempt","In: matches scope rules"))))))))</f>
        <v/>
      </c>
      <c r="N225" s="16">
        <f>IF($A225="","",N(Items!I225))</f>
        <v/>
      </c>
      <c r="O225" s="16">
        <f>IF($A225="","",IF($L225="Y",$N225+N(act_Rate)-IF(UPPER(TRIM(act_RateType&amp;""))="REPLACE",N(act_PriorRate),0),$N225))</f>
        <v/>
      </c>
      <c r="P225" s="17">
        <f>IF($A225="","",N(Items!G225)*$N225)</f>
        <v/>
      </c>
      <c r="Q225" s="17">
        <f>IF($A225="","",N(Items!G225)*$O225)</f>
        <v/>
      </c>
      <c r="R225" s="17">
        <f>IF($A225="","",$Q225-$P225)</f>
        <v/>
      </c>
      <c r="S225" s="17">
        <f>IF($A225="","",N(Items!J225)+$R225)</f>
        <v/>
      </c>
      <c r="T225" s="16">
        <f>IF($A225="","",IF(N(Items!K225)=0,"",(N(Items!K225)-N(Items!J225))/N(Items!K225)))</f>
        <v/>
      </c>
      <c r="U225" s="16">
        <f>IF($A225="","",IF(N(Items!K225)=0,"",(N(Items!K225)-$S225)/N(Items!K225)))</f>
        <v/>
      </c>
      <c r="V225" s="16">
        <f>IF(OR($T225="",$U225=""),"",$U225-$T225)</f>
        <v/>
      </c>
      <c r="W225" s="18">
        <f>IF($A225="","",N(Items!H225))</f>
        <v/>
      </c>
      <c r="X225" s="19">
        <f>IF($A225="","",$R225*$W225)</f>
        <v/>
      </c>
      <c r="Y225" s="19">
        <f>IF($A225="","",N(Items!K225)*$W225)</f>
        <v/>
      </c>
      <c r="Z225" s="19">
        <f>IF($A225="","",(N(Items!K225)-N(Items!J225))*$W225)</f>
        <v/>
      </c>
      <c r="AA225" s="19">
        <f>IF($A225="","",$Z225-$X225)</f>
        <v/>
      </c>
      <c r="AB225" s="10">
        <f>IF($A225="","",IF(TRIM(Items!C225&amp;"")="","CHECK: import country missing",IF(OR(LEN($C225)&lt;&gt;10,ISERROR(VALUE($C225))),"CHECK: HTS must be 10 digits",IF(LEN($E225)&lt;&gt;2,"CHECK: origin code missing or not 2 letters",IF(OR(Items!G225="",Items!I225="",Items!J225=""),"CHECK: value, rate or cost missing",IF(ISNUMBER(Items!G225)*ISNUMBER(Items!I225)*ISNUMBER(Items!J225)=0,"CHECK: text in a number column",IF(AND($L225="Y",UPPER(TRIM(act_RateType&amp;""))="REPLACE",$N225&lt;N(act_PriorRate)),"CHECK: current rate is below the rate being replaced",IF(AND($L225="Y",$W225=0),"NOTE: in scope, no volume","OK"))))))))</f>
        <v/>
      </c>
      <c r="AC225" s="20">
        <f>IF($A225="","",IF(AND($L225="Y",$X225&lt;&gt;0),ABS($X225)+ROW()/1000000000,""))</f>
        <v/>
      </c>
    </row>
    <row r="226">
      <c r="A226" s="10">
        <f>IF(TRIM(Items!A226&amp;"")="","",TRIM(Items!A226&amp;""))</f>
        <v/>
      </c>
      <c r="B226" s="10">
        <f>IF($A226="","",Items!B226&amp;"")</f>
        <v/>
      </c>
      <c r="C226" s="10">
        <f>IF($A226="","",SUBSTITUTE(SUBSTITUTE(SUBSTITUTE(TRIM(Items!D226&amp;""),".","")," ",""),"-",""))</f>
        <v/>
      </c>
      <c r="D226" s="10">
        <f>IF($A226="","",LEFT($C226,2))</f>
        <v/>
      </c>
      <c r="E226" s="10">
        <f>IF($A226="","",UPPER(TRIM(Items!E226&amp;"")))</f>
        <v/>
      </c>
      <c r="F226" s="10">
        <f>IF($A226="","",IF(UPPER(TRIM(Items!C226&amp;""))=UPPER(TRIM(act_Country&amp;"")),"Y","N"))</f>
        <v/>
      </c>
      <c r="G226" s="10">
        <f>IF($A226="","",IF(SUMPRODUCT((scope_HTS&lt;&gt;"")*(LEFT($C226,LEN(scope_HTS))=scope_HTS))&gt;0,"Y","N"))</f>
        <v/>
      </c>
      <c r="H226" s="10">
        <f>IF($A226="","",IF(SUMPRODUCT((excl_HTS&lt;&gt;"")*(LEFT($C226,LEN(excl_HTS))=excl_HTS))&gt;0,"Y","N"))</f>
        <v/>
      </c>
      <c r="I226" s="10">
        <f>IF($A226="","",IF($E226="","N",IF(COUNTIF(scope_COO,$E226)&gt;0,"Y","N")))</f>
        <v/>
      </c>
      <c r="J226" s="10">
        <f>IF($A226="","",IF(AND(UPPER(TRIM(act_USMCAExempt&amp;""))="Y",UPPER(TRIM(Items!F226&amp;""))="Y"),"Y","N"))</f>
        <v/>
      </c>
      <c r="K226" s="10">
        <f>IF($A226="","",IFERROR(UPPER(TRIM(INDEX(det_Status,MATCH($A226,det_Item,0))&amp;"")),""))</f>
        <v/>
      </c>
      <c r="L226" s="10">
        <f>IF($A226="","",IF($K226="IN","Y",IF($K226="OUT","N",IF(AND($F226="Y",$G226="Y",$H226="N",$I226="Y",$J226="N"),"Y","N"))))</f>
        <v/>
      </c>
      <c r="M226" s="10">
        <f>IF($A226="","",IF($K226="IN","In: Research determination",IF($K226="OUT","Out: Research determination",IF($F226="N","Out: different import country",IF($G226="N","Out: HTS not on scope list",IF($H226="Y","Out: HTS on exclusion list",IF($I226="N","Out: origin not on scope list",IF($J226="Y","Out: USMCA-qualifying, exempt","In: matches scope rules"))))))))</f>
        <v/>
      </c>
      <c r="N226" s="16">
        <f>IF($A226="","",N(Items!I226))</f>
        <v/>
      </c>
      <c r="O226" s="16">
        <f>IF($A226="","",IF($L226="Y",$N226+N(act_Rate)-IF(UPPER(TRIM(act_RateType&amp;""))="REPLACE",N(act_PriorRate),0),$N226))</f>
        <v/>
      </c>
      <c r="P226" s="17">
        <f>IF($A226="","",N(Items!G226)*$N226)</f>
        <v/>
      </c>
      <c r="Q226" s="17">
        <f>IF($A226="","",N(Items!G226)*$O226)</f>
        <v/>
      </c>
      <c r="R226" s="17">
        <f>IF($A226="","",$Q226-$P226)</f>
        <v/>
      </c>
      <c r="S226" s="17">
        <f>IF($A226="","",N(Items!J226)+$R226)</f>
        <v/>
      </c>
      <c r="T226" s="16">
        <f>IF($A226="","",IF(N(Items!K226)=0,"",(N(Items!K226)-N(Items!J226))/N(Items!K226)))</f>
        <v/>
      </c>
      <c r="U226" s="16">
        <f>IF($A226="","",IF(N(Items!K226)=0,"",(N(Items!K226)-$S226)/N(Items!K226)))</f>
        <v/>
      </c>
      <c r="V226" s="16">
        <f>IF(OR($T226="",$U226=""),"",$U226-$T226)</f>
        <v/>
      </c>
      <c r="W226" s="18">
        <f>IF($A226="","",N(Items!H226))</f>
        <v/>
      </c>
      <c r="X226" s="19">
        <f>IF($A226="","",$R226*$W226)</f>
        <v/>
      </c>
      <c r="Y226" s="19">
        <f>IF($A226="","",N(Items!K226)*$W226)</f>
        <v/>
      </c>
      <c r="Z226" s="19">
        <f>IF($A226="","",(N(Items!K226)-N(Items!J226))*$W226)</f>
        <v/>
      </c>
      <c r="AA226" s="19">
        <f>IF($A226="","",$Z226-$X226)</f>
        <v/>
      </c>
      <c r="AB226" s="10">
        <f>IF($A226="","",IF(TRIM(Items!C226&amp;"")="","CHECK: import country missing",IF(OR(LEN($C226)&lt;&gt;10,ISERROR(VALUE($C226))),"CHECK: HTS must be 10 digits",IF(LEN($E226)&lt;&gt;2,"CHECK: origin code missing or not 2 letters",IF(OR(Items!G226="",Items!I226="",Items!J226=""),"CHECK: value, rate or cost missing",IF(ISNUMBER(Items!G226)*ISNUMBER(Items!I226)*ISNUMBER(Items!J226)=0,"CHECK: text in a number column",IF(AND($L226="Y",UPPER(TRIM(act_RateType&amp;""))="REPLACE",$N226&lt;N(act_PriorRate)),"CHECK: current rate is below the rate being replaced",IF(AND($L226="Y",$W226=0),"NOTE: in scope, no volume","OK"))))))))</f>
        <v/>
      </c>
      <c r="AC226" s="20">
        <f>IF($A226="","",IF(AND($L226="Y",$X226&lt;&gt;0),ABS($X226)+ROW()/1000000000,""))</f>
        <v/>
      </c>
    </row>
    <row r="227">
      <c r="A227" s="10">
        <f>IF(TRIM(Items!A227&amp;"")="","",TRIM(Items!A227&amp;""))</f>
        <v/>
      </c>
      <c r="B227" s="10">
        <f>IF($A227="","",Items!B227&amp;"")</f>
        <v/>
      </c>
      <c r="C227" s="10">
        <f>IF($A227="","",SUBSTITUTE(SUBSTITUTE(SUBSTITUTE(TRIM(Items!D227&amp;""),".","")," ",""),"-",""))</f>
        <v/>
      </c>
      <c r="D227" s="10">
        <f>IF($A227="","",LEFT($C227,2))</f>
        <v/>
      </c>
      <c r="E227" s="10">
        <f>IF($A227="","",UPPER(TRIM(Items!E227&amp;"")))</f>
        <v/>
      </c>
      <c r="F227" s="10">
        <f>IF($A227="","",IF(UPPER(TRIM(Items!C227&amp;""))=UPPER(TRIM(act_Country&amp;"")),"Y","N"))</f>
        <v/>
      </c>
      <c r="G227" s="10">
        <f>IF($A227="","",IF(SUMPRODUCT((scope_HTS&lt;&gt;"")*(LEFT($C227,LEN(scope_HTS))=scope_HTS))&gt;0,"Y","N"))</f>
        <v/>
      </c>
      <c r="H227" s="10">
        <f>IF($A227="","",IF(SUMPRODUCT((excl_HTS&lt;&gt;"")*(LEFT($C227,LEN(excl_HTS))=excl_HTS))&gt;0,"Y","N"))</f>
        <v/>
      </c>
      <c r="I227" s="10">
        <f>IF($A227="","",IF($E227="","N",IF(COUNTIF(scope_COO,$E227)&gt;0,"Y","N")))</f>
        <v/>
      </c>
      <c r="J227" s="10">
        <f>IF($A227="","",IF(AND(UPPER(TRIM(act_USMCAExempt&amp;""))="Y",UPPER(TRIM(Items!F227&amp;""))="Y"),"Y","N"))</f>
        <v/>
      </c>
      <c r="K227" s="10">
        <f>IF($A227="","",IFERROR(UPPER(TRIM(INDEX(det_Status,MATCH($A227,det_Item,0))&amp;"")),""))</f>
        <v/>
      </c>
      <c r="L227" s="10">
        <f>IF($A227="","",IF($K227="IN","Y",IF($K227="OUT","N",IF(AND($F227="Y",$G227="Y",$H227="N",$I227="Y",$J227="N"),"Y","N"))))</f>
        <v/>
      </c>
      <c r="M227" s="10">
        <f>IF($A227="","",IF($K227="IN","In: Research determination",IF($K227="OUT","Out: Research determination",IF($F227="N","Out: different import country",IF($G227="N","Out: HTS not on scope list",IF($H227="Y","Out: HTS on exclusion list",IF($I227="N","Out: origin not on scope list",IF($J227="Y","Out: USMCA-qualifying, exempt","In: matches scope rules"))))))))</f>
        <v/>
      </c>
      <c r="N227" s="16">
        <f>IF($A227="","",N(Items!I227))</f>
        <v/>
      </c>
      <c r="O227" s="16">
        <f>IF($A227="","",IF($L227="Y",$N227+N(act_Rate)-IF(UPPER(TRIM(act_RateType&amp;""))="REPLACE",N(act_PriorRate),0),$N227))</f>
        <v/>
      </c>
      <c r="P227" s="17">
        <f>IF($A227="","",N(Items!G227)*$N227)</f>
        <v/>
      </c>
      <c r="Q227" s="17">
        <f>IF($A227="","",N(Items!G227)*$O227)</f>
        <v/>
      </c>
      <c r="R227" s="17">
        <f>IF($A227="","",$Q227-$P227)</f>
        <v/>
      </c>
      <c r="S227" s="17">
        <f>IF($A227="","",N(Items!J227)+$R227)</f>
        <v/>
      </c>
      <c r="T227" s="16">
        <f>IF($A227="","",IF(N(Items!K227)=0,"",(N(Items!K227)-N(Items!J227))/N(Items!K227)))</f>
        <v/>
      </c>
      <c r="U227" s="16">
        <f>IF($A227="","",IF(N(Items!K227)=0,"",(N(Items!K227)-$S227)/N(Items!K227)))</f>
        <v/>
      </c>
      <c r="V227" s="16">
        <f>IF(OR($T227="",$U227=""),"",$U227-$T227)</f>
        <v/>
      </c>
      <c r="W227" s="18">
        <f>IF($A227="","",N(Items!H227))</f>
        <v/>
      </c>
      <c r="X227" s="19">
        <f>IF($A227="","",$R227*$W227)</f>
        <v/>
      </c>
      <c r="Y227" s="19">
        <f>IF($A227="","",N(Items!K227)*$W227)</f>
        <v/>
      </c>
      <c r="Z227" s="19">
        <f>IF($A227="","",(N(Items!K227)-N(Items!J227))*$W227)</f>
        <v/>
      </c>
      <c r="AA227" s="19">
        <f>IF($A227="","",$Z227-$X227)</f>
        <v/>
      </c>
      <c r="AB227" s="10">
        <f>IF($A227="","",IF(TRIM(Items!C227&amp;"")="","CHECK: import country missing",IF(OR(LEN($C227)&lt;&gt;10,ISERROR(VALUE($C227))),"CHECK: HTS must be 10 digits",IF(LEN($E227)&lt;&gt;2,"CHECK: origin code missing or not 2 letters",IF(OR(Items!G227="",Items!I227="",Items!J227=""),"CHECK: value, rate or cost missing",IF(ISNUMBER(Items!G227)*ISNUMBER(Items!I227)*ISNUMBER(Items!J227)=0,"CHECK: text in a number column",IF(AND($L227="Y",UPPER(TRIM(act_RateType&amp;""))="REPLACE",$N227&lt;N(act_PriorRate)),"CHECK: current rate is below the rate being replaced",IF(AND($L227="Y",$W227=0),"NOTE: in scope, no volume","OK"))))))))</f>
        <v/>
      </c>
      <c r="AC227" s="20">
        <f>IF($A227="","",IF(AND($L227="Y",$X227&lt;&gt;0),ABS($X227)+ROW()/1000000000,""))</f>
        <v/>
      </c>
    </row>
    <row r="228">
      <c r="A228" s="10">
        <f>IF(TRIM(Items!A228&amp;"")="","",TRIM(Items!A228&amp;""))</f>
        <v/>
      </c>
      <c r="B228" s="10">
        <f>IF($A228="","",Items!B228&amp;"")</f>
        <v/>
      </c>
      <c r="C228" s="10">
        <f>IF($A228="","",SUBSTITUTE(SUBSTITUTE(SUBSTITUTE(TRIM(Items!D228&amp;""),".","")," ",""),"-",""))</f>
        <v/>
      </c>
      <c r="D228" s="10">
        <f>IF($A228="","",LEFT($C228,2))</f>
        <v/>
      </c>
      <c r="E228" s="10">
        <f>IF($A228="","",UPPER(TRIM(Items!E228&amp;"")))</f>
        <v/>
      </c>
      <c r="F228" s="10">
        <f>IF($A228="","",IF(UPPER(TRIM(Items!C228&amp;""))=UPPER(TRIM(act_Country&amp;"")),"Y","N"))</f>
        <v/>
      </c>
      <c r="G228" s="10">
        <f>IF($A228="","",IF(SUMPRODUCT((scope_HTS&lt;&gt;"")*(LEFT($C228,LEN(scope_HTS))=scope_HTS))&gt;0,"Y","N"))</f>
        <v/>
      </c>
      <c r="H228" s="10">
        <f>IF($A228="","",IF(SUMPRODUCT((excl_HTS&lt;&gt;"")*(LEFT($C228,LEN(excl_HTS))=excl_HTS))&gt;0,"Y","N"))</f>
        <v/>
      </c>
      <c r="I228" s="10">
        <f>IF($A228="","",IF($E228="","N",IF(COUNTIF(scope_COO,$E228)&gt;0,"Y","N")))</f>
        <v/>
      </c>
      <c r="J228" s="10">
        <f>IF($A228="","",IF(AND(UPPER(TRIM(act_USMCAExempt&amp;""))="Y",UPPER(TRIM(Items!F228&amp;""))="Y"),"Y","N"))</f>
        <v/>
      </c>
      <c r="K228" s="10">
        <f>IF($A228="","",IFERROR(UPPER(TRIM(INDEX(det_Status,MATCH($A228,det_Item,0))&amp;"")),""))</f>
        <v/>
      </c>
      <c r="L228" s="10">
        <f>IF($A228="","",IF($K228="IN","Y",IF($K228="OUT","N",IF(AND($F228="Y",$G228="Y",$H228="N",$I228="Y",$J228="N"),"Y","N"))))</f>
        <v/>
      </c>
      <c r="M228" s="10">
        <f>IF($A228="","",IF($K228="IN","In: Research determination",IF($K228="OUT","Out: Research determination",IF($F228="N","Out: different import country",IF($G228="N","Out: HTS not on scope list",IF($H228="Y","Out: HTS on exclusion list",IF($I228="N","Out: origin not on scope list",IF($J228="Y","Out: USMCA-qualifying, exempt","In: matches scope rules"))))))))</f>
        <v/>
      </c>
      <c r="N228" s="16">
        <f>IF($A228="","",N(Items!I228))</f>
        <v/>
      </c>
      <c r="O228" s="16">
        <f>IF($A228="","",IF($L228="Y",$N228+N(act_Rate)-IF(UPPER(TRIM(act_RateType&amp;""))="REPLACE",N(act_PriorRate),0),$N228))</f>
        <v/>
      </c>
      <c r="P228" s="17">
        <f>IF($A228="","",N(Items!G228)*$N228)</f>
        <v/>
      </c>
      <c r="Q228" s="17">
        <f>IF($A228="","",N(Items!G228)*$O228)</f>
        <v/>
      </c>
      <c r="R228" s="17">
        <f>IF($A228="","",$Q228-$P228)</f>
        <v/>
      </c>
      <c r="S228" s="17">
        <f>IF($A228="","",N(Items!J228)+$R228)</f>
        <v/>
      </c>
      <c r="T228" s="16">
        <f>IF($A228="","",IF(N(Items!K228)=0,"",(N(Items!K228)-N(Items!J228))/N(Items!K228)))</f>
        <v/>
      </c>
      <c r="U228" s="16">
        <f>IF($A228="","",IF(N(Items!K228)=0,"",(N(Items!K228)-$S228)/N(Items!K228)))</f>
        <v/>
      </c>
      <c r="V228" s="16">
        <f>IF(OR($T228="",$U228=""),"",$U228-$T228)</f>
        <v/>
      </c>
      <c r="W228" s="18">
        <f>IF($A228="","",N(Items!H228))</f>
        <v/>
      </c>
      <c r="X228" s="19">
        <f>IF($A228="","",$R228*$W228)</f>
        <v/>
      </c>
      <c r="Y228" s="19">
        <f>IF($A228="","",N(Items!K228)*$W228)</f>
        <v/>
      </c>
      <c r="Z228" s="19">
        <f>IF($A228="","",(N(Items!K228)-N(Items!J228))*$W228)</f>
        <v/>
      </c>
      <c r="AA228" s="19">
        <f>IF($A228="","",$Z228-$X228)</f>
        <v/>
      </c>
      <c r="AB228" s="10">
        <f>IF($A228="","",IF(TRIM(Items!C228&amp;"")="","CHECK: import country missing",IF(OR(LEN($C228)&lt;&gt;10,ISERROR(VALUE($C228))),"CHECK: HTS must be 10 digits",IF(LEN($E228)&lt;&gt;2,"CHECK: origin code missing or not 2 letters",IF(OR(Items!G228="",Items!I228="",Items!J228=""),"CHECK: value, rate or cost missing",IF(ISNUMBER(Items!G228)*ISNUMBER(Items!I228)*ISNUMBER(Items!J228)=0,"CHECK: text in a number column",IF(AND($L228="Y",UPPER(TRIM(act_RateType&amp;""))="REPLACE",$N228&lt;N(act_PriorRate)),"CHECK: current rate is below the rate being replaced",IF(AND($L228="Y",$W228=0),"NOTE: in scope, no volume","OK"))))))))</f>
        <v/>
      </c>
      <c r="AC228" s="20">
        <f>IF($A228="","",IF(AND($L228="Y",$X228&lt;&gt;0),ABS($X228)+ROW()/1000000000,""))</f>
        <v/>
      </c>
    </row>
    <row r="229">
      <c r="A229" s="10">
        <f>IF(TRIM(Items!A229&amp;"")="","",TRIM(Items!A229&amp;""))</f>
        <v/>
      </c>
      <c r="B229" s="10">
        <f>IF($A229="","",Items!B229&amp;"")</f>
        <v/>
      </c>
      <c r="C229" s="10">
        <f>IF($A229="","",SUBSTITUTE(SUBSTITUTE(SUBSTITUTE(TRIM(Items!D229&amp;""),".","")," ",""),"-",""))</f>
        <v/>
      </c>
      <c r="D229" s="10">
        <f>IF($A229="","",LEFT($C229,2))</f>
        <v/>
      </c>
      <c r="E229" s="10">
        <f>IF($A229="","",UPPER(TRIM(Items!E229&amp;"")))</f>
        <v/>
      </c>
      <c r="F229" s="10">
        <f>IF($A229="","",IF(UPPER(TRIM(Items!C229&amp;""))=UPPER(TRIM(act_Country&amp;"")),"Y","N"))</f>
        <v/>
      </c>
      <c r="G229" s="10">
        <f>IF($A229="","",IF(SUMPRODUCT((scope_HTS&lt;&gt;"")*(LEFT($C229,LEN(scope_HTS))=scope_HTS))&gt;0,"Y","N"))</f>
        <v/>
      </c>
      <c r="H229" s="10">
        <f>IF($A229="","",IF(SUMPRODUCT((excl_HTS&lt;&gt;"")*(LEFT($C229,LEN(excl_HTS))=excl_HTS))&gt;0,"Y","N"))</f>
        <v/>
      </c>
      <c r="I229" s="10">
        <f>IF($A229="","",IF($E229="","N",IF(COUNTIF(scope_COO,$E229)&gt;0,"Y","N")))</f>
        <v/>
      </c>
      <c r="J229" s="10">
        <f>IF($A229="","",IF(AND(UPPER(TRIM(act_USMCAExempt&amp;""))="Y",UPPER(TRIM(Items!F229&amp;""))="Y"),"Y","N"))</f>
        <v/>
      </c>
      <c r="K229" s="10">
        <f>IF($A229="","",IFERROR(UPPER(TRIM(INDEX(det_Status,MATCH($A229,det_Item,0))&amp;"")),""))</f>
        <v/>
      </c>
      <c r="L229" s="10">
        <f>IF($A229="","",IF($K229="IN","Y",IF($K229="OUT","N",IF(AND($F229="Y",$G229="Y",$H229="N",$I229="Y",$J229="N"),"Y","N"))))</f>
        <v/>
      </c>
      <c r="M229" s="10">
        <f>IF($A229="","",IF($K229="IN","In: Research determination",IF($K229="OUT","Out: Research determination",IF($F229="N","Out: different import country",IF($G229="N","Out: HTS not on scope list",IF($H229="Y","Out: HTS on exclusion list",IF($I229="N","Out: origin not on scope list",IF($J229="Y","Out: USMCA-qualifying, exempt","In: matches scope rules"))))))))</f>
        <v/>
      </c>
      <c r="N229" s="16">
        <f>IF($A229="","",N(Items!I229))</f>
        <v/>
      </c>
      <c r="O229" s="16">
        <f>IF($A229="","",IF($L229="Y",$N229+N(act_Rate)-IF(UPPER(TRIM(act_RateType&amp;""))="REPLACE",N(act_PriorRate),0),$N229))</f>
        <v/>
      </c>
      <c r="P229" s="17">
        <f>IF($A229="","",N(Items!G229)*$N229)</f>
        <v/>
      </c>
      <c r="Q229" s="17">
        <f>IF($A229="","",N(Items!G229)*$O229)</f>
        <v/>
      </c>
      <c r="R229" s="17">
        <f>IF($A229="","",$Q229-$P229)</f>
        <v/>
      </c>
      <c r="S229" s="17">
        <f>IF($A229="","",N(Items!J229)+$R229)</f>
        <v/>
      </c>
      <c r="T229" s="16">
        <f>IF($A229="","",IF(N(Items!K229)=0,"",(N(Items!K229)-N(Items!J229))/N(Items!K229)))</f>
        <v/>
      </c>
      <c r="U229" s="16">
        <f>IF($A229="","",IF(N(Items!K229)=0,"",(N(Items!K229)-$S229)/N(Items!K229)))</f>
        <v/>
      </c>
      <c r="V229" s="16">
        <f>IF(OR($T229="",$U229=""),"",$U229-$T229)</f>
        <v/>
      </c>
      <c r="W229" s="18">
        <f>IF($A229="","",N(Items!H229))</f>
        <v/>
      </c>
      <c r="X229" s="19">
        <f>IF($A229="","",$R229*$W229)</f>
        <v/>
      </c>
      <c r="Y229" s="19">
        <f>IF($A229="","",N(Items!K229)*$W229)</f>
        <v/>
      </c>
      <c r="Z229" s="19">
        <f>IF($A229="","",(N(Items!K229)-N(Items!J229))*$W229)</f>
        <v/>
      </c>
      <c r="AA229" s="19">
        <f>IF($A229="","",$Z229-$X229)</f>
        <v/>
      </c>
      <c r="AB229" s="10">
        <f>IF($A229="","",IF(TRIM(Items!C229&amp;"")="","CHECK: import country missing",IF(OR(LEN($C229)&lt;&gt;10,ISERROR(VALUE($C229))),"CHECK: HTS must be 10 digits",IF(LEN($E229)&lt;&gt;2,"CHECK: origin code missing or not 2 letters",IF(OR(Items!G229="",Items!I229="",Items!J229=""),"CHECK: value, rate or cost missing",IF(ISNUMBER(Items!G229)*ISNUMBER(Items!I229)*ISNUMBER(Items!J229)=0,"CHECK: text in a number column",IF(AND($L229="Y",UPPER(TRIM(act_RateType&amp;""))="REPLACE",$N229&lt;N(act_PriorRate)),"CHECK: current rate is below the rate being replaced",IF(AND($L229="Y",$W229=0),"NOTE: in scope, no volume","OK"))))))))</f>
        <v/>
      </c>
      <c r="AC229" s="20">
        <f>IF($A229="","",IF(AND($L229="Y",$X229&lt;&gt;0),ABS($X229)+ROW()/1000000000,""))</f>
        <v/>
      </c>
    </row>
    <row r="230">
      <c r="A230" s="10">
        <f>IF(TRIM(Items!A230&amp;"")="","",TRIM(Items!A230&amp;""))</f>
        <v/>
      </c>
      <c r="B230" s="10">
        <f>IF($A230="","",Items!B230&amp;"")</f>
        <v/>
      </c>
      <c r="C230" s="10">
        <f>IF($A230="","",SUBSTITUTE(SUBSTITUTE(SUBSTITUTE(TRIM(Items!D230&amp;""),".","")," ",""),"-",""))</f>
        <v/>
      </c>
      <c r="D230" s="10">
        <f>IF($A230="","",LEFT($C230,2))</f>
        <v/>
      </c>
      <c r="E230" s="10">
        <f>IF($A230="","",UPPER(TRIM(Items!E230&amp;"")))</f>
        <v/>
      </c>
      <c r="F230" s="10">
        <f>IF($A230="","",IF(UPPER(TRIM(Items!C230&amp;""))=UPPER(TRIM(act_Country&amp;"")),"Y","N"))</f>
        <v/>
      </c>
      <c r="G230" s="10">
        <f>IF($A230="","",IF(SUMPRODUCT((scope_HTS&lt;&gt;"")*(LEFT($C230,LEN(scope_HTS))=scope_HTS))&gt;0,"Y","N"))</f>
        <v/>
      </c>
      <c r="H230" s="10">
        <f>IF($A230="","",IF(SUMPRODUCT((excl_HTS&lt;&gt;"")*(LEFT($C230,LEN(excl_HTS))=excl_HTS))&gt;0,"Y","N"))</f>
        <v/>
      </c>
      <c r="I230" s="10">
        <f>IF($A230="","",IF($E230="","N",IF(COUNTIF(scope_COO,$E230)&gt;0,"Y","N")))</f>
        <v/>
      </c>
      <c r="J230" s="10">
        <f>IF($A230="","",IF(AND(UPPER(TRIM(act_USMCAExempt&amp;""))="Y",UPPER(TRIM(Items!F230&amp;""))="Y"),"Y","N"))</f>
        <v/>
      </c>
      <c r="K230" s="10">
        <f>IF($A230="","",IFERROR(UPPER(TRIM(INDEX(det_Status,MATCH($A230,det_Item,0))&amp;"")),""))</f>
        <v/>
      </c>
      <c r="L230" s="10">
        <f>IF($A230="","",IF($K230="IN","Y",IF($K230="OUT","N",IF(AND($F230="Y",$G230="Y",$H230="N",$I230="Y",$J230="N"),"Y","N"))))</f>
        <v/>
      </c>
      <c r="M230" s="10">
        <f>IF($A230="","",IF($K230="IN","In: Research determination",IF($K230="OUT","Out: Research determination",IF($F230="N","Out: different import country",IF($G230="N","Out: HTS not on scope list",IF($H230="Y","Out: HTS on exclusion list",IF($I230="N","Out: origin not on scope list",IF($J230="Y","Out: USMCA-qualifying, exempt","In: matches scope rules"))))))))</f>
        <v/>
      </c>
      <c r="N230" s="16">
        <f>IF($A230="","",N(Items!I230))</f>
        <v/>
      </c>
      <c r="O230" s="16">
        <f>IF($A230="","",IF($L230="Y",$N230+N(act_Rate)-IF(UPPER(TRIM(act_RateType&amp;""))="REPLACE",N(act_PriorRate),0),$N230))</f>
        <v/>
      </c>
      <c r="P230" s="17">
        <f>IF($A230="","",N(Items!G230)*$N230)</f>
        <v/>
      </c>
      <c r="Q230" s="17">
        <f>IF($A230="","",N(Items!G230)*$O230)</f>
        <v/>
      </c>
      <c r="R230" s="17">
        <f>IF($A230="","",$Q230-$P230)</f>
        <v/>
      </c>
      <c r="S230" s="17">
        <f>IF($A230="","",N(Items!J230)+$R230)</f>
        <v/>
      </c>
      <c r="T230" s="16">
        <f>IF($A230="","",IF(N(Items!K230)=0,"",(N(Items!K230)-N(Items!J230))/N(Items!K230)))</f>
        <v/>
      </c>
      <c r="U230" s="16">
        <f>IF($A230="","",IF(N(Items!K230)=0,"",(N(Items!K230)-$S230)/N(Items!K230)))</f>
        <v/>
      </c>
      <c r="V230" s="16">
        <f>IF(OR($T230="",$U230=""),"",$U230-$T230)</f>
        <v/>
      </c>
      <c r="W230" s="18">
        <f>IF($A230="","",N(Items!H230))</f>
        <v/>
      </c>
      <c r="X230" s="19">
        <f>IF($A230="","",$R230*$W230)</f>
        <v/>
      </c>
      <c r="Y230" s="19">
        <f>IF($A230="","",N(Items!K230)*$W230)</f>
        <v/>
      </c>
      <c r="Z230" s="19">
        <f>IF($A230="","",(N(Items!K230)-N(Items!J230))*$W230)</f>
        <v/>
      </c>
      <c r="AA230" s="19">
        <f>IF($A230="","",$Z230-$X230)</f>
        <v/>
      </c>
      <c r="AB230" s="10">
        <f>IF($A230="","",IF(TRIM(Items!C230&amp;"")="","CHECK: import country missing",IF(OR(LEN($C230)&lt;&gt;10,ISERROR(VALUE($C230))),"CHECK: HTS must be 10 digits",IF(LEN($E230)&lt;&gt;2,"CHECK: origin code missing or not 2 letters",IF(OR(Items!G230="",Items!I230="",Items!J230=""),"CHECK: value, rate or cost missing",IF(ISNUMBER(Items!G230)*ISNUMBER(Items!I230)*ISNUMBER(Items!J230)=0,"CHECK: text in a number column",IF(AND($L230="Y",UPPER(TRIM(act_RateType&amp;""))="REPLACE",$N230&lt;N(act_PriorRate)),"CHECK: current rate is below the rate being replaced",IF(AND($L230="Y",$W230=0),"NOTE: in scope, no volume","OK"))))))))</f>
        <v/>
      </c>
      <c r="AC230" s="20">
        <f>IF($A230="","",IF(AND($L230="Y",$X230&lt;&gt;0),ABS($X230)+ROW()/1000000000,""))</f>
        <v/>
      </c>
    </row>
    <row r="231">
      <c r="A231" s="10">
        <f>IF(TRIM(Items!A231&amp;"")="","",TRIM(Items!A231&amp;""))</f>
        <v/>
      </c>
      <c r="B231" s="10">
        <f>IF($A231="","",Items!B231&amp;"")</f>
        <v/>
      </c>
      <c r="C231" s="10">
        <f>IF($A231="","",SUBSTITUTE(SUBSTITUTE(SUBSTITUTE(TRIM(Items!D231&amp;""),".","")," ",""),"-",""))</f>
        <v/>
      </c>
      <c r="D231" s="10">
        <f>IF($A231="","",LEFT($C231,2))</f>
        <v/>
      </c>
      <c r="E231" s="10">
        <f>IF($A231="","",UPPER(TRIM(Items!E231&amp;"")))</f>
        <v/>
      </c>
      <c r="F231" s="10">
        <f>IF($A231="","",IF(UPPER(TRIM(Items!C231&amp;""))=UPPER(TRIM(act_Country&amp;"")),"Y","N"))</f>
        <v/>
      </c>
      <c r="G231" s="10">
        <f>IF($A231="","",IF(SUMPRODUCT((scope_HTS&lt;&gt;"")*(LEFT($C231,LEN(scope_HTS))=scope_HTS))&gt;0,"Y","N"))</f>
        <v/>
      </c>
      <c r="H231" s="10">
        <f>IF($A231="","",IF(SUMPRODUCT((excl_HTS&lt;&gt;"")*(LEFT($C231,LEN(excl_HTS))=excl_HTS))&gt;0,"Y","N"))</f>
        <v/>
      </c>
      <c r="I231" s="10">
        <f>IF($A231="","",IF($E231="","N",IF(COUNTIF(scope_COO,$E231)&gt;0,"Y","N")))</f>
        <v/>
      </c>
      <c r="J231" s="10">
        <f>IF($A231="","",IF(AND(UPPER(TRIM(act_USMCAExempt&amp;""))="Y",UPPER(TRIM(Items!F231&amp;""))="Y"),"Y","N"))</f>
        <v/>
      </c>
      <c r="K231" s="10">
        <f>IF($A231="","",IFERROR(UPPER(TRIM(INDEX(det_Status,MATCH($A231,det_Item,0))&amp;"")),""))</f>
        <v/>
      </c>
      <c r="L231" s="10">
        <f>IF($A231="","",IF($K231="IN","Y",IF($K231="OUT","N",IF(AND($F231="Y",$G231="Y",$H231="N",$I231="Y",$J231="N"),"Y","N"))))</f>
        <v/>
      </c>
      <c r="M231" s="10">
        <f>IF($A231="","",IF($K231="IN","In: Research determination",IF($K231="OUT","Out: Research determination",IF($F231="N","Out: different import country",IF($G231="N","Out: HTS not on scope list",IF($H231="Y","Out: HTS on exclusion list",IF($I231="N","Out: origin not on scope list",IF($J231="Y","Out: USMCA-qualifying, exempt","In: matches scope rules"))))))))</f>
        <v/>
      </c>
      <c r="N231" s="16">
        <f>IF($A231="","",N(Items!I231))</f>
        <v/>
      </c>
      <c r="O231" s="16">
        <f>IF($A231="","",IF($L231="Y",$N231+N(act_Rate)-IF(UPPER(TRIM(act_RateType&amp;""))="REPLACE",N(act_PriorRate),0),$N231))</f>
        <v/>
      </c>
      <c r="P231" s="17">
        <f>IF($A231="","",N(Items!G231)*$N231)</f>
        <v/>
      </c>
      <c r="Q231" s="17">
        <f>IF($A231="","",N(Items!G231)*$O231)</f>
        <v/>
      </c>
      <c r="R231" s="17">
        <f>IF($A231="","",$Q231-$P231)</f>
        <v/>
      </c>
      <c r="S231" s="17">
        <f>IF($A231="","",N(Items!J231)+$R231)</f>
        <v/>
      </c>
      <c r="T231" s="16">
        <f>IF($A231="","",IF(N(Items!K231)=0,"",(N(Items!K231)-N(Items!J231))/N(Items!K231)))</f>
        <v/>
      </c>
      <c r="U231" s="16">
        <f>IF($A231="","",IF(N(Items!K231)=0,"",(N(Items!K231)-$S231)/N(Items!K231)))</f>
        <v/>
      </c>
      <c r="V231" s="16">
        <f>IF(OR($T231="",$U231=""),"",$U231-$T231)</f>
        <v/>
      </c>
      <c r="W231" s="18">
        <f>IF($A231="","",N(Items!H231))</f>
        <v/>
      </c>
      <c r="X231" s="19">
        <f>IF($A231="","",$R231*$W231)</f>
        <v/>
      </c>
      <c r="Y231" s="19">
        <f>IF($A231="","",N(Items!K231)*$W231)</f>
        <v/>
      </c>
      <c r="Z231" s="19">
        <f>IF($A231="","",(N(Items!K231)-N(Items!J231))*$W231)</f>
        <v/>
      </c>
      <c r="AA231" s="19">
        <f>IF($A231="","",$Z231-$X231)</f>
        <v/>
      </c>
      <c r="AB231" s="10">
        <f>IF($A231="","",IF(TRIM(Items!C231&amp;"")="","CHECK: import country missing",IF(OR(LEN($C231)&lt;&gt;10,ISERROR(VALUE($C231))),"CHECK: HTS must be 10 digits",IF(LEN($E231)&lt;&gt;2,"CHECK: origin code missing or not 2 letters",IF(OR(Items!G231="",Items!I231="",Items!J231=""),"CHECK: value, rate or cost missing",IF(ISNUMBER(Items!G231)*ISNUMBER(Items!I231)*ISNUMBER(Items!J231)=0,"CHECK: text in a number column",IF(AND($L231="Y",UPPER(TRIM(act_RateType&amp;""))="REPLACE",$N231&lt;N(act_PriorRate)),"CHECK: current rate is below the rate being replaced",IF(AND($L231="Y",$W231=0),"NOTE: in scope, no volume","OK"))))))))</f>
        <v/>
      </c>
      <c r="AC231" s="20">
        <f>IF($A231="","",IF(AND($L231="Y",$X231&lt;&gt;0),ABS($X231)+ROW()/1000000000,""))</f>
        <v/>
      </c>
    </row>
    <row r="232">
      <c r="A232" s="10">
        <f>IF(TRIM(Items!A232&amp;"")="","",TRIM(Items!A232&amp;""))</f>
        <v/>
      </c>
      <c r="B232" s="10">
        <f>IF($A232="","",Items!B232&amp;"")</f>
        <v/>
      </c>
      <c r="C232" s="10">
        <f>IF($A232="","",SUBSTITUTE(SUBSTITUTE(SUBSTITUTE(TRIM(Items!D232&amp;""),".","")," ",""),"-",""))</f>
        <v/>
      </c>
      <c r="D232" s="10">
        <f>IF($A232="","",LEFT($C232,2))</f>
        <v/>
      </c>
      <c r="E232" s="10">
        <f>IF($A232="","",UPPER(TRIM(Items!E232&amp;"")))</f>
        <v/>
      </c>
      <c r="F232" s="10">
        <f>IF($A232="","",IF(UPPER(TRIM(Items!C232&amp;""))=UPPER(TRIM(act_Country&amp;"")),"Y","N"))</f>
        <v/>
      </c>
      <c r="G232" s="10">
        <f>IF($A232="","",IF(SUMPRODUCT((scope_HTS&lt;&gt;"")*(LEFT($C232,LEN(scope_HTS))=scope_HTS))&gt;0,"Y","N"))</f>
        <v/>
      </c>
      <c r="H232" s="10">
        <f>IF($A232="","",IF(SUMPRODUCT((excl_HTS&lt;&gt;"")*(LEFT($C232,LEN(excl_HTS))=excl_HTS))&gt;0,"Y","N"))</f>
        <v/>
      </c>
      <c r="I232" s="10">
        <f>IF($A232="","",IF($E232="","N",IF(COUNTIF(scope_COO,$E232)&gt;0,"Y","N")))</f>
        <v/>
      </c>
      <c r="J232" s="10">
        <f>IF($A232="","",IF(AND(UPPER(TRIM(act_USMCAExempt&amp;""))="Y",UPPER(TRIM(Items!F232&amp;""))="Y"),"Y","N"))</f>
        <v/>
      </c>
      <c r="K232" s="10">
        <f>IF($A232="","",IFERROR(UPPER(TRIM(INDEX(det_Status,MATCH($A232,det_Item,0))&amp;"")),""))</f>
        <v/>
      </c>
      <c r="L232" s="10">
        <f>IF($A232="","",IF($K232="IN","Y",IF($K232="OUT","N",IF(AND($F232="Y",$G232="Y",$H232="N",$I232="Y",$J232="N"),"Y","N"))))</f>
        <v/>
      </c>
      <c r="M232" s="10">
        <f>IF($A232="","",IF($K232="IN","In: Research determination",IF($K232="OUT","Out: Research determination",IF($F232="N","Out: different import country",IF($G232="N","Out: HTS not on scope list",IF($H232="Y","Out: HTS on exclusion list",IF($I232="N","Out: origin not on scope list",IF($J232="Y","Out: USMCA-qualifying, exempt","In: matches scope rules"))))))))</f>
        <v/>
      </c>
      <c r="N232" s="16">
        <f>IF($A232="","",N(Items!I232))</f>
        <v/>
      </c>
      <c r="O232" s="16">
        <f>IF($A232="","",IF($L232="Y",$N232+N(act_Rate)-IF(UPPER(TRIM(act_RateType&amp;""))="REPLACE",N(act_PriorRate),0),$N232))</f>
        <v/>
      </c>
      <c r="P232" s="17">
        <f>IF($A232="","",N(Items!G232)*$N232)</f>
        <v/>
      </c>
      <c r="Q232" s="17">
        <f>IF($A232="","",N(Items!G232)*$O232)</f>
        <v/>
      </c>
      <c r="R232" s="17">
        <f>IF($A232="","",$Q232-$P232)</f>
        <v/>
      </c>
      <c r="S232" s="17">
        <f>IF($A232="","",N(Items!J232)+$R232)</f>
        <v/>
      </c>
      <c r="T232" s="16">
        <f>IF($A232="","",IF(N(Items!K232)=0,"",(N(Items!K232)-N(Items!J232))/N(Items!K232)))</f>
        <v/>
      </c>
      <c r="U232" s="16">
        <f>IF($A232="","",IF(N(Items!K232)=0,"",(N(Items!K232)-$S232)/N(Items!K232)))</f>
        <v/>
      </c>
      <c r="V232" s="16">
        <f>IF(OR($T232="",$U232=""),"",$U232-$T232)</f>
        <v/>
      </c>
      <c r="W232" s="18">
        <f>IF($A232="","",N(Items!H232))</f>
        <v/>
      </c>
      <c r="X232" s="19">
        <f>IF($A232="","",$R232*$W232)</f>
        <v/>
      </c>
      <c r="Y232" s="19">
        <f>IF($A232="","",N(Items!K232)*$W232)</f>
        <v/>
      </c>
      <c r="Z232" s="19">
        <f>IF($A232="","",(N(Items!K232)-N(Items!J232))*$W232)</f>
        <v/>
      </c>
      <c r="AA232" s="19">
        <f>IF($A232="","",$Z232-$X232)</f>
        <v/>
      </c>
      <c r="AB232" s="10">
        <f>IF($A232="","",IF(TRIM(Items!C232&amp;"")="","CHECK: import country missing",IF(OR(LEN($C232)&lt;&gt;10,ISERROR(VALUE($C232))),"CHECK: HTS must be 10 digits",IF(LEN($E232)&lt;&gt;2,"CHECK: origin code missing or not 2 letters",IF(OR(Items!G232="",Items!I232="",Items!J232=""),"CHECK: value, rate or cost missing",IF(ISNUMBER(Items!G232)*ISNUMBER(Items!I232)*ISNUMBER(Items!J232)=0,"CHECK: text in a number column",IF(AND($L232="Y",UPPER(TRIM(act_RateType&amp;""))="REPLACE",$N232&lt;N(act_PriorRate)),"CHECK: current rate is below the rate being replaced",IF(AND($L232="Y",$W232=0),"NOTE: in scope, no volume","OK"))))))))</f>
        <v/>
      </c>
      <c r="AC232" s="20">
        <f>IF($A232="","",IF(AND($L232="Y",$X232&lt;&gt;0),ABS($X232)+ROW()/1000000000,""))</f>
        <v/>
      </c>
    </row>
    <row r="233">
      <c r="A233" s="10">
        <f>IF(TRIM(Items!A233&amp;"")="","",TRIM(Items!A233&amp;""))</f>
        <v/>
      </c>
      <c r="B233" s="10">
        <f>IF($A233="","",Items!B233&amp;"")</f>
        <v/>
      </c>
      <c r="C233" s="10">
        <f>IF($A233="","",SUBSTITUTE(SUBSTITUTE(SUBSTITUTE(TRIM(Items!D233&amp;""),".","")," ",""),"-",""))</f>
        <v/>
      </c>
      <c r="D233" s="10">
        <f>IF($A233="","",LEFT($C233,2))</f>
        <v/>
      </c>
      <c r="E233" s="10">
        <f>IF($A233="","",UPPER(TRIM(Items!E233&amp;"")))</f>
        <v/>
      </c>
      <c r="F233" s="10">
        <f>IF($A233="","",IF(UPPER(TRIM(Items!C233&amp;""))=UPPER(TRIM(act_Country&amp;"")),"Y","N"))</f>
        <v/>
      </c>
      <c r="G233" s="10">
        <f>IF($A233="","",IF(SUMPRODUCT((scope_HTS&lt;&gt;"")*(LEFT($C233,LEN(scope_HTS))=scope_HTS))&gt;0,"Y","N"))</f>
        <v/>
      </c>
      <c r="H233" s="10">
        <f>IF($A233="","",IF(SUMPRODUCT((excl_HTS&lt;&gt;"")*(LEFT($C233,LEN(excl_HTS))=excl_HTS))&gt;0,"Y","N"))</f>
        <v/>
      </c>
      <c r="I233" s="10">
        <f>IF($A233="","",IF($E233="","N",IF(COUNTIF(scope_COO,$E233)&gt;0,"Y","N")))</f>
        <v/>
      </c>
      <c r="J233" s="10">
        <f>IF($A233="","",IF(AND(UPPER(TRIM(act_USMCAExempt&amp;""))="Y",UPPER(TRIM(Items!F233&amp;""))="Y"),"Y","N"))</f>
        <v/>
      </c>
      <c r="K233" s="10">
        <f>IF($A233="","",IFERROR(UPPER(TRIM(INDEX(det_Status,MATCH($A233,det_Item,0))&amp;"")),""))</f>
        <v/>
      </c>
      <c r="L233" s="10">
        <f>IF($A233="","",IF($K233="IN","Y",IF($K233="OUT","N",IF(AND($F233="Y",$G233="Y",$H233="N",$I233="Y",$J233="N"),"Y","N"))))</f>
        <v/>
      </c>
      <c r="M233" s="10">
        <f>IF($A233="","",IF($K233="IN","In: Research determination",IF($K233="OUT","Out: Research determination",IF($F233="N","Out: different import country",IF($G233="N","Out: HTS not on scope list",IF($H233="Y","Out: HTS on exclusion list",IF($I233="N","Out: origin not on scope list",IF($J233="Y","Out: USMCA-qualifying, exempt","In: matches scope rules"))))))))</f>
        <v/>
      </c>
      <c r="N233" s="16">
        <f>IF($A233="","",N(Items!I233))</f>
        <v/>
      </c>
      <c r="O233" s="16">
        <f>IF($A233="","",IF($L233="Y",$N233+N(act_Rate)-IF(UPPER(TRIM(act_RateType&amp;""))="REPLACE",N(act_PriorRate),0),$N233))</f>
        <v/>
      </c>
      <c r="P233" s="17">
        <f>IF($A233="","",N(Items!G233)*$N233)</f>
        <v/>
      </c>
      <c r="Q233" s="17">
        <f>IF($A233="","",N(Items!G233)*$O233)</f>
        <v/>
      </c>
      <c r="R233" s="17">
        <f>IF($A233="","",$Q233-$P233)</f>
        <v/>
      </c>
      <c r="S233" s="17">
        <f>IF($A233="","",N(Items!J233)+$R233)</f>
        <v/>
      </c>
      <c r="T233" s="16">
        <f>IF($A233="","",IF(N(Items!K233)=0,"",(N(Items!K233)-N(Items!J233))/N(Items!K233)))</f>
        <v/>
      </c>
      <c r="U233" s="16">
        <f>IF($A233="","",IF(N(Items!K233)=0,"",(N(Items!K233)-$S233)/N(Items!K233)))</f>
        <v/>
      </c>
      <c r="V233" s="16">
        <f>IF(OR($T233="",$U233=""),"",$U233-$T233)</f>
        <v/>
      </c>
      <c r="W233" s="18">
        <f>IF($A233="","",N(Items!H233))</f>
        <v/>
      </c>
      <c r="X233" s="19">
        <f>IF($A233="","",$R233*$W233)</f>
        <v/>
      </c>
      <c r="Y233" s="19">
        <f>IF($A233="","",N(Items!K233)*$W233)</f>
        <v/>
      </c>
      <c r="Z233" s="19">
        <f>IF($A233="","",(N(Items!K233)-N(Items!J233))*$W233)</f>
        <v/>
      </c>
      <c r="AA233" s="19">
        <f>IF($A233="","",$Z233-$X233)</f>
        <v/>
      </c>
      <c r="AB233" s="10">
        <f>IF($A233="","",IF(TRIM(Items!C233&amp;"")="","CHECK: import country missing",IF(OR(LEN($C233)&lt;&gt;10,ISERROR(VALUE($C233))),"CHECK: HTS must be 10 digits",IF(LEN($E233)&lt;&gt;2,"CHECK: origin code missing or not 2 letters",IF(OR(Items!G233="",Items!I233="",Items!J233=""),"CHECK: value, rate or cost missing",IF(ISNUMBER(Items!G233)*ISNUMBER(Items!I233)*ISNUMBER(Items!J233)=0,"CHECK: text in a number column",IF(AND($L233="Y",UPPER(TRIM(act_RateType&amp;""))="REPLACE",$N233&lt;N(act_PriorRate)),"CHECK: current rate is below the rate being replaced",IF(AND($L233="Y",$W233=0),"NOTE: in scope, no volume","OK"))))))))</f>
        <v/>
      </c>
      <c r="AC233" s="20">
        <f>IF($A233="","",IF(AND($L233="Y",$X233&lt;&gt;0),ABS($X233)+ROW()/1000000000,""))</f>
        <v/>
      </c>
    </row>
    <row r="234">
      <c r="A234" s="10">
        <f>IF(TRIM(Items!A234&amp;"")="","",TRIM(Items!A234&amp;""))</f>
        <v/>
      </c>
      <c r="B234" s="10">
        <f>IF($A234="","",Items!B234&amp;"")</f>
        <v/>
      </c>
      <c r="C234" s="10">
        <f>IF($A234="","",SUBSTITUTE(SUBSTITUTE(SUBSTITUTE(TRIM(Items!D234&amp;""),".","")," ",""),"-",""))</f>
        <v/>
      </c>
      <c r="D234" s="10">
        <f>IF($A234="","",LEFT($C234,2))</f>
        <v/>
      </c>
      <c r="E234" s="10">
        <f>IF($A234="","",UPPER(TRIM(Items!E234&amp;"")))</f>
        <v/>
      </c>
      <c r="F234" s="10">
        <f>IF($A234="","",IF(UPPER(TRIM(Items!C234&amp;""))=UPPER(TRIM(act_Country&amp;"")),"Y","N"))</f>
        <v/>
      </c>
      <c r="G234" s="10">
        <f>IF($A234="","",IF(SUMPRODUCT((scope_HTS&lt;&gt;"")*(LEFT($C234,LEN(scope_HTS))=scope_HTS))&gt;0,"Y","N"))</f>
        <v/>
      </c>
      <c r="H234" s="10">
        <f>IF($A234="","",IF(SUMPRODUCT((excl_HTS&lt;&gt;"")*(LEFT($C234,LEN(excl_HTS))=excl_HTS))&gt;0,"Y","N"))</f>
        <v/>
      </c>
      <c r="I234" s="10">
        <f>IF($A234="","",IF($E234="","N",IF(COUNTIF(scope_COO,$E234)&gt;0,"Y","N")))</f>
        <v/>
      </c>
      <c r="J234" s="10">
        <f>IF($A234="","",IF(AND(UPPER(TRIM(act_USMCAExempt&amp;""))="Y",UPPER(TRIM(Items!F234&amp;""))="Y"),"Y","N"))</f>
        <v/>
      </c>
      <c r="K234" s="10">
        <f>IF($A234="","",IFERROR(UPPER(TRIM(INDEX(det_Status,MATCH($A234,det_Item,0))&amp;"")),""))</f>
        <v/>
      </c>
      <c r="L234" s="10">
        <f>IF($A234="","",IF($K234="IN","Y",IF($K234="OUT","N",IF(AND($F234="Y",$G234="Y",$H234="N",$I234="Y",$J234="N"),"Y","N"))))</f>
        <v/>
      </c>
      <c r="M234" s="10">
        <f>IF($A234="","",IF($K234="IN","In: Research determination",IF($K234="OUT","Out: Research determination",IF($F234="N","Out: different import country",IF($G234="N","Out: HTS not on scope list",IF($H234="Y","Out: HTS on exclusion list",IF($I234="N","Out: origin not on scope list",IF($J234="Y","Out: USMCA-qualifying, exempt","In: matches scope rules"))))))))</f>
        <v/>
      </c>
      <c r="N234" s="16">
        <f>IF($A234="","",N(Items!I234))</f>
        <v/>
      </c>
      <c r="O234" s="16">
        <f>IF($A234="","",IF($L234="Y",$N234+N(act_Rate)-IF(UPPER(TRIM(act_RateType&amp;""))="REPLACE",N(act_PriorRate),0),$N234))</f>
        <v/>
      </c>
      <c r="P234" s="17">
        <f>IF($A234="","",N(Items!G234)*$N234)</f>
        <v/>
      </c>
      <c r="Q234" s="17">
        <f>IF($A234="","",N(Items!G234)*$O234)</f>
        <v/>
      </c>
      <c r="R234" s="17">
        <f>IF($A234="","",$Q234-$P234)</f>
        <v/>
      </c>
      <c r="S234" s="17">
        <f>IF($A234="","",N(Items!J234)+$R234)</f>
        <v/>
      </c>
      <c r="T234" s="16">
        <f>IF($A234="","",IF(N(Items!K234)=0,"",(N(Items!K234)-N(Items!J234))/N(Items!K234)))</f>
        <v/>
      </c>
      <c r="U234" s="16">
        <f>IF($A234="","",IF(N(Items!K234)=0,"",(N(Items!K234)-$S234)/N(Items!K234)))</f>
        <v/>
      </c>
      <c r="V234" s="16">
        <f>IF(OR($T234="",$U234=""),"",$U234-$T234)</f>
        <v/>
      </c>
      <c r="W234" s="18">
        <f>IF($A234="","",N(Items!H234))</f>
        <v/>
      </c>
      <c r="X234" s="19">
        <f>IF($A234="","",$R234*$W234)</f>
        <v/>
      </c>
      <c r="Y234" s="19">
        <f>IF($A234="","",N(Items!K234)*$W234)</f>
        <v/>
      </c>
      <c r="Z234" s="19">
        <f>IF($A234="","",(N(Items!K234)-N(Items!J234))*$W234)</f>
        <v/>
      </c>
      <c r="AA234" s="19">
        <f>IF($A234="","",$Z234-$X234)</f>
        <v/>
      </c>
      <c r="AB234" s="10">
        <f>IF($A234="","",IF(TRIM(Items!C234&amp;"")="","CHECK: import country missing",IF(OR(LEN($C234)&lt;&gt;10,ISERROR(VALUE($C234))),"CHECK: HTS must be 10 digits",IF(LEN($E234)&lt;&gt;2,"CHECK: origin code missing or not 2 letters",IF(OR(Items!G234="",Items!I234="",Items!J234=""),"CHECK: value, rate or cost missing",IF(ISNUMBER(Items!G234)*ISNUMBER(Items!I234)*ISNUMBER(Items!J234)=0,"CHECK: text in a number column",IF(AND($L234="Y",UPPER(TRIM(act_RateType&amp;""))="REPLACE",$N234&lt;N(act_PriorRate)),"CHECK: current rate is below the rate being replaced",IF(AND($L234="Y",$W234=0),"NOTE: in scope, no volume","OK"))))))))</f>
        <v/>
      </c>
      <c r="AC234" s="20">
        <f>IF($A234="","",IF(AND($L234="Y",$X234&lt;&gt;0),ABS($X234)+ROW()/1000000000,""))</f>
        <v/>
      </c>
    </row>
    <row r="235">
      <c r="A235" s="10">
        <f>IF(TRIM(Items!A235&amp;"")="","",TRIM(Items!A235&amp;""))</f>
        <v/>
      </c>
      <c r="B235" s="10">
        <f>IF($A235="","",Items!B235&amp;"")</f>
        <v/>
      </c>
      <c r="C235" s="10">
        <f>IF($A235="","",SUBSTITUTE(SUBSTITUTE(SUBSTITUTE(TRIM(Items!D235&amp;""),".","")," ",""),"-",""))</f>
        <v/>
      </c>
      <c r="D235" s="10">
        <f>IF($A235="","",LEFT($C235,2))</f>
        <v/>
      </c>
      <c r="E235" s="10">
        <f>IF($A235="","",UPPER(TRIM(Items!E235&amp;"")))</f>
        <v/>
      </c>
      <c r="F235" s="10">
        <f>IF($A235="","",IF(UPPER(TRIM(Items!C235&amp;""))=UPPER(TRIM(act_Country&amp;"")),"Y","N"))</f>
        <v/>
      </c>
      <c r="G235" s="10">
        <f>IF($A235="","",IF(SUMPRODUCT((scope_HTS&lt;&gt;"")*(LEFT($C235,LEN(scope_HTS))=scope_HTS))&gt;0,"Y","N"))</f>
        <v/>
      </c>
      <c r="H235" s="10">
        <f>IF($A235="","",IF(SUMPRODUCT((excl_HTS&lt;&gt;"")*(LEFT($C235,LEN(excl_HTS))=excl_HTS))&gt;0,"Y","N"))</f>
        <v/>
      </c>
      <c r="I235" s="10">
        <f>IF($A235="","",IF($E235="","N",IF(COUNTIF(scope_COO,$E235)&gt;0,"Y","N")))</f>
        <v/>
      </c>
      <c r="J235" s="10">
        <f>IF($A235="","",IF(AND(UPPER(TRIM(act_USMCAExempt&amp;""))="Y",UPPER(TRIM(Items!F235&amp;""))="Y"),"Y","N"))</f>
        <v/>
      </c>
      <c r="K235" s="10">
        <f>IF($A235="","",IFERROR(UPPER(TRIM(INDEX(det_Status,MATCH($A235,det_Item,0))&amp;"")),""))</f>
        <v/>
      </c>
      <c r="L235" s="10">
        <f>IF($A235="","",IF($K235="IN","Y",IF($K235="OUT","N",IF(AND($F235="Y",$G235="Y",$H235="N",$I235="Y",$J235="N"),"Y","N"))))</f>
        <v/>
      </c>
      <c r="M235" s="10">
        <f>IF($A235="","",IF($K235="IN","In: Research determination",IF($K235="OUT","Out: Research determination",IF($F235="N","Out: different import country",IF($G235="N","Out: HTS not on scope list",IF($H235="Y","Out: HTS on exclusion list",IF($I235="N","Out: origin not on scope list",IF($J235="Y","Out: USMCA-qualifying, exempt","In: matches scope rules"))))))))</f>
        <v/>
      </c>
      <c r="N235" s="16">
        <f>IF($A235="","",N(Items!I235))</f>
        <v/>
      </c>
      <c r="O235" s="16">
        <f>IF($A235="","",IF($L235="Y",$N235+N(act_Rate)-IF(UPPER(TRIM(act_RateType&amp;""))="REPLACE",N(act_PriorRate),0),$N235))</f>
        <v/>
      </c>
      <c r="P235" s="17">
        <f>IF($A235="","",N(Items!G235)*$N235)</f>
        <v/>
      </c>
      <c r="Q235" s="17">
        <f>IF($A235="","",N(Items!G235)*$O235)</f>
        <v/>
      </c>
      <c r="R235" s="17">
        <f>IF($A235="","",$Q235-$P235)</f>
        <v/>
      </c>
      <c r="S235" s="17">
        <f>IF($A235="","",N(Items!J235)+$R235)</f>
        <v/>
      </c>
      <c r="T235" s="16">
        <f>IF($A235="","",IF(N(Items!K235)=0,"",(N(Items!K235)-N(Items!J235))/N(Items!K235)))</f>
        <v/>
      </c>
      <c r="U235" s="16">
        <f>IF($A235="","",IF(N(Items!K235)=0,"",(N(Items!K235)-$S235)/N(Items!K235)))</f>
        <v/>
      </c>
      <c r="V235" s="16">
        <f>IF(OR($T235="",$U235=""),"",$U235-$T235)</f>
        <v/>
      </c>
      <c r="W235" s="18">
        <f>IF($A235="","",N(Items!H235))</f>
        <v/>
      </c>
      <c r="X235" s="19">
        <f>IF($A235="","",$R235*$W235)</f>
        <v/>
      </c>
      <c r="Y235" s="19">
        <f>IF($A235="","",N(Items!K235)*$W235)</f>
        <v/>
      </c>
      <c r="Z235" s="19">
        <f>IF($A235="","",(N(Items!K235)-N(Items!J235))*$W235)</f>
        <v/>
      </c>
      <c r="AA235" s="19">
        <f>IF($A235="","",$Z235-$X235)</f>
        <v/>
      </c>
      <c r="AB235" s="10">
        <f>IF($A235="","",IF(TRIM(Items!C235&amp;"")="","CHECK: import country missing",IF(OR(LEN($C235)&lt;&gt;10,ISERROR(VALUE($C235))),"CHECK: HTS must be 10 digits",IF(LEN($E235)&lt;&gt;2,"CHECK: origin code missing or not 2 letters",IF(OR(Items!G235="",Items!I235="",Items!J235=""),"CHECK: value, rate or cost missing",IF(ISNUMBER(Items!G235)*ISNUMBER(Items!I235)*ISNUMBER(Items!J235)=0,"CHECK: text in a number column",IF(AND($L235="Y",UPPER(TRIM(act_RateType&amp;""))="REPLACE",$N235&lt;N(act_PriorRate)),"CHECK: current rate is below the rate being replaced",IF(AND($L235="Y",$W235=0),"NOTE: in scope, no volume","OK"))))))))</f>
        <v/>
      </c>
      <c r="AC235" s="20">
        <f>IF($A235="","",IF(AND($L235="Y",$X235&lt;&gt;0),ABS($X235)+ROW()/1000000000,""))</f>
        <v/>
      </c>
    </row>
    <row r="236">
      <c r="A236" s="10">
        <f>IF(TRIM(Items!A236&amp;"")="","",TRIM(Items!A236&amp;""))</f>
        <v/>
      </c>
      <c r="B236" s="10">
        <f>IF($A236="","",Items!B236&amp;"")</f>
        <v/>
      </c>
      <c r="C236" s="10">
        <f>IF($A236="","",SUBSTITUTE(SUBSTITUTE(SUBSTITUTE(TRIM(Items!D236&amp;""),".","")," ",""),"-",""))</f>
        <v/>
      </c>
      <c r="D236" s="10">
        <f>IF($A236="","",LEFT($C236,2))</f>
        <v/>
      </c>
      <c r="E236" s="10">
        <f>IF($A236="","",UPPER(TRIM(Items!E236&amp;"")))</f>
        <v/>
      </c>
      <c r="F236" s="10">
        <f>IF($A236="","",IF(UPPER(TRIM(Items!C236&amp;""))=UPPER(TRIM(act_Country&amp;"")),"Y","N"))</f>
        <v/>
      </c>
      <c r="G236" s="10">
        <f>IF($A236="","",IF(SUMPRODUCT((scope_HTS&lt;&gt;"")*(LEFT($C236,LEN(scope_HTS))=scope_HTS))&gt;0,"Y","N"))</f>
        <v/>
      </c>
      <c r="H236" s="10">
        <f>IF($A236="","",IF(SUMPRODUCT((excl_HTS&lt;&gt;"")*(LEFT($C236,LEN(excl_HTS))=excl_HTS))&gt;0,"Y","N"))</f>
        <v/>
      </c>
      <c r="I236" s="10">
        <f>IF($A236="","",IF($E236="","N",IF(COUNTIF(scope_COO,$E236)&gt;0,"Y","N")))</f>
        <v/>
      </c>
      <c r="J236" s="10">
        <f>IF($A236="","",IF(AND(UPPER(TRIM(act_USMCAExempt&amp;""))="Y",UPPER(TRIM(Items!F236&amp;""))="Y"),"Y","N"))</f>
        <v/>
      </c>
      <c r="K236" s="10">
        <f>IF($A236="","",IFERROR(UPPER(TRIM(INDEX(det_Status,MATCH($A236,det_Item,0))&amp;"")),""))</f>
        <v/>
      </c>
      <c r="L236" s="10">
        <f>IF($A236="","",IF($K236="IN","Y",IF($K236="OUT","N",IF(AND($F236="Y",$G236="Y",$H236="N",$I236="Y",$J236="N"),"Y","N"))))</f>
        <v/>
      </c>
      <c r="M236" s="10">
        <f>IF($A236="","",IF($K236="IN","In: Research determination",IF($K236="OUT","Out: Research determination",IF($F236="N","Out: different import country",IF($G236="N","Out: HTS not on scope list",IF($H236="Y","Out: HTS on exclusion list",IF($I236="N","Out: origin not on scope list",IF($J236="Y","Out: USMCA-qualifying, exempt","In: matches scope rules"))))))))</f>
        <v/>
      </c>
      <c r="N236" s="16">
        <f>IF($A236="","",N(Items!I236))</f>
        <v/>
      </c>
      <c r="O236" s="16">
        <f>IF($A236="","",IF($L236="Y",$N236+N(act_Rate)-IF(UPPER(TRIM(act_RateType&amp;""))="REPLACE",N(act_PriorRate),0),$N236))</f>
        <v/>
      </c>
      <c r="P236" s="17">
        <f>IF($A236="","",N(Items!G236)*$N236)</f>
        <v/>
      </c>
      <c r="Q236" s="17">
        <f>IF($A236="","",N(Items!G236)*$O236)</f>
        <v/>
      </c>
      <c r="R236" s="17">
        <f>IF($A236="","",$Q236-$P236)</f>
        <v/>
      </c>
      <c r="S236" s="17">
        <f>IF($A236="","",N(Items!J236)+$R236)</f>
        <v/>
      </c>
      <c r="T236" s="16">
        <f>IF($A236="","",IF(N(Items!K236)=0,"",(N(Items!K236)-N(Items!J236))/N(Items!K236)))</f>
        <v/>
      </c>
      <c r="U236" s="16">
        <f>IF($A236="","",IF(N(Items!K236)=0,"",(N(Items!K236)-$S236)/N(Items!K236)))</f>
        <v/>
      </c>
      <c r="V236" s="16">
        <f>IF(OR($T236="",$U236=""),"",$U236-$T236)</f>
        <v/>
      </c>
      <c r="W236" s="18">
        <f>IF($A236="","",N(Items!H236))</f>
        <v/>
      </c>
      <c r="X236" s="19">
        <f>IF($A236="","",$R236*$W236)</f>
        <v/>
      </c>
      <c r="Y236" s="19">
        <f>IF($A236="","",N(Items!K236)*$W236)</f>
        <v/>
      </c>
      <c r="Z236" s="19">
        <f>IF($A236="","",(N(Items!K236)-N(Items!J236))*$W236)</f>
        <v/>
      </c>
      <c r="AA236" s="19">
        <f>IF($A236="","",$Z236-$X236)</f>
        <v/>
      </c>
      <c r="AB236" s="10">
        <f>IF($A236="","",IF(TRIM(Items!C236&amp;"")="","CHECK: import country missing",IF(OR(LEN($C236)&lt;&gt;10,ISERROR(VALUE($C236))),"CHECK: HTS must be 10 digits",IF(LEN($E236)&lt;&gt;2,"CHECK: origin code missing or not 2 letters",IF(OR(Items!G236="",Items!I236="",Items!J236=""),"CHECK: value, rate or cost missing",IF(ISNUMBER(Items!G236)*ISNUMBER(Items!I236)*ISNUMBER(Items!J236)=0,"CHECK: text in a number column",IF(AND($L236="Y",UPPER(TRIM(act_RateType&amp;""))="REPLACE",$N236&lt;N(act_PriorRate)),"CHECK: current rate is below the rate being replaced",IF(AND($L236="Y",$W236=0),"NOTE: in scope, no volume","OK"))))))))</f>
        <v/>
      </c>
      <c r="AC236" s="20">
        <f>IF($A236="","",IF(AND($L236="Y",$X236&lt;&gt;0),ABS($X236)+ROW()/1000000000,""))</f>
        <v/>
      </c>
    </row>
    <row r="237">
      <c r="A237" s="10">
        <f>IF(TRIM(Items!A237&amp;"")="","",TRIM(Items!A237&amp;""))</f>
        <v/>
      </c>
      <c r="B237" s="10">
        <f>IF($A237="","",Items!B237&amp;"")</f>
        <v/>
      </c>
      <c r="C237" s="10">
        <f>IF($A237="","",SUBSTITUTE(SUBSTITUTE(SUBSTITUTE(TRIM(Items!D237&amp;""),".","")," ",""),"-",""))</f>
        <v/>
      </c>
      <c r="D237" s="10">
        <f>IF($A237="","",LEFT($C237,2))</f>
        <v/>
      </c>
      <c r="E237" s="10">
        <f>IF($A237="","",UPPER(TRIM(Items!E237&amp;"")))</f>
        <v/>
      </c>
      <c r="F237" s="10">
        <f>IF($A237="","",IF(UPPER(TRIM(Items!C237&amp;""))=UPPER(TRIM(act_Country&amp;"")),"Y","N"))</f>
        <v/>
      </c>
      <c r="G237" s="10">
        <f>IF($A237="","",IF(SUMPRODUCT((scope_HTS&lt;&gt;"")*(LEFT($C237,LEN(scope_HTS))=scope_HTS))&gt;0,"Y","N"))</f>
        <v/>
      </c>
      <c r="H237" s="10">
        <f>IF($A237="","",IF(SUMPRODUCT((excl_HTS&lt;&gt;"")*(LEFT($C237,LEN(excl_HTS))=excl_HTS))&gt;0,"Y","N"))</f>
        <v/>
      </c>
      <c r="I237" s="10">
        <f>IF($A237="","",IF($E237="","N",IF(COUNTIF(scope_COO,$E237)&gt;0,"Y","N")))</f>
        <v/>
      </c>
      <c r="J237" s="10">
        <f>IF($A237="","",IF(AND(UPPER(TRIM(act_USMCAExempt&amp;""))="Y",UPPER(TRIM(Items!F237&amp;""))="Y"),"Y","N"))</f>
        <v/>
      </c>
      <c r="K237" s="10">
        <f>IF($A237="","",IFERROR(UPPER(TRIM(INDEX(det_Status,MATCH($A237,det_Item,0))&amp;"")),""))</f>
        <v/>
      </c>
      <c r="L237" s="10">
        <f>IF($A237="","",IF($K237="IN","Y",IF($K237="OUT","N",IF(AND($F237="Y",$G237="Y",$H237="N",$I237="Y",$J237="N"),"Y","N"))))</f>
        <v/>
      </c>
      <c r="M237" s="10">
        <f>IF($A237="","",IF($K237="IN","In: Research determination",IF($K237="OUT","Out: Research determination",IF($F237="N","Out: different import country",IF($G237="N","Out: HTS not on scope list",IF($H237="Y","Out: HTS on exclusion list",IF($I237="N","Out: origin not on scope list",IF($J237="Y","Out: USMCA-qualifying, exempt","In: matches scope rules"))))))))</f>
        <v/>
      </c>
      <c r="N237" s="16">
        <f>IF($A237="","",N(Items!I237))</f>
        <v/>
      </c>
      <c r="O237" s="16">
        <f>IF($A237="","",IF($L237="Y",$N237+N(act_Rate)-IF(UPPER(TRIM(act_RateType&amp;""))="REPLACE",N(act_PriorRate),0),$N237))</f>
        <v/>
      </c>
      <c r="P237" s="17">
        <f>IF($A237="","",N(Items!G237)*$N237)</f>
        <v/>
      </c>
      <c r="Q237" s="17">
        <f>IF($A237="","",N(Items!G237)*$O237)</f>
        <v/>
      </c>
      <c r="R237" s="17">
        <f>IF($A237="","",$Q237-$P237)</f>
        <v/>
      </c>
      <c r="S237" s="17">
        <f>IF($A237="","",N(Items!J237)+$R237)</f>
        <v/>
      </c>
      <c r="T237" s="16">
        <f>IF($A237="","",IF(N(Items!K237)=0,"",(N(Items!K237)-N(Items!J237))/N(Items!K237)))</f>
        <v/>
      </c>
      <c r="U237" s="16">
        <f>IF($A237="","",IF(N(Items!K237)=0,"",(N(Items!K237)-$S237)/N(Items!K237)))</f>
        <v/>
      </c>
      <c r="V237" s="16">
        <f>IF(OR($T237="",$U237=""),"",$U237-$T237)</f>
        <v/>
      </c>
      <c r="W237" s="18">
        <f>IF($A237="","",N(Items!H237))</f>
        <v/>
      </c>
      <c r="X237" s="19">
        <f>IF($A237="","",$R237*$W237)</f>
        <v/>
      </c>
      <c r="Y237" s="19">
        <f>IF($A237="","",N(Items!K237)*$W237)</f>
        <v/>
      </c>
      <c r="Z237" s="19">
        <f>IF($A237="","",(N(Items!K237)-N(Items!J237))*$W237)</f>
        <v/>
      </c>
      <c r="AA237" s="19">
        <f>IF($A237="","",$Z237-$X237)</f>
        <v/>
      </c>
      <c r="AB237" s="10">
        <f>IF($A237="","",IF(TRIM(Items!C237&amp;"")="","CHECK: import country missing",IF(OR(LEN($C237)&lt;&gt;10,ISERROR(VALUE($C237))),"CHECK: HTS must be 10 digits",IF(LEN($E237)&lt;&gt;2,"CHECK: origin code missing or not 2 letters",IF(OR(Items!G237="",Items!I237="",Items!J237=""),"CHECK: value, rate or cost missing",IF(ISNUMBER(Items!G237)*ISNUMBER(Items!I237)*ISNUMBER(Items!J237)=0,"CHECK: text in a number column",IF(AND($L237="Y",UPPER(TRIM(act_RateType&amp;""))="REPLACE",$N237&lt;N(act_PriorRate)),"CHECK: current rate is below the rate being replaced",IF(AND($L237="Y",$W237=0),"NOTE: in scope, no volume","OK"))))))))</f>
        <v/>
      </c>
      <c r="AC237" s="20">
        <f>IF($A237="","",IF(AND($L237="Y",$X237&lt;&gt;0),ABS($X237)+ROW()/1000000000,""))</f>
        <v/>
      </c>
    </row>
    <row r="238">
      <c r="A238" s="10">
        <f>IF(TRIM(Items!A238&amp;"")="","",TRIM(Items!A238&amp;""))</f>
        <v/>
      </c>
      <c r="B238" s="10">
        <f>IF($A238="","",Items!B238&amp;"")</f>
        <v/>
      </c>
      <c r="C238" s="10">
        <f>IF($A238="","",SUBSTITUTE(SUBSTITUTE(SUBSTITUTE(TRIM(Items!D238&amp;""),".","")," ",""),"-",""))</f>
        <v/>
      </c>
      <c r="D238" s="10">
        <f>IF($A238="","",LEFT($C238,2))</f>
        <v/>
      </c>
      <c r="E238" s="10">
        <f>IF($A238="","",UPPER(TRIM(Items!E238&amp;"")))</f>
        <v/>
      </c>
      <c r="F238" s="10">
        <f>IF($A238="","",IF(UPPER(TRIM(Items!C238&amp;""))=UPPER(TRIM(act_Country&amp;"")),"Y","N"))</f>
        <v/>
      </c>
      <c r="G238" s="10">
        <f>IF($A238="","",IF(SUMPRODUCT((scope_HTS&lt;&gt;"")*(LEFT($C238,LEN(scope_HTS))=scope_HTS))&gt;0,"Y","N"))</f>
        <v/>
      </c>
      <c r="H238" s="10">
        <f>IF($A238="","",IF(SUMPRODUCT((excl_HTS&lt;&gt;"")*(LEFT($C238,LEN(excl_HTS))=excl_HTS))&gt;0,"Y","N"))</f>
        <v/>
      </c>
      <c r="I238" s="10">
        <f>IF($A238="","",IF($E238="","N",IF(COUNTIF(scope_COO,$E238)&gt;0,"Y","N")))</f>
        <v/>
      </c>
      <c r="J238" s="10">
        <f>IF($A238="","",IF(AND(UPPER(TRIM(act_USMCAExempt&amp;""))="Y",UPPER(TRIM(Items!F238&amp;""))="Y"),"Y","N"))</f>
        <v/>
      </c>
      <c r="K238" s="10">
        <f>IF($A238="","",IFERROR(UPPER(TRIM(INDEX(det_Status,MATCH($A238,det_Item,0))&amp;"")),""))</f>
        <v/>
      </c>
      <c r="L238" s="10">
        <f>IF($A238="","",IF($K238="IN","Y",IF($K238="OUT","N",IF(AND($F238="Y",$G238="Y",$H238="N",$I238="Y",$J238="N"),"Y","N"))))</f>
        <v/>
      </c>
      <c r="M238" s="10">
        <f>IF($A238="","",IF($K238="IN","In: Research determination",IF($K238="OUT","Out: Research determination",IF($F238="N","Out: different import country",IF($G238="N","Out: HTS not on scope list",IF($H238="Y","Out: HTS on exclusion list",IF($I238="N","Out: origin not on scope list",IF($J238="Y","Out: USMCA-qualifying, exempt","In: matches scope rules"))))))))</f>
        <v/>
      </c>
      <c r="N238" s="16">
        <f>IF($A238="","",N(Items!I238))</f>
        <v/>
      </c>
      <c r="O238" s="16">
        <f>IF($A238="","",IF($L238="Y",$N238+N(act_Rate)-IF(UPPER(TRIM(act_RateType&amp;""))="REPLACE",N(act_PriorRate),0),$N238))</f>
        <v/>
      </c>
      <c r="P238" s="17">
        <f>IF($A238="","",N(Items!G238)*$N238)</f>
        <v/>
      </c>
      <c r="Q238" s="17">
        <f>IF($A238="","",N(Items!G238)*$O238)</f>
        <v/>
      </c>
      <c r="R238" s="17">
        <f>IF($A238="","",$Q238-$P238)</f>
        <v/>
      </c>
      <c r="S238" s="17">
        <f>IF($A238="","",N(Items!J238)+$R238)</f>
        <v/>
      </c>
      <c r="T238" s="16">
        <f>IF($A238="","",IF(N(Items!K238)=0,"",(N(Items!K238)-N(Items!J238))/N(Items!K238)))</f>
        <v/>
      </c>
      <c r="U238" s="16">
        <f>IF($A238="","",IF(N(Items!K238)=0,"",(N(Items!K238)-$S238)/N(Items!K238)))</f>
        <v/>
      </c>
      <c r="V238" s="16">
        <f>IF(OR($T238="",$U238=""),"",$U238-$T238)</f>
        <v/>
      </c>
      <c r="W238" s="18">
        <f>IF($A238="","",N(Items!H238))</f>
        <v/>
      </c>
      <c r="X238" s="19">
        <f>IF($A238="","",$R238*$W238)</f>
        <v/>
      </c>
      <c r="Y238" s="19">
        <f>IF($A238="","",N(Items!K238)*$W238)</f>
        <v/>
      </c>
      <c r="Z238" s="19">
        <f>IF($A238="","",(N(Items!K238)-N(Items!J238))*$W238)</f>
        <v/>
      </c>
      <c r="AA238" s="19">
        <f>IF($A238="","",$Z238-$X238)</f>
        <v/>
      </c>
      <c r="AB238" s="10">
        <f>IF($A238="","",IF(TRIM(Items!C238&amp;"")="","CHECK: import country missing",IF(OR(LEN($C238)&lt;&gt;10,ISERROR(VALUE($C238))),"CHECK: HTS must be 10 digits",IF(LEN($E238)&lt;&gt;2,"CHECK: origin code missing or not 2 letters",IF(OR(Items!G238="",Items!I238="",Items!J238=""),"CHECK: value, rate or cost missing",IF(ISNUMBER(Items!G238)*ISNUMBER(Items!I238)*ISNUMBER(Items!J238)=0,"CHECK: text in a number column",IF(AND($L238="Y",UPPER(TRIM(act_RateType&amp;""))="REPLACE",$N238&lt;N(act_PriorRate)),"CHECK: current rate is below the rate being replaced",IF(AND($L238="Y",$W238=0),"NOTE: in scope, no volume","OK"))))))))</f>
        <v/>
      </c>
      <c r="AC238" s="20">
        <f>IF($A238="","",IF(AND($L238="Y",$X238&lt;&gt;0),ABS($X238)+ROW()/1000000000,""))</f>
        <v/>
      </c>
    </row>
    <row r="239">
      <c r="A239" s="10">
        <f>IF(TRIM(Items!A239&amp;"")="","",TRIM(Items!A239&amp;""))</f>
        <v/>
      </c>
      <c r="B239" s="10">
        <f>IF($A239="","",Items!B239&amp;"")</f>
        <v/>
      </c>
      <c r="C239" s="10">
        <f>IF($A239="","",SUBSTITUTE(SUBSTITUTE(SUBSTITUTE(TRIM(Items!D239&amp;""),".","")," ",""),"-",""))</f>
        <v/>
      </c>
      <c r="D239" s="10">
        <f>IF($A239="","",LEFT($C239,2))</f>
        <v/>
      </c>
      <c r="E239" s="10">
        <f>IF($A239="","",UPPER(TRIM(Items!E239&amp;"")))</f>
        <v/>
      </c>
      <c r="F239" s="10">
        <f>IF($A239="","",IF(UPPER(TRIM(Items!C239&amp;""))=UPPER(TRIM(act_Country&amp;"")),"Y","N"))</f>
        <v/>
      </c>
      <c r="G239" s="10">
        <f>IF($A239="","",IF(SUMPRODUCT((scope_HTS&lt;&gt;"")*(LEFT($C239,LEN(scope_HTS))=scope_HTS))&gt;0,"Y","N"))</f>
        <v/>
      </c>
      <c r="H239" s="10">
        <f>IF($A239="","",IF(SUMPRODUCT((excl_HTS&lt;&gt;"")*(LEFT($C239,LEN(excl_HTS))=excl_HTS))&gt;0,"Y","N"))</f>
        <v/>
      </c>
      <c r="I239" s="10">
        <f>IF($A239="","",IF($E239="","N",IF(COUNTIF(scope_COO,$E239)&gt;0,"Y","N")))</f>
        <v/>
      </c>
      <c r="J239" s="10">
        <f>IF($A239="","",IF(AND(UPPER(TRIM(act_USMCAExempt&amp;""))="Y",UPPER(TRIM(Items!F239&amp;""))="Y"),"Y","N"))</f>
        <v/>
      </c>
      <c r="K239" s="10">
        <f>IF($A239="","",IFERROR(UPPER(TRIM(INDEX(det_Status,MATCH($A239,det_Item,0))&amp;"")),""))</f>
        <v/>
      </c>
      <c r="L239" s="10">
        <f>IF($A239="","",IF($K239="IN","Y",IF($K239="OUT","N",IF(AND($F239="Y",$G239="Y",$H239="N",$I239="Y",$J239="N"),"Y","N"))))</f>
        <v/>
      </c>
      <c r="M239" s="10">
        <f>IF($A239="","",IF($K239="IN","In: Research determination",IF($K239="OUT","Out: Research determination",IF($F239="N","Out: different import country",IF($G239="N","Out: HTS not on scope list",IF($H239="Y","Out: HTS on exclusion list",IF($I239="N","Out: origin not on scope list",IF($J239="Y","Out: USMCA-qualifying, exempt","In: matches scope rules"))))))))</f>
        <v/>
      </c>
      <c r="N239" s="16">
        <f>IF($A239="","",N(Items!I239))</f>
        <v/>
      </c>
      <c r="O239" s="16">
        <f>IF($A239="","",IF($L239="Y",$N239+N(act_Rate)-IF(UPPER(TRIM(act_RateType&amp;""))="REPLACE",N(act_PriorRate),0),$N239))</f>
        <v/>
      </c>
      <c r="P239" s="17">
        <f>IF($A239="","",N(Items!G239)*$N239)</f>
        <v/>
      </c>
      <c r="Q239" s="17">
        <f>IF($A239="","",N(Items!G239)*$O239)</f>
        <v/>
      </c>
      <c r="R239" s="17">
        <f>IF($A239="","",$Q239-$P239)</f>
        <v/>
      </c>
      <c r="S239" s="17">
        <f>IF($A239="","",N(Items!J239)+$R239)</f>
        <v/>
      </c>
      <c r="T239" s="16">
        <f>IF($A239="","",IF(N(Items!K239)=0,"",(N(Items!K239)-N(Items!J239))/N(Items!K239)))</f>
        <v/>
      </c>
      <c r="U239" s="16">
        <f>IF($A239="","",IF(N(Items!K239)=0,"",(N(Items!K239)-$S239)/N(Items!K239)))</f>
        <v/>
      </c>
      <c r="V239" s="16">
        <f>IF(OR($T239="",$U239=""),"",$U239-$T239)</f>
        <v/>
      </c>
      <c r="W239" s="18">
        <f>IF($A239="","",N(Items!H239))</f>
        <v/>
      </c>
      <c r="X239" s="19">
        <f>IF($A239="","",$R239*$W239)</f>
        <v/>
      </c>
      <c r="Y239" s="19">
        <f>IF($A239="","",N(Items!K239)*$W239)</f>
        <v/>
      </c>
      <c r="Z239" s="19">
        <f>IF($A239="","",(N(Items!K239)-N(Items!J239))*$W239)</f>
        <v/>
      </c>
      <c r="AA239" s="19">
        <f>IF($A239="","",$Z239-$X239)</f>
        <v/>
      </c>
      <c r="AB239" s="10">
        <f>IF($A239="","",IF(TRIM(Items!C239&amp;"")="","CHECK: import country missing",IF(OR(LEN($C239)&lt;&gt;10,ISERROR(VALUE($C239))),"CHECK: HTS must be 10 digits",IF(LEN($E239)&lt;&gt;2,"CHECK: origin code missing or not 2 letters",IF(OR(Items!G239="",Items!I239="",Items!J239=""),"CHECK: value, rate or cost missing",IF(ISNUMBER(Items!G239)*ISNUMBER(Items!I239)*ISNUMBER(Items!J239)=0,"CHECK: text in a number column",IF(AND($L239="Y",UPPER(TRIM(act_RateType&amp;""))="REPLACE",$N239&lt;N(act_PriorRate)),"CHECK: current rate is below the rate being replaced",IF(AND($L239="Y",$W239=0),"NOTE: in scope, no volume","OK"))))))))</f>
        <v/>
      </c>
      <c r="AC239" s="20">
        <f>IF($A239="","",IF(AND($L239="Y",$X239&lt;&gt;0),ABS($X239)+ROW()/1000000000,""))</f>
        <v/>
      </c>
    </row>
    <row r="240">
      <c r="A240" s="10">
        <f>IF(TRIM(Items!A240&amp;"")="","",TRIM(Items!A240&amp;""))</f>
        <v/>
      </c>
      <c r="B240" s="10">
        <f>IF($A240="","",Items!B240&amp;"")</f>
        <v/>
      </c>
      <c r="C240" s="10">
        <f>IF($A240="","",SUBSTITUTE(SUBSTITUTE(SUBSTITUTE(TRIM(Items!D240&amp;""),".","")," ",""),"-",""))</f>
        <v/>
      </c>
      <c r="D240" s="10">
        <f>IF($A240="","",LEFT($C240,2))</f>
        <v/>
      </c>
      <c r="E240" s="10">
        <f>IF($A240="","",UPPER(TRIM(Items!E240&amp;"")))</f>
        <v/>
      </c>
      <c r="F240" s="10">
        <f>IF($A240="","",IF(UPPER(TRIM(Items!C240&amp;""))=UPPER(TRIM(act_Country&amp;"")),"Y","N"))</f>
        <v/>
      </c>
      <c r="G240" s="10">
        <f>IF($A240="","",IF(SUMPRODUCT((scope_HTS&lt;&gt;"")*(LEFT($C240,LEN(scope_HTS))=scope_HTS))&gt;0,"Y","N"))</f>
        <v/>
      </c>
      <c r="H240" s="10">
        <f>IF($A240="","",IF(SUMPRODUCT((excl_HTS&lt;&gt;"")*(LEFT($C240,LEN(excl_HTS))=excl_HTS))&gt;0,"Y","N"))</f>
        <v/>
      </c>
      <c r="I240" s="10">
        <f>IF($A240="","",IF($E240="","N",IF(COUNTIF(scope_COO,$E240)&gt;0,"Y","N")))</f>
        <v/>
      </c>
      <c r="J240" s="10">
        <f>IF($A240="","",IF(AND(UPPER(TRIM(act_USMCAExempt&amp;""))="Y",UPPER(TRIM(Items!F240&amp;""))="Y"),"Y","N"))</f>
        <v/>
      </c>
      <c r="K240" s="10">
        <f>IF($A240="","",IFERROR(UPPER(TRIM(INDEX(det_Status,MATCH($A240,det_Item,0))&amp;"")),""))</f>
        <v/>
      </c>
      <c r="L240" s="10">
        <f>IF($A240="","",IF($K240="IN","Y",IF($K240="OUT","N",IF(AND($F240="Y",$G240="Y",$H240="N",$I240="Y",$J240="N"),"Y","N"))))</f>
        <v/>
      </c>
      <c r="M240" s="10">
        <f>IF($A240="","",IF($K240="IN","In: Research determination",IF($K240="OUT","Out: Research determination",IF($F240="N","Out: different import country",IF($G240="N","Out: HTS not on scope list",IF($H240="Y","Out: HTS on exclusion list",IF($I240="N","Out: origin not on scope list",IF($J240="Y","Out: USMCA-qualifying, exempt","In: matches scope rules"))))))))</f>
        <v/>
      </c>
      <c r="N240" s="16">
        <f>IF($A240="","",N(Items!I240))</f>
        <v/>
      </c>
      <c r="O240" s="16">
        <f>IF($A240="","",IF($L240="Y",$N240+N(act_Rate)-IF(UPPER(TRIM(act_RateType&amp;""))="REPLACE",N(act_PriorRate),0),$N240))</f>
        <v/>
      </c>
      <c r="P240" s="17">
        <f>IF($A240="","",N(Items!G240)*$N240)</f>
        <v/>
      </c>
      <c r="Q240" s="17">
        <f>IF($A240="","",N(Items!G240)*$O240)</f>
        <v/>
      </c>
      <c r="R240" s="17">
        <f>IF($A240="","",$Q240-$P240)</f>
        <v/>
      </c>
      <c r="S240" s="17">
        <f>IF($A240="","",N(Items!J240)+$R240)</f>
        <v/>
      </c>
      <c r="T240" s="16">
        <f>IF($A240="","",IF(N(Items!K240)=0,"",(N(Items!K240)-N(Items!J240))/N(Items!K240)))</f>
        <v/>
      </c>
      <c r="U240" s="16">
        <f>IF($A240="","",IF(N(Items!K240)=0,"",(N(Items!K240)-$S240)/N(Items!K240)))</f>
        <v/>
      </c>
      <c r="V240" s="16">
        <f>IF(OR($T240="",$U240=""),"",$U240-$T240)</f>
        <v/>
      </c>
      <c r="W240" s="18">
        <f>IF($A240="","",N(Items!H240))</f>
        <v/>
      </c>
      <c r="X240" s="19">
        <f>IF($A240="","",$R240*$W240)</f>
        <v/>
      </c>
      <c r="Y240" s="19">
        <f>IF($A240="","",N(Items!K240)*$W240)</f>
        <v/>
      </c>
      <c r="Z240" s="19">
        <f>IF($A240="","",(N(Items!K240)-N(Items!J240))*$W240)</f>
        <v/>
      </c>
      <c r="AA240" s="19">
        <f>IF($A240="","",$Z240-$X240)</f>
        <v/>
      </c>
      <c r="AB240" s="10">
        <f>IF($A240="","",IF(TRIM(Items!C240&amp;"")="","CHECK: import country missing",IF(OR(LEN($C240)&lt;&gt;10,ISERROR(VALUE($C240))),"CHECK: HTS must be 10 digits",IF(LEN($E240)&lt;&gt;2,"CHECK: origin code missing or not 2 letters",IF(OR(Items!G240="",Items!I240="",Items!J240=""),"CHECK: value, rate or cost missing",IF(ISNUMBER(Items!G240)*ISNUMBER(Items!I240)*ISNUMBER(Items!J240)=0,"CHECK: text in a number column",IF(AND($L240="Y",UPPER(TRIM(act_RateType&amp;""))="REPLACE",$N240&lt;N(act_PriorRate)),"CHECK: current rate is below the rate being replaced",IF(AND($L240="Y",$W240=0),"NOTE: in scope, no volume","OK"))))))))</f>
        <v/>
      </c>
      <c r="AC240" s="20">
        <f>IF($A240="","",IF(AND($L240="Y",$X240&lt;&gt;0),ABS($X240)+ROW()/1000000000,""))</f>
        <v/>
      </c>
    </row>
    <row r="241">
      <c r="A241" s="10">
        <f>IF(TRIM(Items!A241&amp;"")="","",TRIM(Items!A241&amp;""))</f>
        <v/>
      </c>
      <c r="B241" s="10">
        <f>IF($A241="","",Items!B241&amp;"")</f>
        <v/>
      </c>
      <c r="C241" s="10">
        <f>IF($A241="","",SUBSTITUTE(SUBSTITUTE(SUBSTITUTE(TRIM(Items!D241&amp;""),".","")," ",""),"-",""))</f>
        <v/>
      </c>
      <c r="D241" s="10">
        <f>IF($A241="","",LEFT($C241,2))</f>
        <v/>
      </c>
      <c r="E241" s="10">
        <f>IF($A241="","",UPPER(TRIM(Items!E241&amp;"")))</f>
        <v/>
      </c>
      <c r="F241" s="10">
        <f>IF($A241="","",IF(UPPER(TRIM(Items!C241&amp;""))=UPPER(TRIM(act_Country&amp;"")),"Y","N"))</f>
        <v/>
      </c>
      <c r="G241" s="10">
        <f>IF($A241="","",IF(SUMPRODUCT((scope_HTS&lt;&gt;"")*(LEFT($C241,LEN(scope_HTS))=scope_HTS))&gt;0,"Y","N"))</f>
        <v/>
      </c>
      <c r="H241" s="10">
        <f>IF($A241="","",IF(SUMPRODUCT((excl_HTS&lt;&gt;"")*(LEFT($C241,LEN(excl_HTS))=excl_HTS))&gt;0,"Y","N"))</f>
        <v/>
      </c>
      <c r="I241" s="10">
        <f>IF($A241="","",IF($E241="","N",IF(COUNTIF(scope_COO,$E241)&gt;0,"Y","N")))</f>
        <v/>
      </c>
      <c r="J241" s="10">
        <f>IF($A241="","",IF(AND(UPPER(TRIM(act_USMCAExempt&amp;""))="Y",UPPER(TRIM(Items!F241&amp;""))="Y"),"Y","N"))</f>
        <v/>
      </c>
      <c r="K241" s="10">
        <f>IF($A241="","",IFERROR(UPPER(TRIM(INDEX(det_Status,MATCH($A241,det_Item,0))&amp;"")),""))</f>
        <v/>
      </c>
      <c r="L241" s="10">
        <f>IF($A241="","",IF($K241="IN","Y",IF($K241="OUT","N",IF(AND($F241="Y",$G241="Y",$H241="N",$I241="Y",$J241="N"),"Y","N"))))</f>
        <v/>
      </c>
      <c r="M241" s="10">
        <f>IF($A241="","",IF($K241="IN","In: Research determination",IF($K241="OUT","Out: Research determination",IF($F241="N","Out: different import country",IF($G241="N","Out: HTS not on scope list",IF($H241="Y","Out: HTS on exclusion list",IF($I241="N","Out: origin not on scope list",IF($J241="Y","Out: USMCA-qualifying, exempt","In: matches scope rules"))))))))</f>
        <v/>
      </c>
      <c r="N241" s="16">
        <f>IF($A241="","",N(Items!I241))</f>
        <v/>
      </c>
      <c r="O241" s="16">
        <f>IF($A241="","",IF($L241="Y",$N241+N(act_Rate)-IF(UPPER(TRIM(act_RateType&amp;""))="REPLACE",N(act_PriorRate),0),$N241))</f>
        <v/>
      </c>
      <c r="P241" s="17">
        <f>IF($A241="","",N(Items!G241)*$N241)</f>
        <v/>
      </c>
      <c r="Q241" s="17">
        <f>IF($A241="","",N(Items!G241)*$O241)</f>
        <v/>
      </c>
      <c r="R241" s="17">
        <f>IF($A241="","",$Q241-$P241)</f>
        <v/>
      </c>
      <c r="S241" s="17">
        <f>IF($A241="","",N(Items!J241)+$R241)</f>
        <v/>
      </c>
      <c r="T241" s="16">
        <f>IF($A241="","",IF(N(Items!K241)=0,"",(N(Items!K241)-N(Items!J241))/N(Items!K241)))</f>
        <v/>
      </c>
      <c r="U241" s="16">
        <f>IF($A241="","",IF(N(Items!K241)=0,"",(N(Items!K241)-$S241)/N(Items!K241)))</f>
        <v/>
      </c>
      <c r="V241" s="16">
        <f>IF(OR($T241="",$U241=""),"",$U241-$T241)</f>
        <v/>
      </c>
      <c r="W241" s="18">
        <f>IF($A241="","",N(Items!H241))</f>
        <v/>
      </c>
      <c r="X241" s="19">
        <f>IF($A241="","",$R241*$W241)</f>
        <v/>
      </c>
      <c r="Y241" s="19">
        <f>IF($A241="","",N(Items!K241)*$W241)</f>
        <v/>
      </c>
      <c r="Z241" s="19">
        <f>IF($A241="","",(N(Items!K241)-N(Items!J241))*$W241)</f>
        <v/>
      </c>
      <c r="AA241" s="19">
        <f>IF($A241="","",$Z241-$X241)</f>
        <v/>
      </c>
      <c r="AB241" s="10">
        <f>IF($A241="","",IF(TRIM(Items!C241&amp;"")="","CHECK: import country missing",IF(OR(LEN($C241)&lt;&gt;10,ISERROR(VALUE($C241))),"CHECK: HTS must be 10 digits",IF(LEN($E241)&lt;&gt;2,"CHECK: origin code missing or not 2 letters",IF(OR(Items!G241="",Items!I241="",Items!J241=""),"CHECK: value, rate or cost missing",IF(ISNUMBER(Items!G241)*ISNUMBER(Items!I241)*ISNUMBER(Items!J241)=0,"CHECK: text in a number column",IF(AND($L241="Y",UPPER(TRIM(act_RateType&amp;""))="REPLACE",$N241&lt;N(act_PriorRate)),"CHECK: current rate is below the rate being replaced",IF(AND($L241="Y",$W241=0),"NOTE: in scope, no volume","OK"))))))))</f>
        <v/>
      </c>
      <c r="AC241" s="20">
        <f>IF($A241="","",IF(AND($L241="Y",$X241&lt;&gt;0),ABS($X241)+ROW()/1000000000,""))</f>
        <v/>
      </c>
    </row>
    <row r="242">
      <c r="A242" s="10">
        <f>IF(TRIM(Items!A242&amp;"")="","",TRIM(Items!A242&amp;""))</f>
        <v/>
      </c>
      <c r="B242" s="10">
        <f>IF($A242="","",Items!B242&amp;"")</f>
        <v/>
      </c>
      <c r="C242" s="10">
        <f>IF($A242="","",SUBSTITUTE(SUBSTITUTE(SUBSTITUTE(TRIM(Items!D242&amp;""),".","")," ",""),"-",""))</f>
        <v/>
      </c>
      <c r="D242" s="10">
        <f>IF($A242="","",LEFT($C242,2))</f>
        <v/>
      </c>
      <c r="E242" s="10">
        <f>IF($A242="","",UPPER(TRIM(Items!E242&amp;"")))</f>
        <v/>
      </c>
      <c r="F242" s="10">
        <f>IF($A242="","",IF(UPPER(TRIM(Items!C242&amp;""))=UPPER(TRIM(act_Country&amp;"")),"Y","N"))</f>
        <v/>
      </c>
      <c r="G242" s="10">
        <f>IF($A242="","",IF(SUMPRODUCT((scope_HTS&lt;&gt;"")*(LEFT($C242,LEN(scope_HTS))=scope_HTS))&gt;0,"Y","N"))</f>
        <v/>
      </c>
      <c r="H242" s="10">
        <f>IF($A242="","",IF(SUMPRODUCT((excl_HTS&lt;&gt;"")*(LEFT($C242,LEN(excl_HTS))=excl_HTS))&gt;0,"Y","N"))</f>
        <v/>
      </c>
      <c r="I242" s="10">
        <f>IF($A242="","",IF($E242="","N",IF(COUNTIF(scope_COO,$E242)&gt;0,"Y","N")))</f>
        <v/>
      </c>
      <c r="J242" s="10">
        <f>IF($A242="","",IF(AND(UPPER(TRIM(act_USMCAExempt&amp;""))="Y",UPPER(TRIM(Items!F242&amp;""))="Y"),"Y","N"))</f>
        <v/>
      </c>
      <c r="K242" s="10">
        <f>IF($A242="","",IFERROR(UPPER(TRIM(INDEX(det_Status,MATCH($A242,det_Item,0))&amp;"")),""))</f>
        <v/>
      </c>
      <c r="L242" s="10">
        <f>IF($A242="","",IF($K242="IN","Y",IF($K242="OUT","N",IF(AND($F242="Y",$G242="Y",$H242="N",$I242="Y",$J242="N"),"Y","N"))))</f>
        <v/>
      </c>
      <c r="M242" s="10">
        <f>IF($A242="","",IF($K242="IN","In: Research determination",IF($K242="OUT","Out: Research determination",IF($F242="N","Out: different import country",IF($G242="N","Out: HTS not on scope list",IF($H242="Y","Out: HTS on exclusion list",IF($I242="N","Out: origin not on scope list",IF($J242="Y","Out: USMCA-qualifying, exempt","In: matches scope rules"))))))))</f>
        <v/>
      </c>
      <c r="N242" s="16">
        <f>IF($A242="","",N(Items!I242))</f>
        <v/>
      </c>
      <c r="O242" s="16">
        <f>IF($A242="","",IF($L242="Y",$N242+N(act_Rate)-IF(UPPER(TRIM(act_RateType&amp;""))="REPLACE",N(act_PriorRate),0),$N242))</f>
        <v/>
      </c>
      <c r="P242" s="17">
        <f>IF($A242="","",N(Items!G242)*$N242)</f>
        <v/>
      </c>
      <c r="Q242" s="17">
        <f>IF($A242="","",N(Items!G242)*$O242)</f>
        <v/>
      </c>
      <c r="R242" s="17">
        <f>IF($A242="","",$Q242-$P242)</f>
        <v/>
      </c>
      <c r="S242" s="17">
        <f>IF($A242="","",N(Items!J242)+$R242)</f>
        <v/>
      </c>
      <c r="T242" s="16">
        <f>IF($A242="","",IF(N(Items!K242)=0,"",(N(Items!K242)-N(Items!J242))/N(Items!K242)))</f>
        <v/>
      </c>
      <c r="U242" s="16">
        <f>IF($A242="","",IF(N(Items!K242)=0,"",(N(Items!K242)-$S242)/N(Items!K242)))</f>
        <v/>
      </c>
      <c r="V242" s="16">
        <f>IF(OR($T242="",$U242=""),"",$U242-$T242)</f>
        <v/>
      </c>
      <c r="W242" s="18">
        <f>IF($A242="","",N(Items!H242))</f>
        <v/>
      </c>
      <c r="X242" s="19">
        <f>IF($A242="","",$R242*$W242)</f>
        <v/>
      </c>
      <c r="Y242" s="19">
        <f>IF($A242="","",N(Items!K242)*$W242)</f>
        <v/>
      </c>
      <c r="Z242" s="19">
        <f>IF($A242="","",(N(Items!K242)-N(Items!J242))*$W242)</f>
        <v/>
      </c>
      <c r="AA242" s="19">
        <f>IF($A242="","",$Z242-$X242)</f>
        <v/>
      </c>
      <c r="AB242" s="10">
        <f>IF($A242="","",IF(TRIM(Items!C242&amp;"")="","CHECK: import country missing",IF(OR(LEN($C242)&lt;&gt;10,ISERROR(VALUE($C242))),"CHECK: HTS must be 10 digits",IF(LEN($E242)&lt;&gt;2,"CHECK: origin code missing or not 2 letters",IF(OR(Items!G242="",Items!I242="",Items!J242=""),"CHECK: value, rate or cost missing",IF(ISNUMBER(Items!G242)*ISNUMBER(Items!I242)*ISNUMBER(Items!J242)=0,"CHECK: text in a number column",IF(AND($L242="Y",UPPER(TRIM(act_RateType&amp;""))="REPLACE",$N242&lt;N(act_PriorRate)),"CHECK: current rate is below the rate being replaced",IF(AND($L242="Y",$W242=0),"NOTE: in scope, no volume","OK"))))))))</f>
        <v/>
      </c>
      <c r="AC242" s="20">
        <f>IF($A242="","",IF(AND($L242="Y",$X242&lt;&gt;0),ABS($X242)+ROW()/1000000000,""))</f>
        <v/>
      </c>
    </row>
    <row r="243">
      <c r="A243" s="10">
        <f>IF(TRIM(Items!A243&amp;"")="","",TRIM(Items!A243&amp;""))</f>
        <v/>
      </c>
      <c r="B243" s="10">
        <f>IF($A243="","",Items!B243&amp;"")</f>
        <v/>
      </c>
      <c r="C243" s="10">
        <f>IF($A243="","",SUBSTITUTE(SUBSTITUTE(SUBSTITUTE(TRIM(Items!D243&amp;""),".","")," ",""),"-",""))</f>
        <v/>
      </c>
      <c r="D243" s="10">
        <f>IF($A243="","",LEFT($C243,2))</f>
        <v/>
      </c>
      <c r="E243" s="10">
        <f>IF($A243="","",UPPER(TRIM(Items!E243&amp;"")))</f>
        <v/>
      </c>
      <c r="F243" s="10">
        <f>IF($A243="","",IF(UPPER(TRIM(Items!C243&amp;""))=UPPER(TRIM(act_Country&amp;"")),"Y","N"))</f>
        <v/>
      </c>
      <c r="G243" s="10">
        <f>IF($A243="","",IF(SUMPRODUCT((scope_HTS&lt;&gt;"")*(LEFT($C243,LEN(scope_HTS))=scope_HTS))&gt;0,"Y","N"))</f>
        <v/>
      </c>
      <c r="H243" s="10">
        <f>IF($A243="","",IF(SUMPRODUCT((excl_HTS&lt;&gt;"")*(LEFT($C243,LEN(excl_HTS))=excl_HTS))&gt;0,"Y","N"))</f>
        <v/>
      </c>
      <c r="I243" s="10">
        <f>IF($A243="","",IF($E243="","N",IF(COUNTIF(scope_COO,$E243)&gt;0,"Y","N")))</f>
        <v/>
      </c>
      <c r="J243" s="10">
        <f>IF($A243="","",IF(AND(UPPER(TRIM(act_USMCAExempt&amp;""))="Y",UPPER(TRIM(Items!F243&amp;""))="Y"),"Y","N"))</f>
        <v/>
      </c>
      <c r="K243" s="10">
        <f>IF($A243="","",IFERROR(UPPER(TRIM(INDEX(det_Status,MATCH($A243,det_Item,0))&amp;"")),""))</f>
        <v/>
      </c>
      <c r="L243" s="10">
        <f>IF($A243="","",IF($K243="IN","Y",IF($K243="OUT","N",IF(AND($F243="Y",$G243="Y",$H243="N",$I243="Y",$J243="N"),"Y","N"))))</f>
        <v/>
      </c>
      <c r="M243" s="10">
        <f>IF($A243="","",IF($K243="IN","In: Research determination",IF($K243="OUT","Out: Research determination",IF($F243="N","Out: different import country",IF($G243="N","Out: HTS not on scope list",IF($H243="Y","Out: HTS on exclusion list",IF($I243="N","Out: origin not on scope list",IF($J243="Y","Out: USMCA-qualifying, exempt","In: matches scope rules"))))))))</f>
        <v/>
      </c>
      <c r="N243" s="16">
        <f>IF($A243="","",N(Items!I243))</f>
        <v/>
      </c>
      <c r="O243" s="16">
        <f>IF($A243="","",IF($L243="Y",$N243+N(act_Rate)-IF(UPPER(TRIM(act_RateType&amp;""))="REPLACE",N(act_PriorRate),0),$N243))</f>
        <v/>
      </c>
      <c r="P243" s="17">
        <f>IF($A243="","",N(Items!G243)*$N243)</f>
        <v/>
      </c>
      <c r="Q243" s="17">
        <f>IF($A243="","",N(Items!G243)*$O243)</f>
        <v/>
      </c>
      <c r="R243" s="17">
        <f>IF($A243="","",$Q243-$P243)</f>
        <v/>
      </c>
      <c r="S243" s="17">
        <f>IF($A243="","",N(Items!J243)+$R243)</f>
        <v/>
      </c>
      <c r="T243" s="16">
        <f>IF($A243="","",IF(N(Items!K243)=0,"",(N(Items!K243)-N(Items!J243))/N(Items!K243)))</f>
        <v/>
      </c>
      <c r="U243" s="16">
        <f>IF($A243="","",IF(N(Items!K243)=0,"",(N(Items!K243)-$S243)/N(Items!K243)))</f>
        <v/>
      </c>
      <c r="V243" s="16">
        <f>IF(OR($T243="",$U243=""),"",$U243-$T243)</f>
        <v/>
      </c>
      <c r="W243" s="18">
        <f>IF($A243="","",N(Items!H243))</f>
        <v/>
      </c>
      <c r="X243" s="19">
        <f>IF($A243="","",$R243*$W243)</f>
        <v/>
      </c>
      <c r="Y243" s="19">
        <f>IF($A243="","",N(Items!K243)*$W243)</f>
        <v/>
      </c>
      <c r="Z243" s="19">
        <f>IF($A243="","",(N(Items!K243)-N(Items!J243))*$W243)</f>
        <v/>
      </c>
      <c r="AA243" s="19">
        <f>IF($A243="","",$Z243-$X243)</f>
        <v/>
      </c>
      <c r="AB243" s="10">
        <f>IF($A243="","",IF(TRIM(Items!C243&amp;"")="","CHECK: import country missing",IF(OR(LEN($C243)&lt;&gt;10,ISERROR(VALUE($C243))),"CHECK: HTS must be 10 digits",IF(LEN($E243)&lt;&gt;2,"CHECK: origin code missing or not 2 letters",IF(OR(Items!G243="",Items!I243="",Items!J243=""),"CHECK: value, rate or cost missing",IF(ISNUMBER(Items!G243)*ISNUMBER(Items!I243)*ISNUMBER(Items!J243)=0,"CHECK: text in a number column",IF(AND($L243="Y",UPPER(TRIM(act_RateType&amp;""))="REPLACE",$N243&lt;N(act_PriorRate)),"CHECK: current rate is below the rate being replaced",IF(AND($L243="Y",$W243=0),"NOTE: in scope, no volume","OK"))))))))</f>
        <v/>
      </c>
      <c r="AC243" s="20">
        <f>IF($A243="","",IF(AND($L243="Y",$X243&lt;&gt;0),ABS($X243)+ROW()/1000000000,""))</f>
        <v/>
      </c>
    </row>
    <row r="244">
      <c r="A244" s="10">
        <f>IF(TRIM(Items!A244&amp;"")="","",TRIM(Items!A244&amp;""))</f>
        <v/>
      </c>
      <c r="B244" s="10">
        <f>IF($A244="","",Items!B244&amp;"")</f>
        <v/>
      </c>
      <c r="C244" s="10">
        <f>IF($A244="","",SUBSTITUTE(SUBSTITUTE(SUBSTITUTE(TRIM(Items!D244&amp;""),".","")," ",""),"-",""))</f>
        <v/>
      </c>
      <c r="D244" s="10">
        <f>IF($A244="","",LEFT($C244,2))</f>
        <v/>
      </c>
      <c r="E244" s="10">
        <f>IF($A244="","",UPPER(TRIM(Items!E244&amp;"")))</f>
        <v/>
      </c>
      <c r="F244" s="10">
        <f>IF($A244="","",IF(UPPER(TRIM(Items!C244&amp;""))=UPPER(TRIM(act_Country&amp;"")),"Y","N"))</f>
        <v/>
      </c>
      <c r="G244" s="10">
        <f>IF($A244="","",IF(SUMPRODUCT((scope_HTS&lt;&gt;"")*(LEFT($C244,LEN(scope_HTS))=scope_HTS))&gt;0,"Y","N"))</f>
        <v/>
      </c>
      <c r="H244" s="10">
        <f>IF($A244="","",IF(SUMPRODUCT((excl_HTS&lt;&gt;"")*(LEFT($C244,LEN(excl_HTS))=excl_HTS))&gt;0,"Y","N"))</f>
        <v/>
      </c>
      <c r="I244" s="10">
        <f>IF($A244="","",IF($E244="","N",IF(COUNTIF(scope_COO,$E244)&gt;0,"Y","N")))</f>
        <v/>
      </c>
      <c r="J244" s="10">
        <f>IF($A244="","",IF(AND(UPPER(TRIM(act_USMCAExempt&amp;""))="Y",UPPER(TRIM(Items!F244&amp;""))="Y"),"Y","N"))</f>
        <v/>
      </c>
      <c r="K244" s="10">
        <f>IF($A244="","",IFERROR(UPPER(TRIM(INDEX(det_Status,MATCH($A244,det_Item,0))&amp;"")),""))</f>
        <v/>
      </c>
      <c r="L244" s="10">
        <f>IF($A244="","",IF($K244="IN","Y",IF($K244="OUT","N",IF(AND($F244="Y",$G244="Y",$H244="N",$I244="Y",$J244="N"),"Y","N"))))</f>
        <v/>
      </c>
      <c r="M244" s="10">
        <f>IF($A244="","",IF($K244="IN","In: Research determination",IF($K244="OUT","Out: Research determination",IF($F244="N","Out: different import country",IF($G244="N","Out: HTS not on scope list",IF($H244="Y","Out: HTS on exclusion list",IF($I244="N","Out: origin not on scope list",IF($J244="Y","Out: USMCA-qualifying, exempt","In: matches scope rules"))))))))</f>
        <v/>
      </c>
      <c r="N244" s="16">
        <f>IF($A244="","",N(Items!I244))</f>
        <v/>
      </c>
      <c r="O244" s="16">
        <f>IF($A244="","",IF($L244="Y",$N244+N(act_Rate)-IF(UPPER(TRIM(act_RateType&amp;""))="REPLACE",N(act_PriorRate),0),$N244))</f>
        <v/>
      </c>
      <c r="P244" s="17">
        <f>IF($A244="","",N(Items!G244)*$N244)</f>
        <v/>
      </c>
      <c r="Q244" s="17">
        <f>IF($A244="","",N(Items!G244)*$O244)</f>
        <v/>
      </c>
      <c r="R244" s="17">
        <f>IF($A244="","",$Q244-$P244)</f>
        <v/>
      </c>
      <c r="S244" s="17">
        <f>IF($A244="","",N(Items!J244)+$R244)</f>
        <v/>
      </c>
      <c r="T244" s="16">
        <f>IF($A244="","",IF(N(Items!K244)=0,"",(N(Items!K244)-N(Items!J244))/N(Items!K244)))</f>
        <v/>
      </c>
      <c r="U244" s="16">
        <f>IF($A244="","",IF(N(Items!K244)=0,"",(N(Items!K244)-$S244)/N(Items!K244)))</f>
        <v/>
      </c>
      <c r="V244" s="16">
        <f>IF(OR($T244="",$U244=""),"",$U244-$T244)</f>
        <v/>
      </c>
      <c r="W244" s="18">
        <f>IF($A244="","",N(Items!H244))</f>
        <v/>
      </c>
      <c r="X244" s="19">
        <f>IF($A244="","",$R244*$W244)</f>
        <v/>
      </c>
      <c r="Y244" s="19">
        <f>IF($A244="","",N(Items!K244)*$W244)</f>
        <v/>
      </c>
      <c r="Z244" s="19">
        <f>IF($A244="","",(N(Items!K244)-N(Items!J244))*$W244)</f>
        <v/>
      </c>
      <c r="AA244" s="19">
        <f>IF($A244="","",$Z244-$X244)</f>
        <v/>
      </c>
      <c r="AB244" s="10">
        <f>IF($A244="","",IF(TRIM(Items!C244&amp;"")="","CHECK: import country missing",IF(OR(LEN($C244)&lt;&gt;10,ISERROR(VALUE($C244))),"CHECK: HTS must be 10 digits",IF(LEN($E244)&lt;&gt;2,"CHECK: origin code missing or not 2 letters",IF(OR(Items!G244="",Items!I244="",Items!J244=""),"CHECK: value, rate or cost missing",IF(ISNUMBER(Items!G244)*ISNUMBER(Items!I244)*ISNUMBER(Items!J244)=0,"CHECK: text in a number column",IF(AND($L244="Y",UPPER(TRIM(act_RateType&amp;""))="REPLACE",$N244&lt;N(act_PriorRate)),"CHECK: current rate is below the rate being replaced",IF(AND($L244="Y",$W244=0),"NOTE: in scope, no volume","OK"))))))))</f>
        <v/>
      </c>
      <c r="AC244" s="20">
        <f>IF($A244="","",IF(AND($L244="Y",$X244&lt;&gt;0),ABS($X244)+ROW()/1000000000,""))</f>
        <v/>
      </c>
    </row>
    <row r="245">
      <c r="A245" s="10">
        <f>IF(TRIM(Items!A245&amp;"")="","",TRIM(Items!A245&amp;""))</f>
        <v/>
      </c>
      <c r="B245" s="10">
        <f>IF($A245="","",Items!B245&amp;"")</f>
        <v/>
      </c>
      <c r="C245" s="10">
        <f>IF($A245="","",SUBSTITUTE(SUBSTITUTE(SUBSTITUTE(TRIM(Items!D245&amp;""),".","")," ",""),"-",""))</f>
        <v/>
      </c>
      <c r="D245" s="10">
        <f>IF($A245="","",LEFT($C245,2))</f>
        <v/>
      </c>
      <c r="E245" s="10">
        <f>IF($A245="","",UPPER(TRIM(Items!E245&amp;"")))</f>
        <v/>
      </c>
      <c r="F245" s="10">
        <f>IF($A245="","",IF(UPPER(TRIM(Items!C245&amp;""))=UPPER(TRIM(act_Country&amp;"")),"Y","N"))</f>
        <v/>
      </c>
      <c r="G245" s="10">
        <f>IF($A245="","",IF(SUMPRODUCT((scope_HTS&lt;&gt;"")*(LEFT($C245,LEN(scope_HTS))=scope_HTS))&gt;0,"Y","N"))</f>
        <v/>
      </c>
      <c r="H245" s="10">
        <f>IF($A245="","",IF(SUMPRODUCT((excl_HTS&lt;&gt;"")*(LEFT($C245,LEN(excl_HTS))=excl_HTS))&gt;0,"Y","N"))</f>
        <v/>
      </c>
      <c r="I245" s="10">
        <f>IF($A245="","",IF($E245="","N",IF(COUNTIF(scope_COO,$E245)&gt;0,"Y","N")))</f>
        <v/>
      </c>
      <c r="J245" s="10">
        <f>IF($A245="","",IF(AND(UPPER(TRIM(act_USMCAExempt&amp;""))="Y",UPPER(TRIM(Items!F245&amp;""))="Y"),"Y","N"))</f>
        <v/>
      </c>
      <c r="K245" s="10">
        <f>IF($A245="","",IFERROR(UPPER(TRIM(INDEX(det_Status,MATCH($A245,det_Item,0))&amp;"")),""))</f>
        <v/>
      </c>
      <c r="L245" s="10">
        <f>IF($A245="","",IF($K245="IN","Y",IF($K245="OUT","N",IF(AND($F245="Y",$G245="Y",$H245="N",$I245="Y",$J245="N"),"Y","N"))))</f>
        <v/>
      </c>
      <c r="M245" s="10">
        <f>IF($A245="","",IF($K245="IN","In: Research determination",IF($K245="OUT","Out: Research determination",IF($F245="N","Out: different import country",IF($G245="N","Out: HTS not on scope list",IF($H245="Y","Out: HTS on exclusion list",IF($I245="N","Out: origin not on scope list",IF($J245="Y","Out: USMCA-qualifying, exempt","In: matches scope rules"))))))))</f>
        <v/>
      </c>
      <c r="N245" s="16">
        <f>IF($A245="","",N(Items!I245))</f>
        <v/>
      </c>
      <c r="O245" s="16">
        <f>IF($A245="","",IF($L245="Y",$N245+N(act_Rate)-IF(UPPER(TRIM(act_RateType&amp;""))="REPLACE",N(act_PriorRate),0),$N245))</f>
        <v/>
      </c>
      <c r="P245" s="17">
        <f>IF($A245="","",N(Items!G245)*$N245)</f>
        <v/>
      </c>
      <c r="Q245" s="17">
        <f>IF($A245="","",N(Items!G245)*$O245)</f>
        <v/>
      </c>
      <c r="R245" s="17">
        <f>IF($A245="","",$Q245-$P245)</f>
        <v/>
      </c>
      <c r="S245" s="17">
        <f>IF($A245="","",N(Items!J245)+$R245)</f>
        <v/>
      </c>
      <c r="T245" s="16">
        <f>IF($A245="","",IF(N(Items!K245)=0,"",(N(Items!K245)-N(Items!J245))/N(Items!K245)))</f>
        <v/>
      </c>
      <c r="U245" s="16">
        <f>IF($A245="","",IF(N(Items!K245)=0,"",(N(Items!K245)-$S245)/N(Items!K245)))</f>
        <v/>
      </c>
      <c r="V245" s="16">
        <f>IF(OR($T245="",$U245=""),"",$U245-$T245)</f>
        <v/>
      </c>
      <c r="W245" s="18">
        <f>IF($A245="","",N(Items!H245))</f>
        <v/>
      </c>
      <c r="X245" s="19">
        <f>IF($A245="","",$R245*$W245)</f>
        <v/>
      </c>
      <c r="Y245" s="19">
        <f>IF($A245="","",N(Items!K245)*$W245)</f>
        <v/>
      </c>
      <c r="Z245" s="19">
        <f>IF($A245="","",(N(Items!K245)-N(Items!J245))*$W245)</f>
        <v/>
      </c>
      <c r="AA245" s="19">
        <f>IF($A245="","",$Z245-$X245)</f>
        <v/>
      </c>
      <c r="AB245" s="10">
        <f>IF($A245="","",IF(TRIM(Items!C245&amp;"")="","CHECK: import country missing",IF(OR(LEN($C245)&lt;&gt;10,ISERROR(VALUE($C245))),"CHECK: HTS must be 10 digits",IF(LEN($E245)&lt;&gt;2,"CHECK: origin code missing or not 2 letters",IF(OR(Items!G245="",Items!I245="",Items!J245=""),"CHECK: value, rate or cost missing",IF(ISNUMBER(Items!G245)*ISNUMBER(Items!I245)*ISNUMBER(Items!J245)=0,"CHECK: text in a number column",IF(AND($L245="Y",UPPER(TRIM(act_RateType&amp;""))="REPLACE",$N245&lt;N(act_PriorRate)),"CHECK: current rate is below the rate being replaced",IF(AND($L245="Y",$W245=0),"NOTE: in scope, no volume","OK"))))))))</f>
        <v/>
      </c>
      <c r="AC245" s="20">
        <f>IF($A245="","",IF(AND($L245="Y",$X245&lt;&gt;0),ABS($X245)+ROW()/1000000000,""))</f>
        <v/>
      </c>
    </row>
    <row r="246">
      <c r="A246" s="10">
        <f>IF(TRIM(Items!A246&amp;"")="","",TRIM(Items!A246&amp;""))</f>
        <v/>
      </c>
      <c r="B246" s="10">
        <f>IF($A246="","",Items!B246&amp;"")</f>
        <v/>
      </c>
      <c r="C246" s="10">
        <f>IF($A246="","",SUBSTITUTE(SUBSTITUTE(SUBSTITUTE(TRIM(Items!D246&amp;""),".","")," ",""),"-",""))</f>
        <v/>
      </c>
      <c r="D246" s="10">
        <f>IF($A246="","",LEFT($C246,2))</f>
        <v/>
      </c>
      <c r="E246" s="10">
        <f>IF($A246="","",UPPER(TRIM(Items!E246&amp;"")))</f>
        <v/>
      </c>
      <c r="F246" s="10">
        <f>IF($A246="","",IF(UPPER(TRIM(Items!C246&amp;""))=UPPER(TRIM(act_Country&amp;"")),"Y","N"))</f>
        <v/>
      </c>
      <c r="G246" s="10">
        <f>IF($A246="","",IF(SUMPRODUCT((scope_HTS&lt;&gt;"")*(LEFT($C246,LEN(scope_HTS))=scope_HTS))&gt;0,"Y","N"))</f>
        <v/>
      </c>
      <c r="H246" s="10">
        <f>IF($A246="","",IF(SUMPRODUCT((excl_HTS&lt;&gt;"")*(LEFT($C246,LEN(excl_HTS))=excl_HTS))&gt;0,"Y","N"))</f>
        <v/>
      </c>
      <c r="I246" s="10">
        <f>IF($A246="","",IF($E246="","N",IF(COUNTIF(scope_COO,$E246)&gt;0,"Y","N")))</f>
        <v/>
      </c>
      <c r="J246" s="10">
        <f>IF($A246="","",IF(AND(UPPER(TRIM(act_USMCAExempt&amp;""))="Y",UPPER(TRIM(Items!F246&amp;""))="Y"),"Y","N"))</f>
        <v/>
      </c>
      <c r="K246" s="10">
        <f>IF($A246="","",IFERROR(UPPER(TRIM(INDEX(det_Status,MATCH($A246,det_Item,0))&amp;"")),""))</f>
        <v/>
      </c>
      <c r="L246" s="10">
        <f>IF($A246="","",IF($K246="IN","Y",IF($K246="OUT","N",IF(AND($F246="Y",$G246="Y",$H246="N",$I246="Y",$J246="N"),"Y","N"))))</f>
        <v/>
      </c>
      <c r="M246" s="10">
        <f>IF($A246="","",IF($K246="IN","In: Research determination",IF($K246="OUT","Out: Research determination",IF($F246="N","Out: different import country",IF($G246="N","Out: HTS not on scope list",IF($H246="Y","Out: HTS on exclusion list",IF($I246="N","Out: origin not on scope list",IF($J246="Y","Out: USMCA-qualifying, exempt","In: matches scope rules"))))))))</f>
        <v/>
      </c>
      <c r="N246" s="16">
        <f>IF($A246="","",N(Items!I246))</f>
        <v/>
      </c>
      <c r="O246" s="16">
        <f>IF($A246="","",IF($L246="Y",$N246+N(act_Rate)-IF(UPPER(TRIM(act_RateType&amp;""))="REPLACE",N(act_PriorRate),0),$N246))</f>
        <v/>
      </c>
      <c r="P246" s="17">
        <f>IF($A246="","",N(Items!G246)*$N246)</f>
        <v/>
      </c>
      <c r="Q246" s="17">
        <f>IF($A246="","",N(Items!G246)*$O246)</f>
        <v/>
      </c>
      <c r="R246" s="17">
        <f>IF($A246="","",$Q246-$P246)</f>
        <v/>
      </c>
      <c r="S246" s="17">
        <f>IF($A246="","",N(Items!J246)+$R246)</f>
        <v/>
      </c>
      <c r="T246" s="16">
        <f>IF($A246="","",IF(N(Items!K246)=0,"",(N(Items!K246)-N(Items!J246))/N(Items!K246)))</f>
        <v/>
      </c>
      <c r="U246" s="16">
        <f>IF($A246="","",IF(N(Items!K246)=0,"",(N(Items!K246)-$S246)/N(Items!K246)))</f>
        <v/>
      </c>
      <c r="V246" s="16">
        <f>IF(OR($T246="",$U246=""),"",$U246-$T246)</f>
        <v/>
      </c>
      <c r="W246" s="18">
        <f>IF($A246="","",N(Items!H246))</f>
        <v/>
      </c>
      <c r="X246" s="19">
        <f>IF($A246="","",$R246*$W246)</f>
        <v/>
      </c>
      <c r="Y246" s="19">
        <f>IF($A246="","",N(Items!K246)*$W246)</f>
        <v/>
      </c>
      <c r="Z246" s="19">
        <f>IF($A246="","",(N(Items!K246)-N(Items!J246))*$W246)</f>
        <v/>
      </c>
      <c r="AA246" s="19">
        <f>IF($A246="","",$Z246-$X246)</f>
        <v/>
      </c>
      <c r="AB246" s="10">
        <f>IF($A246="","",IF(TRIM(Items!C246&amp;"")="","CHECK: import country missing",IF(OR(LEN($C246)&lt;&gt;10,ISERROR(VALUE($C246))),"CHECK: HTS must be 10 digits",IF(LEN($E246)&lt;&gt;2,"CHECK: origin code missing or not 2 letters",IF(OR(Items!G246="",Items!I246="",Items!J246=""),"CHECK: value, rate or cost missing",IF(ISNUMBER(Items!G246)*ISNUMBER(Items!I246)*ISNUMBER(Items!J246)=0,"CHECK: text in a number column",IF(AND($L246="Y",UPPER(TRIM(act_RateType&amp;""))="REPLACE",$N246&lt;N(act_PriorRate)),"CHECK: current rate is below the rate being replaced",IF(AND($L246="Y",$W246=0),"NOTE: in scope, no volume","OK"))))))))</f>
        <v/>
      </c>
      <c r="AC246" s="20">
        <f>IF($A246="","",IF(AND($L246="Y",$X246&lt;&gt;0),ABS($X246)+ROW()/1000000000,""))</f>
        <v/>
      </c>
    </row>
    <row r="247">
      <c r="A247" s="10">
        <f>IF(TRIM(Items!A247&amp;"")="","",TRIM(Items!A247&amp;""))</f>
        <v/>
      </c>
      <c r="B247" s="10">
        <f>IF($A247="","",Items!B247&amp;"")</f>
        <v/>
      </c>
      <c r="C247" s="10">
        <f>IF($A247="","",SUBSTITUTE(SUBSTITUTE(SUBSTITUTE(TRIM(Items!D247&amp;""),".","")," ",""),"-",""))</f>
        <v/>
      </c>
      <c r="D247" s="10">
        <f>IF($A247="","",LEFT($C247,2))</f>
        <v/>
      </c>
      <c r="E247" s="10">
        <f>IF($A247="","",UPPER(TRIM(Items!E247&amp;"")))</f>
        <v/>
      </c>
      <c r="F247" s="10">
        <f>IF($A247="","",IF(UPPER(TRIM(Items!C247&amp;""))=UPPER(TRIM(act_Country&amp;"")),"Y","N"))</f>
        <v/>
      </c>
      <c r="G247" s="10">
        <f>IF($A247="","",IF(SUMPRODUCT((scope_HTS&lt;&gt;"")*(LEFT($C247,LEN(scope_HTS))=scope_HTS))&gt;0,"Y","N"))</f>
        <v/>
      </c>
      <c r="H247" s="10">
        <f>IF($A247="","",IF(SUMPRODUCT((excl_HTS&lt;&gt;"")*(LEFT($C247,LEN(excl_HTS))=excl_HTS))&gt;0,"Y","N"))</f>
        <v/>
      </c>
      <c r="I247" s="10">
        <f>IF($A247="","",IF($E247="","N",IF(COUNTIF(scope_COO,$E247)&gt;0,"Y","N")))</f>
        <v/>
      </c>
      <c r="J247" s="10">
        <f>IF($A247="","",IF(AND(UPPER(TRIM(act_USMCAExempt&amp;""))="Y",UPPER(TRIM(Items!F247&amp;""))="Y"),"Y","N"))</f>
        <v/>
      </c>
      <c r="K247" s="10">
        <f>IF($A247="","",IFERROR(UPPER(TRIM(INDEX(det_Status,MATCH($A247,det_Item,0))&amp;"")),""))</f>
        <v/>
      </c>
      <c r="L247" s="10">
        <f>IF($A247="","",IF($K247="IN","Y",IF($K247="OUT","N",IF(AND($F247="Y",$G247="Y",$H247="N",$I247="Y",$J247="N"),"Y","N"))))</f>
        <v/>
      </c>
      <c r="M247" s="10">
        <f>IF($A247="","",IF($K247="IN","In: Research determination",IF($K247="OUT","Out: Research determination",IF($F247="N","Out: different import country",IF($G247="N","Out: HTS not on scope list",IF($H247="Y","Out: HTS on exclusion list",IF($I247="N","Out: origin not on scope list",IF($J247="Y","Out: USMCA-qualifying, exempt","In: matches scope rules"))))))))</f>
        <v/>
      </c>
      <c r="N247" s="16">
        <f>IF($A247="","",N(Items!I247))</f>
        <v/>
      </c>
      <c r="O247" s="16">
        <f>IF($A247="","",IF($L247="Y",$N247+N(act_Rate)-IF(UPPER(TRIM(act_RateType&amp;""))="REPLACE",N(act_PriorRate),0),$N247))</f>
        <v/>
      </c>
      <c r="P247" s="17">
        <f>IF($A247="","",N(Items!G247)*$N247)</f>
        <v/>
      </c>
      <c r="Q247" s="17">
        <f>IF($A247="","",N(Items!G247)*$O247)</f>
        <v/>
      </c>
      <c r="R247" s="17">
        <f>IF($A247="","",$Q247-$P247)</f>
        <v/>
      </c>
      <c r="S247" s="17">
        <f>IF($A247="","",N(Items!J247)+$R247)</f>
        <v/>
      </c>
      <c r="T247" s="16">
        <f>IF($A247="","",IF(N(Items!K247)=0,"",(N(Items!K247)-N(Items!J247))/N(Items!K247)))</f>
        <v/>
      </c>
      <c r="U247" s="16">
        <f>IF($A247="","",IF(N(Items!K247)=0,"",(N(Items!K247)-$S247)/N(Items!K247)))</f>
        <v/>
      </c>
      <c r="V247" s="16">
        <f>IF(OR($T247="",$U247=""),"",$U247-$T247)</f>
        <v/>
      </c>
      <c r="W247" s="18">
        <f>IF($A247="","",N(Items!H247))</f>
        <v/>
      </c>
      <c r="X247" s="19">
        <f>IF($A247="","",$R247*$W247)</f>
        <v/>
      </c>
      <c r="Y247" s="19">
        <f>IF($A247="","",N(Items!K247)*$W247)</f>
        <v/>
      </c>
      <c r="Z247" s="19">
        <f>IF($A247="","",(N(Items!K247)-N(Items!J247))*$W247)</f>
        <v/>
      </c>
      <c r="AA247" s="19">
        <f>IF($A247="","",$Z247-$X247)</f>
        <v/>
      </c>
      <c r="AB247" s="10">
        <f>IF($A247="","",IF(TRIM(Items!C247&amp;"")="","CHECK: import country missing",IF(OR(LEN($C247)&lt;&gt;10,ISERROR(VALUE($C247))),"CHECK: HTS must be 10 digits",IF(LEN($E247)&lt;&gt;2,"CHECK: origin code missing or not 2 letters",IF(OR(Items!G247="",Items!I247="",Items!J247=""),"CHECK: value, rate or cost missing",IF(ISNUMBER(Items!G247)*ISNUMBER(Items!I247)*ISNUMBER(Items!J247)=0,"CHECK: text in a number column",IF(AND($L247="Y",UPPER(TRIM(act_RateType&amp;""))="REPLACE",$N247&lt;N(act_PriorRate)),"CHECK: current rate is below the rate being replaced",IF(AND($L247="Y",$W247=0),"NOTE: in scope, no volume","OK"))))))))</f>
        <v/>
      </c>
      <c r="AC247" s="20">
        <f>IF($A247="","",IF(AND($L247="Y",$X247&lt;&gt;0),ABS($X247)+ROW()/1000000000,""))</f>
        <v/>
      </c>
    </row>
    <row r="248">
      <c r="A248" s="10">
        <f>IF(TRIM(Items!A248&amp;"")="","",TRIM(Items!A248&amp;""))</f>
        <v/>
      </c>
      <c r="B248" s="10">
        <f>IF($A248="","",Items!B248&amp;"")</f>
        <v/>
      </c>
      <c r="C248" s="10">
        <f>IF($A248="","",SUBSTITUTE(SUBSTITUTE(SUBSTITUTE(TRIM(Items!D248&amp;""),".","")," ",""),"-",""))</f>
        <v/>
      </c>
      <c r="D248" s="10">
        <f>IF($A248="","",LEFT($C248,2))</f>
        <v/>
      </c>
      <c r="E248" s="10">
        <f>IF($A248="","",UPPER(TRIM(Items!E248&amp;"")))</f>
        <v/>
      </c>
      <c r="F248" s="10">
        <f>IF($A248="","",IF(UPPER(TRIM(Items!C248&amp;""))=UPPER(TRIM(act_Country&amp;"")),"Y","N"))</f>
        <v/>
      </c>
      <c r="G248" s="10">
        <f>IF($A248="","",IF(SUMPRODUCT((scope_HTS&lt;&gt;"")*(LEFT($C248,LEN(scope_HTS))=scope_HTS))&gt;0,"Y","N"))</f>
        <v/>
      </c>
      <c r="H248" s="10">
        <f>IF($A248="","",IF(SUMPRODUCT((excl_HTS&lt;&gt;"")*(LEFT($C248,LEN(excl_HTS))=excl_HTS))&gt;0,"Y","N"))</f>
        <v/>
      </c>
      <c r="I248" s="10">
        <f>IF($A248="","",IF($E248="","N",IF(COUNTIF(scope_COO,$E248)&gt;0,"Y","N")))</f>
        <v/>
      </c>
      <c r="J248" s="10">
        <f>IF($A248="","",IF(AND(UPPER(TRIM(act_USMCAExempt&amp;""))="Y",UPPER(TRIM(Items!F248&amp;""))="Y"),"Y","N"))</f>
        <v/>
      </c>
      <c r="K248" s="10">
        <f>IF($A248="","",IFERROR(UPPER(TRIM(INDEX(det_Status,MATCH($A248,det_Item,0))&amp;"")),""))</f>
        <v/>
      </c>
      <c r="L248" s="10">
        <f>IF($A248="","",IF($K248="IN","Y",IF($K248="OUT","N",IF(AND($F248="Y",$G248="Y",$H248="N",$I248="Y",$J248="N"),"Y","N"))))</f>
        <v/>
      </c>
      <c r="M248" s="10">
        <f>IF($A248="","",IF($K248="IN","In: Research determination",IF($K248="OUT","Out: Research determination",IF($F248="N","Out: different import country",IF($G248="N","Out: HTS not on scope list",IF($H248="Y","Out: HTS on exclusion list",IF($I248="N","Out: origin not on scope list",IF($J248="Y","Out: USMCA-qualifying, exempt","In: matches scope rules"))))))))</f>
        <v/>
      </c>
      <c r="N248" s="16">
        <f>IF($A248="","",N(Items!I248))</f>
        <v/>
      </c>
      <c r="O248" s="16">
        <f>IF($A248="","",IF($L248="Y",$N248+N(act_Rate)-IF(UPPER(TRIM(act_RateType&amp;""))="REPLACE",N(act_PriorRate),0),$N248))</f>
        <v/>
      </c>
      <c r="P248" s="17">
        <f>IF($A248="","",N(Items!G248)*$N248)</f>
        <v/>
      </c>
      <c r="Q248" s="17">
        <f>IF($A248="","",N(Items!G248)*$O248)</f>
        <v/>
      </c>
      <c r="R248" s="17">
        <f>IF($A248="","",$Q248-$P248)</f>
        <v/>
      </c>
      <c r="S248" s="17">
        <f>IF($A248="","",N(Items!J248)+$R248)</f>
        <v/>
      </c>
      <c r="T248" s="16">
        <f>IF($A248="","",IF(N(Items!K248)=0,"",(N(Items!K248)-N(Items!J248))/N(Items!K248)))</f>
        <v/>
      </c>
      <c r="U248" s="16">
        <f>IF($A248="","",IF(N(Items!K248)=0,"",(N(Items!K248)-$S248)/N(Items!K248)))</f>
        <v/>
      </c>
      <c r="V248" s="16">
        <f>IF(OR($T248="",$U248=""),"",$U248-$T248)</f>
        <v/>
      </c>
      <c r="W248" s="18">
        <f>IF($A248="","",N(Items!H248))</f>
        <v/>
      </c>
      <c r="X248" s="19">
        <f>IF($A248="","",$R248*$W248)</f>
        <v/>
      </c>
      <c r="Y248" s="19">
        <f>IF($A248="","",N(Items!K248)*$W248)</f>
        <v/>
      </c>
      <c r="Z248" s="19">
        <f>IF($A248="","",(N(Items!K248)-N(Items!J248))*$W248)</f>
        <v/>
      </c>
      <c r="AA248" s="19">
        <f>IF($A248="","",$Z248-$X248)</f>
        <v/>
      </c>
      <c r="AB248" s="10">
        <f>IF($A248="","",IF(TRIM(Items!C248&amp;"")="","CHECK: import country missing",IF(OR(LEN($C248)&lt;&gt;10,ISERROR(VALUE($C248))),"CHECK: HTS must be 10 digits",IF(LEN($E248)&lt;&gt;2,"CHECK: origin code missing or not 2 letters",IF(OR(Items!G248="",Items!I248="",Items!J248=""),"CHECK: value, rate or cost missing",IF(ISNUMBER(Items!G248)*ISNUMBER(Items!I248)*ISNUMBER(Items!J248)=0,"CHECK: text in a number column",IF(AND($L248="Y",UPPER(TRIM(act_RateType&amp;""))="REPLACE",$N248&lt;N(act_PriorRate)),"CHECK: current rate is below the rate being replaced",IF(AND($L248="Y",$W248=0),"NOTE: in scope, no volume","OK"))))))))</f>
        <v/>
      </c>
      <c r="AC248" s="20">
        <f>IF($A248="","",IF(AND($L248="Y",$X248&lt;&gt;0),ABS($X248)+ROW()/1000000000,""))</f>
        <v/>
      </c>
    </row>
    <row r="249">
      <c r="A249" s="10">
        <f>IF(TRIM(Items!A249&amp;"")="","",TRIM(Items!A249&amp;""))</f>
        <v/>
      </c>
      <c r="B249" s="10">
        <f>IF($A249="","",Items!B249&amp;"")</f>
        <v/>
      </c>
      <c r="C249" s="10">
        <f>IF($A249="","",SUBSTITUTE(SUBSTITUTE(SUBSTITUTE(TRIM(Items!D249&amp;""),".","")," ",""),"-",""))</f>
        <v/>
      </c>
      <c r="D249" s="10">
        <f>IF($A249="","",LEFT($C249,2))</f>
        <v/>
      </c>
      <c r="E249" s="10">
        <f>IF($A249="","",UPPER(TRIM(Items!E249&amp;"")))</f>
        <v/>
      </c>
      <c r="F249" s="10">
        <f>IF($A249="","",IF(UPPER(TRIM(Items!C249&amp;""))=UPPER(TRIM(act_Country&amp;"")),"Y","N"))</f>
        <v/>
      </c>
      <c r="G249" s="10">
        <f>IF($A249="","",IF(SUMPRODUCT((scope_HTS&lt;&gt;"")*(LEFT($C249,LEN(scope_HTS))=scope_HTS))&gt;0,"Y","N"))</f>
        <v/>
      </c>
      <c r="H249" s="10">
        <f>IF($A249="","",IF(SUMPRODUCT((excl_HTS&lt;&gt;"")*(LEFT($C249,LEN(excl_HTS))=excl_HTS))&gt;0,"Y","N"))</f>
        <v/>
      </c>
      <c r="I249" s="10">
        <f>IF($A249="","",IF($E249="","N",IF(COUNTIF(scope_COO,$E249)&gt;0,"Y","N")))</f>
        <v/>
      </c>
      <c r="J249" s="10">
        <f>IF($A249="","",IF(AND(UPPER(TRIM(act_USMCAExempt&amp;""))="Y",UPPER(TRIM(Items!F249&amp;""))="Y"),"Y","N"))</f>
        <v/>
      </c>
      <c r="K249" s="10">
        <f>IF($A249="","",IFERROR(UPPER(TRIM(INDEX(det_Status,MATCH($A249,det_Item,0))&amp;"")),""))</f>
        <v/>
      </c>
      <c r="L249" s="10">
        <f>IF($A249="","",IF($K249="IN","Y",IF($K249="OUT","N",IF(AND($F249="Y",$G249="Y",$H249="N",$I249="Y",$J249="N"),"Y","N"))))</f>
        <v/>
      </c>
      <c r="M249" s="10">
        <f>IF($A249="","",IF($K249="IN","In: Research determination",IF($K249="OUT","Out: Research determination",IF($F249="N","Out: different import country",IF($G249="N","Out: HTS not on scope list",IF($H249="Y","Out: HTS on exclusion list",IF($I249="N","Out: origin not on scope list",IF($J249="Y","Out: USMCA-qualifying, exempt","In: matches scope rules"))))))))</f>
        <v/>
      </c>
      <c r="N249" s="16">
        <f>IF($A249="","",N(Items!I249))</f>
        <v/>
      </c>
      <c r="O249" s="16">
        <f>IF($A249="","",IF($L249="Y",$N249+N(act_Rate)-IF(UPPER(TRIM(act_RateType&amp;""))="REPLACE",N(act_PriorRate),0),$N249))</f>
        <v/>
      </c>
      <c r="P249" s="17">
        <f>IF($A249="","",N(Items!G249)*$N249)</f>
        <v/>
      </c>
      <c r="Q249" s="17">
        <f>IF($A249="","",N(Items!G249)*$O249)</f>
        <v/>
      </c>
      <c r="R249" s="17">
        <f>IF($A249="","",$Q249-$P249)</f>
        <v/>
      </c>
      <c r="S249" s="17">
        <f>IF($A249="","",N(Items!J249)+$R249)</f>
        <v/>
      </c>
      <c r="T249" s="16">
        <f>IF($A249="","",IF(N(Items!K249)=0,"",(N(Items!K249)-N(Items!J249))/N(Items!K249)))</f>
        <v/>
      </c>
      <c r="U249" s="16">
        <f>IF($A249="","",IF(N(Items!K249)=0,"",(N(Items!K249)-$S249)/N(Items!K249)))</f>
        <v/>
      </c>
      <c r="V249" s="16">
        <f>IF(OR($T249="",$U249=""),"",$U249-$T249)</f>
        <v/>
      </c>
      <c r="W249" s="18">
        <f>IF($A249="","",N(Items!H249))</f>
        <v/>
      </c>
      <c r="X249" s="19">
        <f>IF($A249="","",$R249*$W249)</f>
        <v/>
      </c>
      <c r="Y249" s="19">
        <f>IF($A249="","",N(Items!K249)*$W249)</f>
        <v/>
      </c>
      <c r="Z249" s="19">
        <f>IF($A249="","",(N(Items!K249)-N(Items!J249))*$W249)</f>
        <v/>
      </c>
      <c r="AA249" s="19">
        <f>IF($A249="","",$Z249-$X249)</f>
        <v/>
      </c>
      <c r="AB249" s="10">
        <f>IF($A249="","",IF(TRIM(Items!C249&amp;"")="","CHECK: import country missing",IF(OR(LEN($C249)&lt;&gt;10,ISERROR(VALUE($C249))),"CHECK: HTS must be 10 digits",IF(LEN($E249)&lt;&gt;2,"CHECK: origin code missing or not 2 letters",IF(OR(Items!G249="",Items!I249="",Items!J249=""),"CHECK: value, rate or cost missing",IF(ISNUMBER(Items!G249)*ISNUMBER(Items!I249)*ISNUMBER(Items!J249)=0,"CHECK: text in a number column",IF(AND($L249="Y",UPPER(TRIM(act_RateType&amp;""))="REPLACE",$N249&lt;N(act_PriorRate)),"CHECK: current rate is below the rate being replaced",IF(AND($L249="Y",$W249=0),"NOTE: in scope, no volume","OK"))))))))</f>
        <v/>
      </c>
      <c r="AC249" s="20">
        <f>IF($A249="","",IF(AND($L249="Y",$X249&lt;&gt;0),ABS($X249)+ROW()/1000000000,""))</f>
        <v/>
      </c>
    </row>
    <row r="250">
      <c r="A250" s="10">
        <f>IF(TRIM(Items!A250&amp;"")="","",TRIM(Items!A250&amp;""))</f>
        <v/>
      </c>
      <c r="B250" s="10">
        <f>IF($A250="","",Items!B250&amp;"")</f>
        <v/>
      </c>
      <c r="C250" s="10">
        <f>IF($A250="","",SUBSTITUTE(SUBSTITUTE(SUBSTITUTE(TRIM(Items!D250&amp;""),".","")," ",""),"-",""))</f>
        <v/>
      </c>
      <c r="D250" s="10">
        <f>IF($A250="","",LEFT($C250,2))</f>
        <v/>
      </c>
      <c r="E250" s="10">
        <f>IF($A250="","",UPPER(TRIM(Items!E250&amp;"")))</f>
        <v/>
      </c>
      <c r="F250" s="10">
        <f>IF($A250="","",IF(UPPER(TRIM(Items!C250&amp;""))=UPPER(TRIM(act_Country&amp;"")),"Y","N"))</f>
        <v/>
      </c>
      <c r="G250" s="10">
        <f>IF($A250="","",IF(SUMPRODUCT((scope_HTS&lt;&gt;"")*(LEFT($C250,LEN(scope_HTS))=scope_HTS))&gt;0,"Y","N"))</f>
        <v/>
      </c>
      <c r="H250" s="10">
        <f>IF($A250="","",IF(SUMPRODUCT((excl_HTS&lt;&gt;"")*(LEFT($C250,LEN(excl_HTS))=excl_HTS))&gt;0,"Y","N"))</f>
        <v/>
      </c>
      <c r="I250" s="10">
        <f>IF($A250="","",IF($E250="","N",IF(COUNTIF(scope_COO,$E250)&gt;0,"Y","N")))</f>
        <v/>
      </c>
      <c r="J250" s="10">
        <f>IF($A250="","",IF(AND(UPPER(TRIM(act_USMCAExempt&amp;""))="Y",UPPER(TRIM(Items!F250&amp;""))="Y"),"Y","N"))</f>
        <v/>
      </c>
      <c r="K250" s="10">
        <f>IF($A250="","",IFERROR(UPPER(TRIM(INDEX(det_Status,MATCH($A250,det_Item,0))&amp;"")),""))</f>
        <v/>
      </c>
      <c r="L250" s="10">
        <f>IF($A250="","",IF($K250="IN","Y",IF($K250="OUT","N",IF(AND($F250="Y",$G250="Y",$H250="N",$I250="Y",$J250="N"),"Y","N"))))</f>
        <v/>
      </c>
      <c r="M250" s="10">
        <f>IF($A250="","",IF($K250="IN","In: Research determination",IF($K250="OUT","Out: Research determination",IF($F250="N","Out: different import country",IF($G250="N","Out: HTS not on scope list",IF($H250="Y","Out: HTS on exclusion list",IF($I250="N","Out: origin not on scope list",IF($J250="Y","Out: USMCA-qualifying, exempt","In: matches scope rules"))))))))</f>
        <v/>
      </c>
      <c r="N250" s="16">
        <f>IF($A250="","",N(Items!I250))</f>
        <v/>
      </c>
      <c r="O250" s="16">
        <f>IF($A250="","",IF($L250="Y",$N250+N(act_Rate)-IF(UPPER(TRIM(act_RateType&amp;""))="REPLACE",N(act_PriorRate),0),$N250))</f>
        <v/>
      </c>
      <c r="P250" s="17">
        <f>IF($A250="","",N(Items!G250)*$N250)</f>
        <v/>
      </c>
      <c r="Q250" s="17">
        <f>IF($A250="","",N(Items!G250)*$O250)</f>
        <v/>
      </c>
      <c r="R250" s="17">
        <f>IF($A250="","",$Q250-$P250)</f>
        <v/>
      </c>
      <c r="S250" s="17">
        <f>IF($A250="","",N(Items!J250)+$R250)</f>
        <v/>
      </c>
      <c r="T250" s="16">
        <f>IF($A250="","",IF(N(Items!K250)=0,"",(N(Items!K250)-N(Items!J250))/N(Items!K250)))</f>
        <v/>
      </c>
      <c r="U250" s="16">
        <f>IF($A250="","",IF(N(Items!K250)=0,"",(N(Items!K250)-$S250)/N(Items!K250)))</f>
        <v/>
      </c>
      <c r="V250" s="16">
        <f>IF(OR($T250="",$U250=""),"",$U250-$T250)</f>
        <v/>
      </c>
      <c r="W250" s="18">
        <f>IF($A250="","",N(Items!H250))</f>
        <v/>
      </c>
      <c r="X250" s="19">
        <f>IF($A250="","",$R250*$W250)</f>
        <v/>
      </c>
      <c r="Y250" s="19">
        <f>IF($A250="","",N(Items!K250)*$W250)</f>
        <v/>
      </c>
      <c r="Z250" s="19">
        <f>IF($A250="","",(N(Items!K250)-N(Items!J250))*$W250)</f>
        <v/>
      </c>
      <c r="AA250" s="19">
        <f>IF($A250="","",$Z250-$X250)</f>
        <v/>
      </c>
      <c r="AB250" s="10">
        <f>IF($A250="","",IF(TRIM(Items!C250&amp;"")="","CHECK: import country missing",IF(OR(LEN($C250)&lt;&gt;10,ISERROR(VALUE($C250))),"CHECK: HTS must be 10 digits",IF(LEN($E250)&lt;&gt;2,"CHECK: origin code missing or not 2 letters",IF(OR(Items!G250="",Items!I250="",Items!J250=""),"CHECK: value, rate or cost missing",IF(ISNUMBER(Items!G250)*ISNUMBER(Items!I250)*ISNUMBER(Items!J250)=0,"CHECK: text in a number column",IF(AND($L250="Y",UPPER(TRIM(act_RateType&amp;""))="REPLACE",$N250&lt;N(act_PriorRate)),"CHECK: current rate is below the rate being replaced",IF(AND($L250="Y",$W250=0),"NOTE: in scope, no volume","OK"))))))))</f>
        <v/>
      </c>
      <c r="AC250" s="20">
        <f>IF($A250="","",IF(AND($L250="Y",$X250&lt;&gt;0),ABS($X250)+ROW()/1000000000,""))</f>
        <v/>
      </c>
    </row>
    <row r="251">
      <c r="A251" s="10">
        <f>IF(TRIM(Items!A251&amp;"")="","",TRIM(Items!A251&amp;""))</f>
        <v/>
      </c>
      <c r="B251" s="10">
        <f>IF($A251="","",Items!B251&amp;"")</f>
        <v/>
      </c>
      <c r="C251" s="10">
        <f>IF($A251="","",SUBSTITUTE(SUBSTITUTE(SUBSTITUTE(TRIM(Items!D251&amp;""),".","")," ",""),"-",""))</f>
        <v/>
      </c>
      <c r="D251" s="10">
        <f>IF($A251="","",LEFT($C251,2))</f>
        <v/>
      </c>
      <c r="E251" s="10">
        <f>IF($A251="","",UPPER(TRIM(Items!E251&amp;"")))</f>
        <v/>
      </c>
      <c r="F251" s="10">
        <f>IF($A251="","",IF(UPPER(TRIM(Items!C251&amp;""))=UPPER(TRIM(act_Country&amp;"")),"Y","N"))</f>
        <v/>
      </c>
      <c r="G251" s="10">
        <f>IF($A251="","",IF(SUMPRODUCT((scope_HTS&lt;&gt;"")*(LEFT($C251,LEN(scope_HTS))=scope_HTS))&gt;0,"Y","N"))</f>
        <v/>
      </c>
      <c r="H251" s="10">
        <f>IF($A251="","",IF(SUMPRODUCT((excl_HTS&lt;&gt;"")*(LEFT($C251,LEN(excl_HTS))=excl_HTS))&gt;0,"Y","N"))</f>
        <v/>
      </c>
      <c r="I251" s="10">
        <f>IF($A251="","",IF($E251="","N",IF(COUNTIF(scope_COO,$E251)&gt;0,"Y","N")))</f>
        <v/>
      </c>
      <c r="J251" s="10">
        <f>IF($A251="","",IF(AND(UPPER(TRIM(act_USMCAExempt&amp;""))="Y",UPPER(TRIM(Items!F251&amp;""))="Y"),"Y","N"))</f>
        <v/>
      </c>
      <c r="K251" s="10">
        <f>IF($A251="","",IFERROR(UPPER(TRIM(INDEX(det_Status,MATCH($A251,det_Item,0))&amp;"")),""))</f>
        <v/>
      </c>
      <c r="L251" s="10">
        <f>IF($A251="","",IF($K251="IN","Y",IF($K251="OUT","N",IF(AND($F251="Y",$G251="Y",$H251="N",$I251="Y",$J251="N"),"Y","N"))))</f>
        <v/>
      </c>
      <c r="M251" s="10">
        <f>IF($A251="","",IF($K251="IN","In: Research determination",IF($K251="OUT","Out: Research determination",IF($F251="N","Out: different import country",IF($G251="N","Out: HTS not on scope list",IF($H251="Y","Out: HTS on exclusion list",IF($I251="N","Out: origin not on scope list",IF($J251="Y","Out: USMCA-qualifying, exempt","In: matches scope rules"))))))))</f>
        <v/>
      </c>
      <c r="N251" s="16">
        <f>IF($A251="","",N(Items!I251))</f>
        <v/>
      </c>
      <c r="O251" s="16">
        <f>IF($A251="","",IF($L251="Y",$N251+N(act_Rate)-IF(UPPER(TRIM(act_RateType&amp;""))="REPLACE",N(act_PriorRate),0),$N251))</f>
        <v/>
      </c>
      <c r="P251" s="17">
        <f>IF($A251="","",N(Items!G251)*$N251)</f>
        <v/>
      </c>
      <c r="Q251" s="17">
        <f>IF($A251="","",N(Items!G251)*$O251)</f>
        <v/>
      </c>
      <c r="R251" s="17">
        <f>IF($A251="","",$Q251-$P251)</f>
        <v/>
      </c>
      <c r="S251" s="17">
        <f>IF($A251="","",N(Items!J251)+$R251)</f>
        <v/>
      </c>
      <c r="T251" s="16">
        <f>IF($A251="","",IF(N(Items!K251)=0,"",(N(Items!K251)-N(Items!J251))/N(Items!K251)))</f>
        <v/>
      </c>
      <c r="U251" s="16">
        <f>IF($A251="","",IF(N(Items!K251)=0,"",(N(Items!K251)-$S251)/N(Items!K251)))</f>
        <v/>
      </c>
      <c r="V251" s="16">
        <f>IF(OR($T251="",$U251=""),"",$U251-$T251)</f>
        <v/>
      </c>
      <c r="W251" s="18">
        <f>IF($A251="","",N(Items!H251))</f>
        <v/>
      </c>
      <c r="X251" s="19">
        <f>IF($A251="","",$R251*$W251)</f>
        <v/>
      </c>
      <c r="Y251" s="19">
        <f>IF($A251="","",N(Items!K251)*$W251)</f>
        <v/>
      </c>
      <c r="Z251" s="19">
        <f>IF($A251="","",(N(Items!K251)-N(Items!J251))*$W251)</f>
        <v/>
      </c>
      <c r="AA251" s="19">
        <f>IF($A251="","",$Z251-$X251)</f>
        <v/>
      </c>
      <c r="AB251" s="10">
        <f>IF($A251="","",IF(TRIM(Items!C251&amp;"")="","CHECK: import country missing",IF(OR(LEN($C251)&lt;&gt;10,ISERROR(VALUE($C251))),"CHECK: HTS must be 10 digits",IF(LEN($E251)&lt;&gt;2,"CHECK: origin code missing or not 2 letters",IF(OR(Items!G251="",Items!I251="",Items!J251=""),"CHECK: value, rate or cost missing",IF(ISNUMBER(Items!G251)*ISNUMBER(Items!I251)*ISNUMBER(Items!J251)=0,"CHECK: text in a number column",IF(AND($L251="Y",UPPER(TRIM(act_RateType&amp;""))="REPLACE",$N251&lt;N(act_PriorRate)),"CHECK: current rate is below the rate being replaced",IF(AND($L251="Y",$W251=0),"NOTE: in scope, no volume","OK"))))))))</f>
        <v/>
      </c>
      <c r="AC251" s="20">
        <f>IF($A251="","",IF(AND($L251="Y",$X251&lt;&gt;0),ABS($X251)+ROW()/1000000000,""))</f>
        <v/>
      </c>
    </row>
    <row r="252">
      <c r="A252" s="10">
        <f>IF(TRIM(Items!A252&amp;"")="","",TRIM(Items!A252&amp;""))</f>
        <v/>
      </c>
      <c r="B252" s="10">
        <f>IF($A252="","",Items!B252&amp;"")</f>
        <v/>
      </c>
      <c r="C252" s="10">
        <f>IF($A252="","",SUBSTITUTE(SUBSTITUTE(SUBSTITUTE(TRIM(Items!D252&amp;""),".","")," ",""),"-",""))</f>
        <v/>
      </c>
      <c r="D252" s="10">
        <f>IF($A252="","",LEFT($C252,2))</f>
        <v/>
      </c>
      <c r="E252" s="10">
        <f>IF($A252="","",UPPER(TRIM(Items!E252&amp;"")))</f>
        <v/>
      </c>
      <c r="F252" s="10">
        <f>IF($A252="","",IF(UPPER(TRIM(Items!C252&amp;""))=UPPER(TRIM(act_Country&amp;"")),"Y","N"))</f>
        <v/>
      </c>
      <c r="G252" s="10">
        <f>IF($A252="","",IF(SUMPRODUCT((scope_HTS&lt;&gt;"")*(LEFT($C252,LEN(scope_HTS))=scope_HTS))&gt;0,"Y","N"))</f>
        <v/>
      </c>
      <c r="H252" s="10">
        <f>IF($A252="","",IF(SUMPRODUCT((excl_HTS&lt;&gt;"")*(LEFT($C252,LEN(excl_HTS))=excl_HTS))&gt;0,"Y","N"))</f>
        <v/>
      </c>
      <c r="I252" s="10">
        <f>IF($A252="","",IF($E252="","N",IF(COUNTIF(scope_COO,$E252)&gt;0,"Y","N")))</f>
        <v/>
      </c>
      <c r="J252" s="10">
        <f>IF($A252="","",IF(AND(UPPER(TRIM(act_USMCAExempt&amp;""))="Y",UPPER(TRIM(Items!F252&amp;""))="Y"),"Y","N"))</f>
        <v/>
      </c>
      <c r="K252" s="10">
        <f>IF($A252="","",IFERROR(UPPER(TRIM(INDEX(det_Status,MATCH($A252,det_Item,0))&amp;"")),""))</f>
        <v/>
      </c>
      <c r="L252" s="10">
        <f>IF($A252="","",IF($K252="IN","Y",IF($K252="OUT","N",IF(AND($F252="Y",$G252="Y",$H252="N",$I252="Y",$J252="N"),"Y","N"))))</f>
        <v/>
      </c>
      <c r="M252" s="10">
        <f>IF($A252="","",IF($K252="IN","In: Research determination",IF($K252="OUT","Out: Research determination",IF($F252="N","Out: different import country",IF($G252="N","Out: HTS not on scope list",IF($H252="Y","Out: HTS on exclusion list",IF($I252="N","Out: origin not on scope list",IF($J252="Y","Out: USMCA-qualifying, exempt","In: matches scope rules"))))))))</f>
        <v/>
      </c>
      <c r="N252" s="16">
        <f>IF($A252="","",N(Items!I252))</f>
        <v/>
      </c>
      <c r="O252" s="16">
        <f>IF($A252="","",IF($L252="Y",$N252+N(act_Rate)-IF(UPPER(TRIM(act_RateType&amp;""))="REPLACE",N(act_PriorRate),0),$N252))</f>
        <v/>
      </c>
      <c r="P252" s="17">
        <f>IF($A252="","",N(Items!G252)*$N252)</f>
        <v/>
      </c>
      <c r="Q252" s="17">
        <f>IF($A252="","",N(Items!G252)*$O252)</f>
        <v/>
      </c>
      <c r="R252" s="17">
        <f>IF($A252="","",$Q252-$P252)</f>
        <v/>
      </c>
      <c r="S252" s="17">
        <f>IF($A252="","",N(Items!J252)+$R252)</f>
        <v/>
      </c>
      <c r="T252" s="16">
        <f>IF($A252="","",IF(N(Items!K252)=0,"",(N(Items!K252)-N(Items!J252))/N(Items!K252)))</f>
        <v/>
      </c>
      <c r="U252" s="16">
        <f>IF($A252="","",IF(N(Items!K252)=0,"",(N(Items!K252)-$S252)/N(Items!K252)))</f>
        <v/>
      </c>
      <c r="V252" s="16">
        <f>IF(OR($T252="",$U252=""),"",$U252-$T252)</f>
        <v/>
      </c>
      <c r="W252" s="18">
        <f>IF($A252="","",N(Items!H252))</f>
        <v/>
      </c>
      <c r="X252" s="19">
        <f>IF($A252="","",$R252*$W252)</f>
        <v/>
      </c>
      <c r="Y252" s="19">
        <f>IF($A252="","",N(Items!K252)*$W252)</f>
        <v/>
      </c>
      <c r="Z252" s="19">
        <f>IF($A252="","",(N(Items!K252)-N(Items!J252))*$W252)</f>
        <v/>
      </c>
      <c r="AA252" s="19">
        <f>IF($A252="","",$Z252-$X252)</f>
        <v/>
      </c>
      <c r="AB252" s="10">
        <f>IF($A252="","",IF(TRIM(Items!C252&amp;"")="","CHECK: import country missing",IF(OR(LEN($C252)&lt;&gt;10,ISERROR(VALUE($C252))),"CHECK: HTS must be 10 digits",IF(LEN($E252)&lt;&gt;2,"CHECK: origin code missing or not 2 letters",IF(OR(Items!G252="",Items!I252="",Items!J252=""),"CHECK: value, rate or cost missing",IF(ISNUMBER(Items!G252)*ISNUMBER(Items!I252)*ISNUMBER(Items!J252)=0,"CHECK: text in a number column",IF(AND($L252="Y",UPPER(TRIM(act_RateType&amp;""))="REPLACE",$N252&lt;N(act_PriorRate)),"CHECK: current rate is below the rate being replaced",IF(AND($L252="Y",$W252=0),"NOTE: in scope, no volume","OK"))))))))</f>
        <v/>
      </c>
      <c r="AC252" s="20">
        <f>IF($A252="","",IF(AND($L252="Y",$X252&lt;&gt;0),ABS($X252)+ROW()/1000000000,""))</f>
        <v/>
      </c>
    </row>
    <row r="253">
      <c r="A253" s="10">
        <f>IF(TRIM(Items!A253&amp;"")="","",TRIM(Items!A253&amp;""))</f>
        <v/>
      </c>
      <c r="B253" s="10">
        <f>IF($A253="","",Items!B253&amp;"")</f>
        <v/>
      </c>
      <c r="C253" s="10">
        <f>IF($A253="","",SUBSTITUTE(SUBSTITUTE(SUBSTITUTE(TRIM(Items!D253&amp;""),".","")," ",""),"-",""))</f>
        <v/>
      </c>
      <c r="D253" s="10">
        <f>IF($A253="","",LEFT($C253,2))</f>
        <v/>
      </c>
      <c r="E253" s="10">
        <f>IF($A253="","",UPPER(TRIM(Items!E253&amp;"")))</f>
        <v/>
      </c>
      <c r="F253" s="10">
        <f>IF($A253="","",IF(UPPER(TRIM(Items!C253&amp;""))=UPPER(TRIM(act_Country&amp;"")),"Y","N"))</f>
        <v/>
      </c>
      <c r="G253" s="10">
        <f>IF($A253="","",IF(SUMPRODUCT((scope_HTS&lt;&gt;"")*(LEFT($C253,LEN(scope_HTS))=scope_HTS))&gt;0,"Y","N"))</f>
        <v/>
      </c>
      <c r="H253" s="10">
        <f>IF($A253="","",IF(SUMPRODUCT((excl_HTS&lt;&gt;"")*(LEFT($C253,LEN(excl_HTS))=excl_HTS))&gt;0,"Y","N"))</f>
        <v/>
      </c>
      <c r="I253" s="10">
        <f>IF($A253="","",IF($E253="","N",IF(COUNTIF(scope_COO,$E253)&gt;0,"Y","N")))</f>
        <v/>
      </c>
      <c r="J253" s="10">
        <f>IF($A253="","",IF(AND(UPPER(TRIM(act_USMCAExempt&amp;""))="Y",UPPER(TRIM(Items!F253&amp;""))="Y"),"Y","N"))</f>
        <v/>
      </c>
      <c r="K253" s="10">
        <f>IF($A253="","",IFERROR(UPPER(TRIM(INDEX(det_Status,MATCH($A253,det_Item,0))&amp;"")),""))</f>
        <v/>
      </c>
      <c r="L253" s="10">
        <f>IF($A253="","",IF($K253="IN","Y",IF($K253="OUT","N",IF(AND($F253="Y",$G253="Y",$H253="N",$I253="Y",$J253="N"),"Y","N"))))</f>
        <v/>
      </c>
      <c r="M253" s="10">
        <f>IF($A253="","",IF($K253="IN","In: Research determination",IF($K253="OUT","Out: Research determination",IF($F253="N","Out: different import country",IF($G253="N","Out: HTS not on scope list",IF($H253="Y","Out: HTS on exclusion list",IF($I253="N","Out: origin not on scope list",IF($J253="Y","Out: USMCA-qualifying, exempt","In: matches scope rules"))))))))</f>
        <v/>
      </c>
      <c r="N253" s="16">
        <f>IF($A253="","",N(Items!I253))</f>
        <v/>
      </c>
      <c r="O253" s="16">
        <f>IF($A253="","",IF($L253="Y",$N253+N(act_Rate)-IF(UPPER(TRIM(act_RateType&amp;""))="REPLACE",N(act_PriorRate),0),$N253))</f>
        <v/>
      </c>
      <c r="P253" s="17">
        <f>IF($A253="","",N(Items!G253)*$N253)</f>
        <v/>
      </c>
      <c r="Q253" s="17">
        <f>IF($A253="","",N(Items!G253)*$O253)</f>
        <v/>
      </c>
      <c r="R253" s="17">
        <f>IF($A253="","",$Q253-$P253)</f>
        <v/>
      </c>
      <c r="S253" s="17">
        <f>IF($A253="","",N(Items!J253)+$R253)</f>
        <v/>
      </c>
      <c r="T253" s="16">
        <f>IF($A253="","",IF(N(Items!K253)=0,"",(N(Items!K253)-N(Items!J253))/N(Items!K253)))</f>
        <v/>
      </c>
      <c r="U253" s="16">
        <f>IF($A253="","",IF(N(Items!K253)=0,"",(N(Items!K253)-$S253)/N(Items!K253)))</f>
        <v/>
      </c>
      <c r="V253" s="16">
        <f>IF(OR($T253="",$U253=""),"",$U253-$T253)</f>
        <v/>
      </c>
      <c r="W253" s="18">
        <f>IF($A253="","",N(Items!H253))</f>
        <v/>
      </c>
      <c r="X253" s="19">
        <f>IF($A253="","",$R253*$W253)</f>
        <v/>
      </c>
      <c r="Y253" s="19">
        <f>IF($A253="","",N(Items!K253)*$W253)</f>
        <v/>
      </c>
      <c r="Z253" s="19">
        <f>IF($A253="","",(N(Items!K253)-N(Items!J253))*$W253)</f>
        <v/>
      </c>
      <c r="AA253" s="19">
        <f>IF($A253="","",$Z253-$X253)</f>
        <v/>
      </c>
      <c r="AB253" s="10">
        <f>IF($A253="","",IF(TRIM(Items!C253&amp;"")="","CHECK: import country missing",IF(OR(LEN($C253)&lt;&gt;10,ISERROR(VALUE($C253))),"CHECK: HTS must be 10 digits",IF(LEN($E253)&lt;&gt;2,"CHECK: origin code missing or not 2 letters",IF(OR(Items!G253="",Items!I253="",Items!J253=""),"CHECK: value, rate or cost missing",IF(ISNUMBER(Items!G253)*ISNUMBER(Items!I253)*ISNUMBER(Items!J253)=0,"CHECK: text in a number column",IF(AND($L253="Y",UPPER(TRIM(act_RateType&amp;""))="REPLACE",$N253&lt;N(act_PriorRate)),"CHECK: current rate is below the rate being replaced",IF(AND($L253="Y",$W253=0),"NOTE: in scope, no volume","OK"))))))))</f>
        <v/>
      </c>
      <c r="AC253" s="20">
        <f>IF($A253="","",IF(AND($L253="Y",$X253&lt;&gt;0),ABS($X253)+ROW()/1000000000,""))</f>
        <v/>
      </c>
    </row>
    <row r="254">
      <c r="A254" s="10">
        <f>IF(TRIM(Items!A254&amp;"")="","",TRIM(Items!A254&amp;""))</f>
        <v/>
      </c>
      <c r="B254" s="10">
        <f>IF($A254="","",Items!B254&amp;"")</f>
        <v/>
      </c>
      <c r="C254" s="10">
        <f>IF($A254="","",SUBSTITUTE(SUBSTITUTE(SUBSTITUTE(TRIM(Items!D254&amp;""),".","")," ",""),"-",""))</f>
        <v/>
      </c>
      <c r="D254" s="10">
        <f>IF($A254="","",LEFT($C254,2))</f>
        <v/>
      </c>
      <c r="E254" s="10">
        <f>IF($A254="","",UPPER(TRIM(Items!E254&amp;"")))</f>
        <v/>
      </c>
      <c r="F254" s="10">
        <f>IF($A254="","",IF(UPPER(TRIM(Items!C254&amp;""))=UPPER(TRIM(act_Country&amp;"")),"Y","N"))</f>
        <v/>
      </c>
      <c r="G254" s="10">
        <f>IF($A254="","",IF(SUMPRODUCT((scope_HTS&lt;&gt;"")*(LEFT($C254,LEN(scope_HTS))=scope_HTS))&gt;0,"Y","N"))</f>
        <v/>
      </c>
      <c r="H254" s="10">
        <f>IF($A254="","",IF(SUMPRODUCT((excl_HTS&lt;&gt;"")*(LEFT($C254,LEN(excl_HTS))=excl_HTS))&gt;0,"Y","N"))</f>
        <v/>
      </c>
      <c r="I254" s="10">
        <f>IF($A254="","",IF($E254="","N",IF(COUNTIF(scope_COO,$E254)&gt;0,"Y","N")))</f>
        <v/>
      </c>
      <c r="J254" s="10">
        <f>IF($A254="","",IF(AND(UPPER(TRIM(act_USMCAExempt&amp;""))="Y",UPPER(TRIM(Items!F254&amp;""))="Y"),"Y","N"))</f>
        <v/>
      </c>
      <c r="K254" s="10">
        <f>IF($A254="","",IFERROR(UPPER(TRIM(INDEX(det_Status,MATCH($A254,det_Item,0))&amp;"")),""))</f>
        <v/>
      </c>
      <c r="L254" s="10">
        <f>IF($A254="","",IF($K254="IN","Y",IF($K254="OUT","N",IF(AND($F254="Y",$G254="Y",$H254="N",$I254="Y",$J254="N"),"Y","N"))))</f>
        <v/>
      </c>
      <c r="M254" s="10">
        <f>IF($A254="","",IF($K254="IN","In: Research determination",IF($K254="OUT","Out: Research determination",IF($F254="N","Out: different import country",IF($G254="N","Out: HTS not on scope list",IF($H254="Y","Out: HTS on exclusion list",IF($I254="N","Out: origin not on scope list",IF($J254="Y","Out: USMCA-qualifying, exempt","In: matches scope rules"))))))))</f>
        <v/>
      </c>
      <c r="N254" s="16">
        <f>IF($A254="","",N(Items!I254))</f>
        <v/>
      </c>
      <c r="O254" s="16">
        <f>IF($A254="","",IF($L254="Y",$N254+N(act_Rate)-IF(UPPER(TRIM(act_RateType&amp;""))="REPLACE",N(act_PriorRate),0),$N254))</f>
        <v/>
      </c>
      <c r="P254" s="17">
        <f>IF($A254="","",N(Items!G254)*$N254)</f>
        <v/>
      </c>
      <c r="Q254" s="17">
        <f>IF($A254="","",N(Items!G254)*$O254)</f>
        <v/>
      </c>
      <c r="R254" s="17">
        <f>IF($A254="","",$Q254-$P254)</f>
        <v/>
      </c>
      <c r="S254" s="17">
        <f>IF($A254="","",N(Items!J254)+$R254)</f>
        <v/>
      </c>
      <c r="T254" s="16">
        <f>IF($A254="","",IF(N(Items!K254)=0,"",(N(Items!K254)-N(Items!J254))/N(Items!K254)))</f>
        <v/>
      </c>
      <c r="U254" s="16">
        <f>IF($A254="","",IF(N(Items!K254)=0,"",(N(Items!K254)-$S254)/N(Items!K254)))</f>
        <v/>
      </c>
      <c r="V254" s="16">
        <f>IF(OR($T254="",$U254=""),"",$U254-$T254)</f>
        <v/>
      </c>
      <c r="W254" s="18">
        <f>IF($A254="","",N(Items!H254))</f>
        <v/>
      </c>
      <c r="X254" s="19">
        <f>IF($A254="","",$R254*$W254)</f>
        <v/>
      </c>
      <c r="Y254" s="19">
        <f>IF($A254="","",N(Items!K254)*$W254)</f>
        <v/>
      </c>
      <c r="Z254" s="19">
        <f>IF($A254="","",(N(Items!K254)-N(Items!J254))*$W254)</f>
        <v/>
      </c>
      <c r="AA254" s="19">
        <f>IF($A254="","",$Z254-$X254)</f>
        <v/>
      </c>
      <c r="AB254" s="10">
        <f>IF($A254="","",IF(TRIM(Items!C254&amp;"")="","CHECK: import country missing",IF(OR(LEN($C254)&lt;&gt;10,ISERROR(VALUE($C254))),"CHECK: HTS must be 10 digits",IF(LEN($E254)&lt;&gt;2,"CHECK: origin code missing or not 2 letters",IF(OR(Items!G254="",Items!I254="",Items!J254=""),"CHECK: value, rate or cost missing",IF(ISNUMBER(Items!G254)*ISNUMBER(Items!I254)*ISNUMBER(Items!J254)=0,"CHECK: text in a number column",IF(AND($L254="Y",UPPER(TRIM(act_RateType&amp;""))="REPLACE",$N254&lt;N(act_PriorRate)),"CHECK: current rate is below the rate being replaced",IF(AND($L254="Y",$W254=0),"NOTE: in scope, no volume","OK"))))))))</f>
        <v/>
      </c>
      <c r="AC254" s="20">
        <f>IF($A254="","",IF(AND($L254="Y",$X254&lt;&gt;0),ABS($X254)+ROW()/1000000000,""))</f>
        <v/>
      </c>
    </row>
  </sheetData>
  <autoFilter ref="A4:AC254"/>
  <conditionalFormatting sqref="L5:L254">
    <cfRule type="expression" priority="1" dxfId="0">
      <formula>$L5="Y"</formula>
    </cfRule>
  </conditionalFormatting>
  <conditionalFormatting sqref="AB5:AB254">
    <cfRule type="expression" priority="2" dxfId="1">
      <formula>LEFT($AB5,5)="CHECK"</formula>
    </cfRule>
    <cfRule type="expression" priority="3" dxfId="2">
      <formula>LEFT($AB5,4)="NOTE"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7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46" customWidth="1" min="3" max="3"/>
    <col width="14" customWidth="1" min="4" max="4"/>
    <col width="13" customWidth="1" min="5" max="5"/>
    <col width="14" customWidth="1" min="6" max="6"/>
    <col width="13" customWidth="1" min="7" max="7"/>
    <col width="12" customWidth="1" min="8" max="8"/>
    <col width="13" customWidth="1" min="9" max="9"/>
  </cols>
  <sheetData>
    <row r="1">
      <c r="A1" s="1" t="inlineStr">
        <is>
          <t>Summary: what the action does to cost and margin (formulas only, except yellow chapter list)</t>
        </is>
      </c>
    </row>
    <row r="2">
      <c r="A2" s="2" t="inlineStr">
        <is>
          <t>Send nothing from here until B24 reads YES and the Review tab shows a checker sign-off for this version.</t>
        </is>
      </c>
    </row>
    <row r="4">
      <c r="A4" s="7" t="inlineStr">
        <is>
          <t>Measure</t>
        </is>
      </c>
      <c r="B4" s="7" t="inlineStr">
        <is>
          <t>Value</t>
        </is>
      </c>
      <c r="C4" s="7" t="inlineStr">
        <is>
          <t>How it is calculated</t>
        </is>
      </c>
    </row>
    <row r="5">
      <c r="A5" s="5" t="inlineStr">
        <is>
          <t>Action ID</t>
        </is>
      </c>
      <c r="B5" s="10">
        <f>act_ID&amp;""</f>
        <v/>
      </c>
      <c r="C5" s="9" t="inlineStr">
        <is>
          <t>Action tab</t>
        </is>
      </c>
    </row>
    <row r="6">
      <c r="A6" s="5" t="inlineStr">
        <is>
          <t>Action name</t>
        </is>
      </c>
      <c r="B6" s="10">
        <f>act_Name&amp;""</f>
        <v/>
      </c>
      <c r="C6" s="9" t="inlineStr">
        <is>
          <t>Action tab</t>
        </is>
      </c>
    </row>
    <row r="7">
      <c r="A7" s="5" t="inlineStr">
        <is>
          <t>Importing country</t>
        </is>
      </c>
      <c r="B7" s="10">
        <f>act_Country&amp;""</f>
        <v/>
      </c>
      <c r="C7" s="9" t="inlineStr">
        <is>
          <t>Action tab</t>
        </is>
      </c>
    </row>
    <row r="8">
      <c r="A8" s="5" t="inlineStr">
        <is>
          <t>Effective date</t>
        </is>
      </c>
      <c r="B8" s="21">
        <f>act_EffDate</f>
        <v/>
      </c>
      <c r="C8" s="9" t="inlineStr">
        <is>
          <t>Action tab</t>
        </is>
      </c>
    </row>
    <row r="9">
      <c r="A9" s="5" t="inlineStr">
        <is>
          <t>Additional duty rate</t>
        </is>
      </c>
      <c r="B9" s="16">
        <f>act_Rate</f>
        <v/>
      </c>
      <c r="C9" s="9" t="inlineStr">
        <is>
          <t>Action tab</t>
        </is>
      </c>
    </row>
    <row r="10">
      <c r="A10" s="5" t="inlineStr">
        <is>
          <t>Brief ID and version</t>
        </is>
      </c>
      <c r="B10" s="10">
        <f>act_Brief&amp;""</f>
        <v/>
      </c>
      <c r="C10" s="9" t="inlineStr">
        <is>
          <t>Action tab</t>
        </is>
      </c>
    </row>
    <row r="11">
      <c r="A11" s="5" t="inlineStr">
        <is>
          <t>Items in model</t>
        </is>
      </c>
      <c r="B11" s="18">
        <f>SUMPRODUCT(--(Calc!$A$5:$A$254&lt;&gt;""))</f>
        <v/>
      </c>
      <c r="C11" s="9" t="inlineStr">
        <is>
          <t>Rows on Items with an item number</t>
        </is>
      </c>
    </row>
    <row r="12">
      <c r="A12" s="5" t="inlineStr">
        <is>
          <t>Items in scope</t>
        </is>
      </c>
      <c r="B12" s="18">
        <f>COUNTIF(Calc!$L$5:$L$254,"Y")</f>
        <v/>
      </c>
      <c r="C12" s="9" t="inlineStr">
        <is>
          <t>Calc column L = Y</t>
        </is>
      </c>
    </row>
    <row r="13">
      <c r="A13" s="5" t="inlineStr">
        <is>
          <t>Research determinations applied</t>
        </is>
      </c>
      <c r="B13" s="10">
        <f>COUNTIF(Calc!$K$5:$K$254,"IN")&amp;" IN, "&amp;COUNTIF(Calc!$K$5:$K$254,"OUT")&amp;" OUT"</f>
        <v/>
      </c>
      <c r="C13" s="9" t="inlineStr">
        <is>
          <t>Items matched to the determinations list on Action</t>
        </is>
      </c>
    </row>
    <row r="14">
      <c r="A14" s="5" t="inlineStr">
        <is>
          <t>In-scope items with no volume</t>
        </is>
      </c>
      <c r="B14" s="18">
        <f>COUNTIFS(Calc!$L$5:$L$254,"Y",Calc!$W$5:$W$254,0)</f>
        <v/>
      </c>
      <c r="C14" s="9" t="inlineStr">
        <is>
          <t>Listed, but they add 0 to the totals. Get a volume or state why none</t>
        </is>
      </c>
    </row>
    <row r="15">
      <c r="A15" s="5" t="inlineStr">
        <is>
          <t>Rows with a CHECK flag</t>
        </is>
      </c>
      <c r="B15" s="18">
        <f>SUMPRODUCT(--(LEFT(Calc!$AB$5:$AB$254,5)="CHECK"))</f>
        <v/>
      </c>
      <c r="C15" s="9" t="inlineStr">
        <is>
          <t>Must be 0 before review</t>
        </is>
      </c>
    </row>
    <row r="16">
      <c r="A16" s="5" t="inlineStr">
        <is>
          <t>Annual impact, in-scope items</t>
        </is>
      </c>
      <c r="B16" s="19">
        <f>SUMIFS(Calc!$X$5:$X$254,Calc!$L$5:$L$254,"Y")</f>
        <v/>
      </c>
      <c r="C16" s="9" t="inlineStr">
        <is>
          <t>Sum of landed cost change x annual quantity</t>
        </is>
      </c>
    </row>
    <row r="17">
      <c r="A17" s="5" t="inlineStr">
        <is>
          <t>Annual revenue, in-scope items</t>
        </is>
      </c>
      <c r="B17" s="19">
        <f>SUMIFS(Calc!$Y$5:$Y$254,Calc!$L$5:$L$254,"Y")</f>
        <v/>
      </c>
      <c r="C17" s="9" t="inlineStr">
        <is>
          <t>Sell price x annual quantity</t>
        </is>
      </c>
    </row>
    <row r="18">
      <c r="A18" s="5" t="inlineStr">
        <is>
          <t>Margin % before, in-scope items</t>
        </is>
      </c>
      <c r="B18" s="16">
        <f>IF(B17=0,"",SUMIFS(Calc!$Z$5:$Z$254,Calc!$L$5:$L$254,"Y")/B17)</f>
        <v/>
      </c>
      <c r="C18" s="9" t="inlineStr">
        <is>
          <t>Revenue-weighted</t>
        </is>
      </c>
    </row>
    <row r="19">
      <c r="A19" s="5" t="inlineStr">
        <is>
          <t>Margin % after, in-scope items</t>
        </is>
      </c>
      <c r="B19" s="16">
        <f>IF(B17=0,"",SUMIFS(Calc!$AA$5:$AA$254,Calc!$L$5:$L$254,"Y")/B17)</f>
        <v/>
      </c>
      <c r="C19" s="9" t="inlineStr">
        <is>
          <t>Revenue-weighted</t>
        </is>
      </c>
    </row>
    <row r="20">
      <c r="A20" s="5" t="inlineStr">
        <is>
          <t>Margin change (points)</t>
        </is>
      </c>
      <c r="B20" s="16">
        <f>IF(B17=0,"",B19-B18)</f>
        <v/>
      </c>
      <c r="C20" s="9" t="inlineStr">
        <is>
          <t>After minus before</t>
        </is>
      </c>
    </row>
    <row r="21">
      <c r="A21" s="5" t="inlineStr">
        <is>
          <t>Action tab complete?</t>
        </is>
      </c>
      <c r="B21" s="10">
        <f>IF(AND(act_ID&amp;""&lt;&gt;"",act_Country&amp;""&lt;&gt;"",act_Brief&amp;""&lt;&gt;"",ISNUMBER(act_EffDate),ISNUMBER(act_Rate),act_RateType&amp;""&lt;&gt;"",act_USMCAExempt&amp;""&lt;&gt;"",SUMPRODUCT(--(scope_HTS&lt;&gt;""))&gt;0,SUMPRODUCT(--(scope_COO&lt;&gt;""))&gt;0),"YES","NO")</f>
        <v/>
      </c>
      <c r="C21" s="9" t="inlineStr">
        <is>
          <t>Required fields and at least one HTS prefix and one origin</t>
        </is>
      </c>
    </row>
    <row r="22">
      <c r="A22" s="5" t="inlineStr">
        <is>
          <t>Origin table reconciles?</t>
        </is>
      </c>
      <c r="B22" s="10">
        <f>IF(ABS(C49-B16)&lt;0.005,"YES","NO")</f>
        <v/>
      </c>
      <c r="C22" s="9" t="inlineStr">
        <is>
          <t>Origin table total equals the annual impact</t>
        </is>
      </c>
    </row>
    <row r="23">
      <c r="A23" s="5" t="inlineStr">
        <is>
          <t>Chapter table reconciles?</t>
        </is>
      </c>
      <c r="B23" s="10">
        <f>IF(ABS(C64)&lt;0.005,"YES","NO: add the missing chapter")</f>
        <v/>
      </c>
      <c r="C23" s="9" t="inlineStr">
        <is>
          <t>Nothing left in 'Other chapters'</t>
        </is>
      </c>
    </row>
    <row r="24">
      <c r="A24" s="5" t="inlineStr">
        <is>
          <t>Ready for checker review?</t>
        </is>
      </c>
      <c r="B24" s="10">
        <f>IF(AND(B21="YES",B15=0,B22="YES",B23="YES"),"YES","NO")</f>
        <v/>
      </c>
      <c r="C24" s="9" t="inlineStr">
        <is>
          <t>All four checks above pass</t>
        </is>
      </c>
    </row>
    <row r="26">
      <c r="A26" s="4" t="inlineStr">
        <is>
          <t>By country of origin (in-scope items)</t>
        </is>
      </c>
    </row>
    <row r="27">
      <c r="A27" s="7" t="inlineStr">
        <is>
          <t>Origin (from Action list)</t>
        </is>
      </c>
      <c r="B27" s="7" t="inlineStr">
        <is>
          <t>Items in scope</t>
        </is>
      </c>
      <c r="C27" s="7" t="inlineStr">
        <is>
          <t>Annual impact</t>
        </is>
      </c>
      <c r="D27" s="7" t="inlineStr">
        <is>
          <t>Share of impact</t>
        </is>
      </c>
    </row>
    <row r="28">
      <c r="A28" s="10">
        <f>IF(Action!$M$5="","",UPPER(TRIM(Action!$M$5&amp;"")))</f>
        <v/>
      </c>
      <c r="B28" s="18">
        <f>IF(A28="","",COUNTIFS(Calc!$E$5:$E$254,A28,Calc!$L$5:$L$254,"Y"))</f>
        <v/>
      </c>
      <c r="C28" s="19">
        <f>IF(A28="","",SUMIFS(Calc!$X$5:$X$254,Calc!$E$5:$E$254,A28,Calc!$L$5:$L$254,"Y"))</f>
        <v/>
      </c>
      <c r="D28" s="16">
        <f>IF(OR(A28="",$B$16=0),"",C28/$B$16)</f>
        <v/>
      </c>
    </row>
    <row r="29">
      <c r="A29" s="10">
        <f>IF(Action!$M$6="","",UPPER(TRIM(Action!$M$6&amp;"")))</f>
        <v/>
      </c>
      <c r="B29" s="18">
        <f>IF(A29="","",COUNTIFS(Calc!$E$5:$E$254,A29,Calc!$L$5:$L$254,"Y"))</f>
        <v/>
      </c>
      <c r="C29" s="19">
        <f>IF(A29="","",SUMIFS(Calc!$X$5:$X$254,Calc!$E$5:$E$254,A29,Calc!$L$5:$L$254,"Y"))</f>
        <v/>
      </c>
      <c r="D29" s="16">
        <f>IF(OR(A29="",$B$16=0),"",C29/$B$16)</f>
        <v/>
      </c>
    </row>
    <row r="30">
      <c r="A30" s="10">
        <f>IF(Action!$M$7="","",UPPER(TRIM(Action!$M$7&amp;"")))</f>
        <v/>
      </c>
      <c r="B30" s="18">
        <f>IF(A30="","",COUNTIFS(Calc!$E$5:$E$254,A30,Calc!$L$5:$L$254,"Y"))</f>
        <v/>
      </c>
      <c r="C30" s="19">
        <f>IF(A30="","",SUMIFS(Calc!$X$5:$X$254,Calc!$E$5:$E$254,A30,Calc!$L$5:$L$254,"Y"))</f>
        <v/>
      </c>
      <c r="D30" s="16">
        <f>IF(OR(A30="",$B$16=0),"",C30/$B$16)</f>
        <v/>
      </c>
    </row>
    <row r="31">
      <c r="A31" s="10">
        <f>IF(Action!$M$8="","",UPPER(TRIM(Action!$M$8&amp;"")))</f>
        <v/>
      </c>
      <c r="B31" s="18">
        <f>IF(A31="","",COUNTIFS(Calc!$E$5:$E$254,A31,Calc!$L$5:$L$254,"Y"))</f>
        <v/>
      </c>
      <c r="C31" s="19">
        <f>IF(A31="","",SUMIFS(Calc!$X$5:$X$254,Calc!$E$5:$E$254,A31,Calc!$L$5:$L$254,"Y"))</f>
        <v/>
      </c>
      <c r="D31" s="16">
        <f>IF(OR(A31="",$B$16=0),"",C31/$B$16)</f>
        <v/>
      </c>
    </row>
    <row r="32">
      <c r="A32" s="10">
        <f>IF(Action!$M$9="","",UPPER(TRIM(Action!$M$9&amp;"")))</f>
        <v/>
      </c>
      <c r="B32" s="18">
        <f>IF(A32="","",COUNTIFS(Calc!$E$5:$E$254,A32,Calc!$L$5:$L$254,"Y"))</f>
        <v/>
      </c>
      <c r="C32" s="19">
        <f>IF(A32="","",SUMIFS(Calc!$X$5:$X$254,Calc!$E$5:$E$254,A32,Calc!$L$5:$L$254,"Y"))</f>
        <v/>
      </c>
      <c r="D32" s="16">
        <f>IF(OR(A32="",$B$16=0),"",C32/$B$16)</f>
        <v/>
      </c>
    </row>
    <row r="33">
      <c r="A33" s="10">
        <f>IF(Action!$M$10="","",UPPER(TRIM(Action!$M$10&amp;"")))</f>
        <v/>
      </c>
      <c r="B33" s="18">
        <f>IF(A33="","",COUNTIFS(Calc!$E$5:$E$254,A33,Calc!$L$5:$L$254,"Y"))</f>
        <v/>
      </c>
      <c r="C33" s="19">
        <f>IF(A33="","",SUMIFS(Calc!$X$5:$X$254,Calc!$E$5:$E$254,A33,Calc!$L$5:$L$254,"Y"))</f>
        <v/>
      </c>
      <c r="D33" s="16">
        <f>IF(OR(A33="",$B$16=0),"",C33/$B$16)</f>
        <v/>
      </c>
    </row>
    <row r="34">
      <c r="A34" s="10">
        <f>IF(Action!$M$11="","",UPPER(TRIM(Action!$M$11&amp;"")))</f>
        <v/>
      </c>
      <c r="B34" s="18">
        <f>IF(A34="","",COUNTIFS(Calc!$E$5:$E$254,A34,Calc!$L$5:$L$254,"Y"))</f>
        <v/>
      </c>
      <c r="C34" s="19">
        <f>IF(A34="","",SUMIFS(Calc!$X$5:$X$254,Calc!$E$5:$E$254,A34,Calc!$L$5:$L$254,"Y"))</f>
        <v/>
      </c>
      <c r="D34" s="16">
        <f>IF(OR(A34="",$B$16=0),"",C34/$B$16)</f>
        <v/>
      </c>
    </row>
    <row r="35">
      <c r="A35" s="10">
        <f>IF(Action!$M$12="","",UPPER(TRIM(Action!$M$12&amp;"")))</f>
        <v/>
      </c>
      <c r="B35" s="18">
        <f>IF(A35="","",COUNTIFS(Calc!$E$5:$E$254,A35,Calc!$L$5:$L$254,"Y"))</f>
        <v/>
      </c>
      <c r="C35" s="19">
        <f>IF(A35="","",SUMIFS(Calc!$X$5:$X$254,Calc!$E$5:$E$254,A35,Calc!$L$5:$L$254,"Y"))</f>
        <v/>
      </c>
      <c r="D35" s="16">
        <f>IF(OR(A35="",$B$16=0),"",C35/$B$16)</f>
        <v/>
      </c>
    </row>
    <row r="36">
      <c r="A36" s="10">
        <f>IF(Action!$M$13="","",UPPER(TRIM(Action!$M$13&amp;"")))</f>
        <v/>
      </c>
      <c r="B36" s="18">
        <f>IF(A36="","",COUNTIFS(Calc!$E$5:$E$254,A36,Calc!$L$5:$L$254,"Y"))</f>
        <v/>
      </c>
      <c r="C36" s="19">
        <f>IF(A36="","",SUMIFS(Calc!$X$5:$X$254,Calc!$E$5:$E$254,A36,Calc!$L$5:$L$254,"Y"))</f>
        <v/>
      </c>
      <c r="D36" s="16">
        <f>IF(OR(A36="",$B$16=0),"",C36/$B$16)</f>
        <v/>
      </c>
    </row>
    <row r="37">
      <c r="A37" s="10">
        <f>IF(Action!$M$14="","",UPPER(TRIM(Action!$M$14&amp;"")))</f>
        <v/>
      </c>
      <c r="B37" s="18">
        <f>IF(A37="","",COUNTIFS(Calc!$E$5:$E$254,A37,Calc!$L$5:$L$254,"Y"))</f>
        <v/>
      </c>
      <c r="C37" s="19">
        <f>IF(A37="","",SUMIFS(Calc!$X$5:$X$254,Calc!$E$5:$E$254,A37,Calc!$L$5:$L$254,"Y"))</f>
        <v/>
      </c>
      <c r="D37" s="16">
        <f>IF(OR(A37="",$B$16=0),"",C37/$B$16)</f>
        <v/>
      </c>
    </row>
    <row r="38">
      <c r="A38" s="10">
        <f>IF(Action!$M$15="","",UPPER(TRIM(Action!$M$15&amp;"")))</f>
        <v/>
      </c>
      <c r="B38" s="18">
        <f>IF(A38="","",COUNTIFS(Calc!$E$5:$E$254,A38,Calc!$L$5:$L$254,"Y"))</f>
        <v/>
      </c>
      <c r="C38" s="19">
        <f>IF(A38="","",SUMIFS(Calc!$X$5:$X$254,Calc!$E$5:$E$254,A38,Calc!$L$5:$L$254,"Y"))</f>
        <v/>
      </c>
      <c r="D38" s="16">
        <f>IF(OR(A38="",$B$16=0),"",C38/$B$16)</f>
        <v/>
      </c>
    </row>
    <row r="39">
      <c r="A39" s="10">
        <f>IF(Action!$M$16="","",UPPER(TRIM(Action!$M$16&amp;"")))</f>
        <v/>
      </c>
      <c r="B39" s="18">
        <f>IF(A39="","",COUNTIFS(Calc!$E$5:$E$254,A39,Calc!$L$5:$L$254,"Y"))</f>
        <v/>
      </c>
      <c r="C39" s="19">
        <f>IF(A39="","",SUMIFS(Calc!$X$5:$X$254,Calc!$E$5:$E$254,A39,Calc!$L$5:$L$254,"Y"))</f>
        <v/>
      </c>
      <c r="D39" s="16">
        <f>IF(OR(A39="",$B$16=0),"",C39/$B$16)</f>
        <v/>
      </c>
    </row>
    <row r="40">
      <c r="A40" s="10">
        <f>IF(Action!$M$17="","",UPPER(TRIM(Action!$M$17&amp;"")))</f>
        <v/>
      </c>
      <c r="B40" s="18">
        <f>IF(A40="","",COUNTIFS(Calc!$E$5:$E$254,A40,Calc!$L$5:$L$254,"Y"))</f>
        <v/>
      </c>
      <c r="C40" s="19">
        <f>IF(A40="","",SUMIFS(Calc!$X$5:$X$254,Calc!$E$5:$E$254,A40,Calc!$L$5:$L$254,"Y"))</f>
        <v/>
      </c>
      <c r="D40" s="16">
        <f>IF(OR(A40="",$B$16=0),"",C40/$B$16)</f>
        <v/>
      </c>
    </row>
    <row r="41">
      <c r="A41" s="10">
        <f>IF(Action!$M$18="","",UPPER(TRIM(Action!$M$18&amp;"")))</f>
        <v/>
      </c>
      <c r="B41" s="18">
        <f>IF(A41="","",COUNTIFS(Calc!$E$5:$E$254,A41,Calc!$L$5:$L$254,"Y"))</f>
        <v/>
      </c>
      <c r="C41" s="19">
        <f>IF(A41="","",SUMIFS(Calc!$X$5:$X$254,Calc!$E$5:$E$254,A41,Calc!$L$5:$L$254,"Y"))</f>
        <v/>
      </c>
      <c r="D41" s="16">
        <f>IF(OR(A41="",$B$16=0),"",C41/$B$16)</f>
        <v/>
      </c>
    </row>
    <row r="42">
      <c r="A42" s="10">
        <f>IF(Action!$M$19="","",UPPER(TRIM(Action!$M$19&amp;"")))</f>
        <v/>
      </c>
      <c r="B42" s="18">
        <f>IF(A42="","",COUNTIFS(Calc!$E$5:$E$254,A42,Calc!$L$5:$L$254,"Y"))</f>
        <v/>
      </c>
      <c r="C42" s="19">
        <f>IF(A42="","",SUMIFS(Calc!$X$5:$X$254,Calc!$E$5:$E$254,A42,Calc!$L$5:$L$254,"Y"))</f>
        <v/>
      </c>
      <c r="D42" s="16">
        <f>IF(OR(A42="",$B$16=0),"",C42/$B$16)</f>
        <v/>
      </c>
    </row>
    <row r="43">
      <c r="A43" s="10">
        <f>IF(Action!$M$20="","",UPPER(TRIM(Action!$M$20&amp;"")))</f>
        <v/>
      </c>
      <c r="B43" s="18">
        <f>IF(A43="","",COUNTIFS(Calc!$E$5:$E$254,A43,Calc!$L$5:$L$254,"Y"))</f>
        <v/>
      </c>
      <c r="C43" s="19">
        <f>IF(A43="","",SUMIFS(Calc!$X$5:$X$254,Calc!$E$5:$E$254,A43,Calc!$L$5:$L$254,"Y"))</f>
        <v/>
      </c>
      <c r="D43" s="16">
        <f>IF(OR(A43="",$B$16=0),"",C43/$B$16)</f>
        <v/>
      </c>
    </row>
    <row r="44">
      <c r="A44" s="10">
        <f>IF(Action!$M$21="","",UPPER(TRIM(Action!$M$21&amp;"")))</f>
        <v/>
      </c>
      <c r="B44" s="18">
        <f>IF(A44="","",COUNTIFS(Calc!$E$5:$E$254,A44,Calc!$L$5:$L$254,"Y"))</f>
        <v/>
      </c>
      <c r="C44" s="19">
        <f>IF(A44="","",SUMIFS(Calc!$X$5:$X$254,Calc!$E$5:$E$254,A44,Calc!$L$5:$L$254,"Y"))</f>
        <v/>
      </c>
      <c r="D44" s="16">
        <f>IF(OR(A44="",$B$16=0),"",C44/$B$16)</f>
        <v/>
      </c>
    </row>
    <row r="45">
      <c r="A45" s="10">
        <f>IF(Action!$M$22="","",UPPER(TRIM(Action!$M$22&amp;"")))</f>
        <v/>
      </c>
      <c r="B45" s="18">
        <f>IF(A45="","",COUNTIFS(Calc!$E$5:$E$254,A45,Calc!$L$5:$L$254,"Y"))</f>
        <v/>
      </c>
      <c r="C45" s="19">
        <f>IF(A45="","",SUMIFS(Calc!$X$5:$X$254,Calc!$E$5:$E$254,A45,Calc!$L$5:$L$254,"Y"))</f>
        <v/>
      </c>
      <c r="D45" s="16">
        <f>IF(OR(A45="",$B$16=0),"",C45/$B$16)</f>
        <v/>
      </c>
    </row>
    <row r="46">
      <c r="A46" s="10">
        <f>IF(Action!$M$23="","",UPPER(TRIM(Action!$M$23&amp;"")))</f>
        <v/>
      </c>
      <c r="B46" s="18">
        <f>IF(A46="","",COUNTIFS(Calc!$E$5:$E$254,A46,Calc!$L$5:$L$254,"Y"))</f>
        <v/>
      </c>
      <c r="C46" s="19">
        <f>IF(A46="","",SUMIFS(Calc!$X$5:$X$254,Calc!$E$5:$E$254,A46,Calc!$L$5:$L$254,"Y"))</f>
        <v/>
      </c>
      <c r="D46" s="16">
        <f>IF(OR(A46="",$B$16=0),"",C46/$B$16)</f>
        <v/>
      </c>
    </row>
    <row r="47">
      <c r="A47" s="10">
        <f>IF(Action!$M$24="","",UPPER(TRIM(Action!$M$24&amp;"")))</f>
        <v/>
      </c>
      <c r="B47" s="18">
        <f>IF(A47="","",COUNTIFS(Calc!$E$5:$E$254,A47,Calc!$L$5:$L$254,"Y"))</f>
        <v/>
      </c>
      <c r="C47" s="19">
        <f>IF(A47="","",SUMIFS(Calc!$X$5:$X$254,Calc!$E$5:$E$254,A47,Calc!$L$5:$L$254,"Y"))</f>
        <v/>
      </c>
      <c r="D47" s="16">
        <f>IF(OR(A47="",$B$16=0),"",C47/$B$16)</f>
        <v/>
      </c>
    </row>
    <row r="48">
      <c r="A48" s="5" t="inlineStr">
        <is>
          <t>Other origins (Research IN determinations)</t>
        </is>
      </c>
      <c r="B48" s="18">
        <f>B12-SUM(B28:B47)</f>
        <v/>
      </c>
      <c r="C48" s="19">
        <f>B16-SUM(C28:C47)</f>
        <v/>
      </c>
      <c r="D48" s="16">
        <f>IF($B$16=0,"",C48/$B$16)</f>
        <v/>
      </c>
    </row>
    <row r="49">
      <c r="A49" s="5" t="inlineStr">
        <is>
          <t>Total</t>
        </is>
      </c>
      <c r="B49" s="18">
        <f>SUM(B28:B48)</f>
        <v/>
      </c>
      <c r="C49" s="19">
        <f>SUM(C28:C48)</f>
        <v/>
      </c>
      <c r="D49" s="16">
        <f>IF($B$16=0,"",C49/$B$16)</f>
        <v/>
      </c>
    </row>
    <row r="51">
      <c r="A51" s="4" t="inlineStr">
        <is>
          <t>By HTS chapter (in-scope items). Type each chapter in scope as 2 digits</t>
        </is>
      </c>
    </row>
    <row r="52">
      <c r="A52" s="7" t="inlineStr">
        <is>
          <t>HTS chapter (2 digits)</t>
        </is>
      </c>
      <c r="B52" s="7" t="inlineStr">
        <is>
          <t>Items in scope</t>
        </is>
      </c>
      <c r="C52" s="7" t="inlineStr">
        <is>
          <t>Annual impact</t>
        </is>
      </c>
      <c r="D52" s="7" t="inlineStr">
        <is>
          <t>Share of impact</t>
        </is>
      </c>
    </row>
    <row r="53">
      <c r="A53" s="8" t="inlineStr">
        <is>
          <t>73</t>
        </is>
      </c>
      <c r="B53" s="18">
        <f>IF(A53="","",COUNTIFS(Calc!$D$5:$D$254,A53&amp;"",Calc!$L$5:$L$254,"Y"))</f>
        <v/>
      </c>
      <c r="C53" s="19">
        <f>IF(A53="","",SUMIFS(Calc!$X$5:$X$254,Calc!$D$5:$D$254,A53&amp;"",Calc!$L$5:$L$254,"Y"))</f>
        <v/>
      </c>
      <c r="D53" s="16">
        <f>IF(OR(A53="",$B$16=0),"",C53/$B$16)</f>
        <v/>
      </c>
    </row>
    <row r="54">
      <c r="A54" s="8" t="n"/>
      <c r="B54" s="18">
        <f>IF(A54="","",COUNTIFS(Calc!$D$5:$D$254,A54&amp;"",Calc!$L$5:$L$254,"Y"))</f>
        <v/>
      </c>
      <c r="C54" s="19">
        <f>IF(A54="","",SUMIFS(Calc!$X$5:$X$254,Calc!$D$5:$D$254,A54&amp;"",Calc!$L$5:$L$254,"Y"))</f>
        <v/>
      </c>
      <c r="D54" s="16">
        <f>IF(OR(A54="",$B$16=0),"",C54/$B$16)</f>
        <v/>
      </c>
    </row>
    <row r="55">
      <c r="A55" s="8" t="n"/>
      <c r="B55" s="18">
        <f>IF(A55="","",COUNTIFS(Calc!$D$5:$D$254,A55&amp;"",Calc!$L$5:$L$254,"Y"))</f>
        <v/>
      </c>
      <c r="C55" s="19">
        <f>IF(A55="","",SUMIFS(Calc!$X$5:$X$254,Calc!$D$5:$D$254,A55&amp;"",Calc!$L$5:$L$254,"Y"))</f>
        <v/>
      </c>
      <c r="D55" s="16">
        <f>IF(OR(A55="",$B$16=0),"",C55/$B$16)</f>
        <v/>
      </c>
    </row>
    <row r="56">
      <c r="A56" s="8" t="n"/>
      <c r="B56" s="18">
        <f>IF(A56="","",COUNTIFS(Calc!$D$5:$D$254,A56&amp;"",Calc!$L$5:$L$254,"Y"))</f>
        <v/>
      </c>
      <c r="C56" s="19">
        <f>IF(A56="","",SUMIFS(Calc!$X$5:$X$254,Calc!$D$5:$D$254,A56&amp;"",Calc!$L$5:$L$254,"Y"))</f>
        <v/>
      </c>
      <c r="D56" s="16">
        <f>IF(OR(A56="",$B$16=0),"",C56/$B$16)</f>
        <v/>
      </c>
    </row>
    <row r="57">
      <c r="A57" s="8" t="n"/>
      <c r="B57" s="18">
        <f>IF(A57="","",COUNTIFS(Calc!$D$5:$D$254,A57&amp;"",Calc!$L$5:$L$254,"Y"))</f>
        <v/>
      </c>
      <c r="C57" s="19">
        <f>IF(A57="","",SUMIFS(Calc!$X$5:$X$254,Calc!$D$5:$D$254,A57&amp;"",Calc!$L$5:$L$254,"Y"))</f>
        <v/>
      </c>
      <c r="D57" s="16">
        <f>IF(OR(A57="",$B$16=0),"",C57/$B$16)</f>
        <v/>
      </c>
    </row>
    <row r="58">
      <c r="A58" s="8" t="n"/>
      <c r="B58" s="18">
        <f>IF(A58="","",COUNTIFS(Calc!$D$5:$D$254,A58&amp;"",Calc!$L$5:$L$254,"Y"))</f>
        <v/>
      </c>
      <c r="C58" s="19">
        <f>IF(A58="","",SUMIFS(Calc!$X$5:$X$254,Calc!$D$5:$D$254,A58&amp;"",Calc!$L$5:$L$254,"Y"))</f>
        <v/>
      </c>
      <c r="D58" s="16">
        <f>IF(OR(A58="",$B$16=0),"",C58/$B$16)</f>
        <v/>
      </c>
    </row>
    <row r="59">
      <c r="A59" s="8" t="n"/>
      <c r="B59" s="18">
        <f>IF(A59="","",COUNTIFS(Calc!$D$5:$D$254,A59&amp;"",Calc!$L$5:$L$254,"Y"))</f>
        <v/>
      </c>
      <c r="C59" s="19">
        <f>IF(A59="","",SUMIFS(Calc!$X$5:$X$254,Calc!$D$5:$D$254,A59&amp;"",Calc!$L$5:$L$254,"Y"))</f>
        <v/>
      </c>
      <c r="D59" s="16">
        <f>IF(OR(A59="",$B$16=0),"",C59/$B$16)</f>
        <v/>
      </c>
    </row>
    <row r="60">
      <c r="A60" s="8" t="n"/>
      <c r="B60" s="18">
        <f>IF(A60="","",COUNTIFS(Calc!$D$5:$D$254,A60&amp;"",Calc!$L$5:$L$254,"Y"))</f>
        <v/>
      </c>
      <c r="C60" s="19">
        <f>IF(A60="","",SUMIFS(Calc!$X$5:$X$254,Calc!$D$5:$D$254,A60&amp;"",Calc!$L$5:$L$254,"Y"))</f>
        <v/>
      </c>
      <c r="D60" s="16">
        <f>IF(OR(A60="",$B$16=0),"",C60/$B$16)</f>
        <v/>
      </c>
    </row>
    <row r="61">
      <c r="A61" s="8" t="n"/>
      <c r="B61" s="18">
        <f>IF(A61="","",COUNTIFS(Calc!$D$5:$D$254,A61&amp;"",Calc!$L$5:$L$254,"Y"))</f>
        <v/>
      </c>
      <c r="C61" s="19">
        <f>IF(A61="","",SUMIFS(Calc!$X$5:$X$254,Calc!$D$5:$D$254,A61&amp;"",Calc!$L$5:$L$254,"Y"))</f>
        <v/>
      </c>
      <c r="D61" s="16">
        <f>IF(OR(A61="",$B$16=0),"",C61/$B$16)</f>
        <v/>
      </c>
    </row>
    <row r="62">
      <c r="A62" s="8" t="n"/>
      <c r="B62" s="18">
        <f>IF(A62="","",COUNTIFS(Calc!$D$5:$D$254,A62&amp;"",Calc!$L$5:$L$254,"Y"))</f>
        <v/>
      </c>
      <c r="C62" s="19">
        <f>IF(A62="","",SUMIFS(Calc!$X$5:$X$254,Calc!$D$5:$D$254,A62&amp;"",Calc!$L$5:$L$254,"Y"))</f>
        <v/>
      </c>
      <c r="D62" s="16">
        <f>IF(OR(A62="",$B$16=0),"",C62/$B$16)</f>
        <v/>
      </c>
    </row>
    <row r="63">
      <c r="A63" s="5" t="inlineStr">
        <is>
          <t>Other chapters (must be 0)</t>
        </is>
      </c>
      <c r="B63" s="18">
        <f>B12-SUM(B53:B62)</f>
        <v/>
      </c>
      <c r="C63" s="19">
        <f>B16-SUM(C53:C62)</f>
        <v/>
      </c>
      <c r="D63" s="16">
        <f>IF($B$16=0,"",C63/$B$16)</f>
        <v/>
      </c>
    </row>
    <row r="64">
      <c r="A64" s="5" t="inlineStr">
        <is>
          <t>Check: Other chapters impact</t>
        </is>
      </c>
      <c r="C64" s="19">
        <f>C63</f>
        <v/>
      </c>
    </row>
    <row r="66">
      <c r="A66" s="4" t="inlineStr">
        <is>
          <t>Top 10 in-scope items by size of annual impact</t>
        </is>
      </c>
    </row>
    <row r="67">
      <c r="A67" s="7" t="inlineStr">
        <is>
          <t>Rank</t>
        </is>
      </c>
      <c r="B67" s="7" t="inlineStr">
        <is>
          <t>Item</t>
        </is>
      </c>
      <c r="C67" s="7" t="inlineStr">
        <is>
          <t>Description</t>
        </is>
      </c>
      <c r="D67" s="7" t="inlineStr">
        <is>
          <t>Origin</t>
        </is>
      </c>
      <c r="E67" s="7" t="inlineStr">
        <is>
          <t>HTS digits</t>
        </is>
      </c>
      <c r="F67" s="7" t="inlineStr">
        <is>
          <t>Annual impact</t>
        </is>
      </c>
      <c r="G67" s="7" t="inlineStr">
        <is>
          <t>Change per unit</t>
        </is>
      </c>
      <c r="H67" s="7" t="inlineStr">
        <is>
          <t>Margin % after</t>
        </is>
      </c>
      <c r="I67" s="7" t="inlineStr">
        <is>
          <t>Rank key (helper)</t>
        </is>
      </c>
    </row>
    <row r="68">
      <c r="A68" s="18" t="n">
        <v>1</v>
      </c>
      <c r="B68" s="10">
        <f>IF($I68="","",INDEX(Calc!$A$5:$A$254,MATCH($I68,Calc!$AC$5:$AC$254,0)))</f>
        <v/>
      </c>
      <c r="C68" s="10">
        <f>IF($I68="","",INDEX(Calc!$B$5:$B$254,MATCH($I68,Calc!$AC$5:$AC$254,0)))</f>
        <v/>
      </c>
      <c r="D68" s="10">
        <f>IF($I68="","",INDEX(Calc!$E$5:$E$254,MATCH($I68,Calc!$AC$5:$AC$254,0)))</f>
        <v/>
      </c>
      <c r="E68" s="10">
        <f>IF($I68="","",INDEX(Calc!$C$5:$C$254,MATCH($I68,Calc!$AC$5:$AC$254,0)))</f>
        <v/>
      </c>
      <c r="F68" s="19">
        <f>IF($I68="","",INDEX(Calc!$X$5:$X$254,MATCH($I68,Calc!$AC$5:$AC$254,0)))</f>
        <v/>
      </c>
      <c r="G68" s="17">
        <f>IF($I68="","",INDEX(Calc!$R$5:$R$254,MATCH($I68,Calc!$AC$5:$AC$254,0)))</f>
        <v/>
      </c>
      <c r="H68" s="16">
        <f>IF($I68="","",INDEX(Calc!$U$5:$U$254,MATCH($I68,Calc!$AC$5:$AC$254,0)))</f>
        <v/>
      </c>
      <c r="I68" s="20">
        <f>IF(COUNT(Calc!$AC$5:$AC$254)&lt;A68,"",LARGE(Calc!$AC$5:$AC$254,A68))</f>
        <v/>
      </c>
    </row>
    <row r="69">
      <c r="A69" s="18" t="n">
        <v>2</v>
      </c>
      <c r="B69" s="10">
        <f>IF($I69="","",INDEX(Calc!$A$5:$A$254,MATCH($I69,Calc!$AC$5:$AC$254,0)))</f>
        <v/>
      </c>
      <c r="C69" s="10">
        <f>IF($I69="","",INDEX(Calc!$B$5:$B$254,MATCH($I69,Calc!$AC$5:$AC$254,0)))</f>
        <v/>
      </c>
      <c r="D69" s="10">
        <f>IF($I69="","",INDEX(Calc!$E$5:$E$254,MATCH($I69,Calc!$AC$5:$AC$254,0)))</f>
        <v/>
      </c>
      <c r="E69" s="10">
        <f>IF($I69="","",INDEX(Calc!$C$5:$C$254,MATCH($I69,Calc!$AC$5:$AC$254,0)))</f>
        <v/>
      </c>
      <c r="F69" s="19">
        <f>IF($I69="","",INDEX(Calc!$X$5:$X$254,MATCH($I69,Calc!$AC$5:$AC$254,0)))</f>
        <v/>
      </c>
      <c r="G69" s="17">
        <f>IF($I69="","",INDEX(Calc!$R$5:$R$254,MATCH($I69,Calc!$AC$5:$AC$254,0)))</f>
        <v/>
      </c>
      <c r="H69" s="16">
        <f>IF($I69="","",INDEX(Calc!$U$5:$U$254,MATCH($I69,Calc!$AC$5:$AC$254,0)))</f>
        <v/>
      </c>
      <c r="I69" s="20">
        <f>IF(COUNT(Calc!$AC$5:$AC$254)&lt;A69,"",LARGE(Calc!$AC$5:$AC$254,A69))</f>
        <v/>
      </c>
    </row>
    <row r="70">
      <c r="A70" s="18" t="n">
        <v>3</v>
      </c>
      <c r="B70" s="10">
        <f>IF($I70="","",INDEX(Calc!$A$5:$A$254,MATCH($I70,Calc!$AC$5:$AC$254,0)))</f>
        <v/>
      </c>
      <c r="C70" s="10">
        <f>IF($I70="","",INDEX(Calc!$B$5:$B$254,MATCH($I70,Calc!$AC$5:$AC$254,0)))</f>
        <v/>
      </c>
      <c r="D70" s="10">
        <f>IF($I70="","",INDEX(Calc!$E$5:$E$254,MATCH($I70,Calc!$AC$5:$AC$254,0)))</f>
        <v/>
      </c>
      <c r="E70" s="10">
        <f>IF($I70="","",INDEX(Calc!$C$5:$C$254,MATCH($I70,Calc!$AC$5:$AC$254,0)))</f>
        <v/>
      </c>
      <c r="F70" s="19">
        <f>IF($I70="","",INDEX(Calc!$X$5:$X$254,MATCH($I70,Calc!$AC$5:$AC$254,0)))</f>
        <v/>
      </c>
      <c r="G70" s="17">
        <f>IF($I70="","",INDEX(Calc!$R$5:$R$254,MATCH($I70,Calc!$AC$5:$AC$254,0)))</f>
        <v/>
      </c>
      <c r="H70" s="16">
        <f>IF($I70="","",INDEX(Calc!$U$5:$U$254,MATCH($I70,Calc!$AC$5:$AC$254,0)))</f>
        <v/>
      </c>
      <c r="I70" s="20">
        <f>IF(COUNT(Calc!$AC$5:$AC$254)&lt;A70,"",LARGE(Calc!$AC$5:$AC$254,A70))</f>
        <v/>
      </c>
    </row>
    <row r="71">
      <c r="A71" s="18" t="n">
        <v>4</v>
      </c>
      <c r="B71" s="10">
        <f>IF($I71="","",INDEX(Calc!$A$5:$A$254,MATCH($I71,Calc!$AC$5:$AC$254,0)))</f>
        <v/>
      </c>
      <c r="C71" s="10">
        <f>IF($I71="","",INDEX(Calc!$B$5:$B$254,MATCH($I71,Calc!$AC$5:$AC$254,0)))</f>
        <v/>
      </c>
      <c r="D71" s="10">
        <f>IF($I71="","",INDEX(Calc!$E$5:$E$254,MATCH($I71,Calc!$AC$5:$AC$254,0)))</f>
        <v/>
      </c>
      <c r="E71" s="10">
        <f>IF($I71="","",INDEX(Calc!$C$5:$C$254,MATCH($I71,Calc!$AC$5:$AC$254,0)))</f>
        <v/>
      </c>
      <c r="F71" s="19">
        <f>IF($I71="","",INDEX(Calc!$X$5:$X$254,MATCH($I71,Calc!$AC$5:$AC$254,0)))</f>
        <v/>
      </c>
      <c r="G71" s="17">
        <f>IF($I71="","",INDEX(Calc!$R$5:$R$254,MATCH($I71,Calc!$AC$5:$AC$254,0)))</f>
        <v/>
      </c>
      <c r="H71" s="16">
        <f>IF($I71="","",INDEX(Calc!$U$5:$U$254,MATCH($I71,Calc!$AC$5:$AC$254,0)))</f>
        <v/>
      </c>
      <c r="I71" s="20">
        <f>IF(COUNT(Calc!$AC$5:$AC$254)&lt;A71,"",LARGE(Calc!$AC$5:$AC$254,A71))</f>
        <v/>
      </c>
    </row>
    <row r="72">
      <c r="A72" s="18" t="n">
        <v>5</v>
      </c>
      <c r="B72" s="10">
        <f>IF($I72="","",INDEX(Calc!$A$5:$A$254,MATCH($I72,Calc!$AC$5:$AC$254,0)))</f>
        <v/>
      </c>
      <c r="C72" s="10">
        <f>IF($I72="","",INDEX(Calc!$B$5:$B$254,MATCH($I72,Calc!$AC$5:$AC$254,0)))</f>
        <v/>
      </c>
      <c r="D72" s="10">
        <f>IF($I72="","",INDEX(Calc!$E$5:$E$254,MATCH($I72,Calc!$AC$5:$AC$254,0)))</f>
        <v/>
      </c>
      <c r="E72" s="10">
        <f>IF($I72="","",INDEX(Calc!$C$5:$C$254,MATCH($I72,Calc!$AC$5:$AC$254,0)))</f>
        <v/>
      </c>
      <c r="F72" s="19">
        <f>IF($I72="","",INDEX(Calc!$X$5:$X$254,MATCH($I72,Calc!$AC$5:$AC$254,0)))</f>
        <v/>
      </c>
      <c r="G72" s="17">
        <f>IF($I72="","",INDEX(Calc!$R$5:$R$254,MATCH($I72,Calc!$AC$5:$AC$254,0)))</f>
        <v/>
      </c>
      <c r="H72" s="16">
        <f>IF($I72="","",INDEX(Calc!$U$5:$U$254,MATCH($I72,Calc!$AC$5:$AC$254,0)))</f>
        <v/>
      </c>
      <c r="I72" s="20">
        <f>IF(COUNT(Calc!$AC$5:$AC$254)&lt;A72,"",LARGE(Calc!$AC$5:$AC$254,A72))</f>
        <v/>
      </c>
    </row>
    <row r="73">
      <c r="A73" s="18" t="n">
        <v>6</v>
      </c>
      <c r="B73" s="10">
        <f>IF($I73="","",INDEX(Calc!$A$5:$A$254,MATCH($I73,Calc!$AC$5:$AC$254,0)))</f>
        <v/>
      </c>
      <c r="C73" s="10">
        <f>IF($I73="","",INDEX(Calc!$B$5:$B$254,MATCH($I73,Calc!$AC$5:$AC$254,0)))</f>
        <v/>
      </c>
      <c r="D73" s="10">
        <f>IF($I73="","",INDEX(Calc!$E$5:$E$254,MATCH($I73,Calc!$AC$5:$AC$254,0)))</f>
        <v/>
      </c>
      <c r="E73" s="10">
        <f>IF($I73="","",INDEX(Calc!$C$5:$C$254,MATCH($I73,Calc!$AC$5:$AC$254,0)))</f>
        <v/>
      </c>
      <c r="F73" s="19">
        <f>IF($I73="","",INDEX(Calc!$X$5:$X$254,MATCH($I73,Calc!$AC$5:$AC$254,0)))</f>
        <v/>
      </c>
      <c r="G73" s="17">
        <f>IF($I73="","",INDEX(Calc!$R$5:$R$254,MATCH($I73,Calc!$AC$5:$AC$254,0)))</f>
        <v/>
      </c>
      <c r="H73" s="16">
        <f>IF($I73="","",INDEX(Calc!$U$5:$U$254,MATCH($I73,Calc!$AC$5:$AC$254,0)))</f>
        <v/>
      </c>
      <c r="I73" s="20">
        <f>IF(COUNT(Calc!$AC$5:$AC$254)&lt;A73,"",LARGE(Calc!$AC$5:$AC$254,A73))</f>
        <v/>
      </c>
    </row>
    <row r="74">
      <c r="A74" s="18" t="n">
        <v>7</v>
      </c>
      <c r="B74" s="10">
        <f>IF($I74="","",INDEX(Calc!$A$5:$A$254,MATCH($I74,Calc!$AC$5:$AC$254,0)))</f>
        <v/>
      </c>
      <c r="C74" s="10">
        <f>IF($I74="","",INDEX(Calc!$B$5:$B$254,MATCH($I74,Calc!$AC$5:$AC$254,0)))</f>
        <v/>
      </c>
      <c r="D74" s="10">
        <f>IF($I74="","",INDEX(Calc!$E$5:$E$254,MATCH($I74,Calc!$AC$5:$AC$254,0)))</f>
        <v/>
      </c>
      <c r="E74" s="10">
        <f>IF($I74="","",INDEX(Calc!$C$5:$C$254,MATCH($I74,Calc!$AC$5:$AC$254,0)))</f>
        <v/>
      </c>
      <c r="F74" s="19">
        <f>IF($I74="","",INDEX(Calc!$X$5:$X$254,MATCH($I74,Calc!$AC$5:$AC$254,0)))</f>
        <v/>
      </c>
      <c r="G74" s="17">
        <f>IF($I74="","",INDEX(Calc!$R$5:$R$254,MATCH($I74,Calc!$AC$5:$AC$254,0)))</f>
        <v/>
      </c>
      <c r="H74" s="16">
        <f>IF($I74="","",INDEX(Calc!$U$5:$U$254,MATCH($I74,Calc!$AC$5:$AC$254,0)))</f>
        <v/>
      </c>
      <c r="I74" s="20">
        <f>IF(COUNT(Calc!$AC$5:$AC$254)&lt;A74,"",LARGE(Calc!$AC$5:$AC$254,A74))</f>
        <v/>
      </c>
    </row>
    <row r="75">
      <c r="A75" s="18" t="n">
        <v>8</v>
      </c>
      <c r="B75" s="10">
        <f>IF($I75="","",INDEX(Calc!$A$5:$A$254,MATCH($I75,Calc!$AC$5:$AC$254,0)))</f>
        <v/>
      </c>
      <c r="C75" s="10">
        <f>IF($I75="","",INDEX(Calc!$B$5:$B$254,MATCH($I75,Calc!$AC$5:$AC$254,0)))</f>
        <v/>
      </c>
      <c r="D75" s="10">
        <f>IF($I75="","",INDEX(Calc!$E$5:$E$254,MATCH($I75,Calc!$AC$5:$AC$254,0)))</f>
        <v/>
      </c>
      <c r="E75" s="10">
        <f>IF($I75="","",INDEX(Calc!$C$5:$C$254,MATCH($I75,Calc!$AC$5:$AC$254,0)))</f>
        <v/>
      </c>
      <c r="F75" s="19">
        <f>IF($I75="","",INDEX(Calc!$X$5:$X$254,MATCH($I75,Calc!$AC$5:$AC$254,0)))</f>
        <v/>
      </c>
      <c r="G75" s="17">
        <f>IF($I75="","",INDEX(Calc!$R$5:$R$254,MATCH($I75,Calc!$AC$5:$AC$254,0)))</f>
        <v/>
      </c>
      <c r="H75" s="16">
        <f>IF($I75="","",INDEX(Calc!$U$5:$U$254,MATCH($I75,Calc!$AC$5:$AC$254,0)))</f>
        <v/>
      </c>
      <c r="I75" s="20">
        <f>IF(COUNT(Calc!$AC$5:$AC$254)&lt;A75,"",LARGE(Calc!$AC$5:$AC$254,A75))</f>
        <v/>
      </c>
    </row>
    <row r="76">
      <c r="A76" s="18" t="n">
        <v>9</v>
      </c>
      <c r="B76" s="10">
        <f>IF($I76="","",INDEX(Calc!$A$5:$A$254,MATCH($I76,Calc!$AC$5:$AC$254,0)))</f>
        <v/>
      </c>
      <c r="C76" s="10">
        <f>IF($I76="","",INDEX(Calc!$B$5:$B$254,MATCH($I76,Calc!$AC$5:$AC$254,0)))</f>
        <v/>
      </c>
      <c r="D76" s="10">
        <f>IF($I76="","",INDEX(Calc!$E$5:$E$254,MATCH($I76,Calc!$AC$5:$AC$254,0)))</f>
        <v/>
      </c>
      <c r="E76" s="10">
        <f>IF($I76="","",INDEX(Calc!$C$5:$C$254,MATCH($I76,Calc!$AC$5:$AC$254,0)))</f>
        <v/>
      </c>
      <c r="F76" s="19">
        <f>IF($I76="","",INDEX(Calc!$X$5:$X$254,MATCH($I76,Calc!$AC$5:$AC$254,0)))</f>
        <v/>
      </c>
      <c r="G76" s="17">
        <f>IF($I76="","",INDEX(Calc!$R$5:$R$254,MATCH($I76,Calc!$AC$5:$AC$254,0)))</f>
        <v/>
      </c>
      <c r="H76" s="16">
        <f>IF($I76="","",INDEX(Calc!$U$5:$U$254,MATCH($I76,Calc!$AC$5:$AC$254,0)))</f>
        <v/>
      </c>
      <c r="I76" s="20">
        <f>IF(COUNT(Calc!$AC$5:$AC$254)&lt;A76,"",LARGE(Calc!$AC$5:$AC$254,A76))</f>
        <v/>
      </c>
    </row>
    <row r="77">
      <c r="A77" s="18" t="n">
        <v>10</v>
      </c>
      <c r="B77" s="10">
        <f>IF($I77="","",INDEX(Calc!$A$5:$A$254,MATCH($I77,Calc!$AC$5:$AC$254,0)))</f>
        <v/>
      </c>
      <c r="C77" s="10">
        <f>IF($I77="","",INDEX(Calc!$B$5:$B$254,MATCH($I77,Calc!$AC$5:$AC$254,0)))</f>
        <v/>
      </c>
      <c r="D77" s="10">
        <f>IF($I77="","",INDEX(Calc!$E$5:$E$254,MATCH($I77,Calc!$AC$5:$AC$254,0)))</f>
        <v/>
      </c>
      <c r="E77" s="10">
        <f>IF($I77="","",INDEX(Calc!$C$5:$C$254,MATCH($I77,Calc!$AC$5:$AC$254,0)))</f>
        <v/>
      </c>
      <c r="F77" s="19">
        <f>IF($I77="","",INDEX(Calc!$X$5:$X$254,MATCH($I77,Calc!$AC$5:$AC$254,0)))</f>
        <v/>
      </c>
      <c r="G77" s="17">
        <f>IF($I77="","",INDEX(Calc!$R$5:$R$254,MATCH($I77,Calc!$AC$5:$AC$254,0)))</f>
        <v/>
      </c>
      <c r="H77" s="16">
        <f>IF($I77="","",INDEX(Calc!$U$5:$U$254,MATCH($I77,Calc!$AC$5:$AC$254,0)))</f>
        <v/>
      </c>
      <c r="I77" s="20">
        <f>IF(COUNT(Calc!$AC$5:$AC$254)&lt;A77,"",LARGE(Calc!$AC$5:$AC$254,A77))</f>
        <v/>
      </c>
    </row>
  </sheetData>
  <conditionalFormatting sqref="B21">
    <cfRule type="expression" priority="1" dxfId="0">
      <formula>B21="YES"</formula>
    </cfRule>
    <cfRule type="expression" priority="2" dxfId="1">
      <formula>LEFT(B21,2)="NO"</formula>
    </cfRule>
  </conditionalFormatting>
  <conditionalFormatting sqref="B22">
    <cfRule type="expression" priority="3" dxfId="0">
      <formula>B22="YES"</formula>
    </cfRule>
    <cfRule type="expression" priority="4" dxfId="1">
      <formula>LEFT(B22,2)="NO"</formula>
    </cfRule>
  </conditionalFormatting>
  <conditionalFormatting sqref="B23">
    <cfRule type="expression" priority="5" dxfId="0">
      <formula>B23="YES"</formula>
    </cfRule>
    <cfRule type="expression" priority="6" dxfId="1">
      <formula>LEFT(B23,2)="NO"</formula>
    </cfRule>
  </conditionalFormatting>
  <conditionalFormatting sqref="B24">
    <cfRule type="expression" priority="7" dxfId="0">
      <formula>B24="YES"</formula>
    </cfRule>
    <cfRule type="expression" priority="8" dxfId="1">
      <formula>LEFT(B24,2)="NO"</formula>
    </cfRule>
  </conditionalFormatting>
  <conditionalFormatting sqref="B15">
    <cfRule type="expression" priority="9" dxfId="1">
      <formula>B15&gt;0</formula>
    </cfRule>
  </conditionalFormatting>
  <conditionalFormatting sqref="B63:C63">
    <cfRule type="expression" priority="10" dxfId="1">
      <formula>ABS($C$63)&gt;=0.005</formula>
    </cfRule>
  </conditionalFormatting>
  <dataValidations count="1">
    <dataValidation sqref="A53:A62" showDropDown="0" showInputMessage="0" showErrorMessage="1" allowBlank="1" errorTitle="Check the value" error="Type the chapter as 2 digits, for example 73 or 08." type="textLength" operator="equal">
      <formula1>2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M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30" customWidth="1" min="3" max="3"/>
    <col width="12" customWidth="1" min="4" max="4"/>
    <col width="40" customWidth="1" min="5" max="5"/>
    <col width="34" customWidth="1" min="6" max="6"/>
    <col width="10" customWidth="1" min="7" max="7"/>
    <col width="20" customWidth="1" min="8" max="8"/>
    <col width="22" customWidth="1" min="9" max="9"/>
    <col width="11" customWidth="1" min="10" max="10"/>
    <col width="2" customWidth="1" min="11" max="11"/>
    <col width="46" customWidth="1" min="12" max="12"/>
    <col width="10" customWidth="1" min="13" max="13"/>
  </cols>
  <sheetData>
    <row r="1">
      <c r="A1" s="1" t="inlineStr">
        <is>
          <t>Review: maker-checker sign-off log</t>
        </is>
      </c>
    </row>
    <row r="2">
      <c r="A2" s="2" t="inlineStr">
        <is>
          <t>One line per review. The maker fills columns A-C; the checker fills D-H. Nothing is released without a line here.</t>
        </is>
      </c>
    </row>
    <row r="3">
      <c r="A3" s="3" t="inlineStr">
        <is>
          <t>SAMPLE lines below are FICTIONAL. Delete them before real use.</t>
        </is>
      </c>
    </row>
    <row r="4" ht="32" customHeight="1">
      <c r="A4" s="7" t="inlineStr">
        <is>
          <t>Version</t>
        </is>
      </c>
      <c r="B4" s="7" t="inlineStr">
        <is>
          <t>Date</t>
        </is>
      </c>
      <c r="C4" s="7" t="inlineStr">
        <is>
          <t>Maker (name, track, what was prepared)</t>
        </is>
      </c>
      <c r="D4" s="7" t="inlineStr">
        <is>
          <t>Checker</t>
        </is>
      </c>
      <c r="E4" s="7" t="inlineStr">
        <is>
          <t>What the checker compared</t>
        </is>
      </c>
      <c r="F4" s="7" t="inlineStr">
        <is>
          <t>Findings</t>
        </is>
      </c>
      <c r="G4" s="7" t="inlineStr">
        <is>
          <t>Findings closed? (Y/N)</t>
        </is>
      </c>
      <c r="H4" s="7" t="inlineStr">
        <is>
          <t>Decision</t>
        </is>
      </c>
      <c r="I4" s="7" t="inlineStr">
        <is>
          <t>Released to</t>
        </is>
      </c>
      <c r="J4" s="7" t="inlineStr">
        <is>
          <t>Release date</t>
        </is>
      </c>
      <c r="L4" s="7" t="inlineStr">
        <is>
          <t>Checker checklist (each review)</t>
        </is>
      </c>
      <c r="M4" s="7" t="inlineStr">
        <is>
          <t>Done (Y/N)</t>
        </is>
      </c>
    </row>
    <row r="5">
      <c r="A5" s="8" t="inlineStr">
        <is>
          <t>v1.0 (SAMPLE)</t>
        </is>
      </c>
      <c r="B5" s="12" t="n">
        <v>46436</v>
      </c>
      <c r="C5" s="11" t="inlineStr">
        <is>
          <t>Hire A, Research: Action tab</t>
        </is>
      </c>
      <c r="D5" s="11" t="inlineStr">
        <is>
          <t>Senior</t>
        </is>
      </c>
      <c r="E5" s="11" t="inlineStr">
        <is>
          <t>Action tab against brief v1.0: every HTS prefix, exclusion, origin, rate, date and determination</t>
        </is>
      </c>
      <c r="F5" s="11" t="inlineStr">
        <is>
          <t>SAMPLE: stacking note reworded to quote the brief; closed</t>
        </is>
      </c>
      <c r="G5" s="8" t="inlineStr">
        <is>
          <t>Y</t>
        </is>
      </c>
      <c r="H5" s="11" t="inlineStr">
        <is>
          <t>Approved for release</t>
        </is>
      </c>
      <c r="I5" s="11" t="inlineStr">
        <is>
          <t>Standard Cost (Hire B)</t>
        </is>
      </c>
      <c r="J5" s="12" t="n">
        <v>46436</v>
      </c>
      <c r="L5" s="6" t="inlineStr">
        <is>
          <t>Version on this tab = Action B23 = file name</t>
        </is>
      </c>
      <c r="M5" s="8" t="n"/>
    </row>
    <row r="6">
      <c r="A6" s="8" t="inlineStr">
        <is>
          <t>v1.1 (SAMPLE)</t>
        </is>
      </c>
      <c r="B6" s="12" t="n">
        <v>46437</v>
      </c>
      <c r="C6" s="11" t="inlineStr">
        <is>
          <t>Hire B, Standard Cost: Items, Summary</t>
        </is>
      </c>
      <c r="D6" s="11" t="inlineStr">
        <is>
          <t>Manager</t>
        </is>
      </c>
      <c r="E6" s="11" t="inlineStr">
        <is>
          <t>Item count and totals against the extract; 3 items recalculated by hand; Summary B24 = YES</t>
        </is>
      </c>
      <c r="F6" s="11" t="inlineStr">
        <is>
          <t>SAMPLE: none</t>
        </is>
      </c>
      <c r="G6" s="8" t="inlineStr">
        <is>
          <t>Y</t>
        </is>
      </c>
      <c r="H6" s="11" t="inlineStr">
        <is>
          <t>Approved for release</t>
        </is>
      </c>
      <c r="I6" s="11" t="inlineStr">
        <is>
          <t>[COMPANY: Pricing lead], Finance</t>
        </is>
      </c>
      <c r="J6" s="12" t="n">
        <v>46437</v>
      </c>
      <c r="L6" s="6" t="inlineStr">
        <is>
          <t>Brief version on Action matches the checked brief</t>
        </is>
      </c>
      <c r="M6" s="8" t="n"/>
    </row>
    <row r="7">
      <c r="A7" s="8" t="n"/>
      <c r="B7" s="12" t="n"/>
      <c r="C7" s="11" t="n"/>
      <c r="D7" s="11" t="n"/>
      <c r="E7" s="11" t="n"/>
      <c r="F7" s="11" t="n"/>
      <c r="G7" s="8" t="n"/>
      <c r="H7" s="11" t="n"/>
      <c r="I7" s="11" t="n"/>
      <c r="J7" s="12" t="n"/>
      <c r="L7" s="6" t="inlineStr">
        <is>
          <t>Every HTS prefix, exclusion and origin traced to the brief</t>
        </is>
      </c>
      <c r="M7" s="8" t="n"/>
    </row>
    <row r="8">
      <c r="A8" s="8" t="n"/>
      <c r="B8" s="12" t="n"/>
      <c r="C8" s="11" t="n"/>
      <c r="D8" s="11" t="n"/>
      <c r="E8" s="11" t="n"/>
      <c r="F8" s="11" t="n"/>
      <c r="G8" s="8" t="n"/>
      <c r="H8" s="11" t="n"/>
      <c r="I8" s="11" t="n"/>
      <c r="J8" s="12" t="n"/>
      <c r="L8" s="6" t="inlineStr">
        <is>
          <t>Rate, rate type, effective date and USMCA rule match the brief</t>
        </is>
      </c>
      <c r="M8" s="8" t="n"/>
    </row>
    <row r="9">
      <c r="A9" s="8" t="n"/>
      <c r="B9" s="12" t="n"/>
      <c r="C9" s="11" t="n"/>
      <c r="D9" s="11" t="n"/>
      <c r="E9" s="11" t="n"/>
      <c r="F9" s="11" t="n"/>
      <c r="G9" s="8" t="n"/>
      <c r="H9" s="11" t="n"/>
      <c r="I9" s="11" t="n"/>
      <c r="J9" s="12" t="n"/>
      <c r="L9" s="6" t="inlineStr">
        <is>
          <t>Item count on Items = extract row count</t>
        </is>
      </c>
      <c r="M9" s="8" t="n"/>
    </row>
    <row r="10">
      <c r="A10" s="8" t="n"/>
      <c r="B10" s="12" t="n"/>
      <c r="C10" s="11" t="n"/>
      <c r="D10" s="11" t="n"/>
      <c r="E10" s="11" t="n"/>
      <c r="F10" s="11" t="n"/>
      <c r="G10" s="8" t="n"/>
      <c r="H10" s="11" t="n"/>
      <c r="I10" s="11" t="n"/>
      <c r="J10" s="12" t="n"/>
      <c r="L10" s="6" t="inlineStr">
        <is>
          <t>No CHECK flags (Summary B15 = 0)</t>
        </is>
      </c>
      <c r="M10" s="8" t="n"/>
    </row>
    <row r="11">
      <c r="A11" s="8" t="n"/>
      <c r="B11" s="12" t="n"/>
      <c r="C11" s="11" t="n"/>
      <c r="D11" s="11" t="n"/>
      <c r="E11" s="11" t="n"/>
      <c r="F11" s="11" t="n"/>
      <c r="G11" s="8" t="n"/>
      <c r="H11" s="11" t="n"/>
      <c r="I11" s="11" t="n"/>
      <c r="J11" s="12" t="n"/>
      <c r="L11" s="6" t="inlineStr">
        <is>
          <t>3 items recalculated by hand to $0.01</t>
        </is>
      </c>
      <c r="M11" s="8" t="n"/>
    </row>
    <row r="12">
      <c r="A12" s="8" t="n"/>
      <c r="B12" s="12" t="n"/>
      <c r="C12" s="11" t="n"/>
      <c r="D12" s="11" t="n"/>
      <c r="E12" s="11" t="n"/>
      <c r="F12" s="11" t="n"/>
      <c r="G12" s="8" t="n"/>
      <c r="H12" s="11" t="n"/>
      <c r="I12" s="11" t="n"/>
      <c r="J12" s="12" t="n"/>
      <c r="L12" s="6" t="inlineStr">
        <is>
          <t>Top 10 items make business sense</t>
        </is>
      </c>
      <c r="M12" s="8" t="n"/>
    </row>
    <row r="13">
      <c r="A13" s="8" t="n"/>
      <c r="B13" s="12" t="n"/>
      <c r="C13" s="11" t="n"/>
      <c r="D13" s="11" t="n"/>
      <c r="E13" s="11" t="n"/>
      <c r="F13" s="11" t="n"/>
      <c r="G13" s="8" t="n"/>
      <c r="H13" s="11" t="n"/>
      <c r="I13" s="11" t="n"/>
      <c r="J13" s="12" t="n"/>
      <c r="L13" s="6" t="inlineStr">
        <is>
          <t>Origin and chapter tables reconcile</t>
        </is>
      </c>
      <c r="M13" s="8" t="n"/>
    </row>
    <row r="14">
      <c r="A14" s="8" t="n"/>
      <c r="B14" s="12" t="n"/>
      <c r="C14" s="11" t="n"/>
      <c r="D14" s="11" t="n"/>
      <c r="E14" s="11" t="n"/>
      <c r="F14" s="11" t="n"/>
      <c r="G14" s="8" t="n"/>
      <c r="H14" s="11" t="n"/>
      <c r="I14" s="11" t="n"/>
      <c r="J14" s="12" t="n"/>
      <c r="L14" s="6" t="inlineStr">
        <is>
          <t>No typed numbers over grey formula cells</t>
        </is>
      </c>
      <c r="M14" s="8" t="n"/>
    </row>
    <row r="15">
      <c r="A15" s="8" t="n"/>
      <c r="B15" s="12" t="n"/>
      <c r="C15" s="11" t="n"/>
      <c r="D15" s="11" t="n"/>
      <c r="E15" s="11" t="n"/>
      <c r="F15" s="11" t="n"/>
      <c r="G15" s="8" t="n"/>
      <c r="H15" s="11" t="n"/>
      <c r="I15" s="11" t="n"/>
      <c r="J15" s="12" t="n"/>
      <c r="L15" s="6" t="inlineStr">
        <is>
          <t>Out-of-scope reasons spot-checked (5 rows)</t>
        </is>
      </c>
      <c r="M15" s="8" t="n"/>
    </row>
    <row r="16">
      <c r="A16" s="8" t="n"/>
      <c r="B16" s="12" t="n"/>
      <c r="C16" s="11" t="n"/>
      <c r="D16" s="11" t="n"/>
      <c r="E16" s="11" t="n"/>
      <c r="F16" s="11" t="n"/>
      <c r="G16" s="8" t="n"/>
      <c r="H16" s="11" t="n"/>
      <c r="I16" s="11" t="n"/>
      <c r="J16" s="12" t="n"/>
      <c r="L16" s="6" t="inlineStr">
        <is>
          <t>Limits stated in the covering note</t>
        </is>
      </c>
      <c r="M16" s="8" t="n"/>
    </row>
    <row r="17">
      <c r="A17" s="8" t="n"/>
      <c r="B17" s="12" t="n"/>
      <c r="C17" s="11" t="n"/>
      <c r="D17" s="11" t="n"/>
      <c r="E17" s="11" t="n"/>
      <c r="F17" s="11" t="n"/>
      <c r="G17" s="8" t="n"/>
      <c r="H17" s="11" t="n"/>
      <c r="I17" s="11" t="n"/>
      <c r="J17" s="12" t="n"/>
    </row>
    <row r="18">
      <c r="A18" s="8" t="n"/>
      <c r="B18" s="12" t="n"/>
      <c r="C18" s="11" t="n"/>
      <c r="D18" s="11" t="n"/>
      <c r="E18" s="11" t="n"/>
      <c r="F18" s="11" t="n"/>
      <c r="G18" s="8" t="n"/>
      <c r="H18" s="11" t="n"/>
      <c r="I18" s="11" t="n"/>
      <c r="J18" s="12" t="n"/>
    </row>
    <row r="19">
      <c r="A19" s="8" t="n"/>
      <c r="B19" s="12" t="n"/>
      <c r="C19" s="11" t="n"/>
      <c r="D19" s="11" t="n"/>
      <c r="E19" s="11" t="n"/>
      <c r="F19" s="11" t="n"/>
      <c r="G19" s="8" t="n"/>
      <c r="H19" s="11" t="n"/>
      <c r="I19" s="11" t="n"/>
      <c r="J19" s="12" t="n"/>
    </row>
    <row r="20">
      <c r="A20" s="8" t="n"/>
      <c r="B20" s="12" t="n"/>
      <c r="C20" s="11" t="n"/>
      <c r="D20" s="11" t="n"/>
      <c r="E20" s="11" t="n"/>
      <c r="F20" s="11" t="n"/>
      <c r="G20" s="8" t="n"/>
      <c r="H20" s="11" t="n"/>
      <c r="I20" s="11" t="n"/>
      <c r="J20" s="12" t="n"/>
    </row>
    <row r="21">
      <c r="A21" s="8" t="n"/>
      <c r="B21" s="12" t="n"/>
      <c r="C21" s="11" t="n"/>
      <c r="D21" s="11" t="n"/>
      <c r="E21" s="11" t="n"/>
      <c r="F21" s="11" t="n"/>
      <c r="G21" s="8" t="n"/>
      <c r="H21" s="11" t="n"/>
      <c r="I21" s="11" t="n"/>
      <c r="J21" s="12" t="n"/>
    </row>
    <row r="22">
      <c r="A22" s="8" t="n"/>
      <c r="B22" s="12" t="n"/>
      <c r="C22" s="11" t="n"/>
      <c r="D22" s="11" t="n"/>
      <c r="E22" s="11" t="n"/>
      <c r="F22" s="11" t="n"/>
      <c r="G22" s="8" t="n"/>
      <c r="H22" s="11" t="n"/>
      <c r="I22" s="11" t="n"/>
      <c r="J22" s="12" t="n"/>
    </row>
    <row r="23">
      <c r="A23" s="8" t="n"/>
      <c r="B23" s="12" t="n"/>
      <c r="C23" s="11" t="n"/>
      <c r="D23" s="11" t="n"/>
      <c r="E23" s="11" t="n"/>
      <c r="F23" s="11" t="n"/>
      <c r="G23" s="8" t="n"/>
      <c r="H23" s="11" t="n"/>
      <c r="I23" s="11" t="n"/>
      <c r="J23" s="12" t="n"/>
    </row>
    <row r="24">
      <c r="A24" s="8" t="n"/>
      <c r="B24" s="12" t="n"/>
      <c r="C24" s="11" t="n"/>
      <c r="D24" s="11" t="n"/>
      <c r="E24" s="11" t="n"/>
      <c r="F24" s="11" t="n"/>
      <c r="G24" s="8" t="n"/>
      <c r="H24" s="11" t="n"/>
      <c r="I24" s="11" t="n"/>
      <c r="J24" s="12" t="n"/>
    </row>
    <row r="25">
      <c r="A25" s="8" t="n"/>
      <c r="B25" s="12" t="n"/>
      <c r="C25" s="11" t="n"/>
      <c r="D25" s="11" t="n"/>
      <c r="E25" s="11" t="n"/>
      <c r="F25" s="11" t="n"/>
      <c r="G25" s="8" t="n"/>
      <c r="H25" s="11" t="n"/>
      <c r="I25" s="11" t="n"/>
      <c r="J25" s="12" t="n"/>
    </row>
    <row r="26">
      <c r="A26" s="8" t="n"/>
      <c r="B26" s="12" t="n"/>
      <c r="C26" s="11" t="n"/>
      <c r="D26" s="11" t="n"/>
      <c r="E26" s="11" t="n"/>
      <c r="F26" s="11" t="n"/>
      <c r="G26" s="8" t="n"/>
      <c r="H26" s="11" t="n"/>
      <c r="I26" s="11" t="n"/>
      <c r="J26" s="12" t="n"/>
    </row>
    <row r="27">
      <c r="A27" s="8" t="n"/>
      <c r="B27" s="12" t="n"/>
      <c r="C27" s="11" t="n"/>
      <c r="D27" s="11" t="n"/>
      <c r="E27" s="11" t="n"/>
      <c r="F27" s="11" t="n"/>
      <c r="G27" s="8" t="n"/>
      <c r="H27" s="11" t="n"/>
      <c r="I27" s="11" t="n"/>
      <c r="J27" s="12" t="n"/>
    </row>
    <row r="28">
      <c r="A28" s="8" t="n"/>
      <c r="B28" s="12" t="n"/>
      <c r="C28" s="11" t="n"/>
      <c r="D28" s="11" t="n"/>
      <c r="E28" s="11" t="n"/>
      <c r="F28" s="11" t="n"/>
      <c r="G28" s="8" t="n"/>
      <c r="H28" s="11" t="n"/>
      <c r="I28" s="11" t="n"/>
      <c r="J28" s="12" t="n"/>
    </row>
    <row r="29">
      <c r="A29" s="8" t="n"/>
      <c r="B29" s="12" t="n"/>
      <c r="C29" s="11" t="n"/>
      <c r="D29" s="11" t="n"/>
      <c r="E29" s="11" t="n"/>
      <c r="F29" s="11" t="n"/>
      <c r="G29" s="8" t="n"/>
      <c r="H29" s="11" t="n"/>
      <c r="I29" s="11" t="n"/>
      <c r="J29" s="12" t="n"/>
    </row>
    <row r="30">
      <c r="A30" s="8" t="n"/>
      <c r="B30" s="12" t="n"/>
      <c r="C30" s="11" t="n"/>
      <c r="D30" s="11" t="n"/>
      <c r="E30" s="11" t="n"/>
      <c r="F30" s="11" t="n"/>
      <c r="G30" s="8" t="n"/>
      <c r="H30" s="11" t="n"/>
      <c r="I30" s="11" t="n"/>
      <c r="J30" s="12" t="n"/>
    </row>
    <row r="31">
      <c r="A31" s="8" t="n"/>
      <c r="B31" s="12" t="n"/>
      <c r="C31" s="11" t="n"/>
      <c r="D31" s="11" t="n"/>
      <c r="E31" s="11" t="n"/>
      <c r="F31" s="11" t="n"/>
      <c r="G31" s="8" t="n"/>
      <c r="H31" s="11" t="n"/>
      <c r="I31" s="11" t="n"/>
      <c r="J31" s="12" t="n"/>
    </row>
    <row r="32">
      <c r="A32" s="8" t="n"/>
      <c r="B32" s="12" t="n"/>
      <c r="C32" s="11" t="n"/>
      <c r="D32" s="11" t="n"/>
      <c r="E32" s="11" t="n"/>
      <c r="F32" s="11" t="n"/>
      <c r="G32" s="8" t="n"/>
      <c r="H32" s="11" t="n"/>
      <c r="I32" s="11" t="n"/>
      <c r="J32" s="12" t="n"/>
    </row>
    <row r="33">
      <c r="A33" s="8" t="n"/>
      <c r="B33" s="12" t="n"/>
      <c r="C33" s="11" t="n"/>
      <c r="D33" s="11" t="n"/>
      <c r="E33" s="11" t="n"/>
      <c r="F33" s="11" t="n"/>
      <c r="G33" s="8" t="n"/>
      <c r="H33" s="11" t="n"/>
      <c r="I33" s="11" t="n"/>
      <c r="J33" s="12" t="n"/>
    </row>
    <row r="34">
      <c r="A34" s="8" t="n"/>
      <c r="B34" s="12" t="n"/>
      <c r="C34" s="11" t="n"/>
      <c r="D34" s="11" t="n"/>
      <c r="E34" s="11" t="n"/>
      <c r="F34" s="11" t="n"/>
      <c r="G34" s="8" t="n"/>
      <c r="H34" s="11" t="n"/>
      <c r="I34" s="11" t="n"/>
      <c r="J34" s="12" t="n"/>
    </row>
    <row r="35">
      <c r="A35" s="8" t="n"/>
      <c r="B35" s="12" t="n"/>
      <c r="C35" s="11" t="n"/>
      <c r="D35" s="11" t="n"/>
      <c r="E35" s="11" t="n"/>
      <c r="F35" s="11" t="n"/>
      <c r="G35" s="8" t="n"/>
      <c r="H35" s="11" t="n"/>
      <c r="I35" s="11" t="n"/>
      <c r="J35" s="12" t="n"/>
    </row>
    <row r="36">
      <c r="A36" s="8" t="n"/>
      <c r="B36" s="12" t="n"/>
      <c r="C36" s="11" t="n"/>
      <c r="D36" s="11" t="n"/>
      <c r="E36" s="11" t="n"/>
      <c r="F36" s="11" t="n"/>
      <c r="G36" s="8" t="n"/>
      <c r="H36" s="11" t="n"/>
      <c r="I36" s="11" t="n"/>
      <c r="J36" s="12" t="n"/>
    </row>
    <row r="37">
      <c r="A37" s="8" t="n"/>
      <c r="B37" s="12" t="n"/>
      <c r="C37" s="11" t="n"/>
      <c r="D37" s="11" t="n"/>
      <c r="E37" s="11" t="n"/>
      <c r="F37" s="11" t="n"/>
      <c r="G37" s="8" t="n"/>
      <c r="H37" s="11" t="n"/>
      <c r="I37" s="11" t="n"/>
      <c r="J37" s="12" t="n"/>
    </row>
    <row r="38">
      <c r="A38" s="8" t="n"/>
      <c r="B38" s="12" t="n"/>
      <c r="C38" s="11" t="n"/>
      <c r="D38" s="11" t="n"/>
      <c r="E38" s="11" t="n"/>
      <c r="F38" s="11" t="n"/>
      <c r="G38" s="8" t="n"/>
      <c r="H38" s="11" t="n"/>
      <c r="I38" s="11" t="n"/>
      <c r="J38" s="12" t="n"/>
    </row>
    <row r="39">
      <c r="A39" s="8" t="n"/>
      <c r="B39" s="12" t="n"/>
      <c r="C39" s="11" t="n"/>
      <c r="D39" s="11" t="n"/>
      <c r="E39" s="11" t="n"/>
      <c r="F39" s="11" t="n"/>
      <c r="G39" s="8" t="n"/>
      <c r="H39" s="11" t="n"/>
      <c r="I39" s="11" t="n"/>
      <c r="J39" s="12" t="n"/>
    </row>
    <row r="40">
      <c r="A40" s="8" t="n"/>
      <c r="B40" s="12" t="n"/>
      <c r="C40" s="11" t="n"/>
      <c r="D40" s="11" t="n"/>
      <c r="E40" s="11" t="n"/>
      <c r="F40" s="11" t="n"/>
      <c r="G40" s="8" t="n"/>
      <c r="H40" s="11" t="n"/>
      <c r="I40" s="11" t="n"/>
      <c r="J40" s="12" t="n"/>
    </row>
    <row r="41">
      <c r="A41" s="8" t="n"/>
      <c r="B41" s="12" t="n"/>
      <c r="C41" s="11" t="n"/>
      <c r="D41" s="11" t="n"/>
      <c r="E41" s="11" t="n"/>
      <c r="F41" s="11" t="n"/>
      <c r="G41" s="8" t="n"/>
      <c r="H41" s="11" t="n"/>
      <c r="I41" s="11" t="n"/>
      <c r="J41" s="12" t="n"/>
    </row>
    <row r="42">
      <c r="A42" s="8" t="n"/>
      <c r="B42" s="12" t="n"/>
      <c r="C42" s="11" t="n"/>
      <c r="D42" s="11" t="n"/>
      <c r="E42" s="11" t="n"/>
      <c r="F42" s="11" t="n"/>
      <c r="G42" s="8" t="n"/>
      <c r="H42" s="11" t="n"/>
      <c r="I42" s="11" t="n"/>
      <c r="J42" s="12" t="n"/>
    </row>
    <row r="43">
      <c r="A43" s="8" t="n"/>
      <c r="B43" s="12" t="n"/>
      <c r="C43" s="11" t="n"/>
      <c r="D43" s="11" t="n"/>
      <c r="E43" s="11" t="n"/>
      <c r="F43" s="11" t="n"/>
      <c r="G43" s="8" t="n"/>
      <c r="H43" s="11" t="n"/>
      <c r="I43" s="11" t="n"/>
      <c r="J43" s="12" t="n"/>
    </row>
    <row r="44">
      <c r="A44" s="8" t="n"/>
      <c r="B44" s="12" t="n"/>
      <c r="C44" s="11" t="n"/>
      <c r="D44" s="11" t="n"/>
      <c r="E44" s="11" t="n"/>
      <c r="F44" s="11" t="n"/>
      <c r="G44" s="8" t="n"/>
      <c r="H44" s="11" t="n"/>
      <c r="I44" s="11" t="n"/>
      <c r="J44" s="12" t="n"/>
    </row>
  </sheetData>
  <dataValidations count="5">
    <dataValidation sqref="G5:G44" showDropDown="0" showInputMessage="0" showErrorMessage="1" allowBlank="1" errorTitle="Not allowed" error="Pick a value from the list." type="list">
      <formula1>"Y,N"</formula1>
    </dataValidation>
    <dataValidation sqref="H5:H44" showDropDown="0" showInputMessage="0" showErrorMessage="1" allowBlank="1" errorTitle="Not allowed" error="Pick a value from the list." type="list">
      <formula1>"Approved for release,Approved with changes,Returned to maker"</formula1>
    </dataValidation>
    <dataValidation sqref="B5:B44" showDropDown="0" showInputMessage="0" showErrorMessage="1" allowBlank="1" errorTitle="Check the value" error="Enter a date (yyyy-mm-dd)." type="date" operator="between">
      <formula1>36526</formula1>
      <formula2>73051</formula2>
    </dataValidation>
    <dataValidation sqref="J5:J44" showDropDown="0" showInputMessage="0" showErrorMessage="1" allowBlank="1" errorTitle="Check the value" error="Enter a date (yyyy-mm-dd)." type="date" operator="between">
      <formula1>36526</formula1>
      <formula2>73051</formula2>
    </dataValidation>
    <dataValidation sqref="M5:M16" showDropDown="0" showInputMessage="0" showErrorMessage="1" allowBlank="1" errorTitle="Not allowed" error="Pick a value from the list.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BSA Manager</dc:creator>
  <dc:title xmlns:dc="http://purl.org/dc/elements/1.1/">Tariff-Impact Model (template)</dc:title>
  <dcterms:created xmlns:dcterms="http://purl.org/dc/terms/" xmlns:xsi="http://www.w3.org/2001/XMLSchema-instance" xsi:type="dcterms:W3CDTF">2026-10-08T00:00:00Z</dcterms:created>
  <dcterms:modified xmlns:dcterms="http://purl.org/dc/terms/" xmlns:xsi="http://www.w3.org/2001/XMLSchema-instance" xsi:type="dcterms:W3CDTF">2026-10-08T00:00:00Z</dcterms:modified>
  <cp:lastModifiedBy>build/make_tariff_model.py</cp:lastModifiedBy>
</cp:coreProperties>
</file>