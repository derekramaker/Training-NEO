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ction" sheetId="2" state="visible" r:id="rId2"/>
    <sheet xmlns:r="http://schemas.openxmlformats.org/officeDocument/2006/relationships" name="Items" sheetId="3" state="visible" r:id="rId3"/>
    <sheet xmlns:r="http://schemas.openxmlformats.org/officeDocument/2006/relationships" name="Calc" sheetId="4" state="visible" r:id="rId4"/>
    <sheet xmlns:r="http://schemas.openxmlformats.org/officeDocument/2006/relationships" name="Summary" sheetId="5" state="visible" r:id="rId5"/>
    <sheet xmlns:r="http://schemas.openxmlformats.org/officeDocument/2006/relationships" name="Review" sheetId="6" state="visible" r:id="rId6"/>
  </sheets>
  <definedNames>
    <definedName name="act_ID">Action!$B$5</definedName>
    <definedName name="act_Name">Action!$B$6</definedName>
    <definedName name="act_Country">Action!$B$7</definedName>
    <definedName name="act_Authority">Action!$B$8</definedName>
    <definedName name="act_Brief">Action!$B$9</definedName>
    <definedName name="act_Source">Action!$B$10</definedName>
    <definedName name="act_EffDate">Action!$B$11</definedName>
    <definedName name="act_Basis">Action!$B$12</definedName>
    <definedName name="act_InTransit">Action!$B$13</definedName>
    <definedName name="act_EndDate">Action!$B$14</definedName>
    <definedName name="act_Rate">Action!$B$15</definedName>
    <definedName name="act_RateType">Action!$B$16</definedName>
    <definedName name="act_PriorRate">Action!$B$17</definedName>
    <definedName name="act_USMCAExempt">Action!$B$18</definedName>
    <definedName name="act_Stacking">Action!$B$19</definedName>
    <definedName name="act_DefaultBase">Action!$B$20</definedName>
    <definedName name="act_Maker">Action!$B$21</definedName>
    <definedName name="act_Checker">Action!$B$22</definedName>
    <definedName name="act_Checked">Action!$B$23</definedName>
    <definedName name="act_ModelVersion">Action!$B$24</definedName>
    <definedName name="scope_HTS">Action!$F$5:$F$304</definedName>
    <definedName name="scope_Group">Action!$H$5:$H$304</definedName>
    <definedName name="excl_HTS">Action!$J$5:$J$304</definedName>
    <definedName name="scope_COO">Action!$M$5:$M$54</definedName>
    <definedName name="det_Status">Action!$R$5:$R$104</definedName>
    <definedName name="det_Displaced">Action!$S$5:$S$104</definedName>
    <definedName name="det_Key">Action!$V$5:$V$104</definedName>
    <definedName name="det_Check">Action!$W$5:$W$104</definedName>
    <definedName name="rate_ID">Action!$Y$5:$Y$34</definedName>
    <definedName name="rate_Group">Action!$Z$5:$Z$34</definedName>
    <definedName name="rate_COO">Action!$AA$5:$AA$34</definedName>
    <definedName name="rate_USMCA">Action!$AB$5:$AB$34</definedName>
    <definedName name="rate_Rate">Action!$AC$5:$AC$34</definedName>
    <definedName name="rate_Prior">Action!$AD$5:$AD$34</definedName>
    <definedName name="rate_Base">Action!$AE$5:$AE$34</definedName>
    <definedName name="rate_Displaced">Action!$AF$5:$AF$34</definedName>
    <definedName name="rate_Check">Action!$AI$5:$AI$34</definedName>
    <definedName name="qty_Period">Items!$K$1</definedName>
    <definedName name="mdl_Currency">Items!$K$2</definedName>
    <definedName name="_xlnm._FilterDatabase" localSheetId="2" hidden="1">'Items'!$A$4:$N$254</definedName>
    <definedName name="_xlnm._FilterDatabase" localSheetId="3" hidden="1">'Calc'!$A$4:$AQ$254</definedName>
  </definedNames>
  <calcPr calcId="124519" fullCalcOnLoad="1"/>
</workbook>
</file>

<file path=xl/styles.xml><?xml version="1.0" encoding="utf-8"?>
<styleSheet xmlns="http://schemas.openxmlformats.org/spreadsheetml/2006/main">
  <numFmts count="4">
    <numFmt numFmtId="164" formatCode="0.0%"/>
    <numFmt numFmtId="165" formatCode="yyyy-mm-dd"/>
    <numFmt numFmtId="166" formatCode="#,##0.0000"/>
    <numFmt numFmtId="167" formatCode="0.000000000"/>
  </numFmts>
  <fonts count="10">
    <font>
      <name val="Calibri"/>
      <family val="2"/>
      <color theme="1"/>
      <sz val="11"/>
      <scheme val="minor"/>
    </font>
    <font>
      <name val="Calibri"/>
      <b val="1"/>
      <color rgb="001F3864"/>
      <sz val="16"/>
    </font>
    <font>
      <name val="Calibri"/>
      <i val="1"/>
      <color rgb="00595959"/>
    </font>
    <font>
      <name val="Calibri"/>
      <b val="1"/>
      <color rgb="00C00000"/>
    </font>
    <font>
      <name val="Calibri"/>
      <b val="1"/>
      <color rgb="001F3864"/>
      <sz val="12"/>
    </font>
    <font>
      <name val="Calibri"/>
      <b val="1"/>
      <color rgb="00FFFFFF"/>
    </font>
    <font>
      <name val="Calibri"/>
      <b val="1"/>
      <sz val="10"/>
    </font>
    <font>
      <name val="Calibri"/>
      <sz val="10"/>
    </font>
    <font>
      <name val="Calibri"/>
      <i val="1"/>
      <color rgb="00595959"/>
      <sz val="9"/>
    </font>
    <font>
      <name val="Calibri"/>
      <color rgb="00808080"/>
      <sz val="8"/>
    </font>
  </fonts>
  <fills count="5">
    <fill>
      <patternFill/>
    </fill>
    <fill>
      <patternFill patternType="gray125"/>
    </fill>
    <fill>
      <patternFill patternType="solid">
        <fgColor rgb="001F3864"/>
      </patternFill>
    </fill>
    <fill>
      <patternFill patternType="solid">
        <fgColor rgb="00FFF2CC"/>
      </patternFill>
    </fill>
    <fill>
      <patternFill patternType="solid">
        <fgColor rgb="00F2F2F2"/>
      </patternFill>
    </fill>
  </fills>
  <borders count="3">
    <border>
      <left/>
      <right/>
      <top/>
      <bottom/>
      <diagonal/>
    </border>
    <border/>
    <border>
      <left style="thin">
        <color rgb="00BFBFBF"/>
      </left>
      <right style="thin">
        <color rgb="00BFBFBF"/>
      </right>
      <top style="thin">
        <color rgb="00BFBFBF"/>
      </top>
      <bottom style="thin">
        <color rgb="00BFBFBF"/>
      </bottom>
    </border>
  </borders>
  <cellStyleXfs count="22">
    <xf numFmtId="0" fontId="0" fillId="0" borderId="0"/>
    <xf numFmtId="0" fontId="1" fillId="0" borderId="1" applyAlignment="1">
      <alignment vertical="top"/>
    </xf>
    <xf numFmtId="0" fontId="2" fillId="0" borderId="1" applyAlignment="1">
      <alignment vertical="top"/>
    </xf>
    <xf numFmtId="0" fontId="3" fillId="0" borderId="1" applyAlignment="1">
      <alignment vertical="top"/>
    </xf>
    <xf numFmtId="0" fontId="4" fillId="0" borderId="1" applyAlignment="1">
      <alignment vertical="top"/>
    </xf>
    <xf numFmtId="0" fontId="5" fillId="2" borderId="2" applyAlignment="1">
      <alignment vertical="top" wrapText="1"/>
    </xf>
    <xf numFmtId="0" fontId="6" fillId="0" borderId="2" applyAlignment="1">
      <alignment vertical="top" wrapText="1"/>
    </xf>
    <xf numFmtId="0" fontId="7" fillId="0" borderId="1" applyAlignment="1">
      <alignment vertical="top" wrapText="1"/>
    </xf>
    <xf numFmtId="0" fontId="8" fillId="0" borderId="2" applyAlignment="1">
      <alignment vertical="top" wrapText="1"/>
    </xf>
    <xf numFmtId="0" fontId="7" fillId="3" borderId="2" applyAlignment="1" applyProtection="1">
      <alignment vertical="top" wrapText="1"/>
      <protection locked="0" hidden="0"/>
    </xf>
    <xf numFmtId="49" fontId="7" fillId="3" borderId="2" applyAlignment="1" applyProtection="1">
      <alignment vertical="top" wrapText="1"/>
      <protection locked="0" hidden="0"/>
    </xf>
    <xf numFmtId="164" fontId="7" fillId="3" borderId="2" applyAlignment="1" applyProtection="1">
      <alignment vertical="top"/>
      <protection locked="0" hidden="0"/>
    </xf>
    <xf numFmtId="4" fontId="7" fillId="3" borderId="2" applyAlignment="1" applyProtection="1">
      <alignment vertical="top"/>
      <protection locked="0" hidden="0"/>
    </xf>
    <xf numFmtId="3" fontId="7" fillId="3" borderId="2" applyAlignment="1" applyProtection="1">
      <alignment vertical="top"/>
      <protection locked="0" hidden="0"/>
    </xf>
    <xf numFmtId="165" fontId="7" fillId="3" borderId="2" applyAlignment="1" applyProtection="1">
      <alignment vertical="top"/>
      <protection locked="0" hidden="0"/>
    </xf>
    <xf numFmtId="0" fontId="7" fillId="4" borderId="2" applyAlignment="1">
      <alignment vertical="top"/>
    </xf>
    <xf numFmtId="164" fontId="7" fillId="4" borderId="2" applyAlignment="1">
      <alignment vertical="top"/>
    </xf>
    <xf numFmtId="4" fontId="7" fillId="4" borderId="2" applyAlignment="1">
      <alignment vertical="top"/>
    </xf>
    <xf numFmtId="166" fontId="7" fillId="4" borderId="2" applyAlignment="1">
      <alignment vertical="top"/>
    </xf>
    <xf numFmtId="3" fontId="7" fillId="4" borderId="2" applyAlignment="1">
      <alignment vertical="top"/>
    </xf>
    <xf numFmtId="165" fontId="7" fillId="4" borderId="2" applyAlignment="1">
      <alignment vertical="top"/>
    </xf>
    <xf numFmtId="167" fontId="9" fillId="4" borderId="2" applyAlignment="1">
      <alignment vertical="top"/>
    </xf>
  </cellStyleXfs>
  <cellXfs count="22">
    <xf numFmtId="0" fontId="0" fillId="0" borderId="0" pivotButton="0" quotePrefix="0" xfId="0"/>
    <xf numFmtId="0" fontId="1" fillId="0" borderId="1" applyAlignment="1" pivotButton="0" quotePrefix="0" xfId="1">
      <alignment vertical="top"/>
    </xf>
    <xf numFmtId="0" fontId="2" fillId="0" borderId="1" applyAlignment="1" pivotButton="0" quotePrefix="0" xfId="2">
      <alignment vertical="top"/>
    </xf>
    <xf numFmtId="0" fontId="3" fillId="0" borderId="1" applyAlignment="1" pivotButton="0" quotePrefix="0" xfId="3">
      <alignment vertical="top"/>
    </xf>
    <xf numFmtId="0" fontId="4" fillId="0" borderId="1" applyAlignment="1" pivotButton="0" quotePrefix="0" xfId="4">
      <alignment vertical="top"/>
    </xf>
    <xf numFmtId="0" fontId="6" fillId="0" borderId="2" applyAlignment="1" pivotButton="0" quotePrefix="0" xfId="6">
      <alignment vertical="top" wrapText="1"/>
    </xf>
    <xf numFmtId="0" fontId="7" fillId="0" borderId="1" applyAlignment="1" pivotButton="0" quotePrefix="0" xfId="7">
      <alignment vertical="top" wrapText="1"/>
    </xf>
    <xf numFmtId="0" fontId="5" fillId="2" borderId="2" applyAlignment="1" pivotButton="0" quotePrefix="0" xfId="5">
      <alignment vertical="top" wrapText="1"/>
    </xf>
    <xf numFmtId="49" fontId="7" fillId="3" borderId="2" applyAlignment="1" applyProtection="1" pivotButton="0" quotePrefix="0" xfId="10">
      <alignment vertical="top" wrapText="1"/>
      <protection locked="0" hidden="0"/>
    </xf>
    <xf numFmtId="0" fontId="8" fillId="0" borderId="2" applyAlignment="1" pivotButton="0" quotePrefix="0" xfId="8">
      <alignment vertical="top" wrapText="1"/>
    </xf>
    <xf numFmtId="0" fontId="7" fillId="4" borderId="2" applyAlignment="1" pivotButton="0" quotePrefix="0" xfId="15">
      <alignment vertical="top"/>
    </xf>
    <xf numFmtId="0" fontId="7" fillId="3" borderId="2" applyAlignment="1" applyProtection="1" pivotButton="0" quotePrefix="0" xfId="9">
      <alignment vertical="top" wrapText="1"/>
      <protection locked="0" hidden="0"/>
    </xf>
    <xf numFmtId="164" fontId="7" fillId="3" borderId="2" applyAlignment="1" applyProtection="1" pivotButton="0" quotePrefix="0" xfId="11">
      <alignment vertical="top"/>
      <protection locked="0" hidden="0"/>
    </xf>
    <xf numFmtId="3" fontId="7" fillId="4" borderId="2" applyAlignment="1" pivotButton="0" quotePrefix="0" xfId="19">
      <alignment vertical="top"/>
    </xf>
    <xf numFmtId="165" fontId="7" fillId="3" borderId="2" applyAlignment="1" applyProtection="1" pivotButton="0" quotePrefix="0" xfId="14">
      <alignment vertical="top"/>
      <protection locked="0" hidden="0"/>
    </xf>
    <xf numFmtId="4" fontId="7" fillId="3" borderId="2" applyAlignment="1" applyProtection="1" pivotButton="0" quotePrefix="0" xfId="12">
      <alignment vertical="top"/>
      <protection locked="0" hidden="0"/>
    </xf>
    <xf numFmtId="3" fontId="7" fillId="3" borderId="2" applyAlignment="1" applyProtection="1" pivotButton="0" quotePrefix="0" xfId="13">
      <alignment vertical="top"/>
      <protection locked="0" hidden="0"/>
    </xf>
    <xf numFmtId="164" fontId="7" fillId="4" borderId="2" applyAlignment="1" pivotButton="0" quotePrefix="0" xfId="16">
      <alignment vertical="top"/>
    </xf>
    <xf numFmtId="166" fontId="7" fillId="4" borderId="2" applyAlignment="1" pivotButton="0" quotePrefix="0" xfId="18">
      <alignment vertical="top"/>
    </xf>
    <xf numFmtId="4" fontId="7" fillId="4" borderId="2" applyAlignment="1" pivotButton="0" quotePrefix="0" xfId="17">
      <alignment vertical="top"/>
    </xf>
    <xf numFmtId="167" fontId="9" fillId="4" borderId="2" applyAlignment="1" pivotButton="0" quotePrefix="0" xfId="21">
      <alignment vertical="top"/>
    </xf>
    <xf numFmtId="165" fontId="7" fillId="4" borderId="2" applyAlignment="1" pivotButton="0" quotePrefix="0" xfId="20">
      <alignment vertical="top"/>
    </xf>
  </cellXfs>
  <cellStyles count="22">
    <cellStyle name="Normal" xfId="0" builtinId="0" hidden="0"/>
    <cellStyle name="TIM Title" xfId="1" hidden="0"/>
    <cellStyle name="TIM Subtitle" xfId="2" hidden="0"/>
    <cellStyle name="TIM Warning" xfId="3" hidden="0"/>
    <cellStyle name="TIM Section" xfId="4" hidden="0"/>
    <cellStyle name="TIM Header" xfId="5" hidden="0"/>
    <cellStyle name="TIM Label" xfId="6" hidden="0"/>
    <cellStyle name="TIM Text" xfId="7" hidden="0"/>
    <cellStyle name="TIM Note" xfId="8" hidden="0"/>
    <cellStyle name="TIM Input" xfId="9" hidden="0"/>
    <cellStyle name="TIM Input Text" xfId="10" hidden="0"/>
    <cellStyle name="TIM Input Pct" xfId="11" hidden="0"/>
    <cellStyle name="TIM Input Money" xfId="12" hidden="0"/>
    <cellStyle name="TIM Input Qty" xfId="13" hidden="0"/>
    <cellStyle name="TIM Input Date" xfId="14" hidden="0"/>
    <cellStyle name="TIM Calc" xfId="15" hidden="0"/>
    <cellStyle name="TIM Calc Pct" xfId="16" hidden="0"/>
    <cellStyle name="TIM Calc Money" xfId="17" hidden="0"/>
    <cellStyle name="TIM Calc Unit" xfId="18" hidden="0"/>
    <cellStyle name="TIM Calc Whole" xfId="19" hidden="0"/>
    <cellStyle name="TIM Calc Date" xfId="20" hidden="0"/>
    <cellStyle name="TIM Calc Key" xfId="21" hidden="0"/>
  </cellStyles>
  <dxfs count="3">
    <dxf>
      <fill>
        <patternFill patternType="solid">
          <fgColor rgb="00FFC7CE"/>
        </patternFill>
      </fill>
    </dxf>
    <dxf>
      <fill>
        <patternFill patternType="solid">
          <fgColor rgb="00FFEB9C"/>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808080"/>
    <outlinePr summaryBelow="1" summaryRight="1"/>
    <pageSetUpPr/>
  </sheetPr>
  <dimension ref="A1:B39"/>
  <sheetViews>
    <sheetView workbookViewId="0">
      <pane ySplit="3" topLeftCell="A4" activePane="bottomLeft" state="frozen"/>
      <selection pane="bottomLeft" activeCell="A1" sqref="A1"/>
    </sheetView>
  </sheetViews>
  <sheetFormatPr baseColWidth="8" defaultRowHeight="15"/>
  <cols>
    <col width="16" customWidth="1" min="1" max="1"/>
    <col width="130" customWidth="1" min="2" max="2"/>
  </cols>
  <sheetData>
    <row r="1">
      <c r="A1" s="1" t="inlineStr">
        <is>
          <t>Tariff-Impact Model (template)</t>
        </is>
      </c>
    </row>
    <row r="2">
      <c r="A2" s="2" t="inlineStr">
        <is>
          <t>Shared by Research (the WHAT) and Standard Cost (the $). One copy per tariff action and importing country.</t>
        </is>
      </c>
    </row>
    <row r="3">
      <c r="A3" s="3" t="inlineStr">
        <is>
          <t>All sample rows in this template are SYNTHETIC and use a FICTIONAL action. Clear them before real use.</t>
        </is>
      </c>
    </row>
    <row r="6">
      <c r="A6" s="4" t="inlineStr">
        <is>
          <t>What this workbook is</t>
        </is>
      </c>
    </row>
    <row r="7" ht="30" customHeight="1">
      <c r="A7" s="5" t="inlineStr"/>
      <c r="B7" s="6" t="inlineStr">
        <is>
          <t>The one shared model for a tariff action. Research (Hire A) records the WHAT on the Action tab. Standard Cost (Hire B) loads the items on the Items tab. Calc and Summary work out the $ impact with live formulas.</t>
        </is>
      </c>
    </row>
    <row r="8" ht="45" customHeight="1">
      <c r="A8" s="5" t="inlineStr"/>
      <c r="B8" s="6" t="inlineStr">
        <is>
          <t>Boundary rule: Research owns scope, HTS, origins, rates, rate lines, duty base rules, dates, stacking and item-level determinations (from the checked Tariff-Impact Brief). Standard Cost owns the item data, landed cost, margin and the Oracle cost update, and never decides scope. Nobody edits the other track's tab; ask on the Jira story instead.</t>
        </is>
      </c>
    </row>
    <row r="9" ht="30" customHeight="1">
      <c r="A9" s="5" t="inlineStr"/>
      <c r="B9" s="6" t="inlineStr">
        <is>
          <t>Guide (every tab and formula explained, with sample results and drills): Tariff-Impact Model Guide. Brief: Tariff-Impact Brief Template. Both are in the team OneNote and the onboarding folder.</t>
        </is>
      </c>
    </row>
    <row r="11">
      <c r="A11" s="4" t="inlineStr">
        <is>
          <t>Colour key and protection</t>
        </is>
      </c>
    </row>
    <row r="12" ht="15" customHeight="1">
      <c r="A12" s="5" t="inlineStr">
        <is>
          <t>Yellow</t>
        </is>
      </c>
      <c r="B12" s="6" t="inlineStr">
        <is>
          <t>Input cell. Type or paste values here only (Paste Special &gt; Values).</t>
        </is>
      </c>
    </row>
    <row r="13" ht="15" customHeight="1">
      <c r="A13" s="5" t="inlineStr">
        <is>
          <t>Grey</t>
        </is>
      </c>
      <c r="B13" s="6" t="inlineStr">
        <is>
          <t>Formula cell. Locked. If a formula looks wrong, raise it with the Manager; never patch it with a typed number.</t>
        </is>
      </c>
    </row>
    <row r="14" ht="30" customHeight="1">
      <c r="A14" s="5" t="inlineStr">
        <is>
          <t>Green / red / amber</t>
        </is>
      </c>
      <c r="B14" s="6" t="inlineStr">
        <is>
          <t>Status from conditional formatting: green = in scope or check passed; red = a CHECK that must be cleared before review; amber = a NOTE that needs one line in the covering note.</t>
        </is>
      </c>
    </row>
    <row r="15" ht="45" customHeight="1">
      <c r="A15" s="5" t="inlineStr">
        <is>
          <t>Protection</t>
        </is>
      </c>
      <c r="B15" s="6" t="inlineStr">
        <is>
          <t>Every tab is protected without a password, so only yellow cells can be changed and rows cannot be inserted or deleted (that would break the row-by-row link between Items and Calc). Unprotect only with the Manager's agreement, and protect again before review.</t>
        </is>
      </c>
    </row>
    <row r="17">
      <c r="A17" s="4" t="inlineStr">
        <is>
          <t>How to use it (one copy per tariff action and importing country)</t>
        </is>
      </c>
    </row>
    <row r="18" ht="30" customHeight="1">
      <c r="A18" s="5" t="inlineStr">
        <is>
          <t>1</t>
        </is>
      </c>
      <c r="B18" s="6" t="inlineStr">
        <is>
          <t>Copy this template. Name the copy TIM_[Action ID]_[import country]_v0.1.xlsx and save it in [COMPANY: tariff model folder]. Link it on the Jira story; never email copies.</t>
        </is>
      </c>
    </row>
    <row r="19" ht="30" customHeight="1">
      <c r="A19" s="5" t="inlineStr">
        <is>
          <t>2</t>
        </is>
      </c>
      <c r="B19" s="6" t="inlineStr">
        <is>
          <t>Clear the SAMPLE rows at intake: select the cells and press Delete; never delete rows. Research clears Action (lists, determinations, rate lines) and Review; Standard Cost clears Items and the Summary chapter list the same day.</t>
        </is>
      </c>
    </row>
    <row r="20" ht="45" customHeight="1">
      <c r="A20" s="5" t="inlineStr">
        <is>
          <t>3</t>
        </is>
      </c>
      <c r="B20" s="6" t="inlineStr">
        <is>
          <t>Research (maker): fill the Action tab from the checked brief: fields in column B, the HTS scope list with rate groups, the exclusion list, the origin list, item-level determinations and rate lines. Done when Summary B26 and B27 read YES (until Items is loaded, Action column W shows WAIT instead of OK).</t>
        </is>
      </c>
    </row>
    <row r="21" ht="30" customHeight="1">
      <c r="A21" s="5" t="inlineStr">
        <is>
          <t>4</t>
        </is>
      </c>
      <c r="B21" s="6" t="inlineStr">
        <is>
          <t>Research checker (Senior or Manager): compare the Action tab with the brief line by line. Log the review on the Review tab.</t>
        </is>
      </c>
    </row>
    <row r="22" ht="45" customHeight="1">
      <c r="A22" s="5" t="inlineStr">
        <is>
          <t>5</t>
        </is>
      </c>
      <c r="B22" s="6" t="inlineStr">
        <is>
          <t>Standard Cost (maker): set the quantity period and currency (Items K1:K2), then paste the item extract into Items as values ([COMPANY: Oracle cost extract or warehouse query], with the extract date in column N). One row per item and import country, all values per the Oracle primary unit of measure in column G. Keep HTS, item numbers and origin codes as text.</t>
        </is>
      </c>
    </row>
    <row r="23" ht="45" customHeight="1">
      <c r="A23" s="5" t="inlineStr">
        <is>
          <t>6</t>
        </is>
      </c>
      <c r="B23" s="6" t="inlineStr">
        <is>
          <t>Clear every CHECK in Calc column AJ that comes from the Items data. A CHECK caused by the Action tab (Action columns F, J, W or AI, Summary B26, or a rate or scope CHECK in Calc AJ) goes to Research on the Jira story: Research fixes it; Standard Cost never edits Action. Summary B30 must read YES before review.</t>
        </is>
      </c>
    </row>
    <row r="24" ht="30" customHeight="1">
      <c r="A24" s="5" t="inlineStr">
        <is>
          <t>7</t>
        </is>
      </c>
      <c r="B24" s="6" t="inlineStr">
        <is>
          <t>Standard Cost checker (Manager): recalculate 3 items by hand, confirm the item count and totals against the extract, confirm the Summary reconciles. Log the review on the Review tab.</t>
        </is>
      </c>
    </row>
    <row r="25" ht="30" customHeight="1">
      <c r="A25" s="5" t="inlineStr">
        <is>
          <t>8</t>
        </is>
      </c>
      <c r="B25" s="6" t="inlineStr">
        <is>
          <t>Release: only a version with a checker sign-off on the Review tab goes to the business. Any change after sign-off is a new version and a new review.</t>
        </is>
      </c>
    </row>
    <row r="27">
      <c r="A27" s="4" t="inlineStr">
        <is>
          <t>Maker-checker rule</t>
        </is>
      </c>
    </row>
    <row r="28" ht="30" customHeight="1">
      <c r="A28" s="5" t="inlineStr"/>
      <c r="B28" s="6" t="inlineStr">
        <is>
          <t>Every model released to the business gets a documented second-person review (Senior or Manager): name, date, version, findings. This applies after day 90 too. The maker never signs their own review.</t>
        </is>
      </c>
    </row>
    <row r="30">
      <c r="A30" s="4" t="inlineStr">
        <is>
          <t>Limits (read before you trust a number)</t>
        </is>
      </c>
    </row>
    <row r="31" ht="30" customHeight="1">
      <c r="A31" s="5" t="inlineStr"/>
      <c r="B31" s="6" t="inlineStr">
        <is>
          <t>Ad valorem rates only. Specific or compound rates (per kg, per unit) need an ad valorem equivalent agreed with Research and the checker.</t>
        </is>
      </c>
    </row>
    <row r="32" ht="30" customHeight="1">
      <c r="A32" s="5" t="inlineStr"/>
      <c r="B32" s="6" t="inlineStr">
        <is>
          <t>Landed cost change = duty change only. Fees (for example US MPF), freight and brokerage are assumed unchanged. Duty-based taxes (Canada GST, Mexico IVA) are left out because they are normally recoverable; confirm with Finance.</t>
        </is>
      </c>
    </row>
    <row r="33" ht="30" customHeight="1">
      <c r="A33" s="5" t="inlineStr"/>
      <c r="B33" s="6" t="inlineStr">
        <is>
          <t>The impact applies the action to the whole quantity period on Items (Annual by default). It does not apply the effective date, in-transit relief, stock already on hand, the end date or supplier price changes.</t>
        </is>
      </c>
    </row>
    <row r="34" ht="30" customHeight="1">
      <c r="A34" s="5" t="inlineStr"/>
      <c r="B34" s="6" t="inlineStr">
        <is>
          <t>Duty paid is assumed. Duty deferral or recovery (Mexico IMMEX temporary imports, US drawback) is not modelled: exclude or adjust those flows and say so in the covering note.</t>
        </is>
      </c>
    </row>
    <row r="35" ht="30" customHeight="1">
      <c r="A35" s="5" t="inlineStr"/>
      <c r="B35" s="6" t="inlineStr">
        <is>
          <t>Current duty rate and current standard cost come from the Items tab as given. The model assumes the current standard cost already includes duty at the current rate.</t>
        </is>
      </c>
    </row>
    <row r="36" ht="30" customHeight="1">
      <c r="A36" s="5" t="inlineStr"/>
      <c r="B36" s="6" t="inlineStr">
        <is>
          <t>Capacity: 250 item rows; 300 HTS prefixes and 300 exclusions; 50 origins; 100 determinations; 30 rate lines. To extend, see the guide.</t>
        </is>
      </c>
    </row>
    <row r="38">
      <c r="A38" s="4" t="inlineStr">
        <is>
          <t>Template version</t>
        </is>
      </c>
    </row>
    <row r="39" ht="30" customHeight="1">
      <c r="A39" s="5" t="inlineStr"/>
      <c r="B39" s="6" t="inlineStr">
        <is>
          <t>Template v2.0, built 2026-10-08 by build/make_tariff_model.py. Owner: BSA Manager. Change the generator script, not a copy of the workbook.</t>
        </is>
      </c>
    </row>
  </sheetData>
  <sheetProtection selectLockedCells="0" selectUnlockedCells="0" sheet="1" objects="0" insertRows="1" insertHyperlinks="1" autoFilter="1" scenarios="0" formatColumns="0" deleteColumns="1" insertColumns="1" pivotTables="1" deleteRows="1" formatCells="1" formatRows="0" sort="1"/>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AI304"/>
  <sheetViews>
    <sheetView workbookViewId="0">
      <pane ySplit="4" topLeftCell="A5" activePane="bottomLeft" state="frozen"/>
      <selection pane="bottomLeft" activeCell="A1" sqref="A1"/>
    </sheetView>
  </sheetViews>
  <sheetFormatPr baseColWidth="8" defaultRowHeight="15"/>
  <cols>
    <col width="30" customWidth="1" min="1" max="1"/>
    <col width="44" customWidth="1" min="2" max="2"/>
    <col width="40" customWidth="1" min="3" max="3"/>
    <col width="2" customWidth="1" min="4" max="4"/>
    <col width="16" customWidth="1" min="5" max="5"/>
    <col width="14" customWidth="1" min="6" max="6"/>
    <col width="36" customWidth="1" min="7" max="7"/>
    <col width="14" customWidth="1" min="8" max="8"/>
    <col width="16" customWidth="1" min="9" max="9"/>
    <col width="14" customWidth="1" min="10" max="10"/>
    <col width="32" customWidth="1" min="11" max="11"/>
    <col width="2" customWidth="1" min="12" max="12"/>
    <col width="9" customWidth="1" min="13" max="13"/>
    <col width="28" customWidth="1" min="14" max="14"/>
    <col width="2" customWidth="1" min="15" max="15"/>
    <col width="14" customWidth="1" min="16" max="16"/>
    <col width="9" customWidth="1" min="17" max="17"/>
    <col width="14" customWidth="1" min="18" max="18"/>
    <col width="14" customWidth="1" min="19" max="19"/>
    <col width="36" customWidth="1" min="20" max="20"/>
    <col width="12" customWidth="1" min="21" max="21"/>
    <col width="16" customWidth="1" min="22" max="22"/>
    <col width="30" customWidth="1" min="23" max="23"/>
    <col width="2" customWidth="1" min="24" max="24"/>
    <col width="10" customWidth="1" min="25" max="25"/>
    <col width="13" customWidth="1" min="26" max="26"/>
    <col width="9" customWidth="1" min="27" max="27"/>
    <col width="12" customWidth="1" min="28" max="28"/>
    <col width="11" customWidth="1" min="29" max="29"/>
    <col width="14" customWidth="1" min="30" max="30"/>
    <col width="11" customWidth="1" min="31" max="31"/>
    <col width="13" customWidth="1" min="32" max="32"/>
    <col width="12" customWidth="1" min="33" max="33"/>
    <col width="11" customWidth="1" min="34" max="34"/>
    <col width="30" customWidth="1" min="35" max="35"/>
  </cols>
  <sheetData>
    <row r="1">
      <c r="A1" s="1" t="inlineStr">
        <is>
          <t>Action: the WHAT (Research fills this tab from the checked Tariff-Impact Brief)</t>
        </is>
      </c>
    </row>
    <row r="2">
      <c r="A2" s="2" t="inlineStr">
        <is>
          <t>Standard Cost reads this tab but never changes it. Questions go to Research on the Jira story.</t>
        </is>
      </c>
    </row>
    <row r="3">
      <c r="A3" s="3" t="inlineStr">
        <is>
          <t>SAMPLE: the values below describe a FICTIONAL action for training. No such action exists.</t>
        </is>
      </c>
    </row>
    <row r="4" ht="58" customHeight="1">
      <c r="A4" s="7" t="inlineStr">
        <is>
          <t>Field</t>
        </is>
      </c>
      <c r="B4" s="7" t="inlineStr">
        <is>
          <t>Value</t>
        </is>
      </c>
      <c r="C4" s="7" t="inlineStr">
        <is>
          <t>Where it comes from</t>
        </is>
      </c>
      <c r="E4" s="7" t="inlineStr">
        <is>
          <t>In-scope HTS prefix (as written)</t>
        </is>
      </c>
      <c r="F4" s="7" t="inlineStr">
        <is>
          <t>Digits (formula)</t>
        </is>
      </c>
      <c r="G4" s="7" t="inlineStr">
        <is>
          <t>Annex line or description (source)</t>
        </is>
      </c>
      <c r="H4" s="7" t="inlineStr">
        <is>
          <t>Rate group (blank unless rate lines use it)</t>
        </is>
      </c>
      <c r="I4" s="7" t="inlineStr">
        <is>
          <t>Excluded HTS prefix (as written)</t>
        </is>
      </c>
      <c r="J4" s="7" t="inlineStr">
        <is>
          <t>Digits (formula)</t>
        </is>
      </c>
      <c r="K4" s="7" t="inlineStr">
        <is>
          <t>Exclusion basis (source)</t>
        </is>
      </c>
      <c r="M4" s="7" t="inlineStr">
        <is>
          <t>Origin in scope (ISO 2)</t>
        </is>
      </c>
      <c r="N4" s="7" t="inlineStr">
        <is>
          <t>Country or note</t>
        </is>
      </c>
      <c r="P4" s="7" t="inlineStr">
        <is>
          <t>Item number</t>
        </is>
      </c>
      <c r="Q4" s="7" t="inlineStr">
        <is>
          <t>Import country</t>
        </is>
      </c>
      <c r="R4" s="7" t="inlineStr">
        <is>
          <t>Determination (IN, OUT or blank = scope rules)</t>
        </is>
      </c>
      <c r="S4" s="7" t="inlineStr">
        <is>
          <t>Other duty this action displaces on the item (% of customs value)</t>
        </is>
      </c>
      <c r="T4" s="7" t="inlineStr">
        <is>
          <t>Reason</t>
        </is>
      </c>
      <c r="U4" s="7" t="inlineStr">
        <is>
          <t>Brief ref</t>
        </is>
      </c>
      <c r="V4" s="7" t="inlineStr">
        <is>
          <t>Key (formula)</t>
        </is>
      </c>
      <c r="W4" s="7" t="inlineStr">
        <is>
          <t>Check (formula)</t>
        </is>
      </c>
      <c r="Y4" s="7" t="inlineStr">
        <is>
          <t>Rate line ID (brief Part 7)</t>
        </is>
      </c>
      <c r="Z4" s="7" t="inlineStr">
        <is>
          <t>Rate group (blank = all)</t>
        </is>
      </c>
      <c r="AA4" s="7" t="inlineStr">
        <is>
          <t>Origin (blank = all listed)</t>
        </is>
      </c>
      <c r="AB4" s="7" t="inlineStr">
        <is>
          <t>USMCA-qualifying (Y, N or blank = either)</t>
        </is>
      </c>
      <c r="AC4" s="7" t="inlineStr">
        <is>
          <t>Additional rate (% of customs value)</t>
        </is>
      </c>
      <c r="AD4" s="7" t="inlineStr">
        <is>
          <t>Earlier rate this line replaces (blank: B17 if B16 = REPLACE; 0% = adds)</t>
        </is>
      </c>
      <c r="AE4" s="7" t="inlineStr">
        <is>
          <t>Duty base (FULL or PART; blank = FULL)</t>
        </is>
      </c>
      <c r="AF4" s="7" t="inlineStr">
        <is>
          <t>Other duty this line displaces (% of customs value)</t>
        </is>
      </c>
      <c r="AG4" s="7" t="inlineStr">
        <is>
          <t>Brief ref</t>
        </is>
      </c>
      <c r="AH4" s="7" t="inlineStr">
        <is>
          <t>In-scope items using this line (formula)</t>
        </is>
      </c>
      <c r="AI4" s="7" t="inlineStr">
        <is>
          <t>Check (formula)</t>
        </is>
      </c>
    </row>
    <row r="5">
      <c r="A5" s="5" t="inlineStr">
        <is>
          <t>Action ID</t>
        </is>
      </c>
      <c r="B5" s="8" t="inlineStr">
        <is>
          <t>TA-US-FIC-01</t>
        </is>
      </c>
      <c r="C5" s="9" t="inlineStr">
        <is>
          <t>Brief Part 1. Same ID in the brief, this file name and the Jira story.</t>
        </is>
      </c>
      <c r="E5" s="8" t="inlineStr">
        <is>
          <t>7318</t>
        </is>
      </c>
      <c r="F5" s="10">
        <f>IF(SUBSTITUTE(SUBSTITUTE(SUBSTITUTE(SUBSTITUTE(CLEAN(E5&amp;"")," ",""),".","")," ",""),"-","")="","",IF(AND(OR(LEN(SUBSTITUTE(SUBSTITUTE(SUBSTITUTE(SUBSTITUTE(CLEAN(E5&amp;"")," ",""),".","")," ",""),"-",""))=2,LEN(SUBSTITUTE(SUBSTITUTE(SUBSTITUTE(SUBSTITUTE(CLEAN(E5&amp;"")," ",""),".","")," ",""),"-",""))=4,LEN(SUBSTITUTE(SUBSTITUTE(SUBSTITUTE(SUBSTITUTE(CLEAN(E5&amp;"")," ",""),".","")," ",""),"-",""))=6,LEN(SUBSTITUTE(SUBSTITUTE(SUBSTITUTE(SUBSTITUTE(CLEAN(E5&amp;"")," ",""),".","")," ",""),"-",""))=8,LEN(SUBSTITUTE(SUBSTITUTE(SUBSTITUTE(SUBSTITUTE(CLEAN(E5&amp;"")," ",""),".","")," ",""),"-",""))=10),IFERROR(TEXT(VALUE(SUBSTITUTE(SUBSTITUTE(SUBSTITUTE(SUBSTITUTE(CLEAN(E5&amp;"")," ",""),".","")," ",""),"-","")),REPT("0",LEN(SUBSTITUTE(SUBSTITUTE(SUBSTITUTE(SUBSTITUTE(CLEAN(E5&amp;"")," ",""),".","")," ",""),"-",""))))=SUBSTITUTE(SUBSTITUTE(SUBSTITUTE(SUBSTITUTE(CLEAN(E5&amp;"")," ",""),".","")," ",""),"-",""),FALSE)),SUBSTITUTE(SUBSTITUTE(SUBSTITUTE(SUBSTITUTE(CLEAN(E5&amp;"")," ",""),".","")," ",""),"-",""),"CHECK: not 2, 4, 6, 8 or 10 digits"))</f>
        <v/>
      </c>
      <c r="G5" s="11" t="inlineStr">
        <is>
          <t>FICTIONAL Annex I: heading 7318, screws, bolts, nuts, washers, rivets and similar, of iron or steel</t>
        </is>
      </c>
      <c r="H5" s="8" t="inlineStr">
        <is>
          <t>9903.XX.01</t>
        </is>
      </c>
      <c r="I5" s="8" t="inlineStr">
        <is>
          <t>7318.24</t>
        </is>
      </c>
      <c r="J5" s="10">
        <f>IF(SUBSTITUTE(SUBSTITUTE(SUBSTITUTE(SUBSTITUTE(CLEAN(I5&amp;"")," ",""),".","")," ",""),"-","")="","",IF(AND(OR(LEN(SUBSTITUTE(SUBSTITUTE(SUBSTITUTE(SUBSTITUTE(CLEAN(I5&amp;"")," ",""),".","")," ",""),"-",""))=2,LEN(SUBSTITUTE(SUBSTITUTE(SUBSTITUTE(SUBSTITUTE(CLEAN(I5&amp;"")," ",""),".","")," ",""),"-",""))=4,LEN(SUBSTITUTE(SUBSTITUTE(SUBSTITUTE(SUBSTITUTE(CLEAN(I5&amp;"")," ",""),".","")," ",""),"-",""))=6,LEN(SUBSTITUTE(SUBSTITUTE(SUBSTITUTE(SUBSTITUTE(CLEAN(I5&amp;"")," ",""),".","")," ",""),"-",""))=8,LEN(SUBSTITUTE(SUBSTITUTE(SUBSTITUTE(SUBSTITUTE(CLEAN(I5&amp;"")," ",""),".","")," ",""),"-",""))=10),IFERROR(TEXT(VALUE(SUBSTITUTE(SUBSTITUTE(SUBSTITUTE(SUBSTITUTE(CLEAN(I5&amp;"")," ",""),".","")," ",""),"-","")),REPT("0",LEN(SUBSTITUTE(SUBSTITUTE(SUBSTITUTE(SUBSTITUTE(CLEAN(I5&amp;"")," ",""),".","")," ",""),"-",""))))=SUBSTITUTE(SUBSTITUTE(SUBSTITUTE(SUBSTITUTE(CLEAN(I5&amp;"")," ",""),".","")," ",""),"-",""),FALSE)),SUBSTITUTE(SUBSTITUTE(SUBSTITUTE(SUBSTITUTE(CLEAN(I5&amp;"")," ",""),".","")," ",""),"-",""),"CHECK: not 2, 4, 6, 8 or 10 digits"))</f>
        <v/>
      </c>
      <c r="K5" s="11" t="inlineStr">
        <is>
          <t>FICTIONAL Annex II (1): cotters and cotter pins</t>
        </is>
      </c>
      <c r="M5" s="8" t="inlineStr">
        <is>
          <t>XX</t>
        </is>
      </c>
      <c r="N5" s="11" t="inlineStr">
        <is>
          <t>Country X (FICTIONAL; XX is an ISO user-assigned code)</t>
        </is>
      </c>
      <c r="P5" s="8" t="inlineStr">
        <is>
          <t>SAMPLE-005</t>
        </is>
      </c>
      <c r="Q5" s="8" t="inlineStr">
        <is>
          <t>US</t>
        </is>
      </c>
      <c r="R5" s="8" t="inlineStr">
        <is>
          <t>OUT</t>
        </is>
      </c>
      <c r="S5" s="12" t="n"/>
      <c r="T5" s="11" t="inlineStr">
        <is>
          <t>FICTIONAL Annex II (2): the supplier certifies every shipment for civil aircraft; the certificate of conformity is filed with each entry</t>
        </is>
      </c>
      <c r="U5" s="11" t="inlineStr">
        <is>
          <t>Brief 6.4</t>
        </is>
      </c>
      <c r="V5" s="10">
        <f>IF(TRIM(CLEAN(SUBSTITUTE(P5&amp;""," "," ")))="","",UPPER(TRIM(CLEAN(SUBSTITUTE(P5&amp;""," "," "))))&amp;"/"&amp;UPPER(TRIM(CLEAN(SUBSTITUTE(Q5&amp;""," "," ")))))</f>
        <v/>
      </c>
      <c r="W5" s="10">
        <f>IF(V5="","",IF(UPPER(TRIM(CLEAN(SUBSTITUTE(Q5&amp;""," "," "))))&lt;&gt;UPPER(TRIM(CLEAN(SUBSTITUTE(act_Country&amp;""," "," ")))),"CHECK: import country must match B7",IF(COUNTIF(det_Key,V5)&gt;1,"CHECK: listed twice",IF(AND(UPPER(TRIM(CLEAN(SUBSTITUTE(R5&amp;""," "," "))))&lt;&gt;"",UPPER(TRIM(CLEAN(SUBSTITUTE(R5&amp;""," "," "))))&lt;&gt;"IN",UPPER(TRIM(CLEAN(SUBSTITUTE(R5&amp;""," "," "))))&lt;&gt;"OUT"),"CHECK: determination must be IN, OUT or blank",IF(AND(S5&amp;""&lt;&gt;"",NOT(ISNUMBER(S5))),"CHECK: displaced rate must be a percentage",IF(AND(UPPER(TRIM(CLEAN(SUBSTITUTE(R5&amp;""," "," "))))="",NOT(ISNUMBER(S5))),"CHECK: enter IN, OUT or a displaced rate",IF(SUMPRODUCT(--(Calc!$AL$5:$AL$254&lt;&gt;""))=0,"WAIT: Items not loaded yet",IF(COUNTIF(Calc!$AL$5:$AL$254,V5)=0,"CHECK: no Items row for this item and import country","OK"))))))))</f>
        <v/>
      </c>
      <c r="Y5" s="8" t="n"/>
      <c r="Z5" s="8" t="n"/>
      <c r="AA5" s="8" t="n"/>
      <c r="AB5" s="8" t="n"/>
      <c r="AC5" s="12" t="n"/>
      <c r="AD5" s="12" t="n"/>
      <c r="AE5" s="8" t="n"/>
      <c r="AF5" s="12" t="n"/>
      <c r="AG5" s="11" t="n"/>
      <c r="AH5" s="13">
        <f>IF(UPPER(TRIM(CLEAN(SUBSTITUTE(Y5&amp;""," "," "))))="","",COUNTIFS(Calc!$O$5:$O$254,UPPER(TRIM(CLEAN(SUBSTITUTE(Y5&amp;""," "," ")))),Calc!$L$5:$L$254,"Y"))</f>
        <v/>
      </c>
      <c r="AI5" s="10">
        <f>IF(AND(UPPER(TRIM(CLEAN(SUBSTITUTE(Y5&amp;""," "," "))))="",UPPER(TRIM(CLEAN(SUBSTITUTE(Z5&amp;""," "," "))))="",UPPER(TRIM(CLEAN(SUBSTITUTE(AA5&amp;""," "," "))))="",UPPER(TRIM(CLEAN(SUBSTITUTE(AB5&amp;""," "," "))))="",UPPER(TRIM(CLEAN(SUBSTITUTE(AE5&amp;""," "," "))))="",AC5&amp;""="",AD5&amp;""="",AF5&amp;""=""),"",IF(UPPER(TRIM(CLEAN(SUBSTITUTE(Y5&amp;""," "," "))))="","CHECK: line ID missing",IF(NOT(ISNUMBER(AC5)),"CHECK: rate missing",IF(OR(AC5&lt;0,AC5&gt;10),"CHECK: rate must be 0% to 1000%",IF(SUMPRODUCT(--(UPPER(TRIM(CLEAN(SUBSTITUTE(rate_ID&amp;""," "," "))))=UPPER(TRIM(CLEAN(SUBSTITUTE(Y5&amp;""," "," "))))))&gt;1,"CHECK: line ID listed twice",IF(AND(UPPER(TRIM(CLEAN(SUBSTITUTE(Z5&amp;""," "," "))))&lt;&gt;"",SUMPRODUCT(--(UPPER(TRIM(CLEAN(SUBSTITUTE(scope_Group&amp;""," "," "))))=UPPER(TRIM(CLEAN(SUBSTITUTE(Z5&amp;""," "," "))))))=0),"CHECK: rate group not on the scope list",IF(AND(UPPER(TRIM(CLEAN(SUBSTITUTE(AA5&amp;""," "," "))))&lt;&gt;"",SUMPRODUCT(--(UPPER(TRIM(CLEAN(SUBSTITUTE(scope_COO&amp;""," "," "))))=UPPER(TRIM(CLEAN(SUBSTITUTE(AA5&amp;""," "," "))))))=0),"CHECK: origin not on the origin list",IF(AND(UPPER(TRIM(CLEAN(SUBSTITUTE(AB5&amp;""," "," "))))&lt;&gt;"",UPPER(TRIM(CLEAN(SUBSTITUTE(AB5&amp;""," "," "))))&lt;&gt;"Y",UPPER(TRIM(CLEAN(SUBSTITUTE(AB5&amp;""," "," "))))&lt;&gt;"N"),"CHECK: USMCA must be Y, N or blank",IF(AND(UPPER(TRIM(CLEAN(SUBSTITUTE(AE5&amp;""," "," "))))&lt;&gt;"",UPPER(TRIM(CLEAN(SUBSTITUTE(AE5&amp;""," "," "))))&lt;&gt;"FULL",UPPER(TRIM(CLEAN(SUBSTITUTE(AE5&amp;""," "," "))))&lt;&gt;"PART"),"CHECK: duty base must be FULL, PART or blank",IF(OR(AND(AD5&amp;""&lt;&gt;"",NOT(ISNUMBER(AD5))),AND(AF5&amp;""&lt;&gt;"",NOT(ISNUMBER(AF5)))),"CHECK: earlier or displaced rate must be a percentage",IF(AC5&gt;1,"NOTE: rate above 100%: check it was entered as a percentage","OK")))))))))))</f>
        <v/>
      </c>
    </row>
    <row r="6">
      <c r="A6" s="5" t="inlineStr">
        <is>
          <t>Action name</t>
        </is>
      </c>
      <c r="B6" s="11" t="inlineStr">
        <is>
          <t>FICTIONAL EXAMPLE: US additional duty on iron or steel fasteners (heading 7318) from Country X</t>
        </is>
      </c>
      <c r="C6" s="9" t="inlineStr">
        <is>
          <t>Brief Part 1.</t>
        </is>
      </c>
      <c r="E6" s="8" t="n"/>
      <c r="F6" s="10">
        <f>IF(SUBSTITUTE(SUBSTITUTE(SUBSTITUTE(SUBSTITUTE(CLEAN(E6&amp;"")," ",""),".","")," ",""),"-","")="","",IF(AND(OR(LEN(SUBSTITUTE(SUBSTITUTE(SUBSTITUTE(SUBSTITUTE(CLEAN(E6&amp;"")," ",""),".","")," ",""),"-",""))=2,LEN(SUBSTITUTE(SUBSTITUTE(SUBSTITUTE(SUBSTITUTE(CLEAN(E6&amp;"")," ",""),".","")," ",""),"-",""))=4,LEN(SUBSTITUTE(SUBSTITUTE(SUBSTITUTE(SUBSTITUTE(CLEAN(E6&amp;"")," ",""),".","")," ",""),"-",""))=6,LEN(SUBSTITUTE(SUBSTITUTE(SUBSTITUTE(SUBSTITUTE(CLEAN(E6&amp;"")," ",""),".","")," ",""),"-",""))=8,LEN(SUBSTITUTE(SUBSTITUTE(SUBSTITUTE(SUBSTITUTE(CLEAN(E6&amp;"")," ",""),".","")," ",""),"-",""))=10),IFERROR(TEXT(VALUE(SUBSTITUTE(SUBSTITUTE(SUBSTITUTE(SUBSTITUTE(CLEAN(E6&amp;"")," ",""),".","")," ",""),"-","")),REPT("0",LEN(SUBSTITUTE(SUBSTITUTE(SUBSTITUTE(SUBSTITUTE(CLEAN(E6&amp;"")," ",""),".","")," ",""),"-",""))))=SUBSTITUTE(SUBSTITUTE(SUBSTITUTE(SUBSTITUTE(CLEAN(E6&amp;"")," ",""),".","")," ",""),"-",""),FALSE)),SUBSTITUTE(SUBSTITUTE(SUBSTITUTE(SUBSTITUTE(CLEAN(E6&amp;"")," ",""),".","")," ",""),"-",""),"CHECK: not 2, 4, 6, 8 or 10 digits"))</f>
        <v/>
      </c>
      <c r="G6" s="11" t="n"/>
      <c r="H6" s="8" t="n"/>
      <c r="I6" s="8" t="n"/>
      <c r="J6" s="10">
        <f>IF(SUBSTITUTE(SUBSTITUTE(SUBSTITUTE(SUBSTITUTE(CLEAN(I6&amp;"")," ",""),".","")," ",""),"-","")="","",IF(AND(OR(LEN(SUBSTITUTE(SUBSTITUTE(SUBSTITUTE(SUBSTITUTE(CLEAN(I6&amp;"")," ",""),".","")," ",""),"-",""))=2,LEN(SUBSTITUTE(SUBSTITUTE(SUBSTITUTE(SUBSTITUTE(CLEAN(I6&amp;"")," ",""),".","")," ",""),"-",""))=4,LEN(SUBSTITUTE(SUBSTITUTE(SUBSTITUTE(SUBSTITUTE(CLEAN(I6&amp;"")," ",""),".","")," ",""),"-",""))=6,LEN(SUBSTITUTE(SUBSTITUTE(SUBSTITUTE(SUBSTITUTE(CLEAN(I6&amp;"")," ",""),".","")," ",""),"-",""))=8,LEN(SUBSTITUTE(SUBSTITUTE(SUBSTITUTE(SUBSTITUTE(CLEAN(I6&amp;"")," ",""),".","")," ",""),"-",""))=10),IFERROR(TEXT(VALUE(SUBSTITUTE(SUBSTITUTE(SUBSTITUTE(SUBSTITUTE(CLEAN(I6&amp;"")," ",""),".","")," ",""),"-","")),REPT("0",LEN(SUBSTITUTE(SUBSTITUTE(SUBSTITUTE(SUBSTITUTE(CLEAN(I6&amp;"")," ",""),".","")," ",""),"-",""))))=SUBSTITUTE(SUBSTITUTE(SUBSTITUTE(SUBSTITUTE(CLEAN(I6&amp;"")," ",""),".","")," ",""),"-",""),FALSE)),SUBSTITUTE(SUBSTITUTE(SUBSTITUTE(SUBSTITUTE(CLEAN(I6&amp;"")," ",""),".","")," ",""),"-",""),"CHECK: not 2, 4, 6, 8 or 10 digits"))</f>
        <v/>
      </c>
      <c r="K6" s="11" t="n"/>
      <c r="M6" s="8" t="n"/>
      <c r="N6" s="11" t="n"/>
      <c r="P6" s="8" t="inlineStr">
        <is>
          <t>SAMPLE-003</t>
        </is>
      </c>
      <c r="Q6" s="8" t="inlineStr">
        <is>
          <t>US</t>
        </is>
      </c>
      <c r="R6" s="8" t="n"/>
      <c r="S6" s="12" t="n">
        <v>0.1</v>
      </c>
      <c r="T6" s="11" t="inlineStr">
        <is>
          <t>Pays FICTIONAL 9903.YY.01 (10%) today; S1 clause 4 switches it off once 9903.XX.01 applies</t>
        </is>
      </c>
      <c r="U6" s="11" t="inlineStr">
        <is>
          <t>Brief 6.6, Q5</t>
        </is>
      </c>
      <c r="V6" s="10">
        <f>IF(TRIM(CLEAN(SUBSTITUTE(P6&amp;""," "," ")))="","",UPPER(TRIM(CLEAN(SUBSTITUTE(P6&amp;""," "," "))))&amp;"/"&amp;UPPER(TRIM(CLEAN(SUBSTITUTE(Q6&amp;""," "," ")))))</f>
        <v/>
      </c>
      <c r="W6" s="10">
        <f>IF(V6="","",IF(UPPER(TRIM(CLEAN(SUBSTITUTE(Q6&amp;""," "," "))))&lt;&gt;UPPER(TRIM(CLEAN(SUBSTITUTE(act_Country&amp;""," "," ")))),"CHECK: import country must match B7",IF(COUNTIF(det_Key,V6)&gt;1,"CHECK: listed twice",IF(AND(UPPER(TRIM(CLEAN(SUBSTITUTE(R6&amp;""," "," "))))&lt;&gt;"",UPPER(TRIM(CLEAN(SUBSTITUTE(R6&amp;""," "," "))))&lt;&gt;"IN",UPPER(TRIM(CLEAN(SUBSTITUTE(R6&amp;""," "," "))))&lt;&gt;"OUT"),"CHECK: determination must be IN, OUT or blank",IF(AND(S6&amp;""&lt;&gt;"",NOT(ISNUMBER(S6))),"CHECK: displaced rate must be a percentage",IF(AND(UPPER(TRIM(CLEAN(SUBSTITUTE(R6&amp;""," "," "))))="",NOT(ISNUMBER(S6))),"CHECK: enter IN, OUT or a displaced rate",IF(SUMPRODUCT(--(Calc!$AL$5:$AL$254&lt;&gt;""))=0,"WAIT: Items not loaded yet",IF(COUNTIF(Calc!$AL$5:$AL$254,V6)=0,"CHECK: no Items row for this item and import country","OK"))))))))</f>
        <v/>
      </c>
      <c r="Y6" s="8" t="n"/>
      <c r="Z6" s="8" t="n"/>
      <c r="AA6" s="8" t="n"/>
      <c r="AB6" s="8" t="n"/>
      <c r="AC6" s="12" t="n"/>
      <c r="AD6" s="12" t="n"/>
      <c r="AE6" s="8" t="n"/>
      <c r="AF6" s="12" t="n"/>
      <c r="AG6" s="11" t="n"/>
      <c r="AH6" s="13">
        <f>IF(UPPER(TRIM(CLEAN(SUBSTITUTE(Y6&amp;""," "," "))))="","",COUNTIFS(Calc!$O$5:$O$254,UPPER(TRIM(CLEAN(SUBSTITUTE(Y6&amp;""," "," ")))),Calc!$L$5:$L$254,"Y"))</f>
        <v/>
      </c>
      <c r="AI6" s="10">
        <f>IF(AND(UPPER(TRIM(CLEAN(SUBSTITUTE(Y6&amp;""," "," "))))="",UPPER(TRIM(CLEAN(SUBSTITUTE(Z6&amp;""," "," "))))="",UPPER(TRIM(CLEAN(SUBSTITUTE(AA6&amp;""," "," "))))="",UPPER(TRIM(CLEAN(SUBSTITUTE(AB6&amp;""," "," "))))="",UPPER(TRIM(CLEAN(SUBSTITUTE(AE6&amp;""," "," "))))="",AC6&amp;""="",AD6&amp;""="",AF6&amp;""=""),"",IF(UPPER(TRIM(CLEAN(SUBSTITUTE(Y6&amp;""," "," "))))="","CHECK: line ID missing",IF(NOT(ISNUMBER(AC6)),"CHECK: rate missing",IF(OR(AC6&lt;0,AC6&gt;10),"CHECK: rate must be 0% to 1000%",IF(SUMPRODUCT(--(UPPER(TRIM(CLEAN(SUBSTITUTE(rate_ID&amp;""," "," "))))=UPPER(TRIM(CLEAN(SUBSTITUTE(Y6&amp;""," "," "))))))&gt;1,"CHECK: line ID listed twice",IF(AND(UPPER(TRIM(CLEAN(SUBSTITUTE(Z6&amp;""," "," "))))&lt;&gt;"",SUMPRODUCT(--(UPPER(TRIM(CLEAN(SUBSTITUTE(scope_Group&amp;""," "," "))))=UPPER(TRIM(CLEAN(SUBSTITUTE(Z6&amp;""," "," "))))))=0),"CHECK: rate group not on the scope list",IF(AND(UPPER(TRIM(CLEAN(SUBSTITUTE(AA6&amp;""," "," "))))&lt;&gt;"",SUMPRODUCT(--(UPPER(TRIM(CLEAN(SUBSTITUTE(scope_COO&amp;""," "," "))))=UPPER(TRIM(CLEAN(SUBSTITUTE(AA6&amp;""," "," "))))))=0),"CHECK: origin not on the origin list",IF(AND(UPPER(TRIM(CLEAN(SUBSTITUTE(AB6&amp;""," "," "))))&lt;&gt;"",UPPER(TRIM(CLEAN(SUBSTITUTE(AB6&amp;""," "," "))))&lt;&gt;"Y",UPPER(TRIM(CLEAN(SUBSTITUTE(AB6&amp;""," "," "))))&lt;&gt;"N"),"CHECK: USMCA must be Y, N or blank",IF(AND(UPPER(TRIM(CLEAN(SUBSTITUTE(AE6&amp;""," "," "))))&lt;&gt;"",UPPER(TRIM(CLEAN(SUBSTITUTE(AE6&amp;""," "," "))))&lt;&gt;"FULL",UPPER(TRIM(CLEAN(SUBSTITUTE(AE6&amp;""," "," "))))&lt;&gt;"PART"),"CHECK: duty base must be FULL, PART or blank",IF(OR(AND(AD6&amp;""&lt;&gt;"",NOT(ISNUMBER(AD6))),AND(AF6&amp;""&lt;&gt;"",NOT(ISNUMBER(AF6)))),"CHECK: earlier or displaced rate must be a percentage",IF(AC6&gt;1,"NOTE: rate above 100%: check it was entered as a percentage","OK")))))))))))</f>
        <v/>
      </c>
    </row>
    <row r="7">
      <c r="A7" s="5" t="inlineStr">
        <is>
          <t>Importing country (US, CA or MX)</t>
        </is>
      </c>
      <c r="B7" s="8" t="inlineStr">
        <is>
          <t>US</t>
        </is>
      </c>
      <c r="C7" s="9" t="inlineStr">
        <is>
          <t>Brief Part 1. One model per importing country.</t>
        </is>
      </c>
      <c r="E7" s="8" t="n"/>
      <c r="F7" s="10">
        <f>IF(SUBSTITUTE(SUBSTITUTE(SUBSTITUTE(SUBSTITUTE(CLEAN(E7&amp;"")," ",""),".","")," ",""),"-","")="","",IF(AND(OR(LEN(SUBSTITUTE(SUBSTITUTE(SUBSTITUTE(SUBSTITUTE(CLEAN(E7&amp;"")," ",""),".","")," ",""),"-",""))=2,LEN(SUBSTITUTE(SUBSTITUTE(SUBSTITUTE(SUBSTITUTE(CLEAN(E7&amp;"")," ",""),".","")," ",""),"-",""))=4,LEN(SUBSTITUTE(SUBSTITUTE(SUBSTITUTE(SUBSTITUTE(CLEAN(E7&amp;"")," ",""),".","")," ",""),"-",""))=6,LEN(SUBSTITUTE(SUBSTITUTE(SUBSTITUTE(SUBSTITUTE(CLEAN(E7&amp;"")," ",""),".","")," ",""),"-",""))=8,LEN(SUBSTITUTE(SUBSTITUTE(SUBSTITUTE(SUBSTITUTE(CLEAN(E7&amp;"")," ",""),".","")," ",""),"-",""))=10),IFERROR(TEXT(VALUE(SUBSTITUTE(SUBSTITUTE(SUBSTITUTE(SUBSTITUTE(CLEAN(E7&amp;"")," ",""),".","")," ",""),"-","")),REPT("0",LEN(SUBSTITUTE(SUBSTITUTE(SUBSTITUTE(SUBSTITUTE(CLEAN(E7&amp;"")," ",""),".","")," ",""),"-",""))))=SUBSTITUTE(SUBSTITUTE(SUBSTITUTE(SUBSTITUTE(CLEAN(E7&amp;"")," ",""),".","")," ",""),"-",""),FALSE)),SUBSTITUTE(SUBSTITUTE(SUBSTITUTE(SUBSTITUTE(CLEAN(E7&amp;"")," ",""),".","")," ",""),"-",""),"CHECK: not 2, 4, 6, 8 or 10 digits"))</f>
        <v/>
      </c>
      <c r="G7" s="11" t="n"/>
      <c r="H7" s="8" t="n"/>
      <c r="I7" s="8" t="n"/>
      <c r="J7" s="10">
        <f>IF(SUBSTITUTE(SUBSTITUTE(SUBSTITUTE(SUBSTITUTE(CLEAN(I7&amp;"")," ",""),".","")," ",""),"-","")="","",IF(AND(OR(LEN(SUBSTITUTE(SUBSTITUTE(SUBSTITUTE(SUBSTITUTE(CLEAN(I7&amp;"")," ",""),".","")," ",""),"-",""))=2,LEN(SUBSTITUTE(SUBSTITUTE(SUBSTITUTE(SUBSTITUTE(CLEAN(I7&amp;"")," ",""),".","")," ",""),"-",""))=4,LEN(SUBSTITUTE(SUBSTITUTE(SUBSTITUTE(SUBSTITUTE(CLEAN(I7&amp;"")," ",""),".","")," ",""),"-",""))=6,LEN(SUBSTITUTE(SUBSTITUTE(SUBSTITUTE(SUBSTITUTE(CLEAN(I7&amp;"")," ",""),".","")," ",""),"-",""))=8,LEN(SUBSTITUTE(SUBSTITUTE(SUBSTITUTE(SUBSTITUTE(CLEAN(I7&amp;"")," ",""),".","")," ",""),"-",""))=10),IFERROR(TEXT(VALUE(SUBSTITUTE(SUBSTITUTE(SUBSTITUTE(SUBSTITUTE(CLEAN(I7&amp;"")," ",""),".","")," ",""),"-","")),REPT("0",LEN(SUBSTITUTE(SUBSTITUTE(SUBSTITUTE(SUBSTITUTE(CLEAN(I7&amp;"")," ",""),".","")," ",""),"-",""))))=SUBSTITUTE(SUBSTITUTE(SUBSTITUTE(SUBSTITUTE(CLEAN(I7&amp;"")," ",""),".","")," ",""),"-",""),FALSE)),SUBSTITUTE(SUBSTITUTE(SUBSTITUTE(SUBSTITUTE(CLEAN(I7&amp;"")," ",""),".","")," ",""),"-",""),"CHECK: not 2, 4, 6, 8 or 10 digits"))</f>
        <v/>
      </c>
      <c r="K7" s="11" t="n"/>
      <c r="M7" s="8" t="n"/>
      <c r="N7" s="11" t="n"/>
      <c r="P7" s="8" t="n"/>
      <c r="Q7" s="8" t="n"/>
      <c r="R7" s="8" t="n"/>
      <c r="S7" s="12" t="n"/>
      <c r="T7" s="11" t="n"/>
      <c r="U7" s="11" t="n"/>
      <c r="V7" s="10">
        <f>IF(TRIM(CLEAN(SUBSTITUTE(P7&amp;""," "," ")))="","",UPPER(TRIM(CLEAN(SUBSTITUTE(P7&amp;""," "," "))))&amp;"/"&amp;UPPER(TRIM(CLEAN(SUBSTITUTE(Q7&amp;""," "," ")))))</f>
        <v/>
      </c>
      <c r="W7" s="10">
        <f>IF(V7="","",IF(UPPER(TRIM(CLEAN(SUBSTITUTE(Q7&amp;""," "," "))))&lt;&gt;UPPER(TRIM(CLEAN(SUBSTITUTE(act_Country&amp;""," "," ")))),"CHECK: import country must match B7",IF(COUNTIF(det_Key,V7)&gt;1,"CHECK: listed twice",IF(AND(UPPER(TRIM(CLEAN(SUBSTITUTE(R7&amp;""," "," "))))&lt;&gt;"",UPPER(TRIM(CLEAN(SUBSTITUTE(R7&amp;""," "," "))))&lt;&gt;"IN",UPPER(TRIM(CLEAN(SUBSTITUTE(R7&amp;""," "," "))))&lt;&gt;"OUT"),"CHECK: determination must be IN, OUT or blank",IF(AND(S7&amp;""&lt;&gt;"",NOT(ISNUMBER(S7))),"CHECK: displaced rate must be a percentage",IF(AND(UPPER(TRIM(CLEAN(SUBSTITUTE(R7&amp;""," "," "))))="",NOT(ISNUMBER(S7))),"CHECK: enter IN, OUT or a displaced rate",IF(SUMPRODUCT(--(Calc!$AL$5:$AL$254&lt;&gt;""))=0,"WAIT: Items not loaded yet",IF(COUNTIF(Calc!$AL$5:$AL$254,V7)=0,"CHECK: no Items row for this item and import country","OK"))))))))</f>
        <v/>
      </c>
      <c r="Y7" s="8" t="n"/>
      <c r="Z7" s="8" t="n"/>
      <c r="AA7" s="8" t="n"/>
      <c r="AB7" s="8" t="n"/>
      <c r="AC7" s="12" t="n"/>
      <c r="AD7" s="12" t="n"/>
      <c r="AE7" s="8" t="n"/>
      <c r="AF7" s="12" t="n"/>
      <c r="AG7" s="11" t="n"/>
      <c r="AH7" s="13">
        <f>IF(UPPER(TRIM(CLEAN(SUBSTITUTE(Y7&amp;""," "," "))))="","",COUNTIFS(Calc!$O$5:$O$254,UPPER(TRIM(CLEAN(SUBSTITUTE(Y7&amp;""," "," ")))),Calc!$L$5:$L$254,"Y"))</f>
        <v/>
      </c>
      <c r="AI7" s="10">
        <f>IF(AND(UPPER(TRIM(CLEAN(SUBSTITUTE(Y7&amp;""," "," "))))="",UPPER(TRIM(CLEAN(SUBSTITUTE(Z7&amp;""," "," "))))="",UPPER(TRIM(CLEAN(SUBSTITUTE(AA7&amp;""," "," "))))="",UPPER(TRIM(CLEAN(SUBSTITUTE(AB7&amp;""," "," "))))="",UPPER(TRIM(CLEAN(SUBSTITUTE(AE7&amp;""," "," "))))="",AC7&amp;""="",AD7&amp;""="",AF7&amp;""=""),"",IF(UPPER(TRIM(CLEAN(SUBSTITUTE(Y7&amp;""," "," "))))="","CHECK: line ID missing",IF(NOT(ISNUMBER(AC7)),"CHECK: rate missing",IF(OR(AC7&lt;0,AC7&gt;10),"CHECK: rate must be 0% to 1000%",IF(SUMPRODUCT(--(UPPER(TRIM(CLEAN(SUBSTITUTE(rate_ID&amp;""," "," "))))=UPPER(TRIM(CLEAN(SUBSTITUTE(Y7&amp;""," "," "))))))&gt;1,"CHECK: line ID listed twice",IF(AND(UPPER(TRIM(CLEAN(SUBSTITUTE(Z7&amp;""," "," "))))&lt;&gt;"",SUMPRODUCT(--(UPPER(TRIM(CLEAN(SUBSTITUTE(scope_Group&amp;""," "," "))))=UPPER(TRIM(CLEAN(SUBSTITUTE(Z7&amp;""," "," "))))))=0),"CHECK: rate group not on the scope list",IF(AND(UPPER(TRIM(CLEAN(SUBSTITUTE(AA7&amp;""," "," "))))&lt;&gt;"",SUMPRODUCT(--(UPPER(TRIM(CLEAN(SUBSTITUTE(scope_COO&amp;""," "," "))))=UPPER(TRIM(CLEAN(SUBSTITUTE(AA7&amp;""," "," "))))))=0),"CHECK: origin not on the origin list",IF(AND(UPPER(TRIM(CLEAN(SUBSTITUTE(AB7&amp;""," "," "))))&lt;&gt;"",UPPER(TRIM(CLEAN(SUBSTITUTE(AB7&amp;""," "," "))))&lt;&gt;"Y",UPPER(TRIM(CLEAN(SUBSTITUTE(AB7&amp;""," "," "))))&lt;&gt;"N"),"CHECK: USMCA must be Y, N or blank",IF(AND(UPPER(TRIM(CLEAN(SUBSTITUTE(AE7&amp;""," "," "))))&lt;&gt;"",UPPER(TRIM(CLEAN(SUBSTITUTE(AE7&amp;""," "," "))))&lt;&gt;"FULL",UPPER(TRIM(CLEAN(SUBSTITUTE(AE7&amp;""," "," "))))&lt;&gt;"PART"),"CHECK: duty base must be FULL, PART or blank",IF(OR(AND(AD7&amp;""&lt;&gt;"",NOT(ISNUMBER(AD7))),AND(AF7&amp;""&lt;&gt;"",NOT(ISNUMBER(AF7)))),"CHECK: earlier or displaced rate must be a percentage",IF(AC7&gt;1,"NOTE: rate above 100%: check it was entered as a percentage","OK")))))))))))</f>
        <v/>
      </c>
    </row>
    <row r="8">
      <c r="A8" s="5" t="inlineStr">
        <is>
          <t>Legal authority category</t>
        </is>
      </c>
      <c r="B8" s="11" t="inlineStr">
        <is>
          <t>Section 301</t>
        </is>
      </c>
      <c r="C8" s="9" t="inlineStr">
        <is>
          <t>Brief Part 3. Category only; the citation goes in B10.</t>
        </is>
      </c>
      <c r="E8" s="8" t="n"/>
      <c r="F8" s="10">
        <f>IF(SUBSTITUTE(SUBSTITUTE(SUBSTITUTE(SUBSTITUTE(CLEAN(E8&amp;"")," ",""),".","")," ",""),"-","")="","",IF(AND(OR(LEN(SUBSTITUTE(SUBSTITUTE(SUBSTITUTE(SUBSTITUTE(CLEAN(E8&amp;"")," ",""),".","")," ",""),"-",""))=2,LEN(SUBSTITUTE(SUBSTITUTE(SUBSTITUTE(SUBSTITUTE(CLEAN(E8&amp;"")," ",""),".","")," ",""),"-",""))=4,LEN(SUBSTITUTE(SUBSTITUTE(SUBSTITUTE(SUBSTITUTE(CLEAN(E8&amp;"")," ",""),".","")," ",""),"-",""))=6,LEN(SUBSTITUTE(SUBSTITUTE(SUBSTITUTE(SUBSTITUTE(CLEAN(E8&amp;"")," ",""),".","")," ",""),"-",""))=8,LEN(SUBSTITUTE(SUBSTITUTE(SUBSTITUTE(SUBSTITUTE(CLEAN(E8&amp;"")," ",""),".","")," ",""),"-",""))=10),IFERROR(TEXT(VALUE(SUBSTITUTE(SUBSTITUTE(SUBSTITUTE(SUBSTITUTE(CLEAN(E8&amp;"")," ",""),".","")," ",""),"-","")),REPT("0",LEN(SUBSTITUTE(SUBSTITUTE(SUBSTITUTE(SUBSTITUTE(CLEAN(E8&amp;"")," ",""),".","")," ",""),"-",""))))=SUBSTITUTE(SUBSTITUTE(SUBSTITUTE(SUBSTITUTE(CLEAN(E8&amp;"")," ",""),".","")," ",""),"-",""),FALSE)),SUBSTITUTE(SUBSTITUTE(SUBSTITUTE(SUBSTITUTE(CLEAN(E8&amp;"")," ",""),".","")," ",""),"-",""),"CHECK: not 2, 4, 6, 8 or 10 digits"))</f>
        <v/>
      </c>
      <c r="G8" s="11" t="n"/>
      <c r="H8" s="8" t="n"/>
      <c r="I8" s="8" t="n"/>
      <c r="J8" s="10">
        <f>IF(SUBSTITUTE(SUBSTITUTE(SUBSTITUTE(SUBSTITUTE(CLEAN(I8&amp;"")," ",""),".","")," ",""),"-","")="","",IF(AND(OR(LEN(SUBSTITUTE(SUBSTITUTE(SUBSTITUTE(SUBSTITUTE(CLEAN(I8&amp;"")," ",""),".","")," ",""),"-",""))=2,LEN(SUBSTITUTE(SUBSTITUTE(SUBSTITUTE(SUBSTITUTE(CLEAN(I8&amp;"")," ",""),".","")," ",""),"-",""))=4,LEN(SUBSTITUTE(SUBSTITUTE(SUBSTITUTE(SUBSTITUTE(CLEAN(I8&amp;"")," ",""),".","")," ",""),"-",""))=6,LEN(SUBSTITUTE(SUBSTITUTE(SUBSTITUTE(SUBSTITUTE(CLEAN(I8&amp;"")," ",""),".","")," ",""),"-",""))=8,LEN(SUBSTITUTE(SUBSTITUTE(SUBSTITUTE(SUBSTITUTE(CLEAN(I8&amp;"")," ",""),".","")," ",""),"-",""))=10),IFERROR(TEXT(VALUE(SUBSTITUTE(SUBSTITUTE(SUBSTITUTE(SUBSTITUTE(CLEAN(I8&amp;"")," ",""),".","")," ",""),"-","")),REPT("0",LEN(SUBSTITUTE(SUBSTITUTE(SUBSTITUTE(SUBSTITUTE(CLEAN(I8&amp;"")," ",""),".","")," ",""),"-",""))))=SUBSTITUTE(SUBSTITUTE(SUBSTITUTE(SUBSTITUTE(CLEAN(I8&amp;"")," ",""),".","")," ",""),"-",""),FALSE)),SUBSTITUTE(SUBSTITUTE(SUBSTITUTE(SUBSTITUTE(CLEAN(I8&amp;"")," ",""),".","")," ",""),"-",""),"CHECK: not 2, 4, 6, 8 or 10 digits"))</f>
        <v/>
      </c>
      <c r="K8" s="11" t="n"/>
      <c r="M8" s="8" t="n"/>
      <c r="N8" s="11" t="n"/>
      <c r="P8" s="8" t="n"/>
      <c r="Q8" s="8" t="n"/>
      <c r="R8" s="8" t="n"/>
      <c r="S8" s="12" t="n"/>
      <c r="T8" s="11" t="n"/>
      <c r="U8" s="11" t="n"/>
      <c r="V8" s="10">
        <f>IF(TRIM(CLEAN(SUBSTITUTE(P8&amp;""," "," ")))="","",UPPER(TRIM(CLEAN(SUBSTITUTE(P8&amp;""," "," "))))&amp;"/"&amp;UPPER(TRIM(CLEAN(SUBSTITUTE(Q8&amp;""," "," ")))))</f>
        <v/>
      </c>
      <c r="W8" s="10">
        <f>IF(V8="","",IF(UPPER(TRIM(CLEAN(SUBSTITUTE(Q8&amp;""," "," "))))&lt;&gt;UPPER(TRIM(CLEAN(SUBSTITUTE(act_Country&amp;""," "," ")))),"CHECK: import country must match B7",IF(COUNTIF(det_Key,V8)&gt;1,"CHECK: listed twice",IF(AND(UPPER(TRIM(CLEAN(SUBSTITUTE(R8&amp;""," "," "))))&lt;&gt;"",UPPER(TRIM(CLEAN(SUBSTITUTE(R8&amp;""," "," "))))&lt;&gt;"IN",UPPER(TRIM(CLEAN(SUBSTITUTE(R8&amp;""," "," "))))&lt;&gt;"OUT"),"CHECK: determination must be IN, OUT or blank",IF(AND(S8&amp;""&lt;&gt;"",NOT(ISNUMBER(S8))),"CHECK: displaced rate must be a percentage",IF(AND(UPPER(TRIM(CLEAN(SUBSTITUTE(R8&amp;""," "," "))))="",NOT(ISNUMBER(S8))),"CHECK: enter IN, OUT or a displaced rate",IF(SUMPRODUCT(--(Calc!$AL$5:$AL$254&lt;&gt;""))=0,"WAIT: Items not loaded yet",IF(COUNTIF(Calc!$AL$5:$AL$254,V8)=0,"CHECK: no Items row for this item and import country","OK"))))))))</f>
        <v/>
      </c>
      <c r="Y8" s="8" t="n"/>
      <c r="Z8" s="8" t="n"/>
      <c r="AA8" s="8" t="n"/>
      <c r="AB8" s="8" t="n"/>
      <c r="AC8" s="12" t="n"/>
      <c r="AD8" s="12" t="n"/>
      <c r="AE8" s="8" t="n"/>
      <c r="AF8" s="12" t="n"/>
      <c r="AG8" s="11" t="n"/>
      <c r="AH8" s="13">
        <f>IF(UPPER(TRIM(CLEAN(SUBSTITUTE(Y8&amp;""," "," "))))="","",COUNTIFS(Calc!$O$5:$O$254,UPPER(TRIM(CLEAN(SUBSTITUTE(Y8&amp;""," "," ")))),Calc!$L$5:$L$254,"Y"))</f>
        <v/>
      </c>
      <c r="AI8" s="10">
        <f>IF(AND(UPPER(TRIM(CLEAN(SUBSTITUTE(Y8&amp;""," "," "))))="",UPPER(TRIM(CLEAN(SUBSTITUTE(Z8&amp;""," "," "))))="",UPPER(TRIM(CLEAN(SUBSTITUTE(AA8&amp;""," "," "))))="",UPPER(TRIM(CLEAN(SUBSTITUTE(AB8&amp;""," "," "))))="",UPPER(TRIM(CLEAN(SUBSTITUTE(AE8&amp;""," "," "))))="",AC8&amp;""="",AD8&amp;""="",AF8&amp;""=""),"",IF(UPPER(TRIM(CLEAN(SUBSTITUTE(Y8&amp;""," "," "))))="","CHECK: line ID missing",IF(NOT(ISNUMBER(AC8)),"CHECK: rate missing",IF(OR(AC8&lt;0,AC8&gt;10),"CHECK: rate must be 0% to 1000%",IF(SUMPRODUCT(--(UPPER(TRIM(CLEAN(SUBSTITUTE(rate_ID&amp;""," "," "))))=UPPER(TRIM(CLEAN(SUBSTITUTE(Y8&amp;""," "," "))))))&gt;1,"CHECK: line ID listed twice",IF(AND(UPPER(TRIM(CLEAN(SUBSTITUTE(Z8&amp;""," "," "))))&lt;&gt;"",SUMPRODUCT(--(UPPER(TRIM(CLEAN(SUBSTITUTE(scope_Group&amp;""," "," "))))=UPPER(TRIM(CLEAN(SUBSTITUTE(Z8&amp;""," "," "))))))=0),"CHECK: rate group not on the scope list",IF(AND(UPPER(TRIM(CLEAN(SUBSTITUTE(AA8&amp;""," "," "))))&lt;&gt;"",SUMPRODUCT(--(UPPER(TRIM(CLEAN(SUBSTITUTE(scope_COO&amp;""," "," "))))=UPPER(TRIM(CLEAN(SUBSTITUTE(AA8&amp;""," "," "))))))=0),"CHECK: origin not on the origin list",IF(AND(UPPER(TRIM(CLEAN(SUBSTITUTE(AB8&amp;""," "," "))))&lt;&gt;"",UPPER(TRIM(CLEAN(SUBSTITUTE(AB8&amp;""," "," "))))&lt;&gt;"Y",UPPER(TRIM(CLEAN(SUBSTITUTE(AB8&amp;""," "," "))))&lt;&gt;"N"),"CHECK: USMCA must be Y, N or blank",IF(AND(UPPER(TRIM(CLEAN(SUBSTITUTE(AE8&amp;""," "," "))))&lt;&gt;"",UPPER(TRIM(CLEAN(SUBSTITUTE(AE8&amp;""," "," "))))&lt;&gt;"FULL",UPPER(TRIM(CLEAN(SUBSTITUTE(AE8&amp;""," "," "))))&lt;&gt;"PART"),"CHECK: duty base must be FULL, PART or blank",IF(OR(AND(AD8&amp;""&lt;&gt;"",NOT(ISNUMBER(AD8))),AND(AF8&amp;""&lt;&gt;"",NOT(ISNUMBER(AF8)))),"CHECK: earlier or displaced rate must be a percentage",IF(AC8&gt;1,"NOTE: rate above 100%: check it was entered as a percentage","OK")))))))))))</f>
        <v/>
      </c>
    </row>
    <row r="9">
      <c r="A9" s="5" t="inlineStr">
        <is>
          <t>Tariff-Impact Brief ID and version</t>
        </is>
      </c>
      <c r="B9" s="8" t="inlineStr">
        <is>
          <t>TIB-TA-US-FIC-01 v1.0</t>
        </is>
      </c>
      <c r="C9" s="9" t="inlineStr">
        <is>
          <t>Brief Part 1. The model must match a checked brief version.</t>
        </is>
      </c>
      <c r="E9" s="8" t="n"/>
      <c r="F9" s="10">
        <f>IF(SUBSTITUTE(SUBSTITUTE(SUBSTITUTE(SUBSTITUTE(CLEAN(E9&amp;"")," ",""),".","")," ",""),"-","")="","",IF(AND(OR(LEN(SUBSTITUTE(SUBSTITUTE(SUBSTITUTE(SUBSTITUTE(CLEAN(E9&amp;"")," ",""),".","")," ",""),"-",""))=2,LEN(SUBSTITUTE(SUBSTITUTE(SUBSTITUTE(SUBSTITUTE(CLEAN(E9&amp;"")," ",""),".","")," ",""),"-",""))=4,LEN(SUBSTITUTE(SUBSTITUTE(SUBSTITUTE(SUBSTITUTE(CLEAN(E9&amp;"")," ",""),".","")," ",""),"-",""))=6,LEN(SUBSTITUTE(SUBSTITUTE(SUBSTITUTE(SUBSTITUTE(CLEAN(E9&amp;"")," ",""),".","")," ",""),"-",""))=8,LEN(SUBSTITUTE(SUBSTITUTE(SUBSTITUTE(SUBSTITUTE(CLEAN(E9&amp;"")," ",""),".","")," ",""),"-",""))=10),IFERROR(TEXT(VALUE(SUBSTITUTE(SUBSTITUTE(SUBSTITUTE(SUBSTITUTE(CLEAN(E9&amp;"")," ",""),".","")," ",""),"-","")),REPT("0",LEN(SUBSTITUTE(SUBSTITUTE(SUBSTITUTE(SUBSTITUTE(CLEAN(E9&amp;"")," ",""),".","")," ",""),"-",""))))=SUBSTITUTE(SUBSTITUTE(SUBSTITUTE(SUBSTITUTE(CLEAN(E9&amp;"")," ",""),".","")," ",""),"-",""),FALSE)),SUBSTITUTE(SUBSTITUTE(SUBSTITUTE(SUBSTITUTE(CLEAN(E9&amp;"")," ",""),".","")," ",""),"-",""),"CHECK: not 2, 4, 6, 8 or 10 digits"))</f>
        <v/>
      </c>
      <c r="G9" s="11" t="n"/>
      <c r="H9" s="8" t="n"/>
      <c r="I9" s="8" t="n"/>
      <c r="J9" s="10">
        <f>IF(SUBSTITUTE(SUBSTITUTE(SUBSTITUTE(SUBSTITUTE(CLEAN(I9&amp;"")," ",""),".","")," ",""),"-","")="","",IF(AND(OR(LEN(SUBSTITUTE(SUBSTITUTE(SUBSTITUTE(SUBSTITUTE(CLEAN(I9&amp;"")," ",""),".","")," ",""),"-",""))=2,LEN(SUBSTITUTE(SUBSTITUTE(SUBSTITUTE(SUBSTITUTE(CLEAN(I9&amp;"")," ",""),".","")," ",""),"-",""))=4,LEN(SUBSTITUTE(SUBSTITUTE(SUBSTITUTE(SUBSTITUTE(CLEAN(I9&amp;"")," ",""),".","")," ",""),"-",""))=6,LEN(SUBSTITUTE(SUBSTITUTE(SUBSTITUTE(SUBSTITUTE(CLEAN(I9&amp;"")," ",""),".","")," ",""),"-",""))=8,LEN(SUBSTITUTE(SUBSTITUTE(SUBSTITUTE(SUBSTITUTE(CLEAN(I9&amp;"")," ",""),".","")," ",""),"-",""))=10),IFERROR(TEXT(VALUE(SUBSTITUTE(SUBSTITUTE(SUBSTITUTE(SUBSTITUTE(CLEAN(I9&amp;"")," ",""),".","")," ",""),"-","")),REPT("0",LEN(SUBSTITUTE(SUBSTITUTE(SUBSTITUTE(SUBSTITUTE(CLEAN(I9&amp;"")," ",""),".","")," ",""),"-",""))))=SUBSTITUTE(SUBSTITUTE(SUBSTITUTE(SUBSTITUTE(CLEAN(I9&amp;"")," ",""),".","")," ",""),"-",""),FALSE)),SUBSTITUTE(SUBSTITUTE(SUBSTITUTE(SUBSTITUTE(CLEAN(I9&amp;"")," ",""),".","")," ",""),"-",""),"CHECK: not 2, 4, 6, 8 or 10 digits"))</f>
        <v/>
      </c>
      <c r="K9" s="11" t="n"/>
      <c r="M9" s="8" t="n"/>
      <c r="N9" s="11" t="n"/>
      <c r="P9" s="8" t="n"/>
      <c r="Q9" s="8" t="n"/>
      <c r="R9" s="8" t="n"/>
      <c r="S9" s="12" t="n"/>
      <c r="T9" s="11" t="n"/>
      <c r="U9" s="11" t="n"/>
      <c r="V9" s="10">
        <f>IF(TRIM(CLEAN(SUBSTITUTE(P9&amp;""," "," ")))="","",UPPER(TRIM(CLEAN(SUBSTITUTE(P9&amp;""," "," "))))&amp;"/"&amp;UPPER(TRIM(CLEAN(SUBSTITUTE(Q9&amp;""," "," ")))))</f>
        <v/>
      </c>
      <c r="W9" s="10">
        <f>IF(V9="","",IF(UPPER(TRIM(CLEAN(SUBSTITUTE(Q9&amp;""," "," "))))&lt;&gt;UPPER(TRIM(CLEAN(SUBSTITUTE(act_Country&amp;""," "," ")))),"CHECK: import country must match B7",IF(COUNTIF(det_Key,V9)&gt;1,"CHECK: listed twice",IF(AND(UPPER(TRIM(CLEAN(SUBSTITUTE(R9&amp;""," "," "))))&lt;&gt;"",UPPER(TRIM(CLEAN(SUBSTITUTE(R9&amp;""," "," "))))&lt;&gt;"IN",UPPER(TRIM(CLEAN(SUBSTITUTE(R9&amp;""," "," "))))&lt;&gt;"OUT"),"CHECK: determination must be IN, OUT or blank",IF(AND(S9&amp;""&lt;&gt;"",NOT(ISNUMBER(S9))),"CHECK: displaced rate must be a percentage",IF(AND(UPPER(TRIM(CLEAN(SUBSTITUTE(R9&amp;""," "," "))))="",NOT(ISNUMBER(S9))),"CHECK: enter IN, OUT or a displaced rate",IF(SUMPRODUCT(--(Calc!$AL$5:$AL$254&lt;&gt;""))=0,"WAIT: Items not loaded yet",IF(COUNTIF(Calc!$AL$5:$AL$254,V9)=0,"CHECK: no Items row for this item and import country","OK"))))))))</f>
        <v/>
      </c>
      <c r="Y9" s="8" t="n"/>
      <c r="Z9" s="8" t="n"/>
      <c r="AA9" s="8" t="n"/>
      <c r="AB9" s="8" t="n"/>
      <c r="AC9" s="12" t="n"/>
      <c r="AD9" s="12" t="n"/>
      <c r="AE9" s="8" t="n"/>
      <c r="AF9" s="12" t="n"/>
      <c r="AG9" s="11" t="n"/>
      <c r="AH9" s="13">
        <f>IF(UPPER(TRIM(CLEAN(SUBSTITUTE(Y9&amp;""," "," "))))="","",COUNTIFS(Calc!$O$5:$O$254,UPPER(TRIM(CLEAN(SUBSTITUTE(Y9&amp;""," "," ")))),Calc!$L$5:$L$254,"Y"))</f>
        <v/>
      </c>
      <c r="AI9" s="10">
        <f>IF(AND(UPPER(TRIM(CLEAN(SUBSTITUTE(Y9&amp;""," "," "))))="",UPPER(TRIM(CLEAN(SUBSTITUTE(Z9&amp;""," "," "))))="",UPPER(TRIM(CLEAN(SUBSTITUTE(AA9&amp;""," "," "))))="",UPPER(TRIM(CLEAN(SUBSTITUTE(AB9&amp;""," "," "))))="",UPPER(TRIM(CLEAN(SUBSTITUTE(AE9&amp;""," "," "))))="",AC9&amp;""="",AD9&amp;""="",AF9&amp;""=""),"",IF(UPPER(TRIM(CLEAN(SUBSTITUTE(Y9&amp;""," "," "))))="","CHECK: line ID missing",IF(NOT(ISNUMBER(AC9)),"CHECK: rate missing",IF(OR(AC9&lt;0,AC9&gt;10),"CHECK: rate must be 0% to 1000%",IF(SUMPRODUCT(--(UPPER(TRIM(CLEAN(SUBSTITUTE(rate_ID&amp;""," "," "))))=UPPER(TRIM(CLEAN(SUBSTITUTE(Y9&amp;""," "," "))))))&gt;1,"CHECK: line ID listed twice",IF(AND(UPPER(TRIM(CLEAN(SUBSTITUTE(Z9&amp;""," "," "))))&lt;&gt;"",SUMPRODUCT(--(UPPER(TRIM(CLEAN(SUBSTITUTE(scope_Group&amp;""," "," "))))=UPPER(TRIM(CLEAN(SUBSTITUTE(Z9&amp;""," "," "))))))=0),"CHECK: rate group not on the scope list",IF(AND(UPPER(TRIM(CLEAN(SUBSTITUTE(AA9&amp;""," "," "))))&lt;&gt;"",SUMPRODUCT(--(UPPER(TRIM(CLEAN(SUBSTITUTE(scope_COO&amp;""," "," "))))=UPPER(TRIM(CLEAN(SUBSTITUTE(AA9&amp;""," "," "))))))=0),"CHECK: origin not on the origin list",IF(AND(UPPER(TRIM(CLEAN(SUBSTITUTE(AB9&amp;""," "," "))))&lt;&gt;"",UPPER(TRIM(CLEAN(SUBSTITUTE(AB9&amp;""," "," "))))&lt;&gt;"Y",UPPER(TRIM(CLEAN(SUBSTITUTE(AB9&amp;""," "," "))))&lt;&gt;"N"),"CHECK: USMCA must be Y, N or blank",IF(AND(UPPER(TRIM(CLEAN(SUBSTITUTE(AE9&amp;""," "," "))))&lt;&gt;"",UPPER(TRIM(CLEAN(SUBSTITUTE(AE9&amp;""," "," "))))&lt;&gt;"FULL",UPPER(TRIM(CLEAN(SUBSTITUTE(AE9&amp;""," "," "))))&lt;&gt;"PART"),"CHECK: duty base must be FULL, PART or blank",IF(OR(AND(AD9&amp;""&lt;&gt;"",NOT(ISNUMBER(AD9))),AND(AF9&amp;""&lt;&gt;"",NOT(ISNUMBER(AF9)))),"CHECK: earlier or displaced rate must be a percentage",IF(AC9&gt;1,"NOTE: rate above 100%: check it was entered as a percentage","OK")))))))))))</f>
        <v/>
      </c>
    </row>
    <row r="10">
      <c r="A10" s="5" t="inlineStr">
        <is>
          <t>Primary legal source</t>
        </is>
      </c>
      <c r="B10" s="11" t="inlineStr">
        <is>
          <t>FICTIONAL: Federal Register notice 92 FR 00000; HTSUS heading 9903.XX.01</t>
        </is>
      </c>
      <c r="C10" s="9" t="inlineStr">
        <is>
          <t>Brief Part 4. Citation of the notice, order or decree.</t>
        </is>
      </c>
      <c r="E10" s="8" t="n"/>
      <c r="F10" s="10">
        <f>IF(SUBSTITUTE(SUBSTITUTE(SUBSTITUTE(SUBSTITUTE(CLEAN(E10&amp;"")," ",""),".","")," ",""),"-","")="","",IF(AND(OR(LEN(SUBSTITUTE(SUBSTITUTE(SUBSTITUTE(SUBSTITUTE(CLEAN(E10&amp;"")," ",""),".","")," ",""),"-",""))=2,LEN(SUBSTITUTE(SUBSTITUTE(SUBSTITUTE(SUBSTITUTE(CLEAN(E10&amp;"")," ",""),".","")," ",""),"-",""))=4,LEN(SUBSTITUTE(SUBSTITUTE(SUBSTITUTE(SUBSTITUTE(CLEAN(E10&amp;"")," ",""),".","")," ",""),"-",""))=6,LEN(SUBSTITUTE(SUBSTITUTE(SUBSTITUTE(SUBSTITUTE(CLEAN(E10&amp;"")," ",""),".","")," ",""),"-",""))=8,LEN(SUBSTITUTE(SUBSTITUTE(SUBSTITUTE(SUBSTITUTE(CLEAN(E10&amp;"")," ",""),".","")," ",""),"-",""))=10),IFERROR(TEXT(VALUE(SUBSTITUTE(SUBSTITUTE(SUBSTITUTE(SUBSTITUTE(CLEAN(E10&amp;"")," ",""),".","")," ",""),"-","")),REPT("0",LEN(SUBSTITUTE(SUBSTITUTE(SUBSTITUTE(SUBSTITUTE(CLEAN(E10&amp;"")," ",""),".","")," ",""),"-",""))))=SUBSTITUTE(SUBSTITUTE(SUBSTITUTE(SUBSTITUTE(CLEAN(E10&amp;"")," ",""),".","")," ",""),"-",""),FALSE)),SUBSTITUTE(SUBSTITUTE(SUBSTITUTE(SUBSTITUTE(CLEAN(E10&amp;"")," ",""),".","")," ",""),"-",""),"CHECK: not 2, 4, 6, 8 or 10 digits"))</f>
        <v/>
      </c>
      <c r="G10" s="11" t="n"/>
      <c r="H10" s="8" t="n"/>
      <c r="I10" s="8" t="n"/>
      <c r="J10" s="10">
        <f>IF(SUBSTITUTE(SUBSTITUTE(SUBSTITUTE(SUBSTITUTE(CLEAN(I10&amp;"")," ",""),".","")," ",""),"-","")="","",IF(AND(OR(LEN(SUBSTITUTE(SUBSTITUTE(SUBSTITUTE(SUBSTITUTE(CLEAN(I10&amp;"")," ",""),".","")," ",""),"-",""))=2,LEN(SUBSTITUTE(SUBSTITUTE(SUBSTITUTE(SUBSTITUTE(CLEAN(I10&amp;"")," ",""),".","")," ",""),"-",""))=4,LEN(SUBSTITUTE(SUBSTITUTE(SUBSTITUTE(SUBSTITUTE(CLEAN(I10&amp;"")," ",""),".","")," ",""),"-",""))=6,LEN(SUBSTITUTE(SUBSTITUTE(SUBSTITUTE(SUBSTITUTE(CLEAN(I10&amp;"")," ",""),".","")," ",""),"-",""))=8,LEN(SUBSTITUTE(SUBSTITUTE(SUBSTITUTE(SUBSTITUTE(CLEAN(I10&amp;"")," ",""),".","")," ",""),"-",""))=10),IFERROR(TEXT(VALUE(SUBSTITUTE(SUBSTITUTE(SUBSTITUTE(SUBSTITUTE(CLEAN(I10&amp;"")," ",""),".","")," ",""),"-","")),REPT("0",LEN(SUBSTITUTE(SUBSTITUTE(SUBSTITUTE(SUBSTITUTE(CLEAN(I10&amp;"")," ",""),".","")," ",""),"-",""))))=SUBSTITUTE(SUBSTITUTE(SUBSTITUTE(SUBSTITUTE(CLEAN(I10&amp;"")," ",""),".","")," ",""),"-",""),FALSE)),SUBSTITUTE(SUBSTITUTE(SUBSTITUTE(SUBSTITUTE(CLEAN(I10&amp;"")," ",""),".","")," ",""),"-",""),"CHECK: not 2, 4, 6, 8 or 10 digits"))</f>
        <v/>
      </c>
      <c r="K10" s="11" t="n"/>
      <c r="M10" s="8" t="n"/>
      <c r="N10" s="11" t="n"/>
      <c r="P10" s="8" t="n"/>
      <c r="Q10" s="8" t="n"/>
      <c r="R10" s="8" t="n"/>
      <c r="S10" s="12" t="n"/>
      <c r="T10" s="11" t="n"/>
      <c r="U10" s="11" t="n"/>
      <c r="V10" s="10">
        <f>IF(TRIM(CLEAN(SUBSTITUTE(P10&amp;""," "," ")))="","",UPPER(TRIM(CLEAN(SUBSTITUTE(P10&amp;""," "," "))))&amp;"/"&amp;UPPER(TRIM(CLEAN(SUBSTITUTE(Q10&amp;""," "," ")))))</f>
        <v/>
      </c>
      <c r="W10" s="10">
        <f>IF(V10="","",IF(UPPER(TRIM(CLEAN(SUBSTITUTE(Q10&amp;""," "," "))))&lt;&gt;UPPER(TRIM(CLEAN(SUBSTITUTE(act_Country&amp;""," "," ")))),"CHECK: import country must match B7",IF(COUNTIF(det_Key,V10)&gt;1,"CHECK: listed twice",IF(AND(UPPER(TRIM(CLEAN(SUBSTITUTE(R10&amp;""," "," "))))&lt;&gt;"",UPPER(TRIM(CLEAN(SUBSTITUTE(R10&amp;""," "," "))))&lt;&gt;"IN",UPPER(TRIM(CLEAN(SUBSTITUTE(R10&amp;""," "," "))))&lt;&gt;"OUT"),"CHECK: determination must be IN, OUT or blank",IF(AND(S10&amp;""&lt;&gt;"",NOT(ISNUMBER(S10))),"CHECK: displaced rate must be a percentage",IF(AND(UPPER(TRIM(CLEAN(SUBSTITUTE(R10&amp;""," "," "))))="",NOT(ISNUMBER(S10))),"CHECK: enter IN, OUT or a displaced rate",IF(SUMPRODUCT(--(Calc!$AL$5:$AL$254&lt;&gt;""))=0,"WAIT: Items not loaded yet",IF(COUNTIF(Calc!$AL$5:$AL$254,V10)=0,"CHECK: no Items row for this item and import country","OK"))))))))</f>
        <v/>
      </c>
      <c r="Y10" s="8" t="n"/>
      <c r="Z10" s="8" t="n"/>
      <c r="AA10" s="8" t="n"/>
      <c r="AB10" s="8" t="n"/>
      <c r="AC10" s="12" t="n"/>
      <c r="AD10" s="12" t="n"/>
      <c r="AE10" s="8" t="n"/>
      <c r="AF10" s="12" t="n"/>
      <c r="AG10" s="11" t="n"/>
      <c r="AH10" s="13">
        <f>IF(UPPER(TRIM(CLEAN(SUBSTITUTE(Y10&amp;""," "," "))))="","",COUNTIFS(Calc!$O$5:$O$254,UPPER(TRIM(CLEAN(SUBSTITUTE(Y10&amp;""," "," ")))),Calc!$L$5:$L$254,"Y"))</f>
        <v/>
      </c>
      <c r="AI10" s="10">
        <f>IF(AND(UPPER(TRIM(CLEAN(SUBSTITUTE(Y10&amp;""," "," "))))="",UPPER(TRIM(CLEAN(SUBSTITUTE(Z10&amp;""," "," "))))="",UPPER(TRIM(CLEAN(SUBSTITUTE(AA10&amp;""," "," "))))="",UPPER(TRIM(CLEAN(SUBSTITUTE(AB10&amp;""," "," "))))="",UPPER(TRIM(CLEAN(SUBSTITUTE(AE10&amp;""," "," "))))="",AC10&amp;""="",AD10&amp;""="",AF10&amp;""=""),"",IF(UPPER(TRIM(CLEAN(SUBSTITUTE(Y10&amp;""," "," "))))="","CHECK: line ID missing",IF(NOT(ISNUMBER(AC10)),"CHECK: rate missing",IF(OR(AC10&lt;0,AC10&gt;10),"CHECK: rate must be 0% to 1000%",IF(SUMPRODUCT(--(UPPER(TRIM(CLEAN(SUBSTITUTE(rate_ID&amp;""," "," "))))=UPPER(TRIM(CLEAN(SUBSTITUTE(Y10&amp;""," "," "))))))&gt;1,"CHECK: line ID listed twice",IF(AND(UPPER(TRIM(CLEAN(SUBSTITUTE(Z10&amp;""," "," "))))&lt;&gt;"",SUMPRODUCT(--(UPPER(TRIM(CLEAN(SUBSTITUTE(scope_Group&amp;""," "," "))))=UPPER(TRIM(CLEAN(SUBSTITUTE(Z10&amp;""," "," "))))))=0),"CHECK: rate group not on the scope list",IF(AND(UPPER(TRIM(CLEAN(SUBSTITUTE(AA10&amp;""," "," "))))&lt;&gt;"",SUMPRODUCT(--(UPPER(TRIM(CLEAN(SUBSTITUTE(scope_COO&amp;""," "," "))))=UPPER(TRIM(CLEAN(SUBSTITUTE(AA10&amp;""," "," "))))))=0),"CHECK: origin not on the origin list",IF(AND(UPPER(TRIM(CLEAN(SUBSTITUTE(AB10&amp;""," "," "))))&lt;&gt;"",UPPER(TRIM(CLEAN(SUBSTITUTE(AB10&amp;""," "," "))))&lt;&gt;"Y",UPPER(TRIM(CLEAN(SUBSTITUTE(AB10&amp;""," "," "))))&lt;&gt;"N"),"CHECK: USMCA must be Y, N or blank",IF(AND(UPPER(TRIM(CLEAN(SUBSTITUTE(AE10&amp;""," "," "))))&lt;&gt;"",UPPER(TRIM(CLEAN(SUBSTITUTE(AE10&amp;""," "," "))))&lt;&gt;"FULL",UPPER(TRIM(CLEAN(SUBSTITUTE(AE10&amp;""," "," "))))&lt;&gt;"PART"),"CHECK: duty base must be FULL, PART or blank",IF(OR(AND(AD10&amp;""&lt;&gt;"",NOT(ISNUMBER(AD10))),AND(AF10&amp;""&lt;&gt;"",NOT(ISNUMBER(AF10)))),"CHECK: earlier or displaced rate must be a percentage",IF(AC10&gt;1,"NOTE: rate above 100%: check it was entered as a percentage","OK")))))))))))</f>
        <v/>
      </c>
    </row>
    <row r="11">
      <c r="A11" s="5" t="inlineStr">
        <is>
          <t>Effective date</t>
        </is>
      </c>
      <c r="B11" s="14" t="n">
        <v>46447</v>
      </c>
      <c r="C11" s="9" t="inlineStr">
        <is>
          <t>Brief Part 5. Shown on the Summary; not applied by the formulas.</t>
        </is>
      </c>
      <c r="E11" s="8" t="n"/>
      <c r="F11" s="10">
        <f>IF(SUBSTITUTE(SUBSTITUTE(SUBSTITUTE(SUBSTITUTE(CLEAN(E11&amp;"")," ",""),".","")," ",""),"-","")="","",IF(AND(OR(LEN(SUBSTITUTE(SUBSTITUTE(SUBSTITUTE(SUBSTITUTE(CLEAN(E11&amp;"")," ",""),".","")," ",""),"-",""))=2,LEN(SUBSTITUTE(SUBSTITUTE(SUBSTITUTE(SUBSTITUTE(CLEAN(E11&amp;"")," ",""),".","")," ",""),"-",""))=4,LEN(SUBSTITUTE(SUBSTITUTE(SUBSTITUTE(SUBSTITUTE(CLEAN(E11&amp;"")," ",""),".","")," ",""),"-",""))=6,LEN(SUBSTITUTE(SUBSTITUTE(SUBSTITUTE(SUBSTITUTE(CLEAN(E11&amp;"")," ",""),".","")," ",""),"-",""))=8,LEN(SUBSTITUTE(SUBSTITUTE(SUBSTITUTE(SUBSTITUTE(CLEAN(E11&amp;"")," ",""),".","")," ",""),"-",""))=10),IFERROR(TEXT(VALUE(SUBSTITUTE(SUBSTITUTE(SUBSTITUTE(SUBSTITUTE(CLEAN(E11&amp;"")," ",""),".","")," ",""),"-","")),REPT("0",LEN(SUBSTITUTE(SUBSTITUTE(SUBSTITUTE(SUBSTITUTE(CLEAN(E11&amp;"")," ",""),".","")," ",""),"-",""))))=SUBSTITUTE(SUBSTITUTE(SUBSTITUTE(SUBSTITUTE(CLEAN(E11&amp;"")," ",""),".","")," ",""),"-",""),FALSE)),SUBSTITUTE(SUBSTITUTE(SUBSTITUTE(SUBSTITUTE(CLEAN(E11&amp;"")," ",""),".","")," ",""),"-",""),"CHECK: not 2, 4, 6, 8 or 10 digits"))</f>
        <v/>
      </c>
      <c r="G11" s="11" t="n"/>
      <c r="H11" s="8" t="n"/>
      <c r="I11" s="8" t="n"/>
      <c r="J11" s="10">
        <f>IF(SUBSTITUTE(SUBSTITUTE(SUBSTITUTE(SUBSTITUTE(CLEAN(I11&amp;"")," ",""),".","")," ",""),"-","")="","",IF(AND(OR(LEN(SUBSTITUTE(SUBSTITUTE(SUBSTITUTE(SUBSTITUTE(CLEAN(I11&amp;"")," ",""),".","")," ",""),"-",""))=2,LEN(SUBSTITUTE(SUBSTITUTE(SUBSTITUTE(SUBSTITUTE(CLEAN(I11&amp;"")," ",""),".","")," ",""),"-",""))=4,LEN(SUBSTITUTE(SUBSTITUTE(SUBSTITUTE(SUBSTITUTE(CLEAN(I11&amp;"")," ",""),".","")," ",""),"-",""))=6,LEN(SUBSTITUTE(SUBSTITUTE(SUBSTITUTE(SUBSTITUTE(CLEAN(I11&amp;"")," ",""),".","")," ",""),"-",""))=8,LEN(SUBSTITUTE(SUBSTITUTE(SUBSTITUTE(SUBSTITUTE(CLEAN(I11&amp;"")," ",""),".","")," ",""),"-",""))=10),IFERROR(TEXT(VALUE(SUBSTITUTE(SUBSTITUTE(SUBSTITUTE(SUBSTITUTE(CLEAN(I11&amp;"")," ",""),".","")," ",""),"-","")),REPT("0",LEN(SUBSTITUTE(SUBSTITUTE(SUBSTITUTE(SUBSTITUTE(CLEAN(I11&amp;"")," ",""),".","")," ",""),"-",""))))=SUBSTITUTE(SUBSTITUTE(SUBSTITUTE(SUBSTITUTE(CLEAN(I11&amp;"")," ",""),".","")," ",""),"-",""),FALSE)),SUBSTITUTE(SUBSTITUTE(SUBSTITUTE(SUBSTITUTE(CLEAN(I11&amp;"")," ",""),".","")," ",""),"-",""),"CHECK: not 2, 4, 6, 8 or 10 digits"))</f>
        <v/>
      </c>
      <c r="K11" s="11" t="n"/>
      <c r="M11" s="8" t="n"/>
      <c r="N11" s="11" t="n"/>
      <c r="P11" s="8" t="n"/>
      <c r="Q11" s="8" t="n"/>
      <c r="R11" s="8" t="n"/>
      <c r="S11" s="12" t="n"/>
      <c r="T11" s="11" t="n"/>
      <c r="U11" s="11" t="n"/>
      <c r="V11" s="10">
        <f>IF(TRIM(CLEAN(SUBSTITUTE(P11&amp;""," "," ")))="","",UPPER(TRIM(CLEAN(SUBSTITUTE(P11&amp;""," "," "))))&amp;"/"&amp;UPPER(TRIM(CLEAN(SUBSTITUTE(Q11&amp;""," "," ")))))</f>
        <v/>
      </c>
      <c r="W11" s="10">
        <f>IF(V11="","",IF(UPPER(TRIM(CLEAN(SUBSTITUTE(Q11&amp;""," "," "))))&lt;&gt;UPPER(TRIM(CLEAN(SUBSTITUTE(act_Country&amp;""," "," ")))),"CHECK: import country must match B7",IF(COUNTIF(det_Key,V11)&gt;1,"CHECK: listed twice",IF(AND(UPPER(TRIM(CLEAN(SUBSTITUTE(R11&amp;""," "," "))))&lt;&gt;"",UPPER(TRIM(CLEAN(SUBSTITUTE(R11&amp;""," "," "))))&lt;&gt;"IN",UPPER(TRIM(CLEAN(SUBSTITUTE(R11&amp;""," "," "))))&lt;&gt;"OUT"),"CHECK: determination must be IN, OUT or blank",IF(AND(S11&amp;""&lt;&gt;"",NOT(ISNUMBER(S11))),"CHECK: displaced rate must be a percentage",IF(AND(UPPER(TRIM(CLEAN(SUBSTITUTE(R11&amp;""," "," "))))="",NOT(ISNUMBER(S11))),"CHECK: enter IN, OUT or a displaced rate",IF(SUMPRODUCT(--(Calc!$AL$5:$AL$254&lt;&gt;""))=0,"WAIT: Items not loaded yet",IF(COUNTIF(Calc!$AL$5:$AL$254,V11)=0,"CHECK: no Items row for this item and import country","OK"))))))))</f>
        <v/>
      </c>
      <c r="Y11" s="8" t="n"/>
      <c r="Z11" s="8" t="n"/>
      <c r="AA11" s="8" t="n"/>
      <c r="AB11" s="8" t="n"/>
      <c r="AC11" s="12" t="n"/>
      <c r="AD11" s="12" t="n"/>
      <c r="AE11" s="8" t="n"/>
      <c r="AF11" s="12" t="n"/>
      <c r="AG11" s="11" t="n"/>
      <c r="AH11" s="13">
        <f>IF(UPPER(TRIM(CLEAN(SUBSTITUTE(Y11&amp;""," "," "))))="","",COUNTIFS(Calc!$O$5:$O$254,UPPER(TRIM(CLEAN(SUBSTITUTE(Y11&amp;""," "," ")))),Calc!$L$5:$L$254,"Y"))</f>
        <v/>
      </c>
      <c r="AI11" s="10">
        <f>IF(AND(UPPER(TRIM(CLEAN(SUBSTITUTE(Y11&amp;""," "," "))))="",UPPER(TRIM(CLEAN(SUBSTITUTE(Z11&amp;""," "," "))))="",UPPER(TRIM(CLEAN(SUBSTITUTE(AA11&amp;""," "," "))))="",UPPER(TRIM(CLEAN(SUBSTITUTE(AB11&amp;""," "," "))))="",UPPER(TRIM(CLEAN(SUBSTITUTE(AE11&amp;""," "," "))))="",AC11&amp;""="",AD11&amp;""="",AF11&amp;""=""),"",IF(UPPER(TRIM(CLEAN(SUBSTITUTE(Y11&amp;""," "," "))))="","CHECK: line ID missing",IF(NOT(ISNUMBER(AC11)),"CHECK: rate missing",IF(OR(AC11&lt;0,AC11&gt;10),"CHECK: rate must be 0% to 1000%",IF(SUMPRODUCT(--(UPPER(TRIM(CLEAN(SUBSTITUTE(rate_ID&amp;""," "," "))))=UPPER(TRIM(CLEAN(SUBSTITUTE(Y11&amp;""," "," "))))))&gt;1,"CHECK: line ID listed twice",IF(AND(UPPER(TRIM(CLEAN(SUBSTITUTE(Z11&amp;""," "," "))))&lt;&gt;"",SUMPRODUCT(--(UPPER(TRIM(CLEAN(SUBSTITUTE(scope_Group&amp;""," "," "))))=UPPER(TRIM(CLEAN(SUBSTITUTE(Z11&amp;""," "," "))))))=0),"CHECK: rate group not on the scope list",IF(AND(UPPER(TRIM(CLEAN(SUBSTITUTE(AA11&amp;""," "," "))))&lt;&gt;"",SUMPRODUCT(--(UPPER(TRIM(CLEAN(SUBSTITUTE(scope_COO&amp;""," "," "))))=UPPER(TRIM(CLEAN(SUBSTITUTE(AA11&amp;""," "," "))))))=0),"CHECK: origin not on the origin list",IF(AND(UPPER(TRIM(CLEAN(SUBSTITUTE(AB11&amp;""," "," "))))&lt;&gt;"",UPPER(TRIM(CLEAN(SUBSTITUTE(AB11&amp;""," "," "))))&lt;&gt;"Y",UPPER(TRIM(CLEAN(SUBSTITUTE(AB11&amp;""," "," "))))&lt;&gt;"N"),"CHECK: USMCA must be Y, N or blank",IF(AND(UPPER(TRIM(CLEAN(SUBSTITUTE(AE11&amp;""," "," "))))&lt;&gt;"",UPPER(TRIM(CLEAN(SUBSTITUTE(AE11&amp;""," "," "))))&lt;&gt;"FULL",UPPER(TRIM(CLEAN(SUBSTITUTE(AE11&amp;""," "," "))))&lt;&gt;"PART"),"CHECK: duty base must be FULL, PART or blank",IF(OR(AND(AD11&amp;""&lt;&gt;"",NOT(ISNUMBER(AD11))),AND(AF11&amp;""&lt;&gt;"",NOT(ISNUMBER(AF11)))),"CHECK: earlier or displaced rate must be a percentage",IF(AC11&gt;1,"NOTE: rate above 100%: check it was entered as a percentage","OK")))))))))))</f>
        <v/>
      </c>
    </row>
    <row r="12">
      <c r="A12" s="5" t="inlineStr">
        <is>
          <t>Effective time and basis</t>
        </is>
      </c>
      <c r="B12" s="11" t="inlineStr">
        <is>
          <t>12:01 a.m. ET; goods entered for consumption, or withdrawn from warehouse for consumption, on or after the effective date</t>
        </is>
      </c>
      <c r="C12" s="9" t="inlineStr">
        <is>
          <t>Brief Part 5. Quote the notice wording.</t>
        </is>
      </c>
      <c r="E12" s="8" t="n"/>
      <c r="F12" s="10">
        <f>IF(SUBSTITUTE(SUBSTITUTE(SUBSTITUTE(SUBSTITUTE(CLEAN(E12&amp;"")," ",""),".","")," ",""),"-","")="","",IF(AND(OR(LEN(SUBSTITUTE(SUBSTITUTE(SUBSTITUTE(SUBSTITUTE(CLEAN(E12&amp;"")," ",""),".","")," ",""),"-",""))=2,LEN(SUBSTITUTE(SUBSTITUTE(SUBSTITUTE(SUBSTITUTE(CLEAN(E12&amp;"")," ",""),".","")," ",""),"-",""))=4,LEN(SUBSTITUTE(SUBSTITUTE(SUBSTITUTE(SUBSTITUTE(CLEAN(E12&amp;"")," ",""),".","")," ",""),"-",""))=6,LEN(SUBSTITUTE(SUBSTITUTE(SUBSTITUTE(SUBSTITUTE(CLEAN(E12&amp;"")," ",""),".","")," ",""),"-",""))=8,LEN(SUBSTITUTE(SUBSTITUTE(SUBSTITUTE(SUBSTITUTE(CLEAN(E12&amp;"")," ",""),".","")," ",""),"-",""))=10),IFERROR(TEXT(VALUE(SUBSTITUTE(SUBSTITUTE(SUBSTITUTE(SUBSTITUTE(CLEAN(E12&amp;"")," ",""),".","")," ",""),"-","")),REPT("0",LEN(SUBSTITUTE(SUBSTITUTE(SUBSTITUTE(SUBSTITUTE(CLEAN(E12&amp;"")," ",""),".","")," ",""),"-",""))))=SUBSTITUTE(SUBSTITUTE(SUBSTITUTE(SUBSTITUTE(CLEAN(E12&amp;"")," ",""),".","")," ",""),"-",""),FALSE)),SUBSTITUTE(SUBSTITUTE(SUBSTITUTE(SUBSTITUTE(CLEAN(E12&amp;"")," ",""),".","")," ",""),"-",""),"CHECK: not 2, 4, 6, 8 or 10 digits"))</f>
        <v/>
      </c>
      <c r="G12" s="11" t="n"/>
      <c r="H12" s="8" t="n"/>
      <c r="I12" s="8" t="n"/>
      <c r="J12" s="10">
        <f>IF(SUBSTITUTE(SUBSTITUTE(SUBSTITUTE(SUBSTITUTE(CLEAN(I12&amp;"")," ",""),".","")," ",""),"-","")="","",IF(AND(OR(LEN(SUBSTITUTE(SUBSTITUTE(SUBSTITUTE(SUBSTITUTE(CLEAN(I12&amp;"")," ",""),".","")," ",""),"-",""))=2,LEN(SUBSTITUTE(SUBSTITUTE(SUBSTITUTE(SUBSTITUTE(CLEAN(I12&amp;"")," ",""),".","")," ",""),"-",""))=4,LEN(SUBSTITUTE(SUBSTITUTE(SUBSTITUTE(SUBSTITUTE(CLEAN(I12&amp;"")," ",""),".","")," ",""),"-",""))=6,LEN(SUBSTITUTE(SUBSTITUTE(SUBSTITUTE(SUBSTITUTE(CLEAN(I12&amp;"")," ",""),".","")," ",""),"-",""))=8,LEN(SUBSTITUTE(SUBSTITUTE(SUBSTITUTE(SUBSTITUTE(CLEAN(I12&amp;"")," ",""),".","")," ",""),"-",""))=10),IFERROR(TEXT(VALUE(SUBSTITUTE(SUBSTITUTE(SUBSTITUTE(SUBSTITUTE(CLEAN(I12&amp;"")," ",""),".","")," ",""),"-","")),REPT("0",LEN(SUBSTITUTE(SUBSTITUTE(SUBSTITUTE(SUBSTITUTE(CLEAN(I12&amp;"")," ",""),".","")," ",""),"-",""))))=SUBSTITUTE(SUBSTITUTE(SUBSTITUTE(SUBSTITUTE(CLEAN(I12&amp;"")," ",""),".","")," ",""),"-",""),FALSE)),SUBSTITUTE(SUBSTITUTE(SUBSTITUTE(SUBSTITUTE(CLEAN(I12&amp;"")," ",""),".","")," ",""),"-",""),"CHECK: not 2, 4, 6, 8 or 10 digits"))</f>
        <v/>
      </c>
      <c r="K12" s="11" t="n"/>
      <c r="M12" s="8" t="n"/>
      <c r="N12" s="11" t="n"/>
      <c r="P12" s="8" t="n"/>
      <c r="Q12" s="8" t="n"/>
      <c r="R12" s="8" t="n"/>
      <c r="S12" s="12" t="n"/>
      <c r="T12" s="11" t="n"/>
      <c r="U12" s="11" t="n"/>
      <c r="V12" s="10">
        <f>IF(TRIM(CLEAN(SUBSTITUTE(P12&amp;""," "," ")))="","",UPPER(TRIM(CLEAN(SUBSTITUTE(P12&amp;""," "," "))))&amp;"/"&amp;UPPER(TRIM(CLEAN(SUBSTITUTE(Q12&amp;""," "," ")))))</f>
        <v/>
      </c>
      <c r="W12" s="10">
        <f>IF(V12="","",IF(UPPER(TRIM(CLEAN(SUBSTITUTE(Q12&amp;""," "," "))))&lt;&gt;UPPER(TRIM(CLEAN(SUBSTITUTE(act_Country&amp;""," "," ")))),"CHECK: import country must match B7",IF(COUNTIF(det_Key,V12)&gt;1,"CHECK: listed twice",IF(AND(UPPER(TRIM(CLEAN(SUBSTITUTE(R12&amp;""," "," "))))&lt;&gt;"",UPPER(TRIM(CLEAN(SUBSTITUTE(R12&amp;""," "," "))))&lt;&gt;"IN",UPPER(TRIM(CLEAN(SUBSTITUTE(R12&amp;""," "," "))))&lt;&gt;"OUT"),"CHECK: determination must be IN, OUT or blank",IF(AND(S12&amp;""&lt;&gt;"",NOT(ISNUMBER(S12))),"CHECK: displaced rate must be a percentage",IF(AND(UPPER(TRIM(CLEAN(SUBSTITUTE(R12&amp;""," "," "))))="",NOT(ISNUMBER(S12))),"CHECK: enter IN, OUT or a displaced rate",IF(SUMPRODUCT(--(Calc!$AL$5:$AL$254&lt;&gt;""))=0,"WAIT: Items not loaded yet",IF(COUNTIF(Calc!$AL$5:$AL$254,V12)=0,"CHECK: no Items row for this item and import country","OK"))))))))</f>
        <v/>
      </c>
      <c r="Y12" s="8" t="n"/>
      <c r="Z12" s="8" t="n"/>
      <c r="AA12" s="8" t="n"/>
      <c r="AB12" s="8" t="n"/>
      <c r="AC12" s="12" t="n"/>
      <c r="AD12" s="12" t="n"/>
      <c r="AE12" s="8" t="n"/>
      <c r="AF12" s="12" t="n"/>
      <c r="AG12" s="11" t="n"/>
      <c r="AH12" s="13">
        <f>IF(UPPER(TRIM(CLEAN(SUBSTITUTE(Y12&amp;""," "," "))))="","",COUNTIFS(Calc!$O$5:$O$254,UPPER(TRIM(CLEAN(SUBSTITUTE(Y12&amp;""," "," ")))),Calc!$L$5:$L$254,"Y"))</f>
        <v/>
      </c>
      <c r="AI12" s="10">
        <f>IF(AND(UPPER(TRIM(CLEAN(SUBSTITUTE(Y12&amp;""," "," "))))="",UPPER(TRIM(CLEAN(SUBSTITUTE(Z12&amp;""," "," "))))="",UPPER(TRIM(CLEAN(SUBSTITUTE(AA12&amp;""," "," "))))="",UPPER(TRIM(CLEAN(SUBSTITUTE(AB12&amp;""," "," "))))="",UPPER(TRIM(CLEAN(SUBSTITUTE(AE12&amp;""," "," "))))="",AC12&amp;""="",AD12&amp;""="",AF12&amp;""=""),"",IF(UPPER(TRIM(CLEAN(SUBSTITUTE(Y12&amp;""," "," "))))="","CHECK: line ID missing",IF(NOT(ISNUMBER(AC12)),"CHECK: rate missing",IF(OR(AC12&lt;0,AC12&gt;10),"CHECK: rate must be 0% to 1000%",IF(SUMPRODUCT(--(UPPER(TRIM(CLEAN(SUBSTITUTE(rate_ID&amp;""," "," "))))=UPPER(TRIM(CLEAN(SUBSTITUTE(Y12&amp;""," "," "))))))&gt;1,"CHECK: line ID listed twice",IF(AND(UPPER(TRIM(CLEAN(SUBSTITUTE(Z12&amp;""," "," "))))&lt;&gt;"",SUMPRODUCT(--(UPPER(TRIM(CLEAN(SUBSTITUTE(scope_Group&amp;""," "," "))))=UPPER(TRIM(CLEAN(SUBSTITUTE(Z12&amp;""," "," "))))))=0),"CHECK: rate group not on the scope list",IF(AND(UPPER(TRIM(CLEAN(SUBSTITUTE(AA12&amp;""," "," "))))&lt;&gt;"",SUMPRODUCT(--(UPPER(TRIM(CLEAN(SUBSTITUTE(scope_COO&amp;""," "," "))))=UPPER(TRIM(CLEAN(SUBSTITUTE(AA12&amp;""," "," "))))))=0),"CHECK: origin not on the origin list",IF(AND(UPPER(TRIM(CLEAN(SUBSTITUTE(AB12&amp;""," "," "))))&lt;&gt;"",UPPER(TRIM(CLEAN(SUBSTITUTE(AB12&amp;""," "," "))))&lt;&gt;"Y",UPPER(TRIM(CLEAN(SUBSTITUTE(AB12&amp;""," "," "))))&lt;&gt;"N"),"CHECK: USMCA must be Y, N or blank",IF(AND(UPPER(TRIM(CLEAN(SUBSTITUTE(AE12&amp;""," "," "))))&lt;&gt;"",UPPER(TRIM(CLEAN(SUBSTITUTE(AE12&amp;""," "," "))))&lt;&gt;"FULL",UPPER(TRIM(CLEAN(SUBSTITUTE(AE12&amp;""," "," "))))&lt;&gt;"PART"),"CHECK: duty base must be FULL, PART or blank",IF(OR(AND(AD12&amp;""&lt;&gt;"",NOT(ISNUMBER(AD12))),AND(AF12&amp;""&lt;&gt;"",NOT(ISNUMBER(AF12)))),"CHECK: earlier or displaced rate must be a percentage",IF(AC12&gt;1,"NOTE: rate above 100%: check it was entered as a percentage","OK")))))))))))</f>
        <v/>
      </c>
    </row>
    <row r="13">
      <c r="A13" s="5" t="inlineStr">
        <is>
          <t>In-transit provision</t>
        </is>
      </c>
      <c r="B13" s="11" t="inlineStr">
        <is>
          <t>FICTIONAL: not covered if loaded on the final mode of transit before the effective date and entered before 2027-04-30</t>
        </is>
      </c>
      <c r="C13" s="9" t="inlineStr">
        <is>
          <t>Brief Part 5. Not applied by the formulas; Standard Cost handles in-transit stock separately.</t>
        </is>
      </c>
      <c r="E13" s="8" t="n"/>
      <c r="F13" s="10">
        <f>IF(SUBSTITUTE(SUBSTITUTE(SUBSTITUTE(SUBSTITUTE(CLEAN(E13&amp;"")," ",""),".","")," ",""),"-","")="","",IF(AND(OR(LEN(SUBSTITUTE(SUBSTITUTE(SUBSTITUTE(SUBSTITUTE(CLEAN(E13&amp;"")," ",""),".","")," ",""),"-",""))=2,LEN(SUBSTITUTE(SUBSTITUTE(SUBSTITUTE(SUBSTITUTE(CLEAN(E13&amp;"")," ",""),".","")," ",""),"-",""))=4,LEN(SUBSTITUTE(SUBSTITUTE(SUBSTITUTE(SUBSTITUTE(CLEAN(E13&amp;"")," ",""),".","")," ",""),"-",""))=6,LEN(SUBSTITUTE(SUBSTITUTE(SUBSTITUTE(SUBSTITUTE(CLEAN(E13&amp;"")," ",""),".","")," ",""),"-",""))=8,LEN(SUBSTITUTE(SUBSTITUTE(SUBSTITUTE(SUBSTITUTE(CLEAN(E13&amp;"")," ",""),".","")," ",""),"-",""))=10),IFERROR(TEXT(VALUE(SUBSTITUTE(SUBSTITUTE(SUBSTITUTE(SUBSTITUTE(CLEAN(E13&amp;"")," ",""),".","")," ",""),"-","")),REPT("0",LEN(SUBSTITUTE(SUBSTITUTE(SUBSTITUTE(SUBSTITUTE(CLEAN(E13&amp;"")," ",""),".","")," ",""),"-",""))))=SUBSTITUTE(SUBSTITUTE(SUBSTITUTE(SUBSTITUTE(CLEAN(E13&amp;"")," ",""),".","")," ",""),"-",""),FALSE)),SUBSTITUTE(SUBSTITUTE(SUBSTITUTE(SUBSTITUTE(CLEAN(E13&amp;"")," ",""),".","")," ",""),"-",""),"CHECK: not 2, 4, 6, 8 or 10 digits"))</f>
        <v/>
      </c>
      <c r="G13" s="11" t="n"/>
      <c r="H13" s="8" t="n"/>
      <c r="I13" s="8" t="n"/>
      <c r="J13" s="10">
        <f>IF(SUBSTITUTE(SUBSTITUTE(SUBSTITUTE(SUBSTITUTE(CLEAN(I13&amp;"")," ",""),".","")," ",""),"-","")="","",IF(AND(OR(LEN(SUBSTITUTE(SUBSTITUTE(SUBSTITUTE(SUBSTITUTE(CLEAN(I13&amp;"")," ",""),".","")," ",""),"-",""))=2,LEN(SUBSTITUTE(SUBSTITUTE(SUBSTITUTE(SUBSTITUTE(CLEAN(I13&amp;"")," ",""),".","")," ",""),"-",""))=4,LEN(SUBSTITUTE(SUBSTITUTE(SUBSTITUTE(SUBSTITUTE(CLEAN(I13&amp;"")," ",""),".","")," ",""),"-",""))=6,LEN(SUBSTITUTE(SUBSTITUTE(SUBSTITUTE(SUBSTITUTE(CLEAN(I13&amp;"")," ",""),".","")," ",""),"-",""))=8,LEN(SUBSTITUTE(SUBSTITUTE(SUBSTITUTE(SUBSTITUTE(CLEAN(I13&amp;"")," ",""),".","")," ",""),"-",""))=10),IFERROR(TEXT(VALUE(SUBSTITUTE(SUBSTITUTE(SUBSTITUTE(SUBSTITUTE(CLEAN(I13&amp;"")," ",""),".","")," ",""),"-","")),REPT("0",LEN(SUBSTITUTE(SUBSTITUTE(SUBSTITUTE(SUBSTITUTE(CLEAN(I13&amp;"")," ",""),".","")," ",""),"-",""))))=SUBSTITUTE(SUBSTITUTE(SUBSTITUTE(SUBSTITUTE(CLEAN(I13&amp;"")," ",""),".","")," ",""),"-",""),FALSE)),SUBSTITUTE(SUBSTITUTE(SUBSTITUTE(SUBSTITUTE(CLEAN(I13&amp;"")," ",""),".","")," ",""),"-",""),"CHECK: not 2, 4, 6, 8 or 10 digits"))</f>
        <v/>
      </c>
      <c r="K13" s="11" t="n"/>
      <c r="M13" s="8" t="n"/>
      <c r="N13" s="11" t="n"/>
      <c r="P13" s="8" t="n"/>
      <c r="Q13" s="8" t="n"/>
      <c r="R13" s="8" t="n"/>
      <c r="S13" s="12" t="n"/>
      <c r="T13" s="11" t="n"/>
      <c r="U13" s="11" t="n"/>
      <c r="V13" s="10">
        <f>IF(TRIM(CLEAN(SUBSTITUTE(P13&amp;""," "," ")))="","",UPPER(TRIM(CLEAN(SUBSTITUTE(P13&amp;""," "," "))))&amp;"/"&amp;UPPER(TRIM(CLEAN(SUBSTITUTE(Q13&amp;""," "," ")))))</f>
        <v/>
      </c>
      <c r="W13" s="10">
        <f>IF(V13="","",IF(UPPER(TRIM(CLEAN(SUBSTITUTE(Q13&amp;""," "," "))))&lt;&gt;UPPER(TRIM(CLEAN(SUBSTITUTE(act_Country&amp;""," "," ")))),"CHECK: import country must match B7",IF(COUNTIF(det_Key,V13)&gt;1,"CHECK: listed twice",IF(AND(UPPER(TRIM(CLEAN(SUBSTITUTE(R13&amp;""," "," "))))&lt;&gt;"",UPPER(TRIM(CLEAN(SUBSTITUTE(R13&amp;""," "," "))))&lt;&gt;"IN",UPPER(TRIM(CLEAN(SUBSTITUTE(R13&amp;""," "," "))))&lt;&gt;"OUT"),"CHECK: determination must be IN, OUT or blank",IF(AND(S13&amp;""&lt;&gt;"",NOT(ISNUMBER(S13))),"CHECK: displaced rate must be a percentage",IF(AND(UPPER(TRIM(CLEAN(SUBSTITUTE(R13&amp;""," "," "))))="",NOT(ISNUMBER(S13))),"CHECK: enter IN, OUT or a displaced rate",IF(SUMPRODUCT(--(Calc!$AL$5:$AL$254&lt;&gt;""))=0,"WAIT: Items not loaded yet",IF(COUNTIF(Calc!$AL$5:$AL$254,V13)=0,"CHECK: no Items row for this item and import country","OK"))))))))</f>
        <v/>
      </c>
      <c r="Y13" s="8" t="n"/>
      <c r="Z13" s="8" t="n"/>
      <c r="AA13" s="8" t="n"/>
      <c r="AB13" s="8" t="n"/>
      <c r="AC13" s="12" t="n"/>
      <c r="AD13" s="12" t="n"/>
      <c r="AE13" s="8" t="n"/>
      <c r="AF13" s="12" t="n"/>
      <c r="AG13" s="11" t="n"/>
      <c r="AH13" s="13">
        <f>IF(UPPER(TRIM(CLEAN(SUBSTITUTE(Y13&amp;""," "," "))))="","",COUNTIFS(Calc!$O$5:$O$254,UPPER(TRIM(CLEAN(SUBSTITUTE(Y13&amp;""," "," ")))),Calc!$L$5:$L$254,"Y"))</f>
        <v/>
      </c>
      <c r="AI13" s="10">
        <f>IF(AND(UPPER(TRIM(CLEAN(SUBSTITUTE(Y13&amp;""," "," "))))="",UPPER(TRIM(CLEAN(SUBSTITUTE(Z13&amp;""," "," "))))="",UPPER(TRIM(CLEAN(SUBSTITUTE(AA13&amp;""," "," "))))="",UPPER(TRIM(CLEAN(SUBSTITUTE(AB13&amp;""," "," "))))="",UPPER(TRIM(CLEAN(SUBSTITUTE(AE13&amp;""," "," "))))="",AC13&amp;""="",AD13&amp;""="",AF13&amp;""=""),"",IF(UPPER(TRIM(CLEAN(SUBSTITUTE(Y13&amp;""," "," "))))="","CHECK: line ID missing",IF(NOT(ISNUMBER(AC13)),"CHECK: rate missing",IF(OR(AC13&lt;0,AC13&gt;10),"CHECK: rate must be 0% to 1000%",IF(SUMPRODUCT(--(UPPER(TRIM(CLEAN(SUBSTITUTE(rate_ID&amp;""," "," "))))=UPPER(TRIM(CLEAN(SUBSTITUTE(Y13&amp;""," "," "))))))&gt;1,"CHECK: line ID listed twice",IF(AND(UPPER(TRIM(CLEAN(SUBSTITUTE(Z13&amp;""," "," "))))&lt;&gt;"",SUMPRODUCT(--(UPPER(TRIM(CLEAN(SUBSTITUTE(scope_Group&amp;""," "," "))))=UPPER(TRIM(CLEAN(SUBSTITUTE(Z13&amp;""," "," "))))))=0),"CHECK: rate group not on the scope list",IF(AND(UPPER(TRIM(CLEAN(SUBSTITUTE(AA13&amp;""," "," "))))&lt;&gt;"",SUMPRODUCT(--(UPPER(TRIM(CLEAN(SUBSTITUTE(scope_COO&amp;""," "," "))))=UPPER(TRIM(CLEAN(SUBSTITUTE(AA13&amp;""," "," "))))))=0),"CHECK: origin not on the origin list",IF(AND(UPPER(TRIM(CLEAN(SUBSTITUTE(AB13&amp;""," "," "))))&lt;&gt;"",UPPER(TRIM(CLEAN(SUBSTITUTE(AB13&amp;""," "," "))))&lt;&gt;"Y",UPPER(TRIM(CLEAN(SUBSTITUTE(AB13&amp;""," "," "))))&lt;&gt;"N"),"CHECK: USMCA must be Y, N or blank",IF(AND(UPPER(TRIM(CLEAN(SUBSTITUTE(AE13&amp;""," "," "))))&lt;&gt;"",UPPER(TRIM(CLEAN(SUBSTITUTE(AE13&amp;""," "," "))))&lt;&gt;"FULL",UPPER(TRIM(CLEAN(SUBSTITUTE(AE13&amp;""," "," "))))&lt;&gt;"PART"),"CHECK: duty base must be FULL, PART or blank",IF(OR(AND(AD13&amp;""&lt;&gt;"",NOT(ISNUMBER(AD13))),AND(AF13&amp;""&lt;&gt;"",NOT(ISNUMBER(AF13)))),"CHECK: earlier or displaced rate must be a percentage",IF(AC13&gt;1,"NOTE: rate above 100%: check it was entered as a percentage","OK")))))))))))</f>
        <v/>
      </c>
    </row>
    <row r="14">
      <c r="A14" s="5" t="inlineStr">
        <is>
          <t>End date (blank if none)</t>
        </is>
      </c>
      <c r="B14" s="14" t="n"/>
      <c r="C14" s="9" t="inlineStr">
        <is>
          <t>Brief Part 5. Not applied by the formulas.</t>
        </is>
      </c>
      <c r="E14" s="8" t="n"/>
      <c r="F14" s="10">
        <f>IF(SUBSTITUTE(SUBSTITUTE(SUBSTITUTE(SUBSTITUTE(CLEAN(E14&amp;"")," ",""),".","")," ",""),"-","")="","",IF(AND(OR(LEN(SUBSTITUTE(SUBSTITUTE(SUBSTITUTE(SUBSTITUTE(CLEAN(E14&amp;"")," ",""),".","")," ",""),"-",""))=2,LEN(SUBSTITUTE(SUBSTITUTE(SUBSTITUTE(SUBSTITUTE(CLEAN(E14&amp;"")," ",""),".","")," ",""),"-",""))=4,LEN(SUBSTITUTE(SUBSTITUTE(SUBSTITUTE(SUBSTITUTE(CLEAN(E14&amp;"")," ",""),".","")," ",""),"-",""))=6,LEN(SUBSTITUTE(SUBSTITUTE(SUBSTITUTE(SUBSTITUTE(CLEAN(E14&amp;"")," ",""),".","")," ",""),"-",""))=8,LEN(SUBSTITUTE(SUBSTITUTE(SUBSTITUTE(SUBSTITUTE(CLEAN(E14&amp;"")," ",""),".","")," ",""),"-",""))=10),IFERROR(TEXT(VALUE(SUBSTITUTE(SUBSTITUTE(SUBSTITUTE(SUBSTITUTE(CLEAN(E14&amp;"")," ",""),".","")," ",""),"-","")),REPT("0",LEN(SUBSTITUTE(SUBSTITUTE(SUBSTITUTE(SUBSTITUTE(CLEAN(E14&amp;"")," ",""),".","")," ",""),"-",""))))=SUBSTITUTE(SUBSTITUTE(SUBSTITUTE(SUBSTITUTE(CLEAN(E14&amp;"")," ",""),".","")," ",""),"-",""),FALSE)),SUBSTITUTE(SUBSTITUTE(SUBSTITUTE(SUBSTITUTE(CLEAN(E14&amp;"")," ",""),".","")," ",""),"-",""),"CHECK: not 2, 4, 6, 8 or 10 digits"))</f>
        <v/>
      </c>
      <c r="G14" s="11" t="n"/>
      <c r="H14" s="8" t="n"/>
      <c r="I14" s="8" t="n"/>
      <c r="J14" s="10">
        <f>IF(SUBSTITUTE(SUBSTITUTE(SUBSTITUTE(SUBSTITUTE(CLEAN(I14&amp;"")," ",""),".","")," ",""),"-","")="","",IF(AND(OR(LEN(SUBSTITUTE(SUBSTITUTE(SUBSTITUTE(SUBSTITUTE(CLEAN(I14&amp;"")," ",""),".","")," ",""),"-",""))=2,LEN(SUBSTITUTE(SUBSTITUTE(SUBSTITUTE(SUBSTITUTE(CLEAN(I14&amp;"")," ",""),".","")," ",""),"-",""))=4,LEN(SUBSTITUTE(SUBSTITUTE(SUBSTITUTE(SUBSTITUTE(CLEAN(I14&amp;"")," ",""),".","")," ",""),"-",""))=6,LEN(SUBSTITUTE(SUBSTITUTE(SUBSTITUTE(SUBSTITUTE(CLEAN(I14&amp;"")," ",""),".","")," ",""),"-",""))=8,LEN(SUBSTITUTE(SUBSTITUTE(SUBSTITUTE(SUBSTITUTE(CLEAN(I14&amp;"")," ",""),".","")," ",""),"-",""))=10),IFERROR(TEXT(VALUE(SUBSTITUTE(SUBSTITUTE(SUBSTITUTE(SUBSTITUTE(CLEAN(I14&amp;"")," ",""),".","")," ",""),"-","")),REPT("0",LEN(SUBSTITUTE(SUBSTITUTE(SUBSTITUTE(SUBSTITUTE(CLEAN(I14&amp;"")," ",""),".","")," ",""),"-",""))))=SUBSTITUTE(SUBSTITUTE(SUBSTITUTE(SUBSTITUTE(CLEAN(I14&amp;"")," ",""),".","")," ",""),"-",""),FALSE)),SUBSTITUTE(SUBSTITUTE(SUBSTITUTE(SUBSTITUTE(CLEAN(I14&amp;"")," ",""),".","")," ",""),"-",""),"CHECK: not 2, 4, 6, 8 or 10 digits"))</f>
        <v/>
      </c>
      <c r="K14" s="11" t="n"/>
      <c r="M14" s="8" t="n"/>
      <c r="N14" s="11" t="n"/>
      <c r="P14" s="8" t="n"/>
      <c r="Q14" s="8" t="n"/>
      <c r="R14" s="8" t="n"/>
      <c r="S14" s="12" t="n"/>
      <c r="T14" s="11" t="n"/>
      <c r="U14" s="11" t="n"/>
      <c r="V14" s="10">
        <f>IF(TRIM(CLEAN(SUBSTITUTE(P14&amp;""," "," ")))="","",UPPER(TRIM(CLEAN(SUBSTITUTE(P14&amp;""," "," "))))&amp;"/"&amp;UPPER(TRIM(CLEAN(SUBSTITUTE(Q14&amp;""," "," ")))))</f>
        <v/>
      </c>
      <c r="W14" s="10">
        <f>IF(V14="","",IF(UPPER(TRIM(CLEAN(SUBSTITUTE(Q14&amp;""," "," "))))&lt;&gt;UPPER(TRIM(CLEAN(SUBSTITUTE(act_Country&amp;""," "," ")))),"CHECK: import country must match B7",IF(COUNTIF(det_Key,V14)&gt;1,"CHECK: listed twice",IF(AND(UPPER(TRIM(CLEAN(SUBSTITUTE(R14&amp;""," "," "))))&lt;&gt;"",UPPER(TRIM(CLEAN(SUBSTITUTE(R14&amp;""," "," "))))&lt;&gt;"IN",UPPER(TRIM(CLEAN(SUBSTITUTE(R14&amp;""," "," "))))&lt;&gt;"OUT"),"CHECK: determination must be IN, OUT or blank",IF(AND(S14&amp;""&lt;&gt;"",NOT(ISNUMBER(S14))),"CHECK: displaced rate must be a percentage",IF(AND(UPPER(TRIM(CLEAN(SUBSTITUTE(R14&amp;""," "," "))))="",NOT(ISNUMBER(S14))),"CHECK: enter IN, OUT or a displaced rate",IF(SUMPRODUCT(--(Calc!$AL$5:$AL$254&lt;&gt;""))=0,"WAIT: Items not loaded yet",IF(COUNTIF(Calc!$AL$5:$AL$254,V14)=0,"CHECK: no Items row for this item and import country","OK"))))))))</f>
        <v/>
      </c>
      <c r="Y14" s="8" t="n"/>
      <c r="Z14" s="8" t="n"/>
      <c r="AA14" s="8" t="n"/>
      <c r="AB14" s="8" t="n"/>
      <c r="AC14" s="12" t="n"/>
      <c r="AD14" s="12" t="n"/>
      <c r="AE14" s="8" t="n"/>
      <c r="AF14" s="12" t="n"/>
      <c r="AG14" s="11" t="n"/>
      <c r="AH14" s="13">
        <f>IF(UPPER(TRIM(CLEAN(SUBSTITUTE(Y14&amp;""," "," "))))="","",COUNTIFS(Calc!$O$5:$O$254,UPPER(TRIM(CLEAN(SUBSTITUTE(Y14&amp;""," "," ")))),Calc!$L$5:$L$254,"Y"))</f>
        <v/>
      </c>
      <c r="AI14" s="10">
        <f>IF(AND(UPPER(TRIM(CLEAN(SUBSTITUTE(Y14&amp;""," "," "))))="",UPPER(TRIM(CLEAN(SUBSTITUTE(Z14&amp;""," "," "))))="",UPPER(TRIM(CLEAN(SUBSTITUTE(AA14&amp;""," "," "))))="",UPPER(TRIM(CLEAN(SUBSTITUTE(AB14&amp;""," "," "))))="",UPPER(TRIM(CLEAN(SUBSTITUTE(AE14&amp;""," "," "))))="",AC14&amp;""="",AD14&amp;""="",AF14&amp;""=""),"",IF(UPPER(TRIM(CLEAN(SUBSTITUTE(Y14&amp;""," "," "))))="","CHECK: line ID missing",IF(NOT(ISNUMBER(AC14)),"CHECK: rate missing",IF(OR(AC14&lt;0,AC14&gt;10),"CHECK: rate must be 0% to 1000%",IF(SUMPRODUCT(--(UPPER(TRIM(CLEAN(SUBSTITUTE(rate_ID&amp;""," "," "))))=UPPER(TRIM(CLEAN(SUBSTITUTE(Y14&amp;""," "," "))))))&gt;1,"CHECK: line ID listed twice",IF(AND(UPPER(TRIM(CLEAN(SUBSTITUTE(Z14&amp;""," "," "))))&lt;&gt;"",SUMPRODUCT(--(UPPER(TRIM(CLEAN(SUBSTITUTE(scope_Group&amp;""," "," "))))=UPPER(TRIM(CLEAN(SUBSTITUTE(Z14&amp;""," "," "))))))=0),"CHECK: rate group not on the scope list",IF(AND(UPPER(TRIM(CLEAN(SUBSTITUTE(AA14&amp;""," "," "))))&lt;&gt;"",SUMPRODUCT(--(UPPER(TRIM(CLEAN(SUBSTITUTE(scope_COO&amp;""," "," "))))=UPPER(TRIM(CLEAN(SUBSTITUTE(AA14&amp;""," "," "))))))=0),"CHECK: origin not on the origin list",IF(AND(UPPER(TRIM(CLEAN(SUBSTITUTE(AB14&amp;""," "," "))))&lt;&gt;"",UPPER(TRIM(CLEAN(SUBSTITUTE(AB14&amp;""," "," "))))&lt;&gt;"Y",UPPER(TRIM(CLEAN(SUBSTITUTE(AB14&amp;""," "," "))))&lt;&gt;"N"),"CHECK: USMCA must be Y, N or blank",IF(AND(UPPER(TRIM(CLEAN(SUBSTITUTE(AE14&amp;""," "," "))))&lt;&gt;"",UPPER(TRIM(CLEAN(SUBSTITUTE(AE14&amp;""," "," "))))&lt;&gt;"FULL",UPPER(TRIM(CLEAN(SUBSTITUTE(AE14&amp;""," "," "))))&lt;&gt;"PART"),"CHECK: duty base must be FULL, PART or blank",IF(OR(AND(AD14&amp;""&lt;&gt;"",NOT(ISNUMBER(AD14))),AND(AF14&amp;""&lt;&gt;"",NOT(ISNUMBER(AF14)))),"CHECK: earlier or displaced rate must be a percentage",IF(AC14&gt;1,"NOTE: rate above 100%: check it was entered as a percentage","OK")))))))))))</f>
        <v/>
      </c>
    </row>
    <row r="15">
      <c r="A15" s="5" t="inlineStr">
        <is>
          <t>Default additional rate (% of customs value)</t>
        </is>
      </c>
      <c r="B15" s="12" t="n">
        <v>0.25</v>
      </c>
      <c r="C15" s="9" t="inlineStr">
        <is>
          <t>Brief Part 7. Applies to every in-scope item that matches no rate line (columns Y to AI). Leave blank if every in-scope item must match a rate line. Ad valorem only.</t>
        </is>
      </c>
      <c r="E15" s="8" t="n"/>
      <c r="F15" s="10">
        <f>IF(SUBSTITUTE(SUBSTITUTE(SUBSTITUTE(SUBSTITUTE(CLEAN(E15&amp;"")," ",""),".","")," ",""),"-","")="","",IF(AND(OR(LEN(SUBSTITUTE(SUBSTITUTE(SUBSTITUTE(SUBSTITUTE(CLEAN(E15&amp;"")," ",""),".","")," ",""),"-",""))=2,LEN(SUBSTITUTE(SUBSTITUTE(SUBSTITUTE(SUBSTITUTE(CLEAN(E15&amp;"")," ",""),".","")," ",""),"-",""))=4,LEN(SUBSTITUTE(SUBSTITUTE(SUBSTITUTE(SUBSTITUTE(CLEAN(E15&amp;"")," ",""),".","")," ",""),"-",""))=6,LEN(SUBSTITUTE(SUBSTITUTE(SUBSTITUTE(SUBSTITUTE(CLEAN(E15&amp;"")," ",""),".","")," ",""),"-",""))=8,LEN(SUBSTITUTE(SUBSTITUTE(SUBSTITUTE(SUBSTITUTE(CLEAN(E15&amp;"")," ",""),".","")," ",""),"-",""))=10),IFERROR(TEXT(VALUE(SUBSTITUTE(SUBSTITUTE(SUBSTITUTE(SUBSTITUTE(CLEAN(E15&amp;"")," ",""),".","")," ",""),"-","")),REPT("0",LEN(SUBSTITUTE(SUBSTITUTE(SUBSTITUTE(SUBSTITUTE(CLEAN(E15&amp;"")," ",""),".","")," ",""),"-",""))))=SUBSTITUTE(SUBSTITUTE(SUBSTITUTE(SUBSTITUTE(CLEAN(E15&amp;"")," ",""),".","")," ",""),"-",""),FALSE)),SUBSTITUTE(SUBSTITUTE(SUBSTITUTE(SUBSTITUTE(CLEAN(E15&amp;"")," ",""),".","")," ",""),"-",""),"CHECK: not 2, 4, 6, 8 or 10 digits"))</f>
        <v/>
      </c>
      <c r="G15" s="11" t="n"/>
      <c r="H15" s="8" t="n"/>
      <c r="I15" s="8" t="n"/>
      <c r="J15" s="10">
        <f>IF(SUBSTITUTE(SUBSTITUTE(SUBSTITUTE(SUBSTITUTE(CLEAN(I15&amp;"")," ",""),".","")," ",""),"-","")="","",IF(AND(OR(LEN(SUBSTITUTE(SUBSTITUTE(SUBSTITUTE(SUBSTITUTE(CLEAN(I15&amp;"")," ",""),".","")," ",""),"-",""))=2,LEN(SUBSTITUTE(SUBSTITUTE(SUBSTITUTE(SUBSTITUTE(CLEAN(I15&amp;"")," ",""),".","")," ",""),"-",""))=4,LEN(SUBSTITUTE(SUBSTITUTE(SUBSTITUTE(SUBSTITUTE(CLEAN(I15&amp;"")," ",""),".","")," ",""),"-",""))=6,LEN(SUBSTITUTE(SUBSTITUTE(SUBSTITUTE(SUBSTITUTE(CLEAN(I15&amp;"")," ",""),".","")," ",""),"-",""))=8,LEN(SUBSTITUTE(SUBSTITUTE(SUBSTITUTE(SUBSTITUTE(CLEAN(I15&amp;"")," ",""),".","")," ",""),"-",""))=10),IFERROR(TEXT(VALUE(SUBSTITUTE(SUBSTITUTE(SUBSTITUTE(SUBSTITUTE(CLEAN(I15&amp;"")," ",""),".","")," ",""),"-","")),REPT("0",LEN(SUBSTITUTE(SUBSTITUTE(SUBSTITUTE(SUBSTITUTE(CLEAN(I15&amp;"")," ",""),".","")," ",""),"-",""))))=SUBSTITUTE(SUBSTITUTE(SUBSTITUTE(SUBSTITUTE(CLEAN(I15&amp;"")," ",""),".","")," ",""),"-",""),FALSE)),SUBSTITUTE(SUBSTITUTE(SUBSTITUTE(SUBSTITUTE(CLEAN(I15&amp;"")," ",""),".","")," ",""),"-",""),"CHECK: not 2, 4, 6, 8 or 10 digits"))</f>
        <v/>
      </c>
      <c r="K15" s="11" t="n"/>
      <c r="M15" s="8" t="n"/>
      <c r="N15" s="11" t="n"/>
      <c r="P15" s="8" t="n"/>
      <c r="Q15" s="8" t="n"/>
      <c r="R15" s="8" t="n"/>
      <c r="S15" s="12" t="n"/>
      <c r="T15" s="11" t="n"/>
      <c r="U15" s="11" t="n"/>
      <c r="V15" s="10">
        <f>IF(TRIM(CLEAN(SUBSTITUTE(P15&amp;""," "," ")))="","",UPPER(TRIM(CLEAN(SUBSTITUTE(P15&amp;""," "," "))))&amp;"/"&amp;UPPER(TRIM(CLEAN(SUBSTITUTE(Q15&amp;""," "," ")))))</f>
        <v/>
      </c>
      <c r="W15" s="10">
        <f>IF(V15="","",IF(UPPER(TRIM(CLEAN(SUBSTITUTE(Q15&amp;""," "," "))))&lt;&gt;UPPER(TRIM(CLEAN(SUBSTITUTE(act_Country&amp;""," "," ")))),"CHECK: import country must match B7",IF(COUNTIF(det_Key,V15)&gt;1,"CHECK: listed twice",IF(AND(UPPER(TRIM(CLEAN(SUBSTITUTE(R15&amp;""," "," "))))&lt;&gt;"",UPPER(TRIM(CLEAN(SUBSTITUTE(R15&amp;""," "," "))))&lt;&gt;"IN",UPPER(TRIM(CLEAN(SUBSTITUTE(R15&amp;""," "," "))))&lt;&gt;"OUT"),"CHECK: determination must be IN, OUT or blank",IF(AND(S15&amp;""&lt;&gt;"",NOT(ISNUMBER(S15))),"CHECK: displaced rate must be a percentage",IF(AND(UPPER(TRIM(CLEAN(SUBSTITUTE(R15&amp;""," "," "))))="",NOT(ISNUMBER(S15))),"CHECK: enter IN, OUT or a displaced rate",IF(SUMPRODUCT(--(Calc!$AL$5:$AL$254&lt;&gt;""))=0,"WAIT: Items not loaded yet",IF(COUNTIF(Calc!$AL$5:$AL$254,V15)=0,"CHECK: no Items row for this item and import country","OK"))))))))</f>
        <v/>
      </c>
      <c r="Y15" s="8" t="n"/>
      <c r="Z15" s="8" t="n"/>
      <c r="AA15" s="8" t="n"/>
      <c r="AB15" s="8" t="n"/>
      <c r="AC15" s="12" t="n"/>
      <c r="AD15" s="12" t="n"/>
      <c r="AE15" s="8" t="n"/>
      <c r="AF15" s="12" t="n"/>
      <c r="AG15" s="11" t="n"/>
      <c r="AH15" s="13">
        <f>IF(UPPER(TRIM(CLEAN(SUBSTITUTE(Y15&amp;""," "," "))))="","",COUNTIFS(Calc!$O$5:$O$254,UPPER(TRIM(CLEAN(SUBSTITUTE(Y15&amp;""," "," ")))),Calc!$L$5:$L$254,"Y"))</f>
        <v/>
      </c>
      <c r="AI15" s="10">
        <f>IF(AND(UPPER(TRIM(CLEAN(SUBSTITUTE(Y15&amp;""," "," "))))="",UPPER(TRIM(CLEAN(SUBSTITUTE(Z15&amp;""," "," "))))="",UPPER(TRIM(CLEAN(SUBSTITUTE(AA15&amp;""," "," "))))="",UPPER(TRIM(CLEAN(SUBSTITUTE(AB15&amp;""," "," "))))="",UPPER(TRIM(CLEAN(SUBSTITUTE(AE15&amp;""," "," "))))="",AC15&amp;""="",AD15&amp;""="",AF15&amp;""=""),"",IF(UPPER(TRIM(CLEAN(SUBSTITUTE(Y15&amp;""," "," "))))="","CHECK: line ID missing",IF(NOT(ISNUMBER(AC15)),"CHECK: rate missing",IF(OR(AC15&lt;0,AC15&gt;10),"CHECK: rate must be 0% to 1000%",IF(SUMPRODUCT(--(UPPER(TRIM(CLEAN(SUBSTITUTE(rate_ID&amp;""," "," "))))=UPPER(TRIM(CLEAN(SUBSTITUTE(Y15&amp;""," "," "))))))&gt;1,"CHECK: line ID listed twice",IF(AND(UPPER(TRIM(CLEAN(SUBSTITUTE(Z15&amp;""," "," "))))&lt;&gt;"",SUMPRODUCT(--(UPPER(TRIM(CLEAN(SUBSTITUTE(scope_Group&amp;""," "," "))))=UPPER(TRIM(CLEAN(SUBSTITUTE(Z15&amp;""," "," "))))))=0),"CHECK: rate group not on the scope list",IF(AND(UPPER(TRIM(CLEAN(SUBSTITUTE(AA15&amp;""," "," "))))&lt;&gt;"",SUMPRODUCT(--(UPPER(TRIM(CLEAN(SUBSTITUTE(scope_COO&amp;""," "," "))))=UPPER(TRIM(CLEAN(SUBSTITUTE(AA15&amp;""," "," "))))))=0),"CHECK: origin not on the origin list",IF(AND(UPPER(TRIM(CLEAN(SUBSTITUTE(AB15&amp;""," "," "))))&lt;&gt;"",UPPER(TRIM(CLEAN(SUBSTITUTE(AB15&amp;""," "," "))))&lt;&gt;"Y",UPPER(TRIM(CLEAN(SUBSTITUTE(AB15&amp;""," "," "))))&lt;&gt;"N"),"CHECK: USMCA must be Y, N or blank",IF(AND(UPPER(TRIM(CLEAN(SUBSTITUTE(AE15&amp;""," "," "))))&lt;&gt;"",UPPER(TRIM(CLEAN(SUBSTITUTE(AE15&amp;""," "," "))))&lt;&gt;"FULL",UPPER(TRIM(CLEAN(SUBSTITUTE(AE15&amp;""," "," "))))&lt;&gt;"PART"),"CHECK: duty base must be FULL, PART or blank",IF(OR(AND(AD15&amp;""&lt;&gt;"",NOT(ISNUMBER(AD15))),AND(AF15&amp;""&lt;&gt;"",NOT(ISNUMBER(AF15)))),"CHECK: earlier or displaced rate must be a percentage",IF(AC15&gt;1,"NOTE: rate above 100%: check it was entered as a percentage","OK")))))))))))</f>
        <v/>
      </c>
    </row>
    <row r="16">
      <c r="A16" s="5" t="inlineStr">
        <is>
          <t>Rate change type (ADD or REPLACE)</t>
        </is>
      </c>
      <c r="B16" s="8" t="inlineStr">
        <is>
          <t>ADD</t>
        </is>
      </c>
      <c r="C16" s="9" t="inlineStr">
        <is>
          <t>Applies to B15 and to rate lines with column AD blank. ADD: added to the item's current rate. REPLACE: replaces this action's earlier rate in B17. A rate line with a number in AD replaces that rate instead (0% = it only adds).</t>
        </is>
      </c>
      <c r="E16" s="8" t="n"/>
      <c r="F16" s="10">
        <f>IF(SUBSTITUTE(SUBSTITUTE(SUBSTITUTE(SUBSTITUTE(CLEAN(E16&amp;"")," ",""),".","")," ",""),"-","")="","",IF(AND(OR(LEN(SUBSTITUTE(SUBSTITUTE(SUBSTITUTE(SUBSTITUTE(CLEAN(E16&amp;"")," ",""),".","")," ",""),"-",""))=2,LEN(SUBSTITUTE(SUBSTITUTE(SUBSTITUTE(SUBSTITUTE(CLEAN(E16&amp;"")," ",""),".","")," ",""),"-",""))=4,LEN(SUBSTITUTE(SUBSTITUTE(SUBSTITUTE(SUBSTITUTE(CLEAN(E16&amp;"")," ",""),".","")," ",""),"-",""))=6,LEN(SUBSTITUTE(SUBSTITUTE(SUBSTITUTE(SUBSTITUTE(CLEAN(E16&amp;"")," ",""),".","")," ",""),"-",""))=8,LEN(SUBSTITUTE(SUBSTITUTE(SUBSTITUTE(SUBSTITUTE(CLEAN(E16&amp;"")," ",""),".","")," ",""),"-",""))=10),IFERROR(TEXT(VALUE(SUBSTITUTE(SUBSTITUTE(SUBSTITUTE(SUBSTITUTE(CLEAN(E16&amp;"")," ",""),".","")," ",""),"-","")),REPT("0",LEN(SUBSTITUTE(SUBSTITUTE(SUBSTITUTE(SUBSTITUTE(CLEAN(E16&amp;"")," ",""),".","")," ",""),"-",""))))=SUBSTITUTE(SUBSTITUTE(SUBSTITUTE(SUBSTITUTE(CLEAN(E16&amp;"")," ",""),".","")," ",""),"-",""),FALSE)),SUBSTITUTE(SUBSTITUTE(SUBSTITUTE(SUBSTITUTE(CLEAN(E16&amp;"")," ",""),".","")," ",""),"-",""),"CHECK: not 2, 4, 6, 8 or 10 digits"))</f>
        <v/>
      </c>
      <c r="G16" s="11" t="n"/>
      <c r="H16" s="8" t="n"/>
      <c r="I16" s="8" t="n"/>
      <c r="J16" s="10">
        <f>IF(SUBSTITUTE(SUBSTITUTE(SUBSTITUTE(SUBSTITUTE(CLEAN(I16&amp;"")," ",""),".","")," ",""),"-","")="","",IF(AND(OR(LEN(SUBSTITUTE(SUBSTITUTE(SUBSTITUTE(SUBSTITUTE(CLEAN(I16&amp;"")," ",""),".","")," ",""),"-",""))=2,LEN(SUBSTITUTE(SUBSTITUTE(SUBSTITUTE(SUBSTITUTE(CLEAN(I16&amp;"")," ",""),".","")," ",""),"-",""))=4,LEN(SUBSTITUTE(SUBSTITUTE(SUBSTITUTE(SUBSTITUTE(CLEAN(I16&amp;"")," ",""),".","")," ",""),"-",""))=6,LEN(SUBSTITUTE(SUBSTITUTE(SUBSTITUTE(SUBSTITUTE(CLEAN(I16&amp;"")," ",""),".","")," ",""),"-",""))=8,LEN(SUBSTITUTE(SUBSTITUTE(SUBSTITUTE(SUBSTITUTE(CLEAN(I16&amp;"")," ",""),".","")," ",""),"-",""))=10),IFERROR(TEXT(VALUE(SUBSTITUTE(SUBSTITUTE(SUBSTITUTE(SUBSTITUTE(CLEAN(I16&amp;"")," ",""),".","")," ",""),"-","")),REPT("0",LEN(SUBSTITUTE(SUBSTITUTE(SUBSTITUTE(SUBSTITUTE(CLEAN(I16&amp;"")," ",""),".","")," ",""),"-",""))))=SUBSTITUTE(SUBSTITUTE(SUBSTITUTE(SUBSTITUTE(CLEAN(I16&amp;"")," ",""),".","")," ",""),"-",""),FALSE)),SUBSTITUTE(SUBSTITUTE(SUBSTITUTE(SUBSTITUTE(CLEAN(I16&amp;"")," ",""),".","")," ",""),"-",""),"CHECK: not 2, 4, 6, 8 or 10 digits"))</f>
        <v/>
      </c>
      <c r="K16" s="11" t="n"/>
      <c r="M16" s="8" t="n"/>
      <c r="N16" s="11" t="n"/>
      <c r="P16" s="8" t="n"/>
      <c r="Q16" s="8" t="n"/>
      <c r="R16" s="8" t="n"/>
      <c r="S16" s="12" t="n"/>
      <c r="T16" s="11" t="n"/>
      <c r="U16" s="11" t="n"/>
      <c r="V16" s="10">
        <f>IF(TRIM(CLEAN(SUBSTITUTE(P16&amp;""," "," ")))="","",UPPER(TRIM(CLEAN(SUBSTITUTE(P16&amp;""," "," "))))&amp;"/"&amp;UPPER(TRIM(CLEAN(SUBSTITUTE(Q16&amp;""," "," ")))))</f>
        <v/>
      </c>
      <c r="W16" s="10">
        <f>IF(V16="","",IF(UPPER(TRIM(CLEAN(SUBSTITUTE(Q16&amp;""," "," "))))&lt;&gt;UPPER(TRIM(CLEAN(SUBSTITUTE(act_Country&amp;""," "," ")))),"CHECK: import country must match B7",IF(COUNTIF(det_Key,V16)&gt;1,"CHECK: listed twice",IF(AND(UPPER(TRIM(CLEAN(SUBSTITUTE(R16&amp;""," "," "))))&lt;&gt;"",UPPER(TRIM(CLEAN(SUBSTITUTE(R16&amp;""," "," "))))&lt;&gt;"IN",UPPER(TRIM(CLEAN(SUBSTITUTE(R16&amp;""," "," "))))&lt;&gt;"OUT"),"CHECK: determination must be IN, OUT or blank",IF(AND(S16&amp;""&lt;&gt;"",NOT(ISNUMBER(S16))),"CHECK: displaced rate must be a percentage",IF(AND(UPPER(TRIM(CLEAN(SUBSTITUTE(R16&amp;""," "," "))))="",NOT(ISNUMBER(S16))),"CHECK: enter IN, OUT or a displaced rate",IF(SUMPRODUCT(--(Calc!$AL$5:$AL$254&lt;&gt;""))=0,"WAIT: Items not loaded yet",IF(COUNTIF(Calc!$AL$5:$AL$254,V16)=0,"CHECK: no Items row for this item and import country","OK"))))))))</f>
        <v/>
      </c>
      <c r="Y16" s="8" t="n"/>
      <c r="Z16" s="8" t="n"/>
      <c r="AA16" s="8" t="n"/>
      <c r="AB16" s="8" t="n"/>
      <c r="AC16" s="12" t="n"/>
      <c r="AD16" s="12" t="n"/>
      <c r="AE16" s="8" t="n"/>
      <c r="AF16" s="12" t="n"/>
      <c r="AG16" s="11" t="n"/>
      <c r="AH16" s="13">
        <f>IF(UPPER(TRIM(CLEAN(SUBSTITUTE(Y16&amp;""," "," "))))="","",COUNTIFS(Calc!$O$5:$O$254,UPPER(TRIM(CLEAN(SUBSTITUTE(Y16&amp;""," "," ")))),Calc!$L$5:$L$254,"Y"))</f>
        <v/>
      </c>
      <c r="AI16" s="10">
        <f>IF(AND(UPPER(TRIM(CLEAN(SUBSTITUTE(Y16&amp;""," "," "))))="",UPPER(TRIM(CLEAN(SUBSTITUTE(Z16&amp;""," "," "))))="",UPPER(TRIM(CLEAN(SUBSTITUTE(AA16&amp;""," "," "))))="",UPPER(TRIM(CLEAN(SUBSTITUTE(AB16&amp;""," "," "))))="",UPPER(TRIM(CLEAN(SUBSTITUTE(AE16&amp;""," "," "))))="",AC16&amp;""="",AD16&amp;""="",AF16&amp;""=""),"",IF(UPPER(TRIM(CLEAN(SUBSTITUTE(Y16&amp;""," "," "))))="","CHECK: line ID missing",IF(NOT(ISNUMBER(AC16)),"CHECK: rate missing",IF(OR(AC16&lt;0,AC16&gt;10),"CHECK: rate must be 0% to 1000%",IF(SUMPRODUCT(--(UPPER(TRIM(CLEAN(SUBSTITUTE(rate_ID&amp;""," "," "))))=UPPER(TRIM(CLEAN(SUBSTITUTE(Y16&amp;""," "," "))))))&gt;1,"CHECK: line ID listed twice",IF(AND(UPPER(TRIM(CLEAN(SUBSTITUTE(Z16&amp;""," "," "))))&lt;&gt;"",SUMPRODUCT(--(UPPER(TRIM(CLEAN(SUBSTITUTE(scope_Group&amp;""," "," "))))=UPPER(TRIM(CLEAN(SUBSTITUTE(Z16&amp;""," "," "))))))=0),"CHECK: rate group not on the scope list",IF(AND(UPPER(TRIM(CLEAN(SUBSTITUTE(AA16&amp;""," "," "))))&lt;&gt;"",SUMPRODUCT(--(UPPER(TRIM(CLEAN(SUBSTITUTE(scope_COO&amp;""," "," "))))=UPPER(TRIM(CLEAN(SUBSTITUTE(AA16&amp;""," "," "))))))=0),"CHECK: origin not on the origin list",IF(AND(UPPER(TRIM(CLEAN(SUBSTITUTE(AB16&amp;""," "," "))))&lt;&gt;"",UPPER(TRIM(CLEAN(SUBSTITUTE(AB16&amp;""," "," "))))&lt;&gt;"Y",UPPER(TRIM(CLEAN(SUBSTITUTE(AB16&amp;""," "," "))))&lt;&gt;"N"),"CHECK: USMCA must be Y, N or blank",IF(AND(UPPER(TRIM(CLEAN(SUBSTITUTE(AE16&amp;""," "," "))))&lt;&gt;"",UPPER(TRIM(CLEAN(SUBSTITUTE(AE16&amp;""," "," "))))&lt;&gt;"FULL",UPPER(TRIM(CLEAN(SUBSTITUTE(AE16&amp;""," "," "))))&lt;&gt;"PART"),"CHECK: duty base must be FULL, PART or blank",IF(OR(AND(AD16&amp;""&lt;&gt;"",NOT(ISNUMBER(AD16))),AND(AF16&amp;""&lt;&gt;"",NOT(ISNUMBER(AF16)))),"CHECK: earlier or displaced rate must be a percentage",IF(AC16&gt;1,"NOTE: rate above 100%: check it was entered as a percentage","OK")))))))))))</f>
        <v/>
      </c>
    </row>
    <row r="17">
      <c r="A17" s="5" t="inlineStr">
        <is>
          <t>Earlier rate of this action being replaced (default)</t>
        </is>
      </c>
      <c r="B17" s="12" t="n"/>
      <c r="C17" s="9" t="inlineStr">
        <is>
          <t>REPLACE only. Brief Part 7. Must already be inside each item's current rate on Items.</t>
        </is>
      </c>
      <c r="E17" s="8" t="n"/>
      <c r="F17" s="10">
        <f>IF(SUBSTITUTE(SUBSTITUTE(SUBSTITUTE(SUBSTITUTE(CLEAN(E17&amp;"")," ",""),".","")," ",""),"-","")="","",IF(AND(OR(LEN(SUBSTITUTE(SUBSTITUTE(SUBSTITUTE(SUBSTITUTE(CLEAN(E17&amp;"")," ",""),".","")," ",""),"-",""))=2,LEN(SUBSTITUTE(SUBSTITUTE(SUBSTITUTE(SUBSTITUTE(CLEAN(E17&amp;"")," ",""),".","")," ",""),"-",""))=4,LEN(SUBSTITUTE(SUBSTITUTE(SUBSTITUTE(SUBSTITUTE(CLEAN(E17&amp;"")," ",""),".","")," ",""),"-",""))=6,LEN(SUBSTITUTE(SUBSTITUTE(SUBSTITUTE(SUBSTITUTE(CLEAN(E17&amp;"")," ",""),".","")," ",""),"-",""))=8,LEN(SUBSTITUTE(SUBSTITUTE(SUBSTITUTE(SUBSTITUTE(CLEAN(E17&amp;"")," ",""),".","")," ",""),"-",""))=10),IFERROR(TEXT(VALUE(SUBSTITUTE(SUBSTITUTE(SUBSTITUTE(SUBSTITUTE(CLEAN(E17&amp;"")," ",""),".","")," ",""),"-","")),REPT("0",LEN(SUBSTITUTE(SUBSTITUTE(SUBSTITUTE(SUBSTITUTE(CLEAN(E17&amp;"")," ",""),".","")," ",""),"-",""))))=SUBSTITUTE(SUBSTITUTE(SUBSTITUTE(SUBSTITUTE(CLEAN(E17&amp;"")," ",""),".","")," ",""),"-",""),FALSE)),SUBSTITUTE(SUBSTITUTE(SUBSTITUTE(SUBSTITUTE(CLEAN(E17&amp;"")," ",""),".","")," ",""),"-",""),"CHECK: not 2, 4, 6, 8 or 10 digits"))</f>
        <v/>
      </c>
      <c r="G17" s="11" t="n"/>
      <c r="H17" s="8" t="n"/>
      <c r="I17" s="8" t="n"/>
      <c r="J17" s="10">
        <f>IF(SUBSTITUTE(SUBSTITUTE(SUBSTITUTE(SUBSTITUTE(CLEAN(I17&amp;"")," ",""),".","")," ",""),"-","")="","",IF(AND(OR(LEN(SUBSTITUTE(SUBSTITUTE(SUBSTITUTE(SUBSTITUTE(CLEAN(I17&amp;"")," ",""),".","")," ",""),"-",""))=2,LEN(SUBSTITUTE(SUBSTITUTE(SUBSTITUTE(SUBSTITUTE(CLEAN(I17&amp;"")," ",""),".","")," ",""),"-",""))=4,LEN(SUBSTITUTE(SUBSTITUTE(SUBSTITUTE(SUBSTITUTE(CLEAN(I17&amp;"")," ",""),".","")," ",""),"-",""))=6,LEN(SUBSTITUTE(SUBSTITUTE(SUBSTITUTE(SUBSTITUTE(CLEAN(I17&amp;"")," ",""),".","")," ",""),"-",""))=8,LEN(SUBSTITUTE(SUBSTITUTE(SUBSTITUTE(SUBSTITUTE(CLEAN(I17&amp;"")," ",""),".","")," ",""),"-",""))=10),IFERROR(TEXT(VALUE(SUBSTITUTE(SUBSTITUTE(SUBSTITUTE(SUBSTITUTE(CLEAN(I17&amp;"")," ",""),".","")," ",""),"-","")),REPT("0",LEN(SUBSTITUTE(SUBSTITUTE(SUBSTITUTE(SUBSTITUTE(CLEAN(I17&amp;"")," ",""),".","")," ",""),"-",""))))=SUBSTITUTE(SUBSTITUTE(SUBSTITUTE(SUBSTITUTE(CLEAN(I17&amp;"")," ",""),".","")," ",""),"-",""),FALSE)),SUBSTITUTE(SUBSTITUTE(SUBSTITUTE(SUBSTITUTE(CLEAN(I17&amp;"")," ",""),".","")," ",""),"-",""),"CHECK: not 2, 4, 6, 8 or 10 digits"))</f>
        <v/>
      </c>
      <c r="K17" s="11" t="n"/>
      <c r="M17" s="8" t="n"/>
      <c r="N17" s="11" t="n"/>
      <c r="P17" s="8" t="n"/>
      <c r="Q17" s="8" t="n"/>
      <c r="R17" s="8" t="n"/>
      <c r="S17" s="12" t="n"/>
      <c r="T17" s="11" t="n"/>
      <c r="U17" s="11" t="n"/>
      <c r="V17" s="10">
        <f>IF(TRIM(CLEAN(SUBSTITUTE(P17&amp;""," "," ")))="","",UPPER(TRIM(CLEAN(SUBSTITUTE(P17&amp;""," "," "))))&amp;"/"&amp;UPPER(TRIM(CLEAN(SUBSTITUTE(Q17&amp;""," "," ")))))</f>
        <v/>
      </c>
      <c r="W17" s="10">
        <f>IF(V17="","",IF(UPPER(TRIM(CLEAN(SUBSTITUTE(Q17&amp;""," "," "))))&lt;&gt;UPPER(TRIM(CLEAN(SUBSTITUTE(act_Country&amp;""," "," ")))),"CHECK: import country must match B7",IF(COUNTIF(det_Key,V17)&gt;1,"CHECK: listed twice",IF(AND(UPPER(TRIM(CLEAN(SUBSTITUTE(R17&amp;""," "," "))))&lt;&gt;"",UPPER(TRIM(CLEAN(SUBSTITUTE(R17&amp;""," "," "))))&lt;&gt;"IN",UPPER(TRIM(CLEAN(SUBSTITUTE(R17&amp;""," "," "))))&lt;&gt;"OUT"),"CHECK: determination must be IN, OUT or blank",IF(AND(S17&amp;""&lt;&gt;"",NOT(ISNUMBER(S17))),"CHECK: displaced rate must be a percentage",IF(AND(UPPER(TRIM(CLEAN(SUBSTITUTE(R17&amp;""," "," "))))="",NOT(ISNUMBER(S17))),"CHECK: enter IN, OUT or a displaced rate",IF(SUMPRODUCT(--(Calc!$AL$5:$AL$254&lt;&gt;""))=0,"WAIT: Items not loaded yet",IF(COUNTIF(Calc!$AL$5:$AL$254,V17)=0,"CHECK: no Items row for this item and import country","OK"))))))))</f>
        <v/>
      </c>
      <c r="Y17" s="8" t="n"/>
      <c r="Z17" s="8" t="n"/>
      <c r="AA17" s="8" t="n"/>
      <c r="AB17" s="8" t="n"/>
      <c r="AC17" s="12" t="n"/>
      <c r="AD17" s="12" t="n"/>
      <c r="AE17" s="8" t="n"/>
      <c r="AF17" s="12" t="n"/>
      <c r="AG17" s="11" t="n"/>
      <c r="AH17" s="13">
        <f>IF(UPPER(TRIM(CLEAN(SUBSTITUTE(Y17&amp;""," "," "))))="","",COUNTIFS(Calc!$O$5:$O$254,UPPER(TRIM(CLEAN(SUBSTITUTE(Y17&amp;""," "," ")))),Calc!$L$5:$L$254,"Y"))</f>
        <v/>
      </c>
      <c r="AI17" s="10">
        <f>IF(AND(UPPER(TRIM(CLEAN(SUBSTITUTE(Y17&amp;""," "," "))))="",UPPER(TRIM(CLEAN(SUBSTITUTE(Z17&amp;""," "," "))))="",UPPER(TRIM(CLEAN(SUBSTITUTE(AA17&amp;""," "," "))))="",UPPER(TRIM(CLEAN(SUBSTITUTE(AB17&amp;""," "," "))))="",UPPER(TRIM(CLEAN(SUBSTITUTE(AE17&amp;""," "," "))))="",AC17&amp;""="",AD17&amp;""="",AF17&amp;""=""),"",IF(UPPER(TRIM(CLEAN(SUBSTITUTE(Y17&amp;""," "," "))))="","CHECK: line ID missing",IF(NOT(ISNUMBER(AC17)),"CHECK: rate missing",IF(OR(AC17&lt;0,AC17&gt;10),"CHECK: rate must be 0% to 1000%",IF(SUMPRODUCT(--(UPPER(TRIM(CLEAN(SUBSTITUTE(rate_ID&amp;""," "," "))))=UPPER(TRIM(CLEAN(SUBSTITUTE(Y17&amp;""," "," "))))))&gt;1,"CHECK: line ID listed twice",IF(AND(UPPER(TRIM(CLEAN(SUBSTITUTE(Z17&amp;""," "," "))))&lt;&gt;"",SUMPRODUCT(--(UPPER(TRIM(CLEAN(SUBSTITUTE(scope_Group&amp;""," "," "))))=UPPER(TRIM(CLEAN(SUBSTITUTE(Z17&amp;""," "," "))))))=0),"CHECK: rate group not on the scope list",IF(AND(UPPER(TRIM(CLEAN(SUBSTITUTE(AA17&amp;""," "," "))))&lt;&gt;"",SUMPRODUCT(--(UPPER(TRIM(CLEAN(SUBSTITUTE(scope_COO&amp;""," "," "))))=UPPER(TRIM(CLEAN(SUBSTITUTE(AA17&amp;""," "," "))))))=0),"CHECK: origin not on the origin list",IF(AND(UPPER(TRIM(CLEAN(SUBSTITUTE(AB17&amp;""," "," "))))&lt;&gt;"",UPPER(TRIM(CLEAN(SUBSTITUTE(AB17&amp;""," "," "))))&lt;&gt;"Y",UPPER(TRIM(CLEAN(SUBSTITUTE(AB17&amp;""," "," "))))&lt;&gt;"N"),"CHECK: USMCA must be Y, N or blank",IF(AND(UPPER(TRIM(CLEAN(SUBSTITUTE(AE17&amp;""," "," "))))&lt;&gt;"",UPPER(TRIM(CLEAN(SUBSTITUTE(AE17&amp;""," "," "))))&lt;&gt;"FULL",UPPER(TRIM(CLEAN(SUBSTITUTE(AE17&amp;""," "," "))))&lt;&gt;"PART"),"CHECK: duty base must be FULL, PART or blank",IF(OR(AND(AD17&amp;""&lt;&gt;"",NOT(ISNUMBER(AD17))),AND(AF17&amp;""&lt;&gt;"",NOT(ISNUMBER(AF17)))),"CHECK: earlier or displaced rate must be a percentage",IF(AC17&gt;1,"NOTE: rate above 100%: check it was entered as a percentage","OK")))))))))))</f>
        <v/>
      </c>
    </row>
    <row r="18">
      <c r="A18" s="5" t="inlineStr">
        <is>
          <t>USMCA-qualifying goods (Y, PARTIAL, N or N/A)</t>
        </is>
      </c>
      <c r="B18" s="8" t="inlineStr">
        <is>
          <t>N/A</t>
        </is>
      </c>
      <c r="C18" s="9" t="inlineStr">
        <is>
          <t>Brief 6.5. Y = exempt: items flagged USMCA-qualifying on Items are out of scope. PARTIAL = they stay in scope and get relief through a rate line with USMCA = Y. N = no relief. N/A = no USMCA-party origin in scope.</t>
        </is>
      </c>
      <c r="E18" s="8" t="n"/>
      <c r="F18" s="10">
        <f>IF(SUBSTITUTE(SUBSTITUTE(SUBSTITUTE(SUBSTITUTE(CLEAN(E18&amp;"")," ",""),".","")," ",""),"-","")="","",IF(AND(OR(LEN(SUBSTITUTE(SUBSTITUTE(SUBSTITUTE(SUBSTITUTE(CLEAN(E18&amp;"")," ",""),".","")," ",""),"-",""))=2,LEN(SUBSTITUTE(SUBSTITUTE(SUBSTITUTE(SUBSTITUTE(CLEAN(E18&amp;"")," ",""),".","")," ",""),"-",""))=4,LEN(SUBSTITUTE(SUBSTITUTE(SUBSTITUTE(SUBSTITUTE(CLEAN(E18&amp;"")," ",""),".","")," ",""),"-",""))=6,LEN(SUBSTITUTE(SUBSTITUTE(SUBSTITUTE(SUBSTITUTE(CLEAN(E18&amp;"")," ",""),".","")," ",""),"-",""))=8,LEN(SUBSTITUTE(SUBSTITUTE(SUBSTITUTE(SUBSTITUTE(CLEAN(E18&amp;"")," ",""),".","")," ",""),"-",""))=10),IFERROR(TEXT(VALUE(SUBSTITUTE(SUBSTITUTE(SUBSTITUTE(SUBSTITUTE(CLEAN(E18&amp;"")," ",""),".","")," ",""),"-","")),REPT("0",LEN(SUBSTITUTE(SUBSTITUTE(SUBSTITUTE(SUBSTITUTE(CLEAN(E18&amp;"")," ",""),".","")," ",""),"-",""))))=SUBSTITUTE(SUBSTITUTE(SUBSTITUTE(SUBSTITUTE(CLEAN(E18&amp;"")," ",""),".","")," ",""),"-",""),FALSE)),SUBSTITUTE(SUBSTITUTE(SUBSTITUTE(SUBSTITUTE(CLEAN(E18&amp;"")," ",""),".","")," ",""),"-",""),"CHECK: not 2, 4, 6, 8 or 10 digits"))</f>
        <v/>
      </c>
      <c r="G18" s="11" t="n"/>
      <c r="H18" s="8" t="n"/>
      <c r="I18" s="8" t="n"/>
      <c r="J18" s="10">
        <f>IF(SUBSTITUTE(SUBSTITUTE(SUBSTITUTE(SUBSTITUTE(CLEAN(I18&amp;"")," ",""),".","")," ",""),"-","")="","",IF(AND(OR(LEN(SUBSTITUTE(SUBSTITUTE(SUBSTITUTE(SUBSTITUTE(CLEAN(I18&amp;"")," ",""),".","")," ",""),"-",""))=2,LEN(SUBSTITUTE(SUBSTITUTE(SUBSTITUTE(SUBSTITUTE(CLEAN(I18&amp;"")," ",""),".","")," ",""),"-",""))=4,LEN(SUBSTITUTE(SUBSTITUTE(SUBSTITUTE(SUBSTITUTE(CLEAN(I18&amp;"")," ",""),".","")," ",""),"-",""))=6,LEN(SUBSTITUTE(SUBSTITUTE(SUBSTITUTE(SUBSTITUTE(CLEAN(I18&amp;"")," ",""),".","")," ",""),"-",""))=8,LEN(SUBSTITUTE(SUBSTITUTE(SUBSTITUTE(SUBSTITUTE(CLEAN(I18&amp;"")," ",""),".","")," ",""),"-",""))=10),IFERROR(TEXT(VALUE(SUBSTITUTE(SUBSTITUTE(SUBSTITUTE(SUBSTITUTE(CLEAN(I18&amp;"")," ",""),".","")," ",""),"-","")),REPT("0",LEN(SUBSTITUTE(SUBSTITUTE(SUBSTITUTE(SUBSTITUTE(CLEAN(I18&amp;"")," ",""),".","")," ",""),"-",""))))=SUBSTITUTE(SUBSTITUTE(SUBSTITUTE(SUBSTITUTE(CLEAN(I18&amp;"")," ",""),".","")," ",""),"-",""),FALSE)),SUBSTITUTE(SUBSTITUTE(SUBSTITUTE(SUBSTITUTE(CLEAN(I18&amp;"")," ",""),".","")," ",""),"-",""),"CHECK: not 2, 4, 6, 8 or 10 digits"))</f>
        <v/>
      </c>
      <c r="K18" s="11" t="n"/>
      <c r="M18" s="8" t="n"/>
      <c r="N18" s="11" t="n"/>
      <c r="P18" s="8" t="n"/>
      <c r="Q18" s="8" t="n"/>
      <c r="R18" s="8" t="n"/>
      <c r="S18" s="12" t="n"/>
      <c r="T18" s="11" t="n"/>
      <c r="U18" s="11" t="n"/>
      <c r="V18" s="10">
        <f>IF(TRIM(CLEAN(SUBSTITUTE(P18&amp;""," "," ")))="","",UPPER(TRIM(CLEAN(SUBSTITUTE(P18&amp;""," "," "))))&amp;"/"&amp;UPPER(TRIM(CLEAN(SUBSTITUTE(Q18&amp;""," "," ")))))</f>
        <v/>
      </c>
      <c r="W18" s="10">
        <f>IF(V18="","",IF(UPPER(TRIM(CLEAN(SUBSTITUTE(Q18&amp;""," "," "))))&lt;&gt;UPPER(TRIM(CLEAN(SUBSTITUTE(act_Country&amp;""," "," ")))),"CHECK: import country must match B7",IF(COUNTIF(det_Key,V18)&gt;1,"CHECK: listed twice",IF(AND(UPPER(TRIM(CLEAN(SUBSTITUTE(R18&amp;""," "," "))))&lt;&gt;"",UPPER(TRIM(CLEAN(SUBSTITUTE(R18&amp;""," "," "))))&lt;&gt;"IN",UPPER(TRIM(CLEAN(SUBSTITUTE(R18&amp;""," "," "))))&lt;&gt;"OUT"),"CHECK: determination must be IN, OUT or blank",IF(AND(S18&amp;""&lt;&gt;"",NOT(ISNUMBER(S18))),"CHECK: displaced rate must be a percentage",IF(AND(UPPER(TRIM(CLEAN(SUBSTITUTE(R18&amp;""," "," "))))="",NOT(ISNUMBER(S18))),"CHECK: enter IN, OUT or a displaced rate",IF(SUMPRODUCT(--(Calc!$AL$5:$AL$254&lt;&gt;""))=0,"WAIT: Items not loaded yet",IF(COUNTIF(Calc!$AL$5:$AL$254,V18)=0,"CHECK: no Items row for this item and import country","OK"))))))))</f>
        <v/>
      </c>
      <c r="Y18" s="8" t="n"/>
      <c r="Z18" s="8" t="n"/>
      <c r="AA18" s="8" t="n"/>
      <c r="AB18" s="8" t="n"/>
      <c r="AC18" s="12" t="n"/>
      <c r="AD18" s="12" t="n"/>
      <c r="AE18" s="8" t="n"/>
      <c r="AF18" s="12" t="n"/>
      <c r="AG18" s="11" t="n"/>
      <c r="AH18" s="13">
        <f>IF(UPPER(TRIM(CLEAN(SUBSTITUTE(Y18&amp;""," "," "))))="","",COUNTIFS(Calc!$O$5:$O$254,UPPER(TRIM(CLEAN(SUBSTITUTE(Y18&amp;""," "," ")))),Calc!$L$5:$L$254,"Y"))</f>
        <v/>
      </c>
      <c r="AI18" s="10">
        <f>IF(AND(UPPER(TRIM(CLEAN(SUBSTITUTE(Y18&amp;""," "," "))))="",UPPER(TRIM(CLEAN(SUBSTITUTE(Z18&amp;""," "," "))))="",UPPER(TRIM(CLEAN(SUBSTITUTE(AA18&amp;""," "," "))))="",UPPER(TRIM(CLEAN(SUBSTITUTE(AB18&amp;""," "," "))))="",UPPER(TRIM(CLEAN(SUBSTITUTE(AE18&amp;""," "," "))))="",AC18&amp;""="",AD18&amp;""="",AF18&amp;""=""),"",IF(UPPER(TRIM(CLEAN(SUBSTITUTE(Y18&amp;""," "," "))))="","CHECK: line ID missing",IF(NOT(ISNUMBER(AC18)),"CHECK: rate missing",IF(OR(AC18&lt;0,AC18&gt;10),"CHECK: rate must be 0% to 1000%",IF(SUMPRODUCT(--(UPPER(TRIM(CLEAN(SUBSTITUTE(rate_ID&amp;""," "," "))))=UPPER(TRIM(CLEAN(SUBSTITUTE(Y18&amp;""," "," "))))))&gt;1,"CHECK: line ID listed twice",IF(AND(UPPER(TRIM(CLEAN(SUBSTITUTE(Z18&amp;""," "," "))))&lt;&gt;"",SUMPRODUCT(--(UPPER(TRIM(CLEAN(SUBSTITUTE(scope_Group&amp;""," "," "))))=UPPER(TRIM(CLEAN(SUBSTITUTE(Z18&amp;""," "," "))))))=0),"CHECK: rate group not on the scope list",IF(AND(UPPER(TRIM(CLEAN(SUBSTITUTE(AA18&amp;""," "," "))))&lt;&gt;"",SUMPRODUCT(--(UPPER(TRIM(CLEAN(SUBSTITUTE(scope_COO&amp;""," "," "))))=UPPER(TRIM(CLEAN(SUBSTITUTE(AA18&amp;""," "," "))))))=0),"CHECK: origin not on the origin list",IF(AND(UPPER(TRIM(CLEAN(SUBSTITUTE(AB18&amp;""," "," "))))&lt;&gt;"",UPPER(TRIM(CLEAN(SUBSTITUTE(AB18&amp;""," "," "))))&lt;&gt;"Y",UPPER(TRIM(CLEAN(SUBSTITUTE(AB18&amp;""," "," "))))&lt;&gt;"N"),"CHECK: USMCA must be Y, N or blank",IF(AND(UPPER(TRIM(CLEAN(SUBSTITUTE(AE18&amp;""," "," "))))&lt;&gt;"",UPPER(TRIM(CLEAN(SUBSTITUTE(AE18&amp;""," "," "))))&lt;&gt;"FULL",UPPER(TRIM(CLEAN(SUBSTITUTE(AE18&amp;""," "," "))))&lt;&gt;"PART"),"CHECK: duty base must be FULL, PART or blank",IF(OR(AND(AD18&amp;""&lt;&gt;"",NOT(ISNUMBER(AD18))),AND(AF18&amp;""&lt;&gt;"",NOT(ISNUMBER(AF18)))),"CHECK: earlier or displaced rate must be a percentage",IF(AC18&gt;1,"NOTE: rate above 100%: check it was entered as a percentage","OK")))))))))))</f>
        <v/>
      </c>
    </row>
    <row r="19">
      <c r="A19" s="5" t="inlineStr">
        <is>
          <t>Stacking interpretation</t>
        </is>
      </c>
      <c r="B19" s="11" t="inlineStr">
        <is>
          <t>Adds to the HTSUS column 1 General rate. FICTIONAL 9903.YY.01 (an earlier 10% on listed goods of Country X) does not apply to goods that pay 9903.XX.01 (S1 clause 4); SAMPLE-003 pays it today (determination, column S).</t>
        </is>
      </c>
      <c r="C19" s="9" t="inlineStr">
        <is>
          <t>Brief 6.6, quoted. Duties the action switches off go in column AF (per rate line) or column S (per item).</t>
        </is>
      </c>
      <c r="E19" s="8" t="n"/>
      <c r="F19" s="10">
        <f>IF(SUBSTITUTE(SUBSTITUTE(SUBSTITUTE(SUBSTITUTE(CLEAN(E19&amp;"")," ",""),".","")," ",""),"-","")="","",IF(AND(OR(LEN(SUBSTITUTE(SUBSTITUTE(SUBSTITUTE(SUBSTITUTE(CLEAN(E19&amp;"")," ",""),".","")," ",""),"-",""))=2,LEN(SUBSTITUTE(SUBSTITUTE(SUBSTITUTE(SUBSTITUTE(CLEAN(E19&amp;"")," ",""),".","")," ",""),"-",""))=4,LEN(SUBSTITUTE(SUBSTITUTE(SUBSTITUTE(SUBSTITUTE(CLEAN(E19&amp;"")," ",""),".","")," ",""),"-",""))=6,LEN(SUBSTITUTE(SUBSTITUTE(SUBSTITUTE(SUBSTITUTE(CLEAN(E19&amp;"")," ",""),".","")," ",""),"-",""))=8,LEN(SUBSTITUTE(SUBSTITUTE(SUBSTITUTE(SUBSTITUTE(CLEAN(E19&amp;"")," ",""),".","")," ",""),"-",""))=10),IFERROR(TEXT(VALUE(SUBSTITUTE(SUBSTITUTE(SUBSTITUTE(SUBSTITUTE(CLEAN(E19&amp;"")," ",""),".","")," ",""),"-","")),REPT("0",LEN(SUBSTITUTE(SUBSTITUTE(SUBSTITUTE(SUBSTITUTE(CLEAN(E19&amp;"")," ",""),".","")," ",""),"-",""))))=SUBSTITUTE(SUBSTITUTE(SUBSTITUTE(SUBSTITUTE(CLEAN(E19&amp;"")," ",""),".","")," ",""),"-",""),FALSE)),SUBSTITUTE(SUBSTITUTE(SUBSTITUTE(SUBSTITUTE(CLEAN(E19&amp;"")," ",""),".","")," ",""),"-",""),"CHECK: not 2, 4, 6, 8 or 10 digits"))</f>
        <v/>
      </c>
      <c r="G19" s="11" t="n"/>
      <c r="H19" s="8" t="n"/>
      <c r="I19" s="8" t="n"/>
      <c r="J19" s="10">
        <f>IF(SUBSTITUTE(SUBSTITUTE(SUBSTITUTE(SUBSTITUTE(CLEAN(I19&amp;"")," ",""),".","")," ",""),"-","")="","",IF(AND(OR(LEN(SUBSTITUTE(SUBSTITUTE(SUBSTITUTE(SUBSTITUTE(CLEAN(I19&amp;"")," ",""),".","")," ",""),"-",""))=2,LEN(SUBSTITUTE(SUBSTITUTE(SUBSTITUTE(SUBSTITUTE(CLEAN(I19&amp;"")," ",""),".","")," ",""),"-",""))=4,LEN(SUBSTITUTE(SUBSTITUTE(SUBSTITUTE(SUBSTITUTE(CLEAN(I19&amp;"")," ",""),".","")," ",""),"-",""))=6,LEN(SUBSTITUTE(SUBSTITUTE(SUBSTITUTE(SUBSTITUTE(CLEAN(I19&amp;"")," ",""),".","")," ",""),"-",""))=8,LEN(SUBSTITUTE(SUBSTITUTE(SUBSTITUTE(SUBSTITUTE(CLEAN(I19&amp;"")," ",""),".","")," ",""),"-",""))=10),IFERROR(TEXT(VALUE(SUBSTITUTE(SUBSTITUTE(SUBSTITUTE(SUBSTITUTE(CLEAN(I19&amp;"")," ",""),".","")," ",""),"-","")),REPT("0",LEN(SUBSTITUTE(SUBSTITUTE(SUBSTITUTE(SUBSTITUTE(CLEAN(I19&amp;"")," ",""),".","")," ",""),"-",""))))=SUBSTITUTE(SUBSTITUTE(SUBSTITUTE(SUBSTITUTE(CLEAN(I19&amp;"")," ",""),".","")," ",""),"-",""),FALSE)),SUBSTITUTE(SUBSTITUTE(SUBSTITUTE(SUBSTITUTE(CLEAN(I19&amp;"")," ",""),".","")," ",""),"-",""),"CHECK: not 2, 4, 6, 8 or 10 digits"))</f>
        <v/>
      </c>
      <c r="K19" s="11" t="n"/>
      <c r="M19" s="8" t="n"/>
      <c r="N19" s="11" t="n"/>
      <c r="P19" s="8" t="n"/>
      <c r="Q19" s="8" t="n"/>
      <c r="R19" s="8" t="n"/>
      <c r="S19" s="12" t="n"/>
      <c r="T19" s="11" t="n"/>
      <c r="U19" s="11" t="n"/>
      <c r="V19" s="10">
        <f>IF(TRIM(CLEAN(SUBSTITUTE(P19&amp;""," "," ")))="","",UPPER(TRIM(CLEAN(SUBSTITUTE(P19&amp;""," "," "))))&amp;"/"&amp;UPPER(TRIM(CLEAN(SUBSTITUTE(Q19&amp;""," "," ")))))</f>
        <v/>
      </c>
      <c r="W19" s="10">
        <f>IF(V19="","",IF(UPPER(TRIM(CLEAN(SUBSTITUTE(Q19&amp;""," "," "))))&lt;&gt;UPPER(TRIM(CLEAN(SUBSTITUTE(act_Country&amp;""," "," ")))),"CHECK: import country must match B7",IF(COUNTIF(det_Key,V19)&gt;1,"CHECK: listed twice",IF(AND(UPPER(TRIM(CLEAN(SUBSTITUTE(R19&amp;""," "," "))))&lt;&gt;"",UPPER(TRIM(CLEAN(SUBSTITUTE(R19&amp;""," "," "))))&lt;&gt;"IN",UPPER(TRIM(CLEAN(SUBSTITUTE(R19&amp;""," "," "))))&lt;&gt;"OUT"),"CHECK: determination must be IN, OUT or blank",IF(AND(S19&amp;""&lt;&gt;"",NOT(ISNUMBER(S19))),"CHECK: displaced rate must be a percentage",IF(AND(UPPER(TRIM(CLEAN(SUBSTITUTE(R19&amp;""," "," "))))="",NOT(ISNUMBER(S19))),"CHECK: enter IN, OUT or a displaced rate",IF(SUMPRODUCT(--(Calc!$AL$5:$AL$254&lt;&gt;""))=0,"WAIT: Items not loaded yet",IF(COUNTIF(Calc!$AL$5:$AL$254,V19)=0,"CHECK: no Items row for this item and import country","OK"))))))))</f>
        <v/>
      </c>
      <c r="Y19" s="8" t="n"/>
      <c r="Z19" s="8" t="n"/>
      <c r="AA19" s="8" t="n"/>
      <c r="AB19" s="8" t="n"/>
      <c r="AC19" s="12" t="n"/>
      <c r="AD19" s="12" t="n"/>
      <c r="AE19" s="8" t="n"/>
      <c r="AF19" s="12" t="n"/>
      <c r="AG19" s="11" t="n"/>
      <c r="AH19" s="13">
        <f>IF(UPPER(TRIM(CLEAN(SUBSTITUTE(Y19&amp;""," "," "))))="","",COUNTIFS(Calc!$O$5:$O$254,UPPER(TRIM(CLEAN(SUBSTITUTE(Y19&amp;""," "," ")))),Calc!$L$5:$L$254,"Y"))</f>
        <v/>
      </c>
      <c r="AI19" s="10">
        <f>IF(AND(UPPER(TRIM(CLEAN(SUBSTITUTE(Y19&amp;""," "," "))))="",UPPER(TRIM(CLEAN(SUBSTITUTE(Z19&amp;""," "," "))))="",UPPER(TRIM(CLEAN(SUBSTITUTE(AA19&amp;""," "," "))))="",UPPER(TRIM(CLEAN(SUBSTITUTE(AB19&amp;""," "," "))))="",UPPER(TRIM(CLEAN(SUBSTITUTE(AE19&amp;""," "," "))))="",AC19&amp;""="",AD19&amp;""="",AF19&amp;""=""),"",IF(UPPER(TRIM(CLEAN(SUBSTITUTE(Y19&amp;""," "," "))))="","CHECK: line ID missing",IF(NOT(ISNUMBER(AC19)),"CHECK: rate missing",IF(OR(AC19&lt;0,AC19&gt;10),"CHECK: rate must be 0% to 1000%",IF(SUMPRODUCT(--(UPPER(TRIM(CLEAN(SUBSTITUTE(rate_ID&amp;""," "," "))))=UPPER(TRIM(CLEAN(SUBSTITUTE(Y19&amp;""," "," "))))))&gt;1,"CHECK: line ID listed twice",IF(AND(UPPER(TRIM(CLEAN(SUBSTITUTE(Z19&amp;""," "," "))))&lt;&gt;"",SUMPRODUCT(--(UPPER(TRIM(CLEAN(SUBSTITUTE(scope_Group&amp;""," "," "))))=UPPER(TRIM(CLEAN(SUBSTITUTE(Z19&amp;""," "," "))))))=0),"CHECK: rate group not on the scope list",IF(AND(UPPER(TRIM(CLEAN(SUBSTITUTE(AA19&amp;""," "," "))))&lt;&gt;"",SUMPRODUCT(--(UPPER(TRIM(CLEAN(SUBSTITUTE(scope_COO&amp;""," "," "))))=UPPER(TRIM(CLEAN(SUBSTITUTE(AA19&amp;""," "," "))))))=0),"CHECK: origin not on the origin list",IF(AND(UPPER(TRIM(CLEAN(SUBSTITUTE(AB19&amp;""," "," "))))&lt;&gt;"",UPPER(TRIM(CLEAN(SUBSTITUTE(AB19&amp;""," "," "))))&lt;&gt;"Y",UPPER(TRIM(CLEAN(SUBSTITUTE(AB19&amp;""," "," "))))&lt;&gt;"N"),"CHECK: USMCA must be Y, N or blank",IF(AND(UPPER(TRIM(CLEAN(SUBSTITUTE(AE19&amp;""," "," "))))&lt;&gt;"",UPPER(TRIM(CLEAN(SUBSTITUTE(AE19&amp;""," "," "))))&lt;&gt;"FULL",UPPER(TRIM(CLEAN(SUBSTITUTE(AE19&amp;""," "," "))))&lt;&gt;"PART"),"CHECK: duty base must be FULL, PART or blank",IF(OR(AND(AD19&amp;""&lt;&gt;"",NOT(ISNUMBER(AD19))),AND(AF19&amp;""&lt;&gt;"",NOT(ISNUMBER(AF19)))),"CHECK: earlier or displaced rate must be a percentage",IF(AC19&gt;1,"NOTE: rate above 100%: check it was entered as a percentage","OK")))))))))))</f>
        <v/>
      </c>
    </row>
    <row r="20">
      <c r="A20" s="5" t="inlineStr">
        <is>
          <t>Duty base for the default rate (FULL or PART)</t>
        </is>
      </c>
      <c r="B20" s="8" t="inlineStr">
        <is>
          <t>FULL</t>
        </is>
      </c>
      <c r="C20" s="9" t="inlineStr">
        <is>
          <t>Brief Part 7. FULL = the whole customs value. PART = only part of it (for example metal or non-US content): Standard Cost enters each item's share on Items column M, from the source Research names.</t>
        </is>
      </c>
      <c r="E20" s="8" t="n"/>
      <c r="F20" s="10">
        <f>IF(SUBSTITUTE(SUBSTITUTE(SUBSTITUTE(SUBSTITUTE(CLEAN(E20&amp;"")," ",""),".","")," ",""),"-","")="","",IF(AND(OR(LEN(SUBSTITUTE(SUBSTITUTE(SUBSTITUTE(SUBSTITUTE(CLEAN(E20&amp;"")," ",""),".","")," ",""),"-",""))=2,LEN(SUBSTITUTE(SUBSTITUTE(SUBSTITUTE(SUBSTITUTE(CLEAN(E20&amp;"")," ",""),".","")," ",""),"-",""))=4,LEN(SUBSTITUTE(SUBSTITUTE(SUBSTITUTE(SUBSTITUTE(CLEAN(E20&amp;"")," ",""),".","")," ",""),"-",""))=6,LEN(SUBSTITUTE(SUBSTITUTE(SUBSTITUTE(SUBSTITUTE(CLEAN(E20&amp;"")," ",""),".","")," ",""),"-",""))=8,LEN(SUBSTITUTE(SUBSTITUTE(SUBSTITUTE(SUBSTITUTE(CLEAN(E20&amp;"")," ",""),".","")," ",""),"-",""))=10),IFERROR(TEXT(VALUE(SUBSTITUTE(SUBSTITUTE(SUBSTITUTE(SUBSTITUTE(CLEAN(E20&amp;"")," ",""),".","")," ",""),"-","")),REPT("0",LEN(SUBSTITUTE(SUBSTITUTE(SUBSTITUTE(SUBSTITUTE(CLEAN(E20&amp;"")," ",""),".","")," ",""),"-",""))))=SUBSTITUTE(SUBSTITUTE(SUBSTITUTE(SUBSTITUTE(CLEAN(E20&amp;"")," ",""),".","")," ",""),"-",""),FALSE)),SUBSTITUTE(SUBSTITUTE(SUBSTITUTE(SUBSTITUTE(CLEAN(E20&amp;"")," ",""),".","")," ",""),"-",""),"CHECK: not 2, 4, 6, 8 or 10 digits"))</f>
        <v/>
      </c>
      <c r="G20" s="11" t="n"/>
      <c r="H20" s="8" t="n"/>
      <c r="I20" s="8" t="n"/>
      <c r="J20" s="10">
        <f>IF(SUBSTITUTE(SUBSTITUTE(SUBSTITUTE(SUBSTITUTE(CLEAN(I20&amp;"")," ",""),".","")," ",""),"-","")="","",IF(AND(OR(LEN(SUBSTITUTE(SUBSTITUTE(SUBSTITUTE(SUBSTITUTE(CLEAN(I20&amp;"")," ",""),".","")," ",""),"-",""))=2,LEN(SUBSTITUTE(SUBSTITUTE(SUBSTITUTE(SUBSTITUTE(CLEAN(I20&amp;"")," ",""),".","")," ",""),"-",""))=4,LEN(SUBSTITUTE(SUBSTITUTE(SUBSTITUTE(SUBSTITUTE(CLEAN(I20&amp;"")," ",""),".","")," ",""),"-",""))=6,LEN(SUBSTITUTE(SUBSTITUTE(SUBSTITUTE(SUBSTITUTE(CLEAN(I20&amp;"")," ",""),".","")," ",""),"-",""))=8,LEN(SUBSTITUTE(SUBSTITUTE(SUBSTITUTE(SUBSTITUTE(CLEAN(I20&amp;"")," ",""),".","")," ",""),"-",""))=10),IFERROR(TEXT(VALUE(SUBSTITUTE(SUBSTITUTE(SUBSTITUTE(SUBSTITUTE(CLEAN(I20&amp;"")," ",""),".","")," ",""),"-","")),REPT("0",LEN(SUBSTITUTE(SUBSTITUTE(SUBSTITUTE(SUBSTITUTE(CLEAN(I20&amp;"")," ",""),".","")," ",""),"-",""))))=SUBSTITUTE(SUBSTITUTE(SUBSTITUTE(SUBSTITUTE(CLEAN(I20&amp;"")," ",""),".","")," ",""),"-",""),FALSE)),SUBSTITUTE(SUBSTITUTE(SUBSTITUTE(SUBSTITUTE(CLEAN(I20&amp;"")," ",""),".","")," ",""),"-",""),"CHECK: not 2, 4, 6, 8 or 10 digits"))</f>
        <v/>
      </c>
      <c r="K20" s="11" t="n"/>
      <c r="M20" s="8" t="n"/>
      <c r="N20" s="11" t="n"/>
      <c r="P20" s="8" t="n"/>
      <c r="Q20" s="8" t="n"/>
      <c r="R20" s="8" t="n"/>
      <c r="S20" s="12" t="n"/>
      <c r="T20" s="11" t="n"/>
      <c r="U20" s="11" t="n"/>
      <c r="V20" s="10">
        <f>IF(TRIM(CLEAN(SUBSTITUTE(P20&amp;""," "," ")))="","",UPPER(TRIM(CLEAN(SUBSTITUTE(P20&amp;""," "," "))))&amp;"/"&amp;UPPER(TRIM(CLEAN(SUBSTITUTE(Q20&amp;""," "," ")))))</f>
        <v/>
      </c>
      <c r="W20" s="10">
        <f>IF(V20="","",IF(UPPER(TRIM(CLEAN(SUBSTITUTE(Q20&amp;""," "," "))))&lt;&gt;UPPER(TRIM(CLEAN(SUBSTITUTE(act_Country&amp;""," "," ")))),"CHECK: import country must match B7",IF(COUNTIF(det_Key,V20)&gt;1,"CHECK: listed twice",IF(AND(UPPER(TRIM(CLEAN(SUBSTITUTE(R20&amp;""," "," "))))&lt;&gt;"",UPPER(TRIM(CLEAN(SUBSTITUTE(R20&amp;""," "," "))))&lt;&gt;"IN",UPPER(TRIM(CLEAN(SUBSTITUTE(R20&amp;""," "," "))))&lt;&gt;"OUT"),"CHECK: determination must be IN, OUT or blank",IF(AND(S20&amp;""&lt;&gt;"",NOT(ISNUMBER(S20))),"CHECK: displaced rate must be a percentage",IF(AND(UPPER(TRIM(CLEAN(SUBSTITUTE(R20&amp;""," "," "))))="",NOT(ISNUMBER(S20))),"CHECK: enter IN, OUT or a displaced rate",IF(SUMPRODUCT(--(Calc!$AL$5:$AL$254&lt;&gt;""))=0,"WAIT: Items not loaded yet",IF(COUNTIF(Calc!$AL$5:$AL$254,V20)=0,"CHECK: no Items row for this item and import country","OK"))))))))</f>
        <v/>
      </c>
      <c r="Y20" s="8" t="n"/>
      <c r="Z20" s="8" t="n"/>
      <c r="AA20" s="8" t="n"/>
      <c r="AB20" s="8" t="n"/>
      <c r="AC20" s="12" t="n"/>
      <c r="AD20" s="12" t="n"/>
      <c r="AE20" s="8" t="n"/>
      <c r="AF20" s="12" t="n"/>
      <c r="AG20" s="11" t="n"/>
      <c r="AH20" s="13">
        <f>IF(UPPER(TRIM(CLEAN(SUBSTITUTE(Y20&amp;""," "," "))))="","",COUNTIFS(Calc!$O$5:$O$254,UPPER(TRIM(CLEAN(SUBSTITUTE(Y20&amp;""," "," ")))),Calc!$L$5:$L$254,"Y"))</f>
        <v/>
      </c>
      <c r="AI20" s="10">
        <f>IF(AND(UPPER(TRIM(CLEAN(SUBSTITUTE(Y20&amp;""," "," "))))="",UPPER(TRIM(CLEAN(SUBSTITUTE(Z20&amp;""," "," "))))="",UPPER(TRIM(CLEAN(SUBSTITUTE(AA20&amp;""," "," "))))="",UPPER(TRIM(CLEAN(SUBSTITUTE(AB20&amp;""," "," "))))="",UPPER(TRIM(CLEAN(SUBSTITUTE(AE20&amp;""," "," "))))="",AC20&amp;""="",AD20&amp;""="",AF20&amp;""=""),"",IF(UPPER(TRIM(CLEAN(SUBSTITUTE(Y20&amp;""," "," "))))="","CHECK: line ID missing",IF(NOT(ISNUMBER(AC20)),"CHECK: rate missing",IF(OR(AC20&lt;0,AC20&gt;10),"CHECK: rate must be 0% to 1000%",IF(SUMPRODUCT(--(UPPER(TRIM(CLEAN(SUBSTITUTE(rate_ID&amp;""," "," "))))=UPPER(TRIM(CLEAN(SUBSTITUTE(Y20&amp;""," "," "))))))&gt;1,"CHECK: line ID listed twice",IF(AND(UPPER(TRIM(CLEAN(SUBSTITUTE(Z20&amp;""," "," "))))&lt;&gt;"",SUMPRODUCT(--(UPPER(TRIM(CLEAN(SUBSTITUTE(scope_Group&amp;""," "," "))))=UPPER(TRIM(CLEAN(SUBSTITUTE(Z20&amp;""," "," "))))))=0),"CHECK: rate group not on the scope list",IF(AND(UPPER(TRIM(CLEAN(SUBSTITUTE(AA20&amp;""," "," "))))&lt;&gt;"",SUMPRODUCT(--(UPPER(TRIM(CLEAN(SUBSTITUTE(scope_COO&amp;""," "," "))))=UPPER(TRIM(CLEAN(SUBSTITUTE(AA20&amp;""," "," "))))))=0),"CHECK: origin not on the origin list",IF(AND(UPPER(TRIM(CLEAN(SUBSTITUTE(AB20&amp;""," "," "))))&lt;&gt;"",UPPER(TRIM(CLEAN(SUBSTITUTE(AB20&amp;""," "," "))))&lt;&gt;"Y",UPPER(TRIM(CLEAN(SUBSTITUTE(AB20&amp;""," "," "))))&lt;&gt;"N"),"CHECK: USMCA must be Y, N or blank",IF(AND(UPPER(TRIM(CLEAN(SUBSTITUTE(AE20&amp;""," "," "))))&lt;&gt;"",UPPER(TRIM(CLEAN(SUBSTITUTE(AE20&amp;""," "," "))))&lt;&gt;"FULL",UPPER(TRIM(CLEAN(SUBSTITUTE(AE20&amp;""," "," "))))&lt;&gt;"PART"),"CHECK: duty base must be FULL, PART or blank",IF(OR(AND(AD20&amp;""&lt;&gt;"",NOT(ISNUMBER(AD20))),AND(AF20&amp;""&lt;&gt;"",NOT(ISNUMBER(AF20)))),"CHECK: earlier or displaced rate must be a percentage",IF(AC20&gt;1,"NOTE: rate above 100%: check it was entered as a percentage","OK")))))))))))</f>
        <v/>
      </c>
    </row>
    <row r="21">
      <c r="A21" s="5" t="inlineStr">
        <is>
          <t>Research maker</t>
        </is>
      </c>
      <c r="B21" s="11" t="inlineStr">
        <is>
          <t>Hire A</t>
        </is>
      </c>
      <c r="C21" s="9" t="inlineStr">
        <is>
          <t>Brief Part 12.</t>
        </is>
      </c>
      <c r="E21" s="8" t="n"/>
      <c r="F21" s="10">
        <f>IF(SUBSTITUTE(SUBSTITUTE(SUBSTITUTE(SUBSTITUTE(CLEAN(E21&amp;"")," ",""),".","")," ",""),"-","")="","",IF(AND(OR(LEN(SUBSTITUTE(SUBSTITUTE(SUBSTITUTE(SUBSTITUTE(CLEAN(E21&amp;"")," ",""),".","")," ",""),"-",""))=2,LEN(SUBSTITUTE(SUBSTITUTE(SUBSTITUTE(SUBSTITUTE(CLEAN(E21&amp;"")," ",""),".","")," ",""),"-",""))=4,LEN(SUBSTITUTE(SUBSTITUTE(SUBSTITUTE(SUBSTITUTE(CLEAN(E21&amp;"")," ",""),".","")," ",""),"-",""))=6,LEN(SUBSTITUTE(SUBSTITUTE(SUBSTITUTE(SUBSTITUTE(CLEAN(E21&amp;"")," ",""),".","")," ",""),"-",""))=8,LEN(SUBSTITUTE(SUBSTITUTE(SUBSTITUTE(SUBSTITUTE(CLEAN(E21&amp;"")," ",""),".","")," ",""),"-",""))=10),IFERROR(TEXT(VALUE(SUBSTITUTE(SUBSTITUTE(SUBSTITUTE(SUBSTITUTE(CLEAN(E21&amp;"")," ",""),".","")," ",""),"-","")),REPT("0",LEN(SUBSTITUTE(SUBSTITUTE(SUBSTITUTE(SUBSTITUTE(CLEAN(E21&amp;"")," ",""),".","")," ",""),"-",""))))=SUBSTITUTE(SUBSTITUTE(SUBSTITUTE(SUBSTITUTE(CLEAN(E21&amp;"")," ",""),".","")," ",""),"-",""),FALSE)),SUBSTITUTE(SUBSTITUTE(SUBSTITUTE(SUBSTITUTE(CLEAN(E21&amp;"")," ",""),".","")," ",""),"-",""),"CHECK: not 2, 4, 6, 8 or 10 digits"))</f>
        <v/>
      </c>
      <c r="G21" s="11" t="n"/>
      <c r="H21" s="8" t="n"/>
      <c r="I21" s="8" t="n"/>
      <c r="J21" s="10">
        <f>IF(SUBSTITUTE(SUBSTITUTE(SUBSTITUTE(SUBSTITUTE(CLEAN(I21&amp;"")," ",""),".","")," ",""),"-","")="","",IF(AND(OR(LEN(SUBSTITUTE(SUBSTITUTE(SUBSTITUTE(SUBSTITUTE(CLEAN(I21&amp;"")," ",""),".","")," ",""),"-",""))=2,LEN(SUBSTITUTE(SUBSTITUTE(SUBSTITUTE(SUBSTITUTE(CLEAN(I21&amp;"")," ",""),".","")," ",""),"-",""))=4,LEN(SUBSTITUTE(SUBSTITUTE(SUBSTITUTE(SUBSTITUTE(CLEAN(I21&amp;"")," ",""),".","")," ",""),"-",""))=6,LEN(SUBSTITUTE(SUBSTITUTE(SUBSTITUTE(SUBSTITUTE(CLEAN(I21&amp;"")," ",""),".","")," ",""),"-",""))=8,LEN(SUBSTITUTE(SUBSTITUTE(SUBSTITUTE(SUBSTITUTE(CLEAN(I21&amp;"")," ",""),".","")," ",""),"-",""))=10),IFERROR(TEXT(VALUE(SUBSTITUTE(SUBSTITUTE(SUBSTITUTE(SUBSTITUTE(CLEAN(I21&amp;"")," ",""),".","")," ",""),"-","")),REPT("0",LEN(SUBSTITUTE(SUBSTITUTE(SUBSTITUTE(SUBSTITUTE(CLEAN(I21&amp;"")," ",""),".","")," ",""),"-",""))))=SUBSTITUTE(SUBSTITUTE(SUBSTITUTE(SUBSTITUTE(CLEAN(I21&amp;"")," ",""),".","")," ",""),"-",""),FALSE)),SUBSTITUTE(SUBSTITUTE(SUBSTITUTE(SUBSTITUTE(CLEAN(I21&amp;"")," ",""),".","")," ",""),"-",""),"CHECK: not 2, 4, 6, 8 or 10 digits"))</f>
        <v/>
      </c>
      <c r="K21" s="11" t="n"/>
      <c r="M21" s="8" t="n"/>
      <c r="N21" s="11" t="n"/>
      <c r="P21" s="8" t="n"/>
      <c r="Q21" s="8" t="n"/>
      <c r="R21" s="8" t="n"/>
      <c r="S21" s="12" t="n"/>
      <c r="T21" s="11" t="n"/>
      <c r="U21" s="11" t="n"/>
      <c r="V21" s="10">
        <f>IF(TRIM(CLEAN(SUBSTITUTE(P21&amp;""," "," ")))="","",UPPER(TRIM(CLEAN(SUBSTITUTE(P21&amp;""," "," "))))&amp;"/"&amp;UPPER(TRIM(CLEAN(SUBSTITUTE(Q21&amp;""," "," ")))))</f>
        <v/>
      </c>
      <c r="W21" s="10">
        <f>IF(V21="","",IF(UPPER(TRIM(CLEAN(SUBSTITUTE(Q21&amp;""," "," "))))&lt;&gt;UPPER(TRIM(CLEAN(SUBSTITUTE(act_Country&amp;""," "," ")))),"CHECK: import country must match B7",IF(COUNTIF(det_Key,V21)&gt;1,"CHECK: listed twice",IF(AND(UPPER(TRIM(CLEAN(SUBSTITUTE(R21&amp;""," "," "))))&lt;&gt;"",UPPER(TRIM(CLEAN(SUBSTITUTE(R21&amp;""," "," "))))&lt;&gt;"IN",UPPER(TRIM(CLEAN(SUBSTITUTE(R21&amp;""," "," "))))&lt;&gt;"OUT"),"CHECK: determination must be IN, OUT or blank",IF(AND(S21&amp;""&lt;&gt;"",NOT(ISNUMBER(S21))),"CHECK: displaced rate must be a percentage",IF(AND(UPPER(TRIM(CLEAN(SUBSTITUTE(R21&amp;""," "," "))))="",NOT(ISNUMBER(S21))),"CHECK: enter IN, OUT or a displaced rate",IF(SUMPRODUCT(--(Calc!$AL$5:$AL$254&lt;&gt;""))=0,"WAIT: Items not loaded yet",IF(COUNTIF(Calc!$AL$5:$AL$254,V21)=0,"CHECK: no Items row for this item and import country","OK"))))))))</f>
        <v/>
      </c>
      <c r="Y21" s="8" t="n"/>
      <c r="Z21" s="8" t="n"/>
      <c r="AA21" s="8" t="n"/>
      <c r="AB21" s="8" t="n"/>
      <c r="AC21" s="12" t="n"/>
      <c r="AD21" s="12" t="n"/>
      <c r="AE21" s="8" t="n"/>
      <c r="AF21" s="12" t="n"/>
      <c r="AG21" s="11" t="n"/>
      <c r="AH21" s="13">
        <f>IF(UPPER(TRIM(CLEAN(SUBSTITUTE(Y21&amp;""," "," "))))="","",COUNTIFS(Calc!$O$5:$O$254,UPPER(TRIM(CLEAN(SUBSTITUTE(Y21&amp;""," "," ")))),Calc!$L$5:$L$254,"Y"))</f>
        <v/>
      </c>
      <c r="AI21" s="10">
        <f>IF(AND(UPPER(TRIM(CLEAN(SUBSTITUTE(Y21&amp;""," "," "))))="",UPPER(TRIM(CLEAN(SUBSTITUTE(Z21&amp;""," "," "))))="",UPPER(TRIM(CLEAN(SUBSTITUTE(AA21&amp;""," "," "))))="",UPPER(TRIM(CLEAN(SUBSTITUTE(AB21&amp;""," "," "))))="",UPPER(TRIM(CLEAN(SUBSTITUTE(AE21&amp;""," "," "))))="",AC21&amp;""="",AD21&amp;""="",AF21&amp;""=""),"",IF(UPPER(TRIM(CLEAN(SUBSTITUTE(Y21&amp;""," "," "))))="","CHECK: line ID missing",IF(NOT(ISNUMBER(AC21)),"CHECK: rate missing",IF(OR(AC21&lt;0,AC21&gt;10),"CHECK: rate must be 0% to 1000%",IF(SUMPRODUCT(--(UPPER(TRIM(CLEAN(SUBSTITUTE(rate_ID&amp;""," "," "))))=UPPER(TRIM(CLEAN(SUBSTITUTE(Y21&amp;""," "," "))))))&gt;1,"CHECK: line ID listed twice",IF(AND(UPPER(TRIM(CLEAN(SUBSTITUTE(Z21&amp;""," "," "))))&lt;&gt;"",SUMPRODUCT(--(UPPER(TRIM(CLEAN(SUBSTITUTE(scope_Group&amp;""," "," "))))=UPPER(TRIM(CLEAN(SUBSTITUTE(Z21&amp;""," "," "))))))=0),"CHECK: rate group not on the scope list",IF(AND(UPPER(TRIM(CLEAN(SUBSTITUTE(AA21&amp;""," "," "))))&lt;&gt;"",SUMPRODUCT(--(UPPER(TRIM(CLEAN(SUBSTITUTE(scope_COO&amp;""," "," "))))=UPPER(TRIM(CLEAN(SUBSTITUTE(AA21&amp;""," "," "))))))=0),"CHECK: origin not on the origin list",IF(AND(UPPER(TRIM(CLEAN(SUBSTITUTE(AB21&amp;""," "," "))))&lt;&gt;"",UPPER(TRIM(CLEAN(SUBSTITUTE(AB21&amp;""," "," "))))&lt;&gt;"Y",UPPER(TRIM(CLEAN(SUBSTITUTE(AB21&amp;""," "," "))))&lt;&gt;"N"),"CHECK: USMCA must be Y, N or blank",IF(AND(UPPER(TRIM(CLEAN(SUBSTITUTE(AE21&amp;""," "," "))))&lt;&gt;"",UPPER(TRIM(CLEAN(SUBSTITUTE(AE21&amp;""," "," "))))&lt;&gt;"FULL",UPPER(TRIM(CLEAN(SUBSTITUTE(AE21&amp;""," "," "))))&lt;&gt;"PART"),"CHECK: duty base must be FULL, PART or blank",IF(OR(AND(AD21&amp;""&lt;&gt;"",NOT(ISNUMBER(AD21))),AND(AF21&amp;""&lt;&gt;"",NOT(ISNUMBER(AF21)))),"CHECK: earlier or displaced rate must be a percentage",IF(AC21&gt;1,"NOTE: rate above 100%: check it was entered as a percentage","OK")))))))))))</f>
        <v/>
      </c>
    </row>
    <row r="22">
      <c r="A22" s="5" t="inlineStr">
        <is>
          <t>Research checker</t>
        </is>
      </c>
      <c r="B22" s="11" t="inlineStr">
        <is>
          <t>Senior</t>
        </is>
      </c>
      <c r="C22" s="9" t="inlineStr">
        <is>
          <t>Brief Part 12.</t>
        </is>
      </c>
      <c r="E22" s="8" t="n"/>
      <c r="F22" s="10">
        <f>IF(SUBSTITUTE(SUBSTITUTE(SUBSTITUTE(SUBSTITUTE(CLEAN(E22&amp;"")," ",""),".","")," ",""),"-","")="","",IF(AND(OR(LEN(SUBSTITUTE(SUBSTITUTE(SUBSTITUTE(SUBSTITUTE(CLEAN(E22&amp;"")," ",""),".","")," ",""),"-",""))=2,LEN(SUBSTITUTE(SUBSTITUTE(SUBSTITUTE(SUBSTITUTE(CLEAN(E22&amp;"")," ",""),".","")," ",""),"-",""))=4,LEN(SUBSTITUTE(SUBSTITUTE(SUBSTITUTE(SUBSTITUTE(CLEAN(E22&amp;"")," ",""),".","")," ",""),"-",""))=6,LEN(SUBSTITUTE(SUBSTITUTE(SUBSTITUTE(SUBSTITUTE(CLEAN(E22&amp;"")," ",""),".","")," ",""),"-",""))=8,LEN(SUBSTITUTE(SUBSTITUTE(SUBSTITUTE(SUBSTITUTE(CLEAN(E22&amp;"")," ",""),".","")," ",""),"-",""))=10),IFERROR(TEXT(VALUE(SUBSTITUTE(SUBSTITUTE(SUBSTITUTE(SUBSTITUTE(CLEAN(E22&amp;"")," ",""),".","")," ",""),"-","")),REPT("0",LEN(SUBSTITUTE(SUBSTITUTE(SUBSTITUTE(SUBSTITUTE(CLEAN(E22&amp;"")," ",""),".","")," ",""),"-",""))))=SUBSTITUTE(SUBSTITUTE(SUBSTITUTE(SUBSTITUTE(CLEAN(E22&amp;"")," ",""),".","")," ",""),"-",""),FALSE)),SUBSTITUTE(SUBSTITUTE(SUBSTITUTE(SUBSTITUTE(CLEAN(E22&amp;"")," ",""),".","")," ",""),"-",""),"CHECK: not 2, 4, 6, 8 or 10 digits"))</f>
        <v/>
      </c>
      <c r="G22" s="11" t="n"/>
      <c r="H22" s="8" t="n"/>
      <c r="I22" s="8" t="n"/>
      <c r="J22" s="10">
        <f>IF(SUBSTITUTE(SUBSTITUTE(SUBSTITUTE(SUBSTITUTE(CLEAN(I22&amp;"")," ",""),".","")," ",""),"-","")="","",IF(AND(OR(LEN(SUBSTITUTE(SUBSTITUTE(SUBSTITUTE(SUBSTITUTE(CLEAN(I22&amp;"")," ",""),".","")," ",""),"-",""))=2,LEN(SUBSTITUTE(SUBSTITUTE(SUBSTITUTE(SUBSTITUTE(CLEAN(I22&amp;"")," ",""),".","")," ",""),"-",""))=4,LEN(SUBSTITUTE(SUBSTITUTE(SUBSTITUTE(SUBSTITUTE(CLEAN(I22&amp;"")," ",""),".","")," ",""),"-",""))=6,LEN(SUBSTITUTE(SUBSTITUTE(SUBSTITUTE(SUBSTITUTE(CLEAN(I22&amp;"")," ",""),".","")," ",""),"-",""))=8,LEN(SUBSTITUTE(SUBSTITUTE(SUBSTITUTE(SUBSTITUTE(CLEAN(I22&amp;"")," ",""),".","")," ",""),"-",""))=10),IFERROR(TEXT(VALUE(SUBSTITUTE(SUBSTITUTE(SUBSTITUTE(SUBSTITUTE(CLEAN(I22&amp;"")," ",""),".","")," ",""),"-","")),REPT("0",LEN(SUBSTITUTE(SUBSTITUTE(SUBSTITUTE(SUBSTITUTE(CLEAN(I22&amp;"")," ",""),".","")," ",""),"-",""))))=SUBSTITUTE(SUBSTITUTE(SUBSTITUTE(SUBSTITUTE(CLEAN(I22&amp;"")," ",""),".","")," ",""),"-",""),FALSE)),SUBSTITUTE(SUBSTITUTE(SUBSTITUTE(SUBSTITUTE(CLEAN(I22&amp;"")," ",""),".","")," ",""),"-",""),"CHECK: not 2, 4, 6, 8 or 10 digits"))</f>
        <v/>
      </c>
      <c r="K22" s="11" t="n"/>
      <c r="M22" s="8" t="n"/>
      <c r="N22" s="11" t="n"/>
      <c r="P22" s="8" t="n"/>
      <c r="Q22" s="8" t="n"/>
      <c r="R22" s="8" t="n"/>
      <c r="S22" s="12" t="n"/>
      <c r="T22" s="11" t="n"/>
      <c r="U22" s="11" t="n"/>
      <c r="V22" s="10">
        <f>IF(TRIM(CLEAN(SUBSTITUTE(P22&amp;""," "," ")))="","",UPPER(TRIM(CLEAN(SUBSTITUTE(P22&amp;""," "," "))))&amp;"/"&amp;UPPER(TRIM(CLEAN(SUBSTITUTE(Q22&amp;""," "," ")))))</f>
        <v/>
      </c>
      <c r="W22" s="10">
        <f>IF(V22="","",IF(UPPER(TRIM(CLEAN(SUBSTITUTE(Q22&amp;""," "," "))))&lt;&gt;UPPER(TRIM(CLEAN(SUBSTITUTE(act_Country&amp;""," "," ")))),"CHECK: import country must match B7",IF(COUNTIF(det_Key,V22)&gt;1,"CHECK: listed twice",IF(AND(UPPER(TRIM(CLEAN(SUBSTITUTE(R22&amp;""," "," "))))&lt;&gt;"",UPPER(TRIM(CLEAN(SUBSTITUTE(R22&amp;""," "," "))))&lt;&gt;"IN",UPPER(TRIM(CLEAN(SUBSTITUTE(R22&amp;""," "," "))))&lt;&gt;"OUT"),"CHECK: determination must be IN, OUT or blank",IF(AND(S22&amp;""&lt;&gt;"",NOT(ISNUMBER(S22))),"CHECK: displaced rate must be a percentage",IF(AND(UPPER(TRIM(CLEAN(SUBSTITUTE(R22&amp;""," "," "))))="",NOT(ISNUMBER(S22))),"CHECK: enter IN, OUT or a displaced rate",IF(SUMPRODUCT(--(Calc!$AL$5:$AL$254&lt;&gt;""))=0,"WAIT: Items not loaded yet",IF(COUNTIF(Calc!$AL$5:$AL$254,V22)=0,"CHECK: no Items row for this item and import country","OK"))))))))</f>
        <v/>
      </c>
      <c r="Y22" s="8" t="n"/>
      <c r="Z22" s="8" t="n"/>
      <c r="AA22" s="8" t="n"/>
      <c r="AB22" s="8" t="n"/>
      <c r="AC22" s="12" t="n"/>
      <c r="AD22" s="12" t="n"/>
      <c r="AE22" s="8" t="n"/>
      <c r="AF22" s="12" t="n"/>
      <c r="AG22" s="11" t="n"/>
      <c r="AH22" s="13">
        <f>IF(UPPER(TRIM(CLEAN(SUBSTITUTE(Y22&amp;""," "," "))))="","",COUNTIFS(Calc!$O$5:$O$254,UPPER(TRIM(CLEAN(SUBSTITUTE(Y22&amp;""," "," ")))),Calc!$L$5:$L$254,"Y"))</f>
        <v/>
      </c>
      <c r="AI22" s="10">
        <f>IF(AND(UPPER(TRIM(CLEAN(SUBSTITUTE(Y22&amp;""," "," "))))="",UPPER(TRIM(CLEAN(SUBSTITUTE(Z22&amp;""," "," "))))="",UPPER(TRIM(CLEAN(SUBSTITUTE(AA22&amp;""," "," "))))="",UPPER(TRIM(CLEAN(SUBSTITUTE(AB22&amp;""," "," "))))="",UPPER(TRIM(CLEAN(SUBSTITUTE(AE22&amp;""," "," "))))="",AC22&amp;""="",AD22&amp;""="",AF22&amp;""=""),"",IF(UPPER(TRIM(CLEAN(SUBSTITUTE(Y22&amp;""," "," "))))="","CHECK: line ID missing",IF(NOT(ISNUMBER(AC22)),"CHECK: rate missing",IF(OR(AC22&lt;0,AC22&gt;10),"CHECK: rate must be 0% to 1000%",IF(SUMPRODUCT(--(UPPER(TRIM(CLEAN(SUBSTITUTE(rate_ID&amp;""," "," "))))=UPPER(TRIM(CLEAN(SUBSTITUTE(Y22&amp;""," "," "))))))&gt;1,"CHECK: line ID listed twice",IF(AND(UPPER(TRIM(CLEAN(SUBSTITUTE(Z22&amp;""," "," "))))&lt;&gt;"",SUMPRODUCT(--(UPPER(TRIM(CLEAN(SUBSTITUTE(scope_Group&amp;""," "," "))))=UPPER(TRIM(CLEAN(SUBSTITUTE(Z22&amp;""," "," "))))))=0),"CHECK: rate group not on the scope list",IF(AND(UPPER(TRIM(CLEAN(SUBSTITUTE(AA22&amp;""," "," "))))&lt;&gt;"",SUMPRODUCT(--(UPPER(TRIM(CLEAN(SUBSTITUTE(scope_COO&amp;""," "," "))))=UPPER(TRIM(CLEAN(SUBSTITUTE(AA22&amp;""," "," "))))))=0),"CHECK: origin not on the origin list",IF(AND(UPPER(TRIM(CLEAN(SUBSTITUTE(AB22&amp;""," "," "))))&lt;&gt;"",UPPER(TRIM(CLEAN(SUBSTITUTE(AB22&amp;""," "," "))))&lt;&gt;"Y",UPPER(TRIM(CLEAN(SUBSTITUTE(AB22&amp;""," "," "))))&lt;&gt;"N"),"CHECK: USMCA must be Y, N or blank",IF(AND(UPPER(TRIM(CLEAN(SUBSTITUTE(AE22&amp;""," "," "))))&lt;&gt;"",UPPER(TRIM(CLEAN(SUBSTITUTE(AE22&amp;""," "," "))))&lt;&gt;"FULL",UPPER(TRIM(CLEAN(SUBSTITUTE(AE22&amp;""," "," "))))&lt;&gt;"PART"),"CHECK: duty base must be FULL, PART or blank",IF(OR(AND(AD22&amp;""&lt;&gt;"",NOT(ISNUMBER(AD22))),AND(AF22&amp;""&lt;&gt;"",NOT(ISNUMBER(AF22)))),"CHECK: earlier or displaced rate must be a percentage",IF(AC22&gt;1,"NOTE: rate above 100%: check it was entered as a percentage","OK")))))))))))</f>
        <v/>
      </c>
    </row>
    <row r="23">
      <c r="A23" s="5" t="inlineStr">
        <is>
          <t>Date brief checked</t>
        </is>
      </c>
      <c r="B23" s="14" t="n">
        <v>46436</v>
      </c>
      <c r="C23" s="9" t="inlineStr">
        <is>
          <t>Brief Part 12.</t>
        </is>
      </c>
      <c r="E23" s="8" t="n"/>
      <c r="F23" s="10">
        <f>IF(SUBSTITUTE(SUBSTITUTE(SUBSTITUTE(SUBSTITUTE(CLEAN(E23&amp;"")," ",""),".","")," ",""),"-","")="","",IF(AND(OR(LEN(SUBSTITUTE(SUBSTITUTE(SUBSTITUTE(SUBSTITUTE(CLEAN(E23&amp;"")," ",""),".","")," ",""),"-",""))=2,LEN(SUBSTITUTE(SUBSTITUTE(SUBSTITUTE(SUBSTITUTE(CLEAN(E23&amp;"")," ",""),".","")," ",""),"-",""))=4,LEN(SUBSTITUTE(SUBSTITUTE(SUBSTITUTE(SUBSTITUTE(CLEAN(E23&amp;"")," ",""),".","")," ",""),"-",""))=6,LEN(SUBSTITUTE(SUBSTITUTE(SUBSTITUTE(SUBSTITUTE(CLEAN(E23&amp;"")," ",""),".","")," ",""),"-",""))=8,LEN(SUBSTITUTE(SUBSTITUTE(SUBSTITUTE(SUBSTITUTE(CLEAN(E23&amp;"")," ",""),".","")," ",""),"-",""))=10),IFERROR(TEXT(VALUE(SUBSTITUTE(SUBSTITUTE(SUBSTITUTE(SUBSTITUTE(CLEAN(E23&amp;"")," ",""),".","")," ",""),"-","")),REPT("0",LEN(SUBSTITUTE(SUBSTITUTE(SUBSTITUTE(SUBSTITUTE(CLEAN(E23&amp;"")," ",""),".","")," ",""),"-",""))))=SUBSTITUTE(SUBSTITUTE(SUBSTITUTE(SUBSTITUTE(CLEAN(E23&amp;"")," ",""),".","")," ",""),"-",""),FALSE)),SUBSTITUTE(SUBSTITUTE(SUBSTITUTE(SUBSTITUTE(CLEAN(E23&amp;"")," ",""),".","")," ",""),"-",""),"CHECK: not 2, 4, 6, 8 or 10 digits"))</f>
        <v/>
      </c>
      <c r="G23" s="11" t="n"/>
      <c r="H23" s="8" t="n"/>
      <c r="I23" s="8" t="n"/>
      <c r="J23" s="10">
        <f>IF(SUBSTITUTE(SUBSTITUTE(SUBSTITUTE(SUBSTITUTE(CLEAN(I23&amp;"")," ",""),".","")," ",""),"-","")="","",IF(AND(OR(LEN(SUBSTITUTE(SUBSTITUTE(SUBSTITUTE(SUBSTITUTE(CLEAN(I23&amp;"")," ",""),".","")," ",""),"-",""))=2,LEN(SUBSTITUTE(SUBSTITUTE(SUBSTITUTE(SUBSTITUTE(CLEAN(I23&amp;"")," ",""),".","")," ",""),"-",""))=4,LEN(SUBSTITUTE(SUBSTITUTE(SUBSTITUTE(SUBSTITUTE(CLEAN(I23&amp;"")," ",""),".","")," ",""),"-",""))=6,LEN(SUBSTITUTE(SUBSTITUTE(SUBSTITUTE(SUBSTITUTE(CLEAN(I23&amp;"")," ",""),".","")," ",""),"-",""))=8,LEN(SUBSTITUTE(SUBSTITUTE(SUBSTITUTE(SUBSTITUTE(CLEAN(I23&amp;"")," ",""),".","")," ",""),"-",""))=10),IFERROR(TEXT(VALUE(SUBSTITUTE(SUBSTITUTE(SUBSTITUTE(SUBSTITUTE(CLEAN(I23&amp;"")," ",""),".","")," ",""),"-","")),REPT("0",LEN(SUBSTITUTE(SUBSTITUTE(SUBSTITUTE(SUBSTITUTE(CLEAN(I23&amp;"")," ",""),".","")," ",""),"-",""))))=SUBSTITUTE(SUBSTITUTE(SUBSTITUTE(SUBSTITUTE(CLEAN(I23&amp;"")," ",""),".","")," ",""),"-",""),FALSE)),SUBSTITUTE(SUBSTITUTE(SUBSTITUTE(SUBSTITUTE(CLEAN(I23&amp;"")," ",""),".","")," ",""),"-",""),"CHECK: not 2, 4, 6, 8 or 10 digits"))</f>
        <v/>
      </c>
      <c r="K23" s="11" t="n"/>
      <c r="M23" s="8" t="n"/>
      <c r="N23" s="11" t="n"/>
      <c r="P23" s="8" t="n"/>
      <c r="Q23" s="8" t="n"/>
      <c r="R23" s="8" t="n"/>
      <c r="S23" s="12" t="n"/>
      <c r="T23" s="11" t="n"/>
      <c r="U23" s="11" t="n"/>
      <c r="V23" s="10">
        <f>IF(TRIM(CLEAN(SUBSTITUTE(P23&amp;""," "," ")))="","",UPPER(TRIM(CLEAN(SUBSTITUTE(P23&amp;""," "," "))))&amp;"/"&amp;UPPER(TRIM(CLEAN(SUBSTITUTE(Q23&amp;""," "," ")))))</f>
        <v/>
      </c>
      <c r="W23" s="10">
        <f>IF(V23="","",IF(UPPER(TRIM(CLEAN(SUBSTITUTE(Q23&amp;""," "," "))))&lt;&gt;UPPER(TRIM(CLEAN(SUBSTITUTE(act_Country&amp;""," "," ")))),"CHECK: import country must match B7",IF(COUNTIF(det_Key,V23)&gt;1,"CHECK: listed twice",IF(AND(UPPER(TRIM(CLEAN(SUBSTITUTE(R23&amp;""," "," "))))&lt;&gt;"",UPPER(TRIM(CLEAN(SUBSTITUTE(R23&amp;""," "," "))))&lt;&gt;"IN",UPPER(TRIM(CLEAN(SUBSTITUTE(R23&amp;""," "," "))))&lt;&gt;"OUT"),"CHECK: determination must be IN, OUT or blank",IF(AND(S23&amp;""&lt;&gt;"",NOT(ISNUMBER(S23))),"CHECK: displaced rate must be a percentage",IF(AND(UPPER(TRIM(CLEAN(SUBSTITUTE(R23&amp;""," "," "))))="",NOT(ISNUMBER(S23))),"CHECK: enter IN, OUT or a displaced rate",IF(SUMPRODUCT(--(Calc!$AL$5:$AL$254&lt;&gt;""))=0,"WAIT: Items not loaded yet",IF(COUNTIF(Calc!$AL$5:$AL$254,V23)=0,"CHECK: no Items row for this item and import country","OK"))))))))</f>
        <v/>
      </c>
      <c r="Y23" s="8" t="n"/>
      <c r="Z23" s="8" t="n"/>
      <c r="AA23" s="8" t="n"/>
      <c r="AB23" s="8" t="n"/>
      <c r="AC23" s="12" t="n"/>
      <c r="AD23" s="12" t="n"/>
      <c r="AE23" s="8" t="n"/>
      <c r="AF23" s="12" t="n"/>
      <c r="AG23" s="11" t="n"/>
      <c r="AH23" s="13">
        <f>IF(UPPER(TRIM(CLEAN(SUBSTITUTE(Y23&amp;""," "," "))))="","",COUNTIFS(Calc!$O$5:$O$254,UPPER(TRIM(CLEAN(SUBSTITUTE(Y23&amp;""," "," ")))),Calc!$L$5:$L$254,"Y"))</f>
        <v/>
      </c>
      <c r="AI23" s="10">
        <f>IF(AND(UPPER(TRIM(CLEAN(SUBSTITUTE(Y23&amp;""," "," "))))="",UPPER(TRIM(CLEAN(SUBSTITUTE(Z23&amp;""," "," "))))="",UPPER(TRIM(CLEAN(SUBSTITUTE(AA23&amp;""," "," "))))="",UPPER(TRIM(CLEAN(SUBSTITUTE(AB23&amp;""," "," "))))="",UPPER(TRIM(CLEAN(SUBSTITUTE(AE23&amp;""," "," "))))="",AC23&amp;""="",AD23&amp;""="",AF23&amp;""=""),"",IF(UPPER(TRIM(CLEAN(SUBSTITUTE(Y23&amp;""," "," "))))="","CHECK: line ID missing",IF(NOT(ISNUMBER(AC23)),"CHECK: rate missing",IF(OR(AC23&lt;0,AC23&gt;10),"CHECK: rate must be 0% to 1000%",IF(SUMPRODUCT(--(UPPER(TRIM(CLEAN(SUBSTITUTE(rate_ID&amp;""," "," "))))=UPPER(TRIM(CLEAN(SUBSTITUTE(Y23&amp;""," "," "))))))&gt;1,"CHECK: line ID listed twice",IF(AND(UPPER(TRIM(CLEAN(SUBSTITUTE(Z23&amp;""," "," "))))&lt;&gt;"",SUMPRODUCT(--(UPPER(TRIM(CLEAN(SUBSTITUTE(scope_Group&amp;""," "," "))))=UPPER(TRIM(CLEAN(SUBSTITUTE(Z23&amp;""," "," "))))))=0),"CHECK: rate group not on the scope list",IF(AND(UPPER(TRIM(CLEAN(SUBSTITUTE(AA23&amp;""," "," "))))&lt;&gt;"",SUMPRODUCT(--(UPPER(TRIM(CLEAN(SUBSTITUTE(scope_COO&amp;""," "," "))))=UPPER(TRIM(CLEAN(SUBSTITUTE(AA23&amp;""," "," "))))))=0),"CHECK: origin not on the origin list",IF(AND(UPPER(TRIM(CLEAN(SUBSTITUTE(AB23&amp;""," "," "))))&lt;&gt;"",UPPER(TRIM(CLEAN(SUBSTITUTE(AB23&amp;""," "," "))))&lt;&gt;"Y",UPPER(TRIM(CLEAN(SUBSTITUTE(AB23&amp;""," "," "))))&lt;&gt;"N"),"CHECK: USMCA must be Y, N or blank",IF(AND(UPPER(TRIM(CLEAN(SUBSTITUTE(AE23&amp;""," "," "))))&lt;&gt;"",UPPER(TRIM(CLEAN(SUBSTITUTE(AE23&amp;""," "," "))))&lt;&gt;"FULL",UPPER(TRIM(CLEAN(SUBSTITUTE(AE23&amp;""," "," "))))&lt;&gt;"PART"),"CHECK: duty base must be FULL, PART or blank",IF(OR(AND(AD23&amp;""&lt;&gt;"",NOT(ISNUMBER(AD23))),AND(AF23&amp;""&lt;&gt;"",NOT(ISNUMBER(AF23)))),"CHECK: earlier or displaced rate must be a percentage",IF(AC23&gt;1,"NOTE: rate above 100%: check it was entered as a percentage","OK")))))))))))</f>
        <v/>
      </c>
    </row>
    <row r="24">
      <c r="A24" s="5" t="inlineStr">
        <is>
          <t>Model version</t>
        </is>
      </c>
      <c r="B24" s="8" t="inlineStr">
        <is>
          <t>v1.1 (SAMPLE)</t>
        </is>
      </c>
      <c r="C24" s="9" t="inlineStr">
        <is>
          <t>Matches the latest line on the Review tab and the file name.</t>
        </is>
      </c>
      <c r="E24" s="8" t="n"/>
      <c r="F24" s="10">
        <f>IF(SUBSTITUTE(SUBSTITUTE(SUBSTITUTE(SUBSTITUTE(CLEAN(E24&amp;"")," ",""),".","")," ",""),"-","")="","",IF(AND(OR(LEN(SUBSTITUTE(SUBSTITUTE(SUBSTITUTE(SUBSTITUTE(CLEAN(E24&amp;"")," ",""),".","")," ",""),"-",""))=2,LEN(SUBSTITUTE(SUBSTITUTE(SUBSTITUTE(SUBSTITUTE(CLEAN(E24&amp;"")," ",""),".","")," ",""),"-",""))=4,LEN(SUBSTITUTE(SUBSTITUTE(SUBSTITUTE(SUBSTITUTE(CLEAN(E24&amp;"")," ",""),".","")," ",""),"-",""))=6,LEN(SUBSTITUTE(SUBSTITUTE(SUBSTITUTE(SUBSTITUTE(CLEAN(E24&amp;"")," ",""),".","")," ",""),"-",""))=8,LEN(SUBSTITUTE(SUBSTITUTE(SUBSTITUTE(SUBSTITUTE(CLEAN(E24&amp;"")," ",""),".","")," ",""),"-",""))=10),IFERROR(TEXT(VALUE(SUBSTITUTE(SUBSTITUTE(SUBSTITUTE(SUBSTITUTE(CLEAN(E24&amp;"")," ",""),".","")," ",""),"-","")),REPT("0",LEN(SUBSTITUTE(SUBSTITUTE(SUBSTITUTE(SUBSTITUTE(CLEAN(E24&amp;"")," ",""),".","")," ",""),"-",""))))=SUBSTITUTE(SUBSTITUTE(SUBSTITUTE(SUBSTITUTE(CLEAN(E24&amp;"")," ",""),".","")," ",""),"-",""),FALSE)),SUBSTITUTE(SUBSTITUTE(SUBSTITUTE(SUBSTITUTE(CLEAN(E24&amp;"")," ",""),".","")," ",""),"-",""),"CHECK: not 2, 4, 6, 8 or 10 digits"))</f>
        <v/>
      </c>
      <c r="G24" s="11" t="n"/>
      <c r="H24" s="8" t="n"/>
      <c r="I24" s="8" t="n"/>
      <c r="J24" s="10">
        <f>IF(SUBSTITUTE(SUBSTITUTE(SUBSTITUTE(SUBSTITUTE(CLEAN(I24&amp;"")," ",""),".","")," ",""),"-","")="","",IF(AND(OR(LEN(SUBSTITUTE(SUBSTITUTE(SUBSTITUTE(SUBSTITUTE(CLEAN(I24&amp;"")," ",""),".","")," ",""),"-",""))=2,LEN(SUBSTITUTE(SUBSTITUTE(SUBSTITUTE(SUBSTITUTE(CLEAN(I24&amp;"")," ",""),".","")," ",""),"-",""))=4,LEN(SUBSTITUTE(SUBSTITUTE(SUBSTITUTE(SUBSTITUTE(CLEAN(I24&amp;"")," ",""),".","")," ",""),"-",""))=6,LEN(SUBSTITUTE(SUBSTITUTE(SUBSTITUTE(SUBSTITUTE(CLEAN(I24&amp;"")," ",""),".","")," ",""),"-",""))=8,LEN(SUBSTITUTE(SUBSTITUTE(SUBSTITUTE(SUBSTITUTE(CLEAN(I24&amp;"")," ",""),".","")," ",""),"-",""))=10),IFERROR(TEXT(VALUE(SUBSTITUTE(SUBSTITUTE(SUBSTITUTE(SUBSTITUTE(CLEAN(I24&amp;"")," ",""),".","")," ",""),"-","")),REPT("0",LEN(SUBSTITUTE(SUBSTITUTE(SUBSTITUTE(SUBSTITUTE(CLEAN(I24&amp;"")," ",""),".","")," ",""),"-",""))))=SUBSTITUTE(SUBSTITUTE(SUBSTITUTE(SUBSTITUTE(CLEAN(I24&amp;"")," ",""),".","")," ",""),"-",""),FALSE)),SUBSTITUTE(SUBSTITUTE(SUBSTITUTE(SUBSTITUTE(CLEAN(I24&amp;"")," ",""),".","")," ",""),"-",""),"CHECK: not 2, 4, 6, 8 or 10 digits"))</f>
        <v/>
      </c>
      <c r="K24" s="11" t="n"/>
      <c r="M24" s="8" t="n"/>
      <c r="N24" s="11" t="n"/>
      <c r="P24" s="8" t="n"/>
      <c r="Q24" s="8" t="n"/>
      <c r="R24" s="8" t="n"/>
      <c r="S24" s="12" t="n"/>
      <c r="T24" s="11" t="n"/>
      <c r="U24" s="11" t="n"/>
      <c r="V24" s="10">
        <f>IF(TRIM(CLEAN(SUBSTITUTE(P24&amp;""," "," ")))="","",UPPER(TRIM(CLEAN(SUBSTITUTE(P24&amp;""," "," "))))&amp;"/"&amp;UPPER(TRIM(CLEAN(SUBSTITUTE(Q24&amp;""," "," ")))))</f>
        <v/>
      </c>
      <c r="W24" s="10">
        <f>IF(V24="","",IF(UPPER(TRIM(CLEAN(SUBSTITUTE(Q24&amp;""," "," "))))&lt;&gt;UPPER(TRIM(CLEAN(SUBSTITUTE(act_Country&amp;""," "," ")))),"CHECK: import country must match B7",IF(COUNTIF(det_Key,V24)&gt;1,"CHECK: listed twice",IF(AND(UPPER(TRIM(CLEAN(SUBSTITUTE(R24&amp;""," "," "))))&lt;&gt;"",UPPER(TRIM(CLEAN(SUBSTITUTE(R24&amp;""," "," "))))&lt;&gt;"IN",UPPER(TRIM(CLEAN(SUBSTITUTE(R24&amp;""," "," "))))&lt;&gt;"OUT"),"CHECK: determination must be IN, OUT or blank",IF(AND(S24&amp;""&lt;&gt;"",NOT(ISNUMBER(S24))),"CHECK: displaced rate must be a percentage",IF(AND(UPPER(TRIM(CLEAN(SUBSTITUTE(R24&amp;""," "," "))))="",NOT(ISNUMBER(S24))),"CHECK: enter IN, OUT or a displaced rate",IF(SUMPRODUCT(--(Calc!$AL$5:$AL$254&lt;&gt;""))=0,"WAIT: Items not loaded yet",IF(COUNTIF(Calc!$AL$5:$AL$254,V24)=0,"CHECK: no Items row for this item and import country","OK"))))))))</f>
        <v/>
      </c>
      <c r="Y24" s="8" t="n"/>
      <c r="Z24" s="8" t="n"/>
      <c r="AA24" s="8" t="n"/>
      <c r="AB24" s="8" t="n"/>
      <c r="AC24" s="12" t="n"/>
      <c r="AD24" s="12" t="n"/>
      <c r="AE24" s="8" t="n"/>
      <c r="AF24" s="12" t="n"/>
      <c r="AG24" s="11" t="n"/>
      <c r="AH24" s="13">
        <f>IF(UPPER(TRIM(CLEAN(SUBSTITUTE(Y24&amp;""," "," "))))="","",COUNTIFS(Calc!$O$5:$O$254,UPPER(TRIM(CLEAN(SUBSTITUTE(Y24&amp;""," "," ")))),Calc!$L$5:$L$254,"Y"))</f>
        <v/>
      </c>
      <c r="AI24" s="10">
        <f>IF(AND(UPPER(TRIM(CLEAN(SUBSTITUTE(Y24&amp;""," "," "))))="",UPPER(TRIM(CLEAN(SUBSTITUTE(Z24&amp;""," "," "))))="",UPPER(TRIM(CLEAN(SUBSTITUTE(AA24&amp;""," "," "))))="",UPPER(TRIM(CLEAN(SUBSTITUTE(AB24&amp;""," "," "))))="",UPPER(TRIM(CLEAN(SUBSTITUTE(AE24&amp;""," "," "))))="",AC24&amp;""="",AD24&amp;""="",AF24&amp;""=""),"",IF(UPPER(TRIM(CLEAN(SUBSTITUTE(Y24&amp;""," "," "))))="","CHECK: line ID missing",IF(NOT(ISNUMBER(AC24)),"CHECK: rate missing",IF(OR(AC24&lt;0,AC24&gt;10),"CHECK: rate must be 0% to 1000%",IF(SUMPRODUCT(--(UPPER(TRIM(CLEAN(SUBSTITUTE(rate_ID&amp;""," "," "))))=UPPER(TRIM(CLEAN(SUBSTITUTE(Y24&amp;""," "," "))))))&gt;1,"CHECK: line ID listed twice",IF(AND(UPPER(TRIM(CLEAN(SUBSTITUTE(Z24&amp;""," "," "))))&lt;&gt;"",SUMPRODUCT(--(UPPER(TRIM(CLEAN(SUBSTITUTE(scope_Group&amp;""," "," "))))=UPPER(TRIM(CLEAN(SUBSTITUTE(Z24&amp;""," "," "))))))=0),"CHECK: rate group not on the scope list",IF(AND(UPPER(TRIM(CLEAN(SUBSTITUTE(AA24&amp;""," "," "))))&lt;&gt;"",SUMPRODUCT(--(UPPER(TRIM(CLEAN(SUBSTITUTE(scope_COO&amp;""," "," "))))=UPPER(TRIM(CLEAN(SUBSTITUTE(AA24&amp;""," "," "))))))=0),"CHECK: origin not on the origin list",IF(AND(UPPER(TRIM(CLEAN(SUBSTITUTE(AB24&amp;""," "," "))))&lt;&gt;"",UPPER(TRIM(CLEAN(SUBSTITUTE(AB24&amp;""," "," "))))&lt;&gt;"Y",UPPER(TRIM(CLEAN(SUBSTITUTE(AB24&amp;""," "," "))))&lt;&gt;"N"),"CHECK: USMCA must be Y, N or blank",IF(AND(UPPER(TRIM(CLEAN(SUBSTITUTE(AE24&amp;""," "," "))))&lt;&gt;"",UPPER(TRIM(CLEAN(SUBSTITUTE(AE24&amp;""," "," "))))&lt;&gt;"FULL",UPPER(TRIM(CLEAN(SUBSTITUTE(AE24&amp;""," "," "))))&lt;&gt;"PART"),"CHECK: duty base must be FULL, PART or blank",IF(OR(AND(AD24&amp;""&lt;&gt;"",NOT(ISNUMBER(AD24))),AND(AF24&amp;""&lt;&gt;"",NOT(ISNUMBER(AF24)))),"CHECK: earlier or displaced rate must be a percentage",IF(AC24&gt;1,"NOTE: rate above 100%: check it was entered as a percentage","OK")))))))))))</f>
        <v/>
      </c>
    </row>
    <row r="25">
      <c r="E25" s="8" t="n"/>
      <c r="F25" s="10">
        <f>IF(SUBSTITUTE(SUBSTITUTE(SUBSTITUTE(SUBSTITUTE(CLEAN(E25&amp;"")," ",""),".","")," ",""),"-","")="","",IF(AND(OR(LEN(SUBSTITUTE(SUBSTITUTE(SUBSTITUTE(SUBSTITUTE(CLEAN(E25&amp;"")," ",""),".","")," ",""),"-",""))=2,LEN(SUBSTITUTE(SUBSTITUTE(SUBSTITUTE(SUBSTITUTE(CLEAN(E25&amp;"")," ",""),".","")," ",""),"-",""))=4,LEN(SUBSTITUTE(SUBSTITUTE(SUBSTITUTE(SUBSTITUTE(CLEAN(E25&amp;"")," ",""),".","")," ",""),"-",""))=6,LEN(SUBSTITUTE(SUBSTITUTE(SUBSTITUTE(SUBSTITUTE(CLEAN(E25&amp;"")," ",""),".","")," ",""),"-",""))=8,LEN(SUBSTITUTE(SUBSTITUTE(SUBSTITUTE(SUBSTITUTE(CLEAN(E25&amp;"")," ",""),".","")," ",""),"-",""))=10),IFERROR(TEXT(VALUE(SUBSTITUTE(SUBSTITUTE(SUBSTITUTE(SUBSTITUTE(CLEAN(E25&amp;"")," ",""),".","")," ",""),"-","")),REPT("0",LEN(SUBSTITUTE(SUBSTITUTE(SUBSTITUTE(SUBSTITUTE(CLEAN(E25&amp;"")," ",""),".","")," ",""),"-",""))))=SUBSTITUTE(SUBSTITUTE(SUBSTITUTE(SUBSTITUTE(CLEAN(E25&amp;"")," ",""),".","")," ",""),"-",""),FALSE)),SUBSTITUTE(SUBSTITUTE(SUBSTITUTE(SUBSTITUTE(CLEAN(E25&amp;"")," ",""),".","")," ",""),"-",""),"CHECK: not 2, 4, 6, 8 or 10 digits"))</f>
        <v/>
      </c>
      <c r="G25" s="11" t="n"/>
      <c r="H25" s="8" t="n"/>
      <c r="I25" s="8" t="n"/>
      <c r="J25" s="10">
        <f>IF(SUBSTITUTE(SUBSTITUTE(SUBSTITUTE(SUBSTITUTE(CLEAN(I25&amp;"")," ",""),".","")," ",""),"-","")="","",IF(AND(OR(LEN(SUBSTITUTE(SUBSTITUTE(SUBSTITUTE(SUBSTITUTE(CLEAN(I25&amp;"")," ",""),".","")," ",""),"-",""))=2,LEN(SUBSTITUTE(SUBSTITUTE(SUBSTITUTE(SUBSTITUTE(CLEAN(I25&amp;"")," ",""),".","")," ",""),"-",""))=4,LEN(SUBSTITUTE(SUBSTITUTE(SUBSTITUTE(SUBSTITUTE(CLEAN(I25&amp;"")," ",""),".","")," ",""),"-",""))=6,LEN(SUBSTITUTE(SUBSTITUTE(SUBSTITUTE(SUBSTITUTE(CLEAN(I25&amp;"")," ",""),".","")," ",""),"-",""))=8,LEN(SUBSTITUTE(SUBSTITUTE(SUBSTITUTE(SUBSTITUTE(CLEAN(I25&amp;"")," ",""),".","")," ",""),"-",""))=10),IFERROR(TEXT(VALUE(SUBSTITUTE(SUBSTITUTE(SUBSTITUTE(SUBSTITUTE(CLEAN(I25&amp;"")," ",""),".","")," ",""),"-","")),REPT("0",LEN(SUBSTITUTE(SUBSTITUTE(SUBSTITUTE(SUBSTITUTE(CLEAN(I25&amp;"")," ",""),".","")," ",""),"-",""))))=SUBSTITUTE(SUBSTITUTE(SUBSTITUTE(SUBSTITUTE(CLEAN(I25&amp;"")," ",""),".","")," ",""),"-",""),FALSE)),SUBSTITUTE(SUBSTITUTE(SUBSTITUTE(SUBSTITUTE(CLEAN(I25&amp;"")," ",""),".","")," ",""),"-",""),"CHECK: not 2, 4, 6, 8 or 10 digits"))</f>
        <v/>
      </c>
      <c r="K25" s="11" t="n"/>
      <c r="M25" s="8" t="n"/>
      <c r="N25" s="11" t="n"/>
      <c r="P25" s="8" t="n"/>
      <c r="Q25" s="8" t="n"/>
      <c r="R25" s="8" t="n"/>
      <c r="S25" s="12" t="n"/>
      <c r="T25" s="11" t="n"/>
      <c r="U25" s="11" t="n"/>
      <c r="V25" s="10">
        <f>IF(TRIM(CLEAN(SUBSTITUTE(P25&amp;""," "," ")))="","",UPPER(TRIM(CLEAN(SUBSTITUTE(P25&amp;""," "," "))))&amp;"/"&amp;UPPER(TRIM(CLEAN(SUBSTITUTE(Q25&amp;""," "," ")))))</f>
        <v/>
      </c>
      <c r="W25" s="10">
        <f>IF(V25="","",IF(UPPER(TRIM(CLEAN(SUBSTITUTE(Q25&amp;""," "," "))))&lt;&gt;UPPER(TRIM(CLEAN(SUBSTITUTE(act_Country&amp;""," "," ")))),"CHECK: import country must match B7",IF(COUNTIF(det_Key,V25)&gt;1,"CHECK: listed twice",IF(AND(UPPER(TRIM(CLEAN(SUBSTITUTE(R25&amp;""," "," "))))&lt;&gt;"",UPPER(TRIM(CLEAN(SUBSTITUTE(R25&amp;""," "," "))))&lt;&gt;"IN",UPPER(TRIM(CLEAN(SUBSTITUTE(R25&amp;""," "," "))))&lt;&gt;"OUT"),"CHECK: determination must be IN, OUT or blank",IF(AND(S25&amp;""&lt;&gt;"",NOT(ISNUMBER(S25))),"CHECK: displaced rate must be a percentage",IF(AND(UPPER(TRIM(CLEAN(SUBSTITUTE(R25&amp;""," "," "))))="",NOT(ISNUMBER(S25))),"CHECK: enter IN, OUT or a displaced rate",IF(SUMPRODUCT(--(Calc!$AL$5:$AL$254&lt;&gt;""))=0,"WAIT: Items not loaded yet",IF(COUNTIF(Calc!$AL$5:$AL$254,V25)=0,"CHECK: no Items row for this item and import country","OK"))))))))</f>
        <v/>
      </c>
      <c r="Y25" s="8" t="n"/>
      <c r="Z25" s="8" t="n"/>
      <c r="AA25" s="8" t="n"/>
      <c r="AB25" s="8" t="n"/>
      <c r="AC25" s="12" t="n"/>
      <c r="AD25" s="12" t="n"/>
      <c r="AE25" s="8" t="n"/>
      <c r="AF25" s="12" t="n"/>
      <c r="AG25" s="11" t="n"/>
      <c r="AH25" s="13">
        <f>IF(UPPER(TRIM(CLEAN(SUBSTITUTE(Y25&amp;""," "," "))))="","",COUNTIFS(Calc!$O$5:$O$254,UPPER(TRIM(CLEAN(SUBSTITUTE(Y25&amp;""," "," ")))),Calc!$L$5:$L$254,"Y"))</f>
        <v/>
      </c>
      <c r="AI25" s="10">
        <f>IF(AND(UPPER(TRIM(CLEAN(SUBSTITUTE(Y25&amp;""," "," "))))="",UPPER(TRIM(CLEAN(SUBSTITUTE(Z25&amp;""," "," "))))="",UPPER(TRIM(CLEAN(SUBSTITUTE(AA25&amp;""," "," "))))="",UPPER(TRIM(CLEAN(SUBSTITUTE(AB25&amp;""," "," "))))="",UPPER(TRIM(CLEAN(SUBSTITUTE(AE25&amp;""," "," "))))="",AC25&amp;""="",AD25&amp;""="",AF25&amp;""=""),"",IF(UPPER(TRIM(CLEAN(SUBSTITUTE(Y25&amp;""," "," "))))="","CHECK: line ID missing",IF(NOT(ISNUMBER(AC25)),"CHECK: rate missing",IF(OR(AC25&lt;0,AC25&gt;10),"CHECK: rate must be 0% to 1000%",IF(SUMPRODUCT(--(UPPER(TRIM(CLEAN(SUBSTITUTE(rate_ID&amp;""," "," "))))=UPPER(TRIM(CLEAN(SUBSTITUTE(Y25&amp;""," "," "))))))&gt;1,"CHECK: line ID listed twice",IF(AND(UPPER(TRIM(CLEAN(SUBSTITUTE(Z25&amp;""," "," "))))&lt;&gt;"",SUMPRODUCT(--(UPPER(TRIM(CLEAN(SUBSTITUTE(scope_Group&amp;""," "," "))))=UPPER(TRIM(CLEAN(SUBSTITUTE(Z25&amp;""," "," "))))))=0),"CHECK: rate group not on the scope list",IF(AND(UPPER(TRIM(CLEAN(SUBSTITUTE(AA25&amp;""," "," "))))&lt;&gt;"",SUMPRODUCT(--(UPPER(TRIM(CLEAN(SUBSTITUTE(scope_COO&amp;""," "," "))))=UPPER(TRIM(CLEAN(SUBSTITUTE(AA25&amp;""," "," "))))))=0),"CHECK: origin not on the origin list",IF(AND(UPPER(TRIM(CLEAN(SUBSTITUTE(AB25&amp;""," "," "))))&lt;&gt;"",UPPER(TRIM(CLEAN(SUBSTITUTE(AB25&amp;""," "," "))))&lt;&gt;"Y",UPPER(TRIM(CLEAN(SUBSTITUTE(AB25&amp;""," "," "))))&lt;&gt;"N"),"CHECK: USMCA must be Y, N or blank",IF(AND(UPPER(TRIM(CLEAN(SUBSTITUTE(AE25&amp;""," "," "))))&lt;&gt;"",UPPER(TRIM(CLEAN(SUBSTITUTE(AE25&amp;""," "," "))))&lt;&gt;"FULL",UPPER(TRIM(CLEAN(SUBSTITUTE(AE25&amp;""," "," "))))&lt;&gt;"PART"),"CHECK: duty base must be FULL, PART or blank",IF(OR(AND(AD25&amp;""&lt;&gt;"",NOT(ISNUMBER(AD25))),AND(AF25&amp;""&lt;&gt;"",NOT(ISNUMBER(AF25)))),"CHECK: earlier or displaced rate must be a percentage",IF(AC25&gt;1,"NOTE: rate above 100%: check it was entered as a percentage","OK")))))))))))</f>
        <v/>
      </c>
    </row>
    <row r="26">
      <c r="E26" s="8" t="n"/>
      <c r="F26" s="10">
        <f>IF(SUBSTITUTE(SUBSTITUTE(SUBSTITUTE(SUBSTITUTE(CLEAN(E26&amp;"")," ",""),".","")," ",""),"-","")="","",IF(AND(OR(LEN(SUBSTITUTE(SUBSTITUTE(SUBSTITUTE(SUBSTITUTE(CLEAN(E26&amp;"")," ",""),".","")," ",""),"-",""))=2,LEN(SUBSTITUTE(SUBSTITUTE(SUBSTITUTE(SUBSTITUTE(CLEAN(E26&amp;"")," ",""),".","")," ",""),"-",""))=4,LEN(SUBSTITUTE(SUBSTITUTE(SUBSTITUTE(SUBSTITUTE(CLEAN(E26&amp;"")," ",""),".","")," ",""),"-",""))=6,LEN(SUBSTITUTE(SUBSTITUTE(SUBSTITUTE(SUBSTITUTE(CLEAN(E26&amp;"")," ",""),".","")," ",""),"-",""))=8,LEN(SUBSTITUTE(SUBSTITUTE(SUBSTITUTE(SUBSTITUTE(CLEAN(E26&amp;"")," ",""),".","")," ",""),"-",""))=10),IFERROR(TEXT(VALUE(SUBSTITUTE(SUBSTITUTE(SUBSTITUTE(SUBSTITUTE(CLEAN(E26&amp;"")," ",""),".","")," ",""),"-","")),REPT("0",LEN(SUBSTITUTE(SUBSTITUTE(SUBSTITUTE(SUBSTITUTE(CLEAN(E26&amp;"")," ",""),".","")," ",""),"-",""))))=SUBSTITUTE(SUBSTITUTE(SUBSTITUTE(SUBSTITUTE(CLEAN(E26&amp;"")," ",""),".","")," ",""),"-",""),FALSE)),SUBSTITUTE(SUBSTITUTE(SUBSTITUTE(SUBSTITUTE(CLEAN(E26&amp;"")," ",""),".","")," ",""),"-",""),"CHECK: not 2, 4, 6, 8 or 10 digits"))</f>
        <v/>
      </c>
      <c r="G26" s="11" t="n"/>
      <c r="H26" s="8" t="n"/>
      <c r="I26" s="8" t="n"/>
      <c r="J26" s="10">
        <f>IF(SUBSTITUTE(SUBSTITUTE(SUBSTITUTE(SUBSTITUTE(CLEAN(I26&amp;"")," ",""),".","")," ",""),"-","")="","",IF(AND(OR(LEN(SUBSTITUTE(SUBSTITUTE(SUBSTITUTE(SUBSTITUTE(CLEAN(I26&amp;"")," ",""),".","")," ",""),"-",""))=2,LEN(SUBSTITUTE(SUBSTITUTE(SUBSTITUTE(SUBSTITUTE(CLEAN(I26&amp;"")," ",""),".","")," ",""),"-",""))=4,LEN(SUBSTITUTE(SUBSTITUTE(SUBSTITUTE(SUBSTITUTE(CLEAN(I26&amp;"")," ",""),".","")," ",""),"-",""))=6,LEN(SUBSTITUTE(SUBSTITUTE(SUBSTITUTE(SUBSTITUTE(CLEAN(I26&amp;"")," ",""),".","")," ",""),"-",""))=8,LEN(SUBSTITUTE(SUBSTITUTE(SUBSTITUTE(SUBSTITUTE(CLEAN(I26&amp;"")," ",""),".","")," ",""),"-",""))=10),IFERROR(TEXT(VALUE(SUBSTITUTE(SUBSTITUTE(SUBSTITUTE(SUBSTITUTE(CLEAN(I26&amp;"")," ",""),".","")," ",""),"-","")),REPT("0",LEN(SUBSTITUTE(SUBSTITUTE(SUBSTITUTE(SUBSTITUTE(CLEAN(I26&amp;"")," ",""),".","")," ",""),"-",""))))=SUBSTITUTE(SUBSTITUTE(SUBSTITUTE(SUBSTITUTE(CLEAN(I26&amp;"")," ",""),".","")," ",""),"-",""),FALSE)),SUBSTITUTE(SUBSTITUTE(SUBSTITUTE(SUBSTITUTE(CLEAN(I26&amp;"")," ",""),".","")," ",""),"-",""),"CHECK: not 2, 4, 6, 8 or 10 digits"))</f>
        <v/>
      </c>
      <c r="K26" s="11" t="n"/>
      <c r="M26" s="8" t="n"/>
      <c r="N26" s="11" t="n"/>
      <c r="P26" s="8" t="n"/>
      <c r="Q26" s="8" t="n"/>
      <c r="R26" s="8" t="n"/>
      <c r="S26" s="12" t="n"/>
      <c r="T26" s="11" t="n"/>
      <c r="U26" s="11" t="n"/>
      <c r="V26" s="10">
        <f>IF(TRIM(CLEAN(SUBSTITUTE(P26&amp;""," "," ")))="","",UPPER(TRIM(CLEAN(SUBSTITUTE(P26&amp;""," "," "))))&amp;"/"&amp;UPPER(TRIM(CLEAN(SUBSTITUTE(Q26&amp;""," "," ")))))</f>
        <v/>
      </c>
      <c r="W26" s="10">
        <f>IF(V26="","",IF(UPPER(TRIM(CLEAN(SUBSTITUTE(Q26&amp;""," "," "))))&lt;&gt;UPPER(TRIM(CLEAN(SUBSTITUTE(act_Country&amp;""," "," ")))),"CHECK: import country must match B7",IF(COUNTIF(det_Key,V26)&gt;1,"CHECK: listed twice",IF(AND(UPPER(TRIM(CLEAN(SUBSTITUTE(R26&amp;""," "," "))))&lt;&gt;"",UPPER(TRIM(CLEAN(SUBSTITUTE(R26&amp;""," "," "))))&lt;&gt;"IN",UPPER(TRIM(CLEAN(SUBSTITUTE(R26&amp;""," "," "))))&lt;&gt;"OUT"),"CHECK: determination must be IN, OUT or blank",IF(AND(S26&amp;""&lt;&gt;"",NOT(ISNUMBER(S26))),"CHECK: displaced rate must be a percentage",IF(AND(UPPER(TRIM(CLEAN(SUBSTITUTE(R26&amp;""," "," "))))="",NOT(ISNUMBER(S26))),"CHECK: enter IN, OUT or a displaced rate",IF(SUMPRODUCT(--(Calc!$AL$5:$AL$254&lt;&gt;""))=0,"WAIT: Items not loaded yet",IF(COUNTIF(Calc!$AL$5:$AL$254,V26)=0,"CHECK: no Items row for this item and import country","OK"))))))))</f>
        <v/>
      </c>
      <c r="Y26" s="8" t="n"/>
      <c r="Z26" s="8" t="n"/>
      <c r="AA26" s="8" t="n"/>
      <c r="AB26" s="8" t="n"/>
      <c r="AC26" s="12" t="n"/>
      <c r="AD26" s="12" t="n"/>
      <c r="AE26" s="8" t="n"/>
      <c r="AF26" s="12" t="n"/>
      <c r="AG26" s="11" t="n"/>
      <c r="AH26" s="13">
        <f>IF(UPPER(TRIM(CLEAN(SUBSTITUTE(Y26&amp;""," "," "))))="","",COUNTIFS(Calc!$O$5:$O$254,UPPER(TRIM(CLEAN(SUBSTITUTE(Y26&amp;""," "," ")))),Calc!$L$5:$L$254,"Y"))</f>
        <v/>
      </c>
      <c r="AI26" s="10">
        <f>IF(AND(UPPER(TRIM(CLEAN(SUBSTITUTE(Y26&amp;""," "," "))))="",UPPER(TRIM(CLEAN(SUBSTITUTE(Z26&amp;""," "," "))))="",UPPER(TRIM(CLEAN(SUBSTITUTE(AA26&amp;""," "," "))))="",UPPER(TRIM(CLEAN(SUBSTITUTE(AB26&amp;""," "," "))))="",UPPER(TRIM(CLEAN(SUBSTITUTE(AE26&amp;""," "," "))))="",AC26&amp;""="",AD26&amp;""="",AF26&amp;""=""),"",IF(UPPER(TRIM(CLEAN(SUBSTITUTE(Y26&amp;""," "," "))))="","CHECK: line ID missing",IF(NOT(ISNUMBER(AC26)),"CHECK: rate missing",IF(OR(AC26&lt;0,AC26&gt;10),"CHECK: rate must be 0% to 1000%",IF(SUMPRODUCT(--(UPPER(TRIM(CLEAN(SUBSTITUTE(rate_ID&amp;""," "," "))))=UPPER(TRIM(CLEAN(SUBSTITUTE(Y26&amp;""," "," "))))))&gt;1,"CHECK: line ID listed twice",IF(AND(UPPER(TRIM(CLEAN(SUBSTITUTE(Z26&amp;""," "," "))))&lt;&gt;"",SUMPRODUCT(--(UPPER(TRIM(CLEAN(SUBSTITUTE(scope_Group&amp;""," "," "))))=UPPER(TRIM(CLEAN(SUBSTITUTE(Z26&amp;""," "," "))))))=0),"CHECK: rate group not on the scope list",IF(AND(UPPER(TRIM(CLEAN(SUBSTITUTE(AA26&amp;""," "," "))))&lt;&gt;"",SUMPRODUCT(--(UPPER(TRIM(CLEAN(SUBSTITUTE(scope_COO&amp;""," "," "))))=UPPER(TRIM(CLEAN(SUBSTITUTE(AA26&amp;""," "," "))))))=0),"CHECK: origin not on the origin list",IF(AND(UPPER(TRIM(CLEAN(SUBSTITUTE(AB26&amp;""," "," "))))&lt;&gt;"",UPPER(TRIM(CLEAN(SUBSTITUTE(AB26&amp;""," "," "))))&lt;&gt;"Y",UPPER(TRIM(CLEAN(SUBSTITUTE(AB26&amp;""," "," "))))&lt;&gt;"N"),"CHECK: USMCA must be Y, N or blank",IF(AND(UPPER(TRIM(CLEAN(SUBSTITUTE(AE26&amp;""," "," "))))&lt;&gt;"",UPPER(TRIM(CLEAN(SUBSTITUTE(AE26&amp;""," "," "))))&lt;&gt;"FULL",UPPER(TRIM(CLEAN(SUBSTITUTE(AE26&amp;""," "," "))))&lt;&gt;"PART"),"CHECK: duty base must be FULL, PART or blank",IF(OR(AND(AD26&amp;""&lt;&gt;"",NOT(ISNUMBER(AD26))),AND(AF26&amp;""&lt;&gt;"",NOT(ISNUMBER(AF26)))),"CHECK: earlier or displaced rate must be a percentage",IF(AC26&gt;1,"NOTE: rate above 100%: check it was entered as a percentage","OK")))))))))))</f>
        <v/>
      </c>
    </row>
    <row r="27">
      <c r="E27" s="8" t="n"/>
      <c r="F27" s="10">
        <f>IF(SUBSTITUTE(SUBSTITUTE(SUBSTITUTE(SUBSTITUTE(CLEAN(E27&amp;"")," ",""),".","")," ",""),"-","")="","",IF(AND(OR(LEN(SUBSTITUTE(SUBSTITUTE(SUBSTITUTE(SUBSTITUTE(CLEAN(E27&amp;"")," ",""),".","")," ",""),"-",""))=2,LEN(SUBSTITUTE(SUBSTITUTE(SUBSTITUTE(SUBSTITUTE(CLEAN(E27&amp;"")," ",""),".","")," ",""),"-",""))=4,LEN(SUBSTITUTE(SUBSTITUTE(SUBSTITUTE(SUBSTITUTE(CLEAN(E27&amp;"")," ",""),".","")," ",""),"-",""))=6,LEN(SUBSTITUTE(SUBSTITUTE(SUBSTITUTE(SUBSTITUTE(CLEAN(E27&amp;"")," ",""),".","")," ",""),"-",""))=8,LEN(SUBSTITUTE(SUBSTITUTE(SUBSTITUTE(SUBSTITUTE(CLEAN(E27&amp;"")," ",""),".","")," ",""),"-",""))=10),IFERROR(TEXT(VALUE(SUBSTITUTE(SUBSTITUTE(SUBSTITUTE(SUBSTITUTE(CLEAN(E27&amp;"")," ",""),".","")," ",""),"-","")),REPT("0",LEN(SUBSTITUTE(SUBSTITUTE(SUBSTITUTE(SUBSTITUTE(CLEAN(E27&amp;"")," ",""),".","")," ",""),"-",""))))=SUBSTITUTE(SUBSTITUTE(SUBSTITUTE(SUBSTITUTE(CLEAN(E27&amp;"")," ",""),".","")," ",""),"-",""),FALSE)),SUBSTITUTE(SUBSTITUTE(SUBSTITUTE(SUBSTITUTE(CLEAN(E27&amp;"")," ",""),".","")," ",""),"-",""),"CHECK: not 2, 4, 6, 8 or 10 digits"))</f>
        <v/>
      </c>
      <c r="G27" s="11" t="n"/>
      <c r="H27" s="8" t="n"/>
      <c r="I27" s="8" t="n"/>
      <c r="J27" s="10">
        <f>IF(SUBSTITUTE(SUBSTITUTE(SUBSTITUTE(SUBSTITUTE(CLEAN(I27&amp;"")," ",""),".","")," ",""),"-","")="","",IF(AND(OR(LEN(SUBSTITUTE(SUBSTITUTE(SUBSTITUTE(SUBSTITUTE(CLEAN(I27&amp;"")," ",""),".","")," ",""),"-",""))=2,LEN(SUBSTITUTE(SUBSTITUTE(SUBSTITUTE(SUBSTITUTE(CLEAN(I27&amp;"")," ",""),".","")," ",""),"-",""))=4,LEN(SUBSTITUTE(SUBSTITUTE(SUBSTITUTE(SUBSTITUTE(CLEAN(I27&amp;"")," ",""),".","")," ",""),"-",""))=6,LEN(SUBSTITUTE(SUBSTITUTE(SUBSTITUTE(SUBSTITUTE(CLEAN(I27&amp;"")," ",""),".","")," ",""),"-",""))=8,LEN(SUBSTITUTE(SUBSTITUTE(SUBSTITUTE(SUBSTITUTE(CLEAN(I27&amp;"")," ",""),".","")," ",""),"-",""))=10),IFERROR(TEXT(VALUE(SUBSTITUTE(SUBSTITUTE(SUBSTITUTE(SUBSTITUTE(CLEAN(I27&amp;"")," ",""),".","")," ",""),"-","")),REPT("0",LEN(SUBSTITUTE(SUBSTITUTE(SUBSTITUTE(SUBSTITUTE(CLEAN(I27&amp;"")," ",""),".","")," ",""),"-",""))))=SUBSTITUTE(SUBSTITUTE(SUBSTITUTE(SUBSTITUTE(CLEAN(I27&amp;"")," ",""),".","")," ",""),"-",""),FALSE)),SUBSTITUTE(SUBSTITUTE(SUBSTITUTE(SUBSTITUTE(CLEAN(I27&amp;"")," ",""),".","")," ",""),"-",""),"CHECK: not 2, 4, 6, 8 or 10 digits"))</f>
        <v/>
      </c>
      <c r="K27" s="11" t="n"/>
      <c r="M27" s="8" t="n"/>
      <c r="N27" s="11" t="n"/>
      <c r="P27" s="8" t="n"/>
      <c r="Q27" s="8" t="n"/>
      <c r="R27" s="8" t="n"/>
      <c r="S27" s="12" t="n"/>
      <c r="T27" s="11" t="n"/>
      <c r="U27" s="11" t="n"/>
      <c r="V27" s="10">
        <f>IF(TRIM(CLEAN(SUBSTITUTE(P27&amp;""," "," ")))="","",UPPER(TRIM(CLEAN(SUBSTITUTE(P27&amp;""," "," "))))&amp;"/"&amp;UPPER(TRIM(CLEAN(SUBSTITUTE(Q27&amp;""," "," ")))))</f>
        <v/>
      </c>
      <c r="W27" s="10">
        <f>IF(V27="","",IF(UPPER(TRIM(CLEAN(SUBSTITUTE(Q27&amp;""," "," "))))&lt;&gt;UPPER(TRIM(CLEAN(SUBSTITUTE(act_Country&amp;""," "," ")))),"CHECK: import country must match B7",IF(COUNTIF(det_Key,V27)&gt;1,"CHECK: listed twice",IF(AND(UPPER(TRIM(CLEAN(SUBSTITUTE(R27&amp;""," "," "))))&lt;&gt;"",UPPER(TRIM(CLEAN(SUBSTITUTE(R27&amp;""," "," "))))&lt;&gt;"IN",UPPER(TRIM(CLEAN(SUBSTITUTE(R27&amp;""," "," "))))&lt;&gt;"OUT"),"CHECK: determination must be IN, OUT or blank",IF(AND(S27&amp;""&lt;&gt;"",NOT(ISNUMBER(S27))),"CHECK: displaced rate must be a percentage",IF(AND(UPPER(TRIM(CLEAN(SUBSTITUTE(R27&amp;""," "," "))))="",NOT(ISNUMBER(S27))),"CHECK: enter IN, OUT or a displaced rate",IF(SUMPRODUCT(--(Calc!$AL$5:$AL$254&lt;&gt;""))=0,"WAIT: Items not loaded yet",IF(COUNTIF(Calc!$AL$5:$AL$254,V27)=0,"CHECK: no Items row for this item and import country","OK"))))))))</f>
        <v/>
      </c>
      <c r="Y27" s="8" t="n"/>
      <c r="Z27" s="8" t="n"/>
      <c r="AA27" s="8" t="n"/>
      <c r="AB27" s="8" t="n"/>
      <c r="AC27" s="12" t="n"/>
      <c r="AD27" s="12" t="n"/>
      <c r="AE27" s="8" t="n"/>
      <c r="AF27" s="12" t="n"/>
      <c r="AG27" s="11" t="n"/>
      <c r="AH27" s="13">
        <f>IF(UPPER(TRIM(CLEAN(SUBSTITUTE(Y27&amp;""," "," "))))="","",COUNTIFS(Calc!$O$5:$O$254,UPPER(TRIM(CLEAN(SUBSTITUTE(Y27&amp;""," "," ")))),Calc!$L$5:$L$254,"Y"))</f>
        <v/>
      </c>
      <c r="AI27" s="10">
        <f>IF(AND(UPPER(TRIM(CLEAN(SUBSTITUTE(Y27&amp;""," "," "))))="",UPPER(TRIM(CLEAN(SUBSTITUTE(Z27&amp;""," "," "))))="",UPPER(TRIM(CLEAN(SUBSTITUTE(AA27&amp;""," "," "))))="",UPPER(TRIM(CLEAN(SUBSTITUTE(AB27&amp;""," "," "))))="",UPPER(TRIM(CLEAN(SUBSTITUTE(AE27&amp;""," "," "))))="",AC27&amp;""="",AD27&amp;""="",AF27&amp;""=""),"",IF(UPPER(TRIM(CLEAN(SUBSTITUTE(Y27&amp;""," "," "))))="","CHECK: line ID missing",IF(NOT(ISNUMBER(AC27)),"CHECK: rate missing",IF(OR(AC27&lt;0,AC27&gt;10),"CHECK: rate must be 0% to 1000%",IF(SUMPRODUCT(--(UPPER(TRIM(CLEAN(SUBSTITUTE(rate_ID&amp;""," "," "))))=UPPER(TRIM(CLEAN(SUBSTITUTE(Y27&amp;""," "," "))))))&gt;1,"CHECK: line ID listed twice",IF(AND(UPPER(TRIM(CLEAN(SUBSTITUTE(Z27&amp;""," "," "))))&lt;&gt;"",SUMPRODUCT(--(UPPER(TRIM(CLEAN(SUBSTITUTE(scope_Group&amp;""," "," "))))=UPPER(TRIM(CLEAN(SUBSTITUTE(Z27&amp;""," "," "))))))=0),"CHECK: rate group not on the scope list",IF(AND(UPPER(TRIM(CLEAN(SUBSTITUTE(AA27&amp;""," "," "))))&lt;&gt;"",SUMPRODUCT(--(UPPER(TRIM(CLEAN(SUBSTITUTE(scope_COO&amp;""," "," "))))=UPPER(TRIM(CLEAN(SUBSTITUTE(AA27&amp;""," "," "))))))=0),"CHECK: origin not on the origin list",IF(AND(UPPER(TRIM(CLEAN(SUBSTITUTE(AB27&amp;""," "," "))))&lt;&gt;"",UPPER(TRIM(CLEAN(SUBSTITUTE(AB27&amp;""," "," "))))&lt;&gt;"Y",UPPER(TRIM(CLEAN(SUBSTITUTE(AB27&amp;""," "," "))))&lt;&gt;"N"),"CHECK: USMCA must be Y, N or blank",IF(AND(UPPER(TRIM(CLEAN(SUBSTITUTE(AE27&amp;""," "," "))))&lt;&gt;"",UPPER(TRIM(CLEAN(SUBSTITUTE(AE27&amp;""," "," "))))&lt;&gt;"FULL",UPPER(TRIM(CLEAN(SUBSTITUTE(AE27&amp;""," "," "))))&lt;&gt;"PART"),"CHECK: duty base must be FULL, PART or blank",IF(OR(AND(AD27&amp;""&lt;&gt;"",NOT(ISNUMBER(AD27))),AND(AF27&amp;""&lt;&gt;"",NOT(ISNUMBER(AF27)))),"CHECK: earlier or displaced rate must be a percentage",IF(AC27&gt;1,"NOTE: rate above 100%: check it was entered as a percentage","OK")))))))))))</f>
        <v/>
      </c>
    </row>
    <row r="28">
      <c r="E28" s="8" t="n"/>
      <c r="F28" s="10">
        <f>IF(SUBSTITUTE(SUBSTITUTE(SUBSTITUTE(SUBSTITUTE(CLEAN(E28&amp;"")," ",""),".","")," ",""),"-","")="","",IF(AND(OR(LEN(SUBSTITUTE(SUBSTITUTE(SUBSTITUTE(SUBSTITUTE(CLEAN(E28&amp;"")," ",""),".","")," ",""),"-",""))=2,LEN(SUBSTITUTE(SUBSTITUTE(SUBSTITUTE(SUBSTITUTE(CLEAN(E28&amp;"")," ",""),".","")," ",""),"-",""))=4,LEN(SUBSTITUTE(SUBSTITUTE(SUBSTITUTE(SUBSTITUTE(CLEAN(E28&amp;"")," ",""),".","")," ",""),"-",""))=6,LEN(SUBSTITUTE(SUBSTITUTE(SUBSTITUTE(SUBSTITUTE(CLEAN(E28&amp;"")," ",""),".","")," ",""),"-",""))=8,LEN(SUBSTITUTE(SUBSTITUTE(SUBSTITUTE(SUBSTITUTE(CLEAN(E28&amp;"")," ",""),".","")," ",""),"-",""))=10),IFERROR(TEXT(VALUE(SUBSTITUTE(SUBSTITUTE(SUBSTITUTE(SUBSTITUTE(CLEAN(E28&amp;"")," ",""),".","")," ",""),"-","")),REPT("0",LEN(SUBSTITUTE(SUBSTITUTE(SUBSTITUTE(SUBSTITUTE(CLEAN(E28&amp;"")," ",""),".","")," ",""),"-",""))))=SUBSTITUTE(SUBSTITUTE(SUBSTITUTE(SUBSTITUTE(CLEAN(E28&amp;"")," ",""),".","")," ",""),"-",""),FALSE)),SUBSTITUTE(SUBSTITUTE(SUBSTITUTE(SUBSTITUTE(CLEAN(E28&amp;"")," ",""),".","")," ",""),"-",""),"CHECK: not 2, 4, 6, 8 or 10 digits"))</f>
        <v/>
      </c>
      <c r="G28" s="11" t="n"/>
      <c r="H28" s="8" t="n"/>
      <c r="I28" s="8" t="n"/>
      <c r="J28" s="10">
        <f>IF(SUBSTITUTE(SUBSTITUTE(SUBSTITUTE(SUBSTITUTE(CLEAN(I28&amp;"")," ",""),".","")," ",""),"-","")="","",IF(AND(OR(LEN(SUBSTITUTE(SUBSTITUTE(SUBSTITUTE(SUBSTITUTE(CLEAN(I28&amp;"")," ",""),".","")," ",""),"-",""))=2,LEN(SUBSTITUTE(SUBSTITUTE(SUBSTITUTE(SUBSTITUTE(CLEAN(I28&amp;"")," ",""),".","")," ",""),"-",""))=4,LEN(SUBSTITUTE(SUBSTITUTE(SUBSTITUTE(SUBSTITUTE(CLEAN(I28&amp;"")," ",""),".","")," ",""),"-",""))=6,LEN(SUBSTITUTE(SUBSTITUTE(SUBSTITUTE(SUBSTITUTE(CLEAN(I28&amp;"")," ",""),".","")," ",""),"-",""))=8,LEN(SUBSTITUTE(SUBSTITUTE(SUBSTITUTE(SUBSTITUTE(CLEAN(I28&amp;"")," ",""),".","")," ",""),"-",""))=10),IFERROR(TEXT(VALUE(SUBSTITUTE(SUBSTITUTE(SUBSTITUTE(SUBSTITUTE(CLEAN(I28&amp;"")," ",""),".","")," ",""),"-","")),REPT("0",LEN(SUBSTITUTE(SUBSTITUTE(SUBSTITUTE(SUBSTITUTE(CLEAN(I28&amp;"")," ",""),".","")," ",""),"-",""))))=SUBSTITUTE(SUBSTITUTE(SUBSTITUTE(SUBSTITUTE(CLEAN(I28&amp;"")," ",""),".","")," ",""),"-",""),FALSE)),SUBSTITUTE(SUBSTITUTE(SUBSTITUTE(SUBSTITUTE(CLEAN(I28&amp;"")," ",""),".","")," ",""),"-",""),"CHECK: not 2, 4, 6, 8 or 10 digits"))</f>
        <v/>
      </c>
      <c r="K28" s="11" t="n"/>
      <c r="M28" s="8" t="n"/>
      <c r="N28" s="11" t="n"/>
      <c r="P28" s="8" t="n"/>
      <c r="Q28" s="8" t="n"/>
      <c r="R28" s="8" t="n"/>
      <c r="S28" s="12" t="n"/>
      <c r="T28" s="11" t="n"/>
      <c r="U28" s="11" t="n"/>
      <c r="V28" s="10">
        <f>IF(TRIM(CLEAN(SUBSTITUTE(P28&amp;""," "," ")))="","",UPPER(TRIM(CLEAN(SUBSTITUTE(P28&amp;""," "," "))))&amp;"/"&amp;UPPER(TRIM(CLEAN(SUBSTITUTE(Q28&amp;""," "," ")))))</f>
        <v/>
      </c>
      <c r="W28" s="10">
        <f>IF(V28="","",IF(UPPER(TRIM(CLEAN(SUBSTITUTE(Q28&amp;""," "," "))))&lt;&gt;UPPER(TRIM(CLEAN(SUBSTITUTE(act_Country&amp;""," "," ")))),"CHECK: import country must match B7",IF(COUNTIF(det_Key,V28)&gt;1,"CHECK: listed twice",IF(AND(UPPER(TRIM(CLEAN(SUBSTITUTE(R28&amp;""," "," "))))&lt;&gt;"",UPPER(TRIM(CLEAN(SUBSTITUTE(R28&amp;""," "," "))))&lt;&gt;"IN",UPPER(TRIM(CLEAN(SUBSTITUTE(R28&amp;""," "," "))))&lt;&gt;"OUT"),"CHECK: determination must be IN, OUT or blank",IF(AND(S28&amp;""&lt;&gt;"",NOT(ISNUMBER(S28))),"CHECK: displaced rate must be a percentage",IF(AND(UPPER(TRIM(CLEAN(SUBSTITUTE(R28&amp;""," "," "))))="",NOT(ISNUMBER(S28))),"CHECK: enter IN, OUT or a displaced rate",IF(SUMPRODUCT(--(Calc!$AL$5:$AL$254&lt;&gt;""))=0,"WAIT: Items not loaded yet",IF(COUNTIF(Calc!$AL$5:$AL$254,V28)=0,"CHECK: no Items row for this item and import country","OK"))))))))</f>
        <v/>
      </c>
      <c r="Y28" s="8" t="n"/>
      <c r="Z28" s="8" t="n"/>
      <c r="AA28" s="8" t="n"/>
      <c r="AB28" s="8" t="n"/>
      <c r="AC28" s="12" t="n"/>
      <c r="AD28" s="12" t="n"/>
      <c r="AE28" s="8" t="n"/>
      <c r="AF28" s="12" t="n"/>
      <c r="AG28" s="11" t="n"/>
      <c r="AH28" s="13">
        <f>IF(UPPER(TRIM(CLEAN(SUBSTITUTE(Y28&amp;""," "," "))))="","",COUNTIFS(Calc!$O$5:$O$254,UPPER(TRIM(CLEAN(SUBSTITUTE(Y28&amp;""," "," ")))),Calc!$L$5:$L$254,"Y"))</f>
        <v/>
      </c>
      <c r="AI28" s="10">
        <f>IF(AND(UPPER(TRIM(CLEAN(SUBSTITUTE(Y28&amp;""," "," "))))="",UPPER(TRIM(CLEAN(SUBSTITUTE(Z28&amp;""," "," "))))="",UPPER(TRIM(CLEAN(SUBSTITUTE(AA28&amp;""," "," "))))="",UPPER(TRIM(CLEAN(SUBSTITUTE(AB28&amp;""," "," "))))="",UPPER(TRIM(CLEAN(SUBSTITUTE(AE28&amp;""," "," "))))="",AC28&amp;""="",AD28&amp;""="",AF28&amp;""=""),"",IF(UPPER(TRIM(CLEAN(SUBSTITUTE(Y28&amp;""," "," "))))="","CHECK: line ID missing",IF(NOT(ISNUMBER(AC28)),"CHECK: rate missing",IF(OR(AC28&lt;0,AC28&gt;10),"CHECK: rate must be 0% to 1000%",IF(SUMPRODUCT(--(UPPER(TRIM(CLEAN(SUBSTITUTE(rate_ID&amp;""," "," "))))=UPPER(TRIM(CLEAN(SUBSTITUTE(Y28&amp;""," "," "))))))&gt;1,"CHECK: line ID listed twice",IF(AND(UPPER(TRIM(CLEAN(SUBSTITUTE(Z28&amp;""," "," "))))&lt;&gt;"",SUMPRODUCT(--(UPPER(TRIM(CLEAN(SUBSTITUTE(scope_Group&amp;""," "," "))))=UPPER(TRIM(CLEAN(SUBSTITUTE(Z28&amp;""," "," "))))))=0),"CHECK: rate group not on the scope list",IF(AND(UPPER(TRIM(CLEAN(SUBSTITUTE(AA28&amp;""," "," "))))&lt;&gt;"",SUMPRODUCT(--(UPPER(TRIM(CLEAN(SUBSTITUTE(scope_COO&amp;""," "," "))))=UPPER(TRIM(CLEAN(SUBSTITUTE(AA28&amp;""," "," "))))))=0),"CHECK: origin not on the origin list",IF(AND(UPPER(TRIM(CLEAN(SUBSTITUTE(AB28&amp;""," "," "))))&lt;&gt;"",UPPER(TRIM(CLEAN(SUBSTITUTE(AB28&amp;""," "," "))))&lt;&gt;"Y",UPPER(TRIM(CLEAN(SUBSTITUTE(AB28&amp;""," "," "))))&lt;&gt;"N"),"CHECK: USMCA must be Y, N or blank",IF(AND(UPPER(TRIM(CLEAN(SUBSTITUTE(AE28&amp;""," "," "))))&lt;&gt;"",UPPER(TRIM(CLEAN(SUBSTITUTE(AE28&amp;""," "," "))))&lt;&gt;"FULL",UPPER(TRIM(CLEAN(SUBSTITUTE(AE28&amp;""," "," "))))&lt;&gt;"PART"),"CHECK: duty base must be FULL, PART or blank",IF(OR(AND(AD28&amp;""&lt;&gt;"",NOT(ISNUMBER(AD28))),AND(AF28&amp;""&lt;&gt;"",NOT(ISNUMBER(AF28)))),"CHECK: earlier or displaced rate must be a percentage",IF(AC28&gt;1,"NOTE: rate above 100%: check it was entered as a percentage","OK")))))))))))</f>
        <v/>
      </c>
    </row>
    <row r="29">
      <c r="E29" s="8" t="n"/>
      <c r="F29" s="10">
        <f>IF(SUBSTITUTE(SUBSTITUTE(SUBSTITUTE(SUBSTITUTE(CLEAN(E29&amp;"")," ",""),".","")," ",""),"-","")="","",IF(AND(OR(LEN(SUBSTITUTE(SUBSTITUTE(SUBSTITUTE(SUBSTITUTE(CLEAN(E29&amp;"")," ",""),".","")," ",""),"-",""))=2,LEN(SUBSTITUTE(SUBSTITUTE(SUBSTITUTE(SUBSTITUTE(CLEAN(E29&amp;"")," ",""),".","")," ",""),"-",""))=4,LEN(SUBSTITUTE(SUBSTITUTE(SUBSTITUTE(SUBSTITUTE(CLEAN(E29&amp;"")," ",""),".","")," ",""),"-",""))=6,LEN(SUBSTITUTE(SUBSTITUTE(SUBSTITUTE(SUBSTITUTE(CLEAN(E29&amp;"")," ",""),".","")," ",""),"-",""))=8,LEN(SUBSTITUTE(SUBSTITUTE(SUBSTITUTE(SUBSTITUTE(CLEAN(E29&amp;"")," ",""),".","")," ",""),"-",""))=10),IFERROR(TEXT(VALUE(SUBSTITUTE(SUBSTITUTE(SUBSTITUTE(SUBSTITUTE(CLEAN(E29&amp;"")," ",""),".","")," ",""),"-","")),REPT("0",LEN(SUBSTITUTE(SUBSTITUTE(SUBSTITUTE(SUBSTITUTE(CLEAN(E29&amp;"")," ",""),".","")," ",""),"-",""))))=SUBSTITUTE(SUBSTITUTE(SUBSTITUTE(SUBSTITUTE(CLEAN(E29&amp;"")," ",""),".","")," ",""),"-",""),FALSE)),SUBSTITUTE(SUBSTITUTE(SUBSTITUTE(SUBSTITUTE(CLEAN(E29&amp;"")," ",""),".","")," ",""),"-",""),"CHECK: not 2, 4, 6, 8 or 10 digits"))</f>
        <v/>
      </c>
      <c r="G29" s="11" t="n"/>
      <c r="H29" s="8" t="n"/>
      <c r="I29" s="8" t="n"/>
      <c r="J29" s="10">
        <f>IF(SUBSTITUTE(SUBSTITUTE(SUBSTITUTE(SUBSTITUTE(CLEAN(I29&amp;"")," ",""),".","")," ",""),"-","")="","",IF(AND(OR(LEN(SUBSTITUTE(SUBSTITUTE(SUBSTITUTE(SUBSTITUTE(CLEAN(I29&amp;"")," ",""),".","")," ",""),"-",""))=2,LEN(SUBSTITUTE(SUBSTITUTE(SUBSTITUTE(SUBSTITUTE(CLEAN(I29&amp;"")," ",""),".","")," ",""),"-",""))=4,LEN(SUBSTITUTE(SUBSTITUTE(SUBSTITUTE(SUBSTITUTE(CLEAN(I29&amp;"")," ",""),".","")," ",""),"-",""))=6,LEN(SUBSTITUTE(SUBSTITUTE(SUBSTITUTE(SUBSTITUTE(CLEAN(I29&amp;"")," ",""),".","")," ",""),"-",""))=8,LEN(SUBSTITUTE(SUBSTITUTE(SUBSTITUTE(SUBSTITUTE(CLEAN(I29&amp;"")," ",""),".","")," ",""),"-",""))=10),IFERROR(TEXT(VALUE(SUBSTITUTE(SUBSTITUTE(SUBSTITUTE(SUBSTITUTE(CLEAN(I29&amp;"")," ",""),".","")," ",""),"-","")),REPT("0",LEN(SUBSTITUTE(SUBSTITUTE(SUBSTITUTE(SUBSTITUTE(CLEAN(I29&amp;"")," ",""),".","")," ",""),"-",""))))=SUBSTITUTE(SUBSTITUTE(SUBSTITUTE(SUBSTITUTE(CLEAN(I29&amp;"")," ",""),".","")," ",""),"-",""),FALSE)),SUBSTITUTE(SUBSTITUTE(SUBSTITUTE(SUBSTITUTE(CLEAN(I29&amp;"")," ",""),".","")," ",""),"-",""),"CHECK: not 2, 4, 6, 8 or 10 digits"))</f>
        <v/>
      </c>
      <c r="K29" s="11" t="n"/>
      <c r="M29" s="8" t="n"/>
      <c r="N29" s="11" t="n"/>
      <c r="P29" s="8" t="n"/>
      <c r="Q29" s="8" t="n"/>
      <c r="R29" s="8" t="n"/>
      <c r="S29" s="12" t="n"/>
      <c r="T29" s="11" t="n"/>
      <c r="U29" s="11" t="n"/>
      <c r="V29" s="10">
        <f>IF(TRIM(CLEAN(SUBSTITUTE(P29&amp;""," "," ")))="","",UPPER(TRIM(CLEAN(SUBSTITUTE(P29&amp;""," "," "))))&amp;"/"&amp;UPPER(TRIM(CLEAN(SUBSTITUTE(Q29&amp;""," "," ")))))</f>
        <v/>
      </c>
      <c r="W29" s="10">
        <f>IF(V29="","",IF(UPPER(TRIM(CLEAN(SUBSTITUTE(Q29&amp;""," "," "))))&lt;&gt;UPPER(TRIM(CLEAN(SUBSTITUTE(act_Country&amp;""," "," ")))),"CHECK: import country must match B7",IF(COUNTIF(det_Key,V29)&gt;1,"CHECK: listed twice",IF(AND(UPPER(TRIM(CLEAN(SUBSTITUTE(R29&amp;""," "," "))))&lt;&gt;"",UPPER(TRIM(CLEAN(SUBSTITUTE(R29&amp;""," "," "))))&lt;&gt;"IN",UPPER(TRIM(CLEAN(SUBSTITUTE(R29&amp;""," "," "))))&lt;&gt;"OUT"),"CHECK: determination must be IN, OUT or blank",IF(AND(S29&amp;""&lt;&gt;"",NOT(ISNUMBER(S29))),"CHECK: displaced rate must be a percentage",IF(AND(UPPER(TRIM(CLEAN(SUBSTITUTE(R29&amp;""," "," "))))="",NOT(ISNUMBER(S29))),"CHECK: enter IN, OUT or a displaced rate",IF(SUMPRODUCT(--(Calc!$AL$5:$AL$254&lt;&gt;""))=0,"WAIT: Items not loaded yet",IF(COUNTIF(Calc!$AL$5:$AL$254,V29)=0,"CHECK: no Items row for this item and import country","OK"))))))))</f>
        <v/>
      </c>
      <c r="Y29" s="8" t="n"/>
      <c r="Z29" s="8" t="n"/>
      <c r="AA29" s="8" t="n"/>
      <c r="AB29" s="8" t="n"/>
      <c r="AC29" s="12" t="n"/>
      <c r="AD29" s="12" t="n"/>
      <c r="AE29" s="8" t="n"/>
      <c r="AF29" s="12" t="n"/>
      <c r="AG29" s="11" t="n"/>
      <c r="AH29" s="13">
        <f>IF(UPPER(TRIM(CLEAN(SUBSTITUTE(Y29&amp;""," "," "))))="","",COUNTIFS(Calc!$O$5:$O$254,UPPER(TRIM(CLEAN(SUBSTITUTE(Y29&amp;""," "," ")))),Calc!$L$5:$L$254,"Y"))</f>
        <v/>
      </c>
      <c r="AI29" s="10">
        <f>IF(AND(UPPER(TRIM(CLEAN(SUBSTITUTE(Y29&amp;""," "," "))))="",UPPER(TRIM(CLEAN(SUBSTITUTE(Z29&amp;""," "," "))))="",UPPER(TRIM(CLEAN(SUBSTITUTE(AA29&amp;""," "," "))))="",UPPER(TRIM(CLEAN(SUBSTITUTE(AB29&amp;""," "," "))))="",UPPER(TRIM(CLEAN(SUBSTITUTE(AE29&amp;""," "," "))))="",AC29&amp;""="",AD29&amp;""="",AF29&amp;""=""),"",IF(UPPER(TRIM(CLEAN(SUBSTITUTE(Y29&amp;""," "," "))))="","CHECK: line ID missing",IF(NOT(ISNUMBER(AC29)),"CHECK: rate missing",IF(OR(AC29&lt;0,AC29&gt;10),"CHECK: rate must be 0% to 1000%",IF(SUMPRODUCT(--(UPPER(TRIM(CLEAN(SUBSTITUTE(rate_ID&amp;""," "," "))))=UPPER(TRIM(CLEAN(SUBSTITUTE(Y29&amp;""," "," "))))))&gt;1,"CHECK: line ID listed twice",IF(AND(UPPER(TRIM(CLEAN(SUBSTITUTE(Z29&amp;""," "," "))))&lt;&gt;"",SUMPRODUCT(--(UPPER(TRIM(CLEAN(SUBSTITUTE(scope_Group&amp;""," "," "))))=UPPER(TRIM(CLEAN(SUBSTITUTE(Z29&amp;""," "," "))))))=0),"CHECK: rate group not on the scope list",IF(AND(UPPER(TRIM(CLEAN(SUBSTITUTE(AA29&amp;""," "," "))))&lt;&gt;"",SUMPRODUCT(--(UPPER(TRIM(CLEAN(SUBSTITUTE(scope_COO&amp;""," "," "))))=UPPER(TRIM(CLEAN(SUBSTITUTE(AA29&amp;""," "," "))))))=0),"CHECK: origin not on the origin list",IF(AND(UPPER(TRIM(CLEAN(SUBSTITUTE(AB29&amp;""," "," "))))&lt;&gt;"",UPPER(TRIM(CLEAN(SUBSTITUTE(AB29&amp;""," "," "))))&lt;&gt;"Y",UPPER(TRIM(CLEAN(SUBSTITUTE(AB29&amp;""," "," "))))&lt;&gt;"N"),"CHECK: USMCA must be Y, N or blank",IF(AND(UPPER(TRIM(CLEAN(SUBSTITUTE(AE29&amp;""," "," "))))&lt;&gt;"",UPPER(TRIM(CLEAN(SUBSTITUTE(AE29&amp;""," "," "))))&lt;&gt;"FULL",UPPER(TRIM(CLEAN(SUBSTITUTE(AE29&amp;""," "," "))))&lt;&gt;"PART"),"CHECK: duty base must be FULL, PART or blank",IF(OR(AND(AD29&amp;""&lt;&gt;"",NOT(ISNUMBER(AD29))),AND(AF29&amp;""&lt;&gt;"",NOT(ISNUMBER(AF29)))),"CHECK: earlier or displaced rate must be a percentage",IF(AC29&gt;1,"NOTE: rate above 100%: check it was entered as a percentage","OK")))))))))))</f>
        <v/>
      </c>
    </row>
    <row r="30">
      <c r="E30" s="8" t="n"/>
      <c r="F30" s="10">
        <f>IF(SUBSTITUTE(SUBSTITUTE(SUBSTITUTE(SUBSTITUTE(CLEAN(E30&amp;"")," ",""),".","")," ",""),"-","")="","",IF(AND(OR(LEN(SUBSTITUTE(SUBSTITUTE(SUBSTITUTE(SUBSTITUTE(CLEAN(E30&amp;"")," ",""),".","")," ",""),"-",""))=2,LEN(SUBSTITUTE(SUBSTITUTE(SUBSTITUTE(SUBSTITUTE(CLEAN(E30&amp;"")," ",""),".","")," ",""),"-",""))=4,LEN(SUBSTITUTE(SUBSTITUTE(SUBSTITUTE(SUBSTITUTE(CLEAN(E30&amp;"")," ",""),".","")," ",""),"-",""))=6,LEN(SUBSTITUTE(SUBSTITUTE(SUBSTITUTE(SUBSTITUTE(CLEAN(E30&amp;"")," ",""),".","")," ",""),"-",""))=8,LEN(SUBSTITUTE(SUBSTITUTE(SUBSTITUTE(SUBSTITUTE(CLEAN(E30&amp;"")," ",""),".","")," ",""),"-",""))=10),IFERROR(TEXT(VALUE(SUBSTITUTE(SUBSTITUTE(SUBSTITUTE(SUBSTITUTE(CLEAN(E30&amp;"")," ",""),".","")," ",""),"-","")),REPT("0",LEN(SUBSTITUTE(SUBSTITUTE(SUBSTITUTE(SUBSTITUTE(CLEAN(E30&amp;"")," ",""),".","")," ",""),"-",""))))=SUBSTITUTE(SUBSTITUTE(SUBSTITUTE(SUBSTITUTE(CLEAN(E30&amp;"")," ",""),".","")," ",""),"-",""),FALSE)),SUBSTITUTE(SUBSTITUTE(SUBSTITUTE(SUBSTITUTE(CLEAN(E30&amp;"")," ",""),".","")," ",""),"-",""),"CHECK: not 2, 4, 6, 8 or 10 digits"))</f>
        <v/>
      </c>
      <c r="G30" s="11" t="n"/>
      <c r="H30" s="8" t="n"/>
      <c r="I30" s="8" t="n"/>
      <c r="J30" s="10">
        <f>IF(SUBSTITUTE(SUBSTITUTE(SUBSTITUTE(SUBSTITUTE(CLEAN(I30&amp;"")," ",""),".","")," ",""),"-","")="","",IF(AND(OR(LEN(SUBSTITUTE(SUBSTITUTE(SUBSTITUTE(SUBSTITUTE(CLEAN(I30&amp;"")," ",""),".","")," ",""),"-",""))=2,LEN(SUBSTITUTE(SUBSTITUTE(SUBSTITUTE(SUBSTITUTE(CLEAN(I30&amp;"")," ",""),".","")," ",""),"-",""))=4,LEN(SUBSTITUTE(SUBSTITUTE(SUBSTITUTE(SUBSTITUTE(CLEAN(I30&amp;"")," ",""),".","")," ",""),"-",""))=6,LEN(SUBSTITUTE(SUBSTITUTE(SUBSTITUTE(SUBSTITUTE(CLEAN(I30&amp;"")," ",""),".","")," ",""),"-",""))=8,LEN(SUBSTITUTE(SUBSTITUTE(SUBSTITUTE(SUBSTITUTE(CLEAN(I30&amp;"")," ",""),".","")," ",""),"-",""))=10),IFERROR(TEXT(VALUE(SUBSTITUTE(SUBSTITUTE(SUBSTITUTE(SUBSTITUTE(CLEAN(I30&amp;"")," ",""),".","")," ",""),"-","")),REPT("0",LEN(SUBSTITUTE(SUBSTITUTE(SUBSTITUTE(SUBSTITUTE(CLEAN(I30&amp;"")," ",""),".","")," ",""),"-",""))))=SUBSTITUTE(SUBSTITUTE(SUBSTITUTE(SUBSTITUTE(CLEAN(I30&amp;"")," ",""),".","")," ",""),"-",""),FALSE)),SUBSTITUTE(SUBSTITUTE(SUBSTITUTE(SUBSTITUTE(CLEAN(I30&amp;"")," ",""),".","")," ",""),"-",""),"CHECK: not 2, 4, 6, 8 or 10 digits"))</f>
        <v/>
      </c>
      <c r="K30" s="11" t="n"/>
      <c r="M30" s="8" t="n"/>
      <c r="N30" s="11" t="n"/>
      <c r="P30" s="8" t="n"/>
      <c r="Q30" s="8" t="n"/>
      <c r="R30" s="8" t="n"/>
      <c r="S30" s="12" t="n"/>
      <c r="T30" s="11" t="n"/>
      <c r="U30" s="11" t="n"/>
      <c r="V30" s="10">
        <f>IF(TRIM(CLEAN(SUBSTITUTE(P30&amp;""," "," ")))="","",UPPER(TRIM(CLEAN(SUBSTITUTE(P30&amp;""," "," "))))&amp;"/"&amp;UPPER(TRIM(CLEAN(SUBSTITUTE(Q30&amp;""," "," ")))))</f>
        <v/>
      </c>
      <c r="W30" s="10">
        <f>IF(V30="","",IF(UPPER(TRIM(CLEAN(SUBSTITUTE(Q30&amp;""," "," "))))&lt;&gt;UPPER(TRIM(CLEAN(SUBSTITUTE(act_Country&amp;""," "," ")))),"CHECK: import country must match B7",IF(COUNTIF(det_Key,V30)&gt;1,"CHECK: listed twice",IF(AND(UPPER(TRIM(CLEAN(SUBSTITUTE(R30&amp;""," "," "))))&lt;&gt;"",UPPER(TRIM(CLEAN(SUBSTITUTE(R30&amp;""," "," "))))&lt;&gt;"IN",UPPER(TRIM(CLEAN(SUBSTITUTE(R30&amp;""," "," "))))&lt;&gt;"OUT"),"CHECK: determination must be IN, OUT or blank",IF(AND(S30&amp;""&lt;&gt;"",NOT(ISNUMBER(S30))),"CHECK: displaced rate must be a percentage",IF(AND(UPPER(TRIM(CLEAN(SUBSTITUTE(R30&amp;""," "," "))))="",NOT(ISNUMBER(S30))),"CHECK: enter IN, OUT or a displaced rate",IF(SUMPRODUCT(--(Calc!$AL$5:$AL$254&lt;&gt;""))=0,"WAIT: Items not loaded yet",IF(COUNTIF(Calc!$AL$5:$AL$254,V30)=0,"CHECK: no Items row for this item and import country","OK"))))))))</f>
        <v/>
      </c>
      <c r="Y30" s="8" t="n"/>
      <c r="Z30" s="8" t="n"/>
      <c r="AA30" s="8" t="n"/>
      <c r="AB30" s="8" t="n"/>
      <c r="AC30" s="12" t="n"/>
      <c r="AD30" s="12" t="n"/>
      <c r="AE30" s="8" t="n"/>
      <c r="AF30" s="12" t="n"/>
      <c r="AG30" s="11" t="n"/>
      <c r="AH30" s="13">
        <f>IF(UPPER(TRIM(CLEAN(SUBSTITUTE(Y30&amp;""," "," "))))="","",COUNTIFS(Calc!$O$5:$O$254,UPPER(TRIM(CLEAN(SUBSTITUTE(Y30&amp;""," "," ")))),Calc!$L$5:$L$254,"Y"))</f>
        <v/>
      </c>
      <c r="AI30" s="10">
        <f>IF(AND(UPPER(TRIM(CLEAN(SUBSTITUTE(Y30&amp;""," "," "))))="",UPPER(TRIM(CLEAN(SUBSTITUTE(Z30&amp;""," "," "))))="",UPPER(TRIM(CLEAN(SUBSTITUTE(AA30&amp;""," "," "))))="",UPPER(TRIM(CLEAN(SUBSTITUTE(AB30&amp;""," "," "))))="",UPPER(TRIM(CLEAN(SUBSTITUTE(AE30&amp;""," "," "))))="",AC30&amp;""="",AD30&amp;""="",AF30&amp;""=""),"",IF(UPPER(TRIM(CLEAN(SUBSTITUTE(Y30&amp;""," "," "))))="","CHECK: line ID missing",IF(NOT(ISNUMBER(AC30)),"CHECK: rate missing",IF(OR(AC30&lt;0,AC30&gt;10),"CHECK: rate must be 0% to 1000%",IF(SUMPRODUCT(--(UPPER(TRIM(CLEAN(SUBSTITUTE(rate_ID&amp;""," "," "))))=UPPER(TRIM(CLEAN(SUBSTITUTE(Y30&amp;""," "," "))))))&gt;1,"CHECK: line ID listed twice",IF(AND(UPPER(TRIM(CLEAN(SUBSTITUTE(Z30&amp;""," "," "))))&lt;&gt;"",SUMPRODUCT(--(UPPER(TRIM(CLEAN(SUBSTITUTE(scope_Group&amp;""," "," "))))=UPPER(TRIM(CLEAN(SUBSTITUTE(Z30&amp;""," "," "))))))=0),"CHECK: rate group not on the scope list",IF(AND(UPPER(TRIM(CLEAN(SUBSTITUTE(AA30&amp;""," "," "))))&lt;&gt;"",SUMPRODUCT(--(UPPER(TRIM(CLEAN(SUBSTITUTE(scope_COO&amp;""," "," "))))=UPPER(TRIM(CLEAN(SUBSTITUTE(AA30&amp;""," "," "))))))=0),"CHECK: origin not on the origin list",IF(AND(UPPER(TRIM(CLEAN(SUBSTITUTE(AB30&amp;""," "," "))))&lt;&gt;"",UPPER(TRIM(CLEAN(SUBSTITUTE(AB30&amp;""," "," "))))&lt;&gt;"Y",UPPER(TRIM(CLEAN(SUBSTITUTE(AB30&amp;""," "," "))))&lt;&gt;"N"),"CHECK: USMCA must be Y, N or blank",IF(AND(UPPER(TRIM(CLEAN(SUBSTITUTE(AE30&amp;""," "," "))))&lt;&gt;"",UPPER(TRIM(CLEAN(SUBSTITUTE(AE30&amp;""," "," "))))&lt;&gt;"FULL",UPPER(TRIM(CLEAN(SUBSTITUTE(AE30&amp;""," "," "))))&lt;&gt;"PART"),"CHECK: duty base must be FULL, PART or blank",IF(OR(AND(AD30&amp;""&lt;&gt;"",NOT(ISNUMBER(AD30))),AND(AF30&amp;""&lt;&gt;"",NOT(ISNUMBER(AF30)))),"CHECK: earlier or displaced rate must be a percentage",IF(AC30&gt;1,"NOTE: rate above 100%: check it was entered as a percentage","OK")))))))))))</f>
        <v/>
      </c>
    </row>
    <row r="31">
      <c r="E31" s="8" t="n"/>
      <c r="F31" s="10">
        <f>IF(SUBSTITUTE(SUBSTITUTE(SUBSTITUTE(SUBSTITUTE(CLEAN(E31&amp;"")," ",""),".","")," ",""),"-","")="","",IF(AND(OR(LEN(SUBSTITUTE(SUBSTITUTE(SUBSTITUTE(SUBSTITUTE(CLEAN(E31&amp;"")," ",""),".","")," ",""),"-",""))=2,LEN(SUBSTITUTE(SUBSTITUTE(SUBSTITUTE(SUBSTITUTE(CLEAN(E31&amp;"")," ",""),".","")," ",""),"-",""))=4,LEN(SUBSTITUTE(SUBSTITUTE(SUBSTITUTE(SUBSTITUTE(CLEAN(E31&amp;"")," ",""),".","")," ",""),"-",""))=6,LEN(SUBSTITUTE(SUBSTITUTE(SUBSTITUTE(SUBSTITUTE(CLEAN(E31&amp;"")," ",""),".","")," ",""),"-",""))=8,LEN(SUBSTITUTE(SUBSTITUTE(SUBSTITUTE(SUBSTITUTE(CLEAN(E31&amp;"")," ",""),".","")," ",""),"-",""))=10),IFERROR(TEXT(VALUE(SUBSTITUTE(SUBSTITUTE(SUBSTITUTE(SUBSTITUTE(CLEAN(E31&amp;"")," ",""),".","")," ",""),"-","")),REPT("0",LEN(SUBSTITUTE(SUBSTITUTE(SUBSTITUTE(SUBSTITUTE(CLEAN(E31&amp;"")," ",""),".","")," ",""),"-",""))))=SUBSTITUTE(SUBSTITUTE(SUBSTITUTE(SUBSTITUTE(CLEAN(E31&amp;"")," ",""),".","")," ",""),"-",""),FALSE)),SUBSTITUTE(SUBSTITUTE(SUBSTITUTE(SUBSTITUTE(CLEAN(E31&amp;"")," ",""),".","")," ",""),"-",""),"CHECK: not 2, 4, 6, 8 or 10 digits"))</f>
        <v/>
      </c>
      <c r="G31" s="11" t="n"/>
      <c r="H31" s="8" t="n"/>
      <c r="I31" s="8" t="n"/>
      <c r="J31" s="10">
        <f>IF(SUBSTITUTE(SUBSTITUTE(SUBSTITUTE(SUBSTITUTE(CLEAN(I31&amp;"")," ",""),".","")," ",""),"-","")="","",IF(AND(OR(LEN(SUBSTITUTE(SUBSTITUTE(SUBSTITUTE(SUBSTITUTE(CLEAN(I31&amp;"")," ",""),".","")," ",""),"-",""))=2,LEN(SUBSTITUTE(SUBSTITUTE(SUBSTITUTE(SUBSTITUTE(CLEAN(I31&amp;"")," ",""),".","")," ",""),"-",""))=4,LEN(SUBSTITUTE(SUBSTITUTE(SUBSTITUTE(SUBSTITUTE(CLEAN(I31&amp;"")," ",""),".","")," ",""),"-",""))=6,LEN(SUBSTITUTE(SUBSTITUTE(SUBSTITUTE(SUBSTITUTE(CLEAN(I31&amp;"")," ",""),".","")," ",""),"-",""))=8,LEN(SUBSTITUTE(SUBSTITUTE(SUBSTITUTE(SUBSTITUTE(CLEAN(I31&amp;"")," ",""),".","")," ",""),"-",""))=10),IFERROR(TEXT(VALUE(SUBSTITUTE(SUBSTITUTE(SUBSTITUTE(SUBSTITUTE(CLEAN(I31&amp;"")," ",""),".","")," ",""),"-","")),REPT("0",LEN(SUBSTITUTE(SUBSTITUTE(SUBSTITUTE(SUBSTITUTE(CLEAN(I31&amp;"")," ",""),".","")," ",""),"-",""))))=SUBSTITUTE(SUBSTITUTE(SUBSTITUTE(SUBSTITUTE(CLEAN(I31&amp;"")," ",""),".","")," ",""),"-",""),FALSE)),SUBSTITUTE(SUBSTITUTE(SUBSTITUTE(SUBSTITUTE(CLEAN(I31&amp;"")," ",""),".","")," ",""),"-",""),"CHECK: not 2, 4, 6, 8 or 10 digits"))</f>
        <v/>
      </c>
      <c r="K31" s="11" t="n"/>
      <c r="M31" s="8" t="n"/>
      <c r="N31" s="11" t="n"/>
      <c r="P31" s="8" t="n"/>
      <c r="Q31" s="8" t="n"/>
      <c r="R31" s="8" t="n"/>
      <c r="S31" s="12" t="n"/>
      <c r="T31" s="11" t="n"/>
      <c r="U31" s="11" t="n"/>
      <c r="V31" s="10">
        <f>IF(TRIM(CLEAN(SUBSTITUTE(P31&amp;""," "," ")))="","",UPPER(TRIM(CLEAN(SUBSTITUTE(P31&amp;""," "," "))))&amp;"/"&amp;UPPER(TRIM(CLEAN(SUBSTITUTE(Q31&amp;""," "," ")))))</f>
        <v/>
      </c>
      <c r="W31" s="10">
        <f>IF(V31="","",IF(UPPER(TRIM(CLEAN(SUBSTITUTE(Q31&amp;""," "," "))))&lt;&gt;UPPER(TRIM(CLEAN(SUBSTITUTE(act_Country&amp;""," "," ")))),"CHECK: import country must match B7",IF(COUNTIF(det_Key,V31)&gt;1,"CHECK: listed twice",IF(AND(UPPER(TRIM(CLEAN(SUBSTITUTE(R31&amp;""," "," "))))&lt;&gt;"",UPPER(TRIM(CLEAN(SUBSTITUTE(R31&amp;""," "," "))))&lt;&gt;"IN",UPPER(TRIM(CLEAN(SUBSTITUTE(R31&amp;""," "," "))))&lt;&gt;"OUT"),"CHECK: determination must be IN, OUT or blank",IF(AND(S31&amp;""&lt;&gt;"",NOT(ISNUMBER(S31))),"CHECK: displaced rate must be a percentage",IF(AND(UPPER(TRIM(CLEAN(SUBSTITUTE(R31&amp;""," "," "))))="",NOT(ISNUMBER(S31))),"CHECK: enter IN, OUT or a displaced rate",IF(SUMPRODUCT(--(Calc!$AL$5:$AL$254&lt;&gt;""))=0,"WAIT: Items not loaded yet",IF(COUNTIF(Calc!$AL$5:$AL$254,V31)=0,"CHECK: no Items row for this item and import country","OK"))))))))</f>
        <v/>
      </c>
      <c r="Y31" s="8" t="n"/>
      <c r="Z31" s="8" t="n"/>
      <c r="AA31" s="8" t="n"/>
      <c r="AB31" s="8" t="n"/>
      <c r="AC31" s="12" t="n"/>
      <c r="AD31" s="12" t="n"/>
      <c r="AE31" s="8" t="n"/>
      <c r="AF31" s="12" t="n"/>
      <c r="AG31" s="11" t="n"/>
      <c r="AH31" s="13">
        <f>IF(UPPER(TRIM(CLEAN(SUBSTITUTE(Y31&amp;""," "," "))))="","",COUNTIFS(Calc!$O$5:$O$254,UPPER(TRIM(CLEAN(SUBSTITUTE(Y31&amp;""," "," ")))),Calc!$L$5:$L$254,"Y"))</f>
        <v/>
      </c>
      <c r="AI31" s="10">
        <f>IF(AND(UPPER(TRIM(CLEAN(SUBSTITUTE(Y31&amp;""," "," "))))="",UPPER(TRIM(CLEAN(SUBSTITUTE(Z31&amp;""," "," "))))="",UPPER(TRIM(CLEAN(SUBSTITUTE(AA31&amp;""," "," "))))="",UPPER(TRIM(CLEAN(SUBSTITUTE(AB31&amp;""," "," "))))="",UPPER(TRIM(CLEAN(SUBSTITUTE(AE31&amp;""," "," "))))="",AC31&amp;""="",AD31&amp;""="",AF31&amp;""=""),"",IF(UPPER(TRIM(CLEAN(SUBSTITUTE(Y31&amp;""," "," "))))="","CHECK: line ID missing",IF(NOT(ISNUMBER(AC31)),"CHECK: rate missing",IF(OR(AC31&lt;0,AC31&gt;10),"CHECK: rate must be 0% to 1000%",IF(SUMPRODUCT(--(UPPER(TRIM(CLEAN(SUBSTITUTE(rate_ID&amp;""," "," "))))=UPPER(TRIM(CLEAN(SUBSTITUTE(Y31&amp;""," "," "))))))&gt;1,"CHECK: line ID listed twice",IF(AND(UPPER(TRIM(CLEAN(SUBSTITUTE(Z31&amp;""," "," "))))&lt;&gt;"",SUMPRODUCT(--(UPPER(TRIM(CLEAN(SUBSTITUTE(scope_Group&amp;""," "," "))))=UPPER(TRIM(CLEAN(SUBSTITUTE(Z31&amp;""," "," "))))))=0),"CHECK: rate group not on the scope list",IF(AND(UPPER(TRIM(CLEAN(SUBSTITUTE(AA31&amp;""," "," "))))&lt;&gt;"",SUMPRODUCT(--(UPPER(TRIM(CLEAN(SUBSTITUTE(scope_COO&amp;""," "," "))))=UPPER(TRIM(CLEAN(SUBSTITUTE(AA31&amp;""," "," "))))))=0),"CHECK: origin not on the origin list",IF(AND(UPPER(TRIM(CLEAN(SUBSTITUTE(AB31&amp;""," "," "))))&lt;&gt;"",UPPER(TRIM(CLEAN(SUBSTITUTE(AB31&amp;""," "," "))))&lt;&gt;"Y",UPPER(TRIM(CLEAN(SUBSTITUTE(AB31&amp;""," "," "))))&lt;&gt;"N"),"CHECK: USMCA must be Y, N or blank",IF(AND(UPPER(TRIM(CLEAN(SUBSTITUTE(AE31&amp;""," "," "))))&lt;&gt;"",UPPER(TRIM(CLEAN(SUBSTITUTE(AE31&amp;""," "," "))))&lt;&gt;"FULL",UPPER(TRIM(CLEAN(SUBSTITUTE(AE31&amp;""," "," "))))&lt;&gt;"PART"),"CHECK: duty base must be FULL, PART or blank",IF(OR(AND(AD31&amp;""&lt;&gt;"",NOT(ISNUMBER(AD31))),AND(AF31&amp;""&lt;&gt;"",NOT(ISNUMBER(AF31)))),"CHECK: earlier or displaced rate must be a percentage",IF(AC31&gt;1,"NOTE: rate above 100%: check it was entered as a percentage","OK")))))))))))</f>
        <v/>
      </c>
    </row>
    <row r="32">
      <c r="E32" s="8" t="n"/>
      <c r="F32" s="10">
        <f>IF(SUBSTITUTE(SUBSTITUTE(SUBSTITUTE(SUBSTITUTE(CLEAN(E32&amp;"")," ",""),".","")," ",""),"-","")="","",IF(AND(OR(LEN(SUBSTITUTE(SUBSTITUTE(SUBSTITUTE(SUBSTITUTE(CLEAN(E32&amp;"")," ",""),".","")," ",""),"-",""))=2,LEN(SUBSTITUTE(SUBSTITUTE(SUBSTITUTE(SUBSTITUTE(CLEAN(E32&amp;"")," ",""),".","")," ",""),"-",""))=4,LEN(SUBSTITUTE(SUBSTITUTE(SUBSTITUTE(SUBSTITUTE(CLEAN(E32&amp;"")," ",""),".","")," ",""),"-",""))=6,LEN(SUBSTITUTE(SUBSTITUTE(SUBSTITUTE(SUBSTITUTE(CLEAN(E32&amp;"")," ",""),".","")," ",""),"-",""))=8,LEN(SUBSTITUTE(SUBSTITUTE(SUBSTITUTE(SUBSTITUTE(CLEAN(E32&amp;"")," ",""),".","")," ",""),"-",""))=10),IFERROR(TEXT(VALUE(SUBSTITUTE(SUBSTITUTE(SUBSTITUTE(SUBSTITUTE(CLEAN(E32&amp;"")," ",""),".","")," ",""),"-","")),REPT("0",LEN(SUBSTITUTE(SUBSTITUTE(SUBSTITUTE(SUBSTITUTE(CLEAN(E32&amp;"")," ",""),".","")," ",""),"-",""))))=SUBSTITUTE(SUBSTITUTE(SUBSTITUTE(SUBSTITUTE(CLEAN(E32&amp;"")," ",""),".","")," ",""),"-",""),FALSE)),SUBSTITUTE(SUBSTITUTE(SUBSTITUTE(SUBSTITUTE(CLEAN(E32&amp;"")," ",""),".","")," ",""),"-",""),"CHECK: not 2, 4, 6, 8 or 10 digits"))</f>
        <v/>
      </c>
      <c r="G32" s="11" t="n"/>
      <c r="H32" s="8" t="n"/>
      <c r="I32" s="8" t="n"/>
      <c r="J32" s="10">
        <f>IF(SUBSTITUTE(SUBSTITUTE(SUBSTITUTE(SUBSTITUTE(CLEAN(I32&amp;"")," ",""),".","")," ",""),"-","")="","",IF(AND(OR(LEN(SUBSTITUTE(SUBSTITUTE(SUBSTITUTE(SUBSTITUTE(CLEAN(I32&amp;"")," ",""),".","")," ",""),"-",""))=2,LEN(SUBSTITUTE(SUBSTITUTE(SUBSTITUTE(SUBSTITUTE(CLEAN(I32&amp;"")," ",""),".","")," ",""),"-",""))=4,LEN(SUBSTITUTE(SUBSTITUTE(SUBSTITUTE(SUBSTITUTE(CLEAN(I32&amp;"")," ",""),".","")," ",""),"-",""))=6,LEN(SUBSTITUTE(SUBSTITUTE(SUBSTITUTE(SUBSTITUTE(CLEAN(I32&amp;"")," ",""),".","")," ",""),"-",""))=8,LEN(SUBSTITUTE(SUBSTITUTE(SUBSTITUTE(SUBSTITUTE(CLEAN(I32&amp;"")," ",""),".","")," ",""),"-",""))=10),IFERROR(TEXT(VALUE(SUBSTITUTE(SUBSTITUTE(SUBSTITUTE(SUBSTITUTE(CLEAN(I32&amp;"")," ",""),".","")," ",""),"-","")),REPT("0",LEN(SUBSTITUTE(SUBSTITUTE(SUBSTITUTE(SUBSTITUTE(CLEAN(I32&amp;"")," ",""),".","")," ",""),"-",""))))=SUBSTITUTE(SUBSTITUTE(SUBSTITUTE(SUBSTITUTE(CLEAN(I32&amp;"")," ",""),".","")," ",""),"-",""),FALSE)),SUBSTITUTE(SUBSTITUTE(SUBSTITUTE(SUBSTITUTE(CLEAN(I32&amp;"")," ",""),".","")," ",""),"-",""),"CHECK: not 2, 4, 6, 8 or 10 digits"))</f>
        <v/>
      </c>
      <c r="K32" s="11" t="n"/>
      <c r="M32" s="8" t="n"/>
      <c r="N32" s="11" t="n"/>
      <c r="P32" s="8" t="n"/>
      <c r="Q32" s="8" t="n"/>
      <c r="R32" s="8" t="n"/>
      <c r="S32" s="12" t="n"/>
      <c r="T32" s="11" t="n"/>
      <c r="U32" s="11" t="n"/>
      <c r="V32" s="10">
        <f>IF(TRIM(CLEAN(SUBSTITUTE(P32&amp;""," "," ")))="","",UPPER(TRIM(CLEAN(SUBSTITUTE(P32&amp;""," "," "))))&amp;"/"&amp;UPPER(TRIM(CLEAN(SUBSTITUTE(Q32&amp;""," "," ")))))</f>
        <v/>
      </c>
      <c r="W32" s="10">
        <f>IF(V32="","",IF(UPPER(TRIM(CLEAN(SUBSTITUTE(Q32&amp;""," "," "))))&lt;&gt;UPPER(TRIM(CLEAN(SUBSTITUTE(act_Country&amp;""," "," ")))),"CHECK: import country must match B7",IF(COUNTIF(det_Key,V32)&gt;1,"CHECK: listed twice",IF(AND(UPPER(TRIM(CLEAN(SUBSTITUTE(R32&amp;""," "," "))))&lt;&gt;"",UPPER(TRIM(CLEAN(SUBSTITUTE(R32&amp;""," "," "))))&lt;&gt;"IN",UPPER(TRIM(CLEAN(SUBSTITUTE(R32&amp;""," "," "))))&lt;&gt;"OUT"),"CHECK: determination must be IN, OUT or blank",IF(AND(S32&amp;""&lt;&gt;"",NOT(ISNUMBER(S32))),"CHECK: displaced rate must be a percentage",IF(AND(UPPER(TRIM(CLEAN(SUBSTITUTE(R32&amp;""," "," "))))="",NOT(ISNUMBER(S32))),"CHECK: enter IN, OUT or a displaced rate",IF(SUMPRODUCT(--(Calc!$AL$5:$AL$254&lt;&gt;""))=0,"WAIT: Items not loaded yet",IF(COUNTIF(Calc!$AL$5:$AL$254,V32)=0,"CHECK: no Items row for this item and import country","OK"))))))))</f>
        <v/>
      </c>
      <c r="Y32" s="8" t="n"/>
      <c r="Z32" s="8" t="n"/>
      <c r="AA32" s="8" t="n"/>
      <c r="AB32" s="8" t="n"/>
      <c r="AC32" s="12" t="n"/>
      <c r="AD32" s="12" t="n"/>
      <c r="AE32" s="8" t="n"/>
      <c r="AF32" s="12" t="n"/>
      <c r="AG32" s="11" t="n"/>
      <c r="AH32" s="13">
        <f>IF(UPPER(TRIM(CLEAN(SUBSTITUTE(Y32&amp;""," "," "))))="","",COUNTIFS(Calc!$O$5:$O$254,UPPER(TRIM(CLEAN(SUBSTITUTE(Y32&amp;""," "," ")))),Calc!$L$5:$L$254,"Y"))</f>
        <v/>
      </c>
      <c r="AI32" s="10">
        <f>IF(AND(UPPER(TRIM(CLEAN(SUBSTITUTE(Y32&amp;""," "," "))))="",UPPER(TRIM(CLEAN(SUBSTITUTE(Z32&amp;""," "," "))))="",UPPER(TRIM(CLEAN(SUBSTITUTE(AA32&amp;""," "," "))))="",UPPER(TRIM(CLEAN(SUBSTITUTE(AB32&amp;""," "," "))))="",UPPER(TRIM(CLEAN(SUBSTITUTE(AE32&amp;""," "," "))))="",AC32&amp;""="",AD32&amp;""="",AF32&amp;""=""),"",IF(UPPER(TRIM(CLEAN(SUBSTITUTE(Y32&amp;""," "," "))))="","CHECK: line ID missing",IF(NOT(ISNUMBER(AC32)),"CHECK: rate missing",IF(OR(AC32&lt;0,AC32&gt;10),"CHECK: rate must be 0% to 1000%",IF(SUMPRODUCT(--(UPPER(TRIM(CLEAN(SUBSTITUTE(rate_ID&amp;""," "," "))))=UPPER(TRIM(CLEAN(SUBSTITUTE(Y32&amp;""," "," "))))))&gt;1,"CHECK: line ID listed twice",IF(AND(UPPER(TRIM(CLEAN(SUBSTITUTE(Z32&amp;""," "," "))))&lt;&gt;"",SUMPRODUCT(--(UPPER(TRIM(CLEAN(SUBSTITUTE(scope_Group&amp;""," "," "))))=UPPER(TRIM(CLEAN(SUBSTITUTE(Z32&amp;""," "," "))))))=0),"CHECK: rate group not on the scope list",IF(AND(UPPER(TRIM(CLEAN(SUBSTITUTE(AA32&amp;""," "," "))))&lt;&gt;"",SUMPRODUCT(--(UPPER(TRIM(CLEAN(SUBSTITUTE(scope_COO&amp;""," "," "))))=UPPER(TRIM(CLEAN(SUBSTITUTE(AA32&amp;""," "," "))))))=0),"CHECK: origin not on the origin list",IF(AND(UPPER(TRIM(CLEAN(SUBSTITUTE(AB32&amp;""," "," "))))&lt;&gt;"",UPPER(TRIM(CLEAN(SUBSTITUTE(AB32&amp;""," "," "))))&lt;&gt;"Y",UPPER(TRIM(CLEAN(SUBSTITUTE(AB32&amp;""," "," "))))&lt;&gt;"N"),"CHECK: USMCA must be Y, N or blank",IF(AND(UPPER(TRIM(CLEAN(SUBSTITUTE(AE32&amp;""," "," "))))&lt;&gt;"",UPPER(TRIM(CLEAN(SUBSTITUTE(AE32&amp;""," "," "))))&lt;&gt;"FULL",UPPER(TRIM(CLEAN(SUBSTITUTE(AE32&amp;""," "," "))))&lt;&gt;"PART"),"CHECK: duty base must be FULL, PART or blank",IF(OR(AND(AD32&amp;""&lt;&gt;"",NOT(ISNUMBER(AD32))),AND(AF32&amp;""&lt;&gt;"",NOT(ISNUMBER(AF32)))),"CHECK: earlier or displaced rate must be a percentage",IF(AC32&gt;1,"NOTE: rate above 100%: check it was entered as a percentage","OK")))))))))))</f>
        <v/>
      </c>
    </row>
    <row r="33">
      <c r="E33" s="8" t="n"/>
      <c r="F33" s="10">
        <f>IF(SUBSTITUTE(SUBSTITUTE(SUBSTITUTE(SUBSTITUTE(CLEAN(E33&amp;"")," ",""),".","")," ",""),"-","")="","",IF(AND(OR(LEN(SUBSTITUTE(SUBSTITUTE(SUBSTITUTE(SUBSTITUTE(CLEAN(E33&amp;"")," ",""),".","")," ",""),"-",""))=2,LEN(SUBSTITUTE(SUBSTITUTE(SUBSTITUTE(SUBSTITUTE(CLEAN(E33&amp;"")," ",""),".","")," ",""),"-",""))=4,LEN(SUBSTITUTE(SUBSTITUTE(SUBSTITUTE(SUBSTITUTE(CLEAN(E33&amp;"")," ",""),".","")," ",""),"-",""))=6,LEN(SUBSTITUTE(SUBSTITUTE(SUBSTITUTE(SUBSTITUTE(CLEAN(E33&amp;"")," ",""),".","")," ",""),"-",""))=8,LEN(SUBSTITUTE(SUBSTITUTE(SUBSTITUTE(SUBSTITUTE(CLEAN(E33&amp;"")," ",""),".","")," ",""),"-",""))=10),IFERROR(TEXT(VALUE(SUBSTITUTE(SUBSTITUTE(SUBSTITUTE(SUBSTITUTE(CLEAN(E33&amp;"")," ",""),".","")," ",""),"-","")),REPT("0",LEN(SUBSTITUTE(SUBSTITUTE(SUBSTITUTE(SUBSTITUTE(CLEAN(E33&amp;"")," ",""),".","")," ",""),"-",""))))=SUBSTITUTE(SUBSTITUTE(SUBSTITUTE(SUBSTITUTE(CLEAN(E33&amp;"")," ",""),".","")," ",""),"-",""),FALSE)),SUBSTITUTE(SUBSTITUTE(SUBSTITUTE(SUBSTITUTE(CLEAN(E33&amp;"")," ",""),".","")," ",""),"-",""),"CHECK: not 2, 4, 6, 8 or 10 digits"))</f>
        <v/>
      </c>
      <c r="G33" s="11" t="n"/>
      <c r="H33" s="8" t="n"/>
      <c r="I33" s="8" t="n"/>
      <c r="J33" s="10">
        <f>IF(SUBSTITUTE(SUBSTITUTE(SUBSTITUTE(SUBSTITUTE(CLEAN(I33&amp;"")," ",""),".","")," ",""),"-","")="","",IF(AND(OR(LEN(SUBSTITUTE(SUBSTITUTE(SUBSTITUTE(SUBSTITUTE(CLEAN(I33&amp;"")," ",""),".","")," ",""),"-",""))=2,LEN(SUBSTITUTE(SUBSTITUTE(SUBSTITUTE(SUBSTITUTE(CLEAN(I33&amp;"")," ",""),".","")," ",""),"-",""))=4,LEN(SUBSTITUTE(SUBSTITUTE(SUBSTITUTE(SUBSTITUTE(CLEAN(I33&amp;"")," ",""),".","")," ",""),"-",""))=6,LEN(SUBSTITUTE(SUBSTITUTE(SUBSTITUTE(SUBSTITUTE(CLEAN(I33&amp;"")," ",""),".","")," ",""),"-",""))=8,LEN(SUBSTITUTE(SUBSTITUTE(SUBSTITUTE(SUBSTITUTE(CLEAN(I33&amp;"")," ",""),".","")," ",""),"-",""))=10),IFERROR(TEXT(VALUE(SUBSTITUTE(SUBSTITUTE(SUBSTITUTE(SUBSTITUTE(CLEAN(I33&amp;"")," ",""),".","")," ",""),"-","")),REPT("0",LEN(SUBSTITUTE(SUBSTITUTE(SUBSTITUTE(SUBSTITUTE(CLEAN(I33&amp;"")," ",""),".","")," ",""),"-",""))))=SUBSTITUTE(SUBSTITUTE(SUBSTITUTE(SUBSTITUTE(CLEAN(I33&amp;"")," ",""),".","")," ",""),"-",""),FALSE)),SUBSTITUTE(SUBSTITUTE(SUBSTITUTE(SUBSTITUTE(CLEAN(I33&amp;"")," ",""),".","")," ",""),"-",""),"CHECK: not 2, 4, 6, 8 or 10 digits"))</f>
        <v/>
      </c>
      <c r="K33" s="11" t="n"/>
      <c r="M33" s="8" t="n"/>
      <c r="N33" s="11" t="n"/>
      <c r="P33" s="8" t="n"/>
      <c r="Q33" s="8" t="n"/>
      <c r="R33" s="8" t="n"/>
      <c r="S33" s="12" t="n"/>
      <c r="T33" s="11" t="n"/>
      <c r="U33" s="11" t="n"/>
      <c r="V33" s="10">
        <f>IF(TRIM(CLEAN(SUBSTITUTE(P33&amp;""," "," ")))="","",UPPER(TRIM(CLEAN(SUBSTITUTE(P33&amp;""," "," "))))&amp;"/"&amp;UPPER(TRIM(CLEAN(SUBSTITUTE(Q33&amp;""," "," ")))))</f>
        <v/>
      </c>
      <c r="W33" s="10">
        <f>IF(V33="","",IF(UPPER(TRIM(CLEAN(SUBSTITUTE(Q33&amp;""," "," "))))&lt;&gt;UPPER(TRIM(CLEAN(SUBSTITUTE(act_Country&amp;""," "," ")))),"CHECK: import country must match B7",IF(COUNTIF(det_Key,V33)&gt;1,"CHECK: listed twice",IF(AND(UPPER(TRIM(CLEAN(SUBSTITUTE(R33&amp;""," "," "))))&lt;&gt;"",UPPER(TRIM(CLEAN(SUBSTITUTE(R33&amp;""," "," "))))&lt;&gt;"IN",UPPER(TRIM(CLEAN(SUBSTITUTE(R33&amp;""," "," "))))&lt;&gt;"OUT"),"CHECK: determination must be IN, OUT or blank",IF(AND(S33&amp;""&lt;&gt;"",NOT(ISNUMBER(S33))),"CHECK: displaced rate must be a percentage",IF(AND(UPPER(TRIM(CLEAN(SUBSTITUTE(R33&amp;""," "," "))))="",NOT(ISNUMBER(S33))),"CHECK: enter IN, OUT or a displaced rate",IF(SUMPRODUCT(--(Calc!$AL$5:$AL$254&lt;&gt;""))=0,"WAIT: Items not loaded yet",IF(COUNTIF(Calc!$AL$5:$AL$254,V33)=0,"CHECK: no Items row for this item and import country","OK"))))))))</f>
        <v/>
      </c>
      <c r="Y33" s="8" t="n"/>
      <c r="Z33" s="8" t="n"/>
      <c r="AA33" s="8" t="n"/>
      <c r="AB33" s="8" t="n"/>
      <c r="AC33" s="12" t="n"/>
      <c r="AD33" s="12" t="n"/>
      <c r="AE33" s="8" t="n"/>
      <c r="AF33" s="12" t="n"/>
      <c r="AG33" s="11" t="n"/>
      <c r="AH33" s="13">
        <f>IF(UPPER(TRIM(CLEAN(SUBSTITUTE(Y33&amp;""," "," "))))="","",COUNTIFS(Calc!$O$5:$O$254,UPPER(TRIM(CLEAN(SUBSTITUTE(Y33&amp;""," "," ")))),Calc!$L$5:$L$254,"Y"))</f>
        <v/>
      </c>
      <c r="AI33" s="10">
        <f>IF(AND(UPPER(TRIM(CLEAN(SUBSTITUTE(Y33&amp;""," "," "))))="",UPPER(TRIM(CLEAN(SUBSTITUTE(Z33&amp;""," "," "))))="",UPPER(TRIM(CLEAN(SUBSTITUTE(AA33&amp;""," "," "))))="",UPPER(TRIM(CLEAN(SUBSTITUTE(AB33&amp;""," "," "))))="",UPPER(TRIM(CLEAN(SUBSTITUTE(AE33&amp;""," "," "))))="",AC33&amp;""="",AD33&amp;""="",AF33&amp;""=""),"",IF(UPPER(TRIM(CLEAN(SUBSTITUTE(Y33&amp;""," "," "))))="","CHECK: line ID missing",IF(NOT(ISNUMBER(AC33)),"CHECK: rate missing",IF(OR(AC33&lt;0,AC33&gt;10),"CHECK: rate must be 0% to 1000%",IF(SUMPRODUCT(--(UPPER(TRIM(CLEAN(SUBSTITUTE(rate_ID&amp;""," "," "))))=UPPER(TRIM(CLEAN(SUBSTITUTE(Y33&amp;""," "," "))))))&gt;1,"CHECK: line ID listed twice",IF(AND(UPPER(TRIM(CLEAN(SUBSTITUTE(Z33&amp;""," "," "))))&lt;&gt;"",SUMPRODUCT(--(UPPER(TRIM(CLEAN(SUBSTITUTE(scope_Group&amp;""," "," "))))=UPPER(TRIM(CLEAN(SUBSTITUTE(Z33&amp;""," "," "))))))=0),"CHECK: rate group not on the scope list",IF(AND(UPPER(TRIM(CLEAN(SUBSTITUTE(AA33&amp;""," "," "))))&lt;&gt;"",SUMPRODUCT(--(UPPER(TRIM(CLEAN(SUBSTITUTE(scope_COO&amp;""," "," "))))=UPPER(TRIM(CLEAN(SUBSTITUTE(AA33&amp;""," "," "))))))=0),"CHECK: origin not on the origin list",IF(AND(UPPER(TRIM(CLEAN(SUBSTITUTE(AB33&amp;""," "," "))))&lt;&gt;"",UPPER(TRIM(CLEAN(SUBSTITUTE(AB33&amp;""," "," "))))&lt;&gt;"Y",UPPER(TRIM(CLEAN(SUBSTITUTE(AB33&amp;""," "," "))))&lt;&gt;"N"),"CHECK: USMCA must be Y, N or blank",IF(AND(UPPER(TRIM(CLEAN(SUBSTITUTE(AE33&amp;""," "," "))))&lt;&gt;"",UPPER(TRIM(CLEAN(SUBSTITUTE(AE33&amp;""," "," "))))&lt;&gt;"FULL",UPPER(TRIM(CLEAN(SUBSTITUTE(AE33&amp;""," "," "))))&lt;&gt;"PART"),"CHECK: duty base must be FULL, PART or blank",IF(OR(AND(AD33&amp;""&lt;&gt;"",NOT(ISNUMBER(AD33))),AND(AF33&amp;""&lt;&gt;"",NOT(ISNUMBER(AF33)))),"CHECK: earlier or displaced rate must be a percentage",IF(AC33&gt;1,"NOTE: rate above 100%: check it was entered as a percentage","OK")))))))))))</f>
        <v/>
      </c>
    </row>
    <row r="34">
      <c r="E34" s="8" t="n"/>
      <c r="F34" s="10">
        <f>IF(SUBSTITUTE(SUBSTITUTE(SUBSTITUTE(SUBSTITUTE(CLEAN(E34&amp;"")," ",""),".","")," ",""),"-","")="","",IF(AND(OR(LEN(SUBSTITUTE(SUBSTITUTE(SUBSTITUTE(SUBSTITUTE(CLEAN(E34&amp;"")," ",""),".","")," ",""),"-",""))=2,LEN(SUBSTITUTE(SUBSTITUTE(SUBSTITUTE(SUBSTITUTE(CLEAN(E34&amp;"")," ",""),".","")," ",""),"-",""))=4,LEN(SUBSTITUTE(SUBSTITUTE(SUBSTITUTE(SUBSTITUTE(CLEAN(E34&amp;"")," ",""),".","")," ",""),"-",""))=6,LEN(SUBSTITUTE(SUBSTITUTE(SUBSTITUTE(SUBSTITUTE(CLEAN(E34&amp;"")," ",""),".","")," ",""),"-",""))=8,LEN(SUBSTITUTE(SUBSTITUTE(SUBSTITUTE(SUBSTITUTE(CLEAN(E34&amp;"")," ",""),".","")," ",""),"-",""))=10),IFERROR(TEXT(VALUE(SUBSTITUTE(SUBSTITUTE(SUBSTITUTE(SUBSTITUTE(CLEAN(E34&amp;"")," ",""),".","")," ",""),"-","")),REPT("0",LEN(SUBSTITUTE(SUBSTITUTE(SUBSTITUTE(SUBSTITUTE(CLEAN(E34&amp;"")," ",""),".","")," ",""),"-",""))))=SUBSTITUTE(SUBSTITUTE(SUBSTITUTE(SUBSTITUTE(CLEAN(E34&amp;"")," ",""),".","")," ",""),"-",""),FALSE)),SUBSTITUTE(SUBSTITUTE(SUBSTITUTE(SUBSTITUTE(CLEAN(E34&amp;"")," ",""),".","")," ",""),"-",""),"CHECK: not 2, 4, 6, 8 or 10 digits"))</f>
        <v/>
      </c>
      <c r="G34" s="11" t="n"/>
      <c r="H34" s="8" t="n"/>
      <c r="I34" s="8" t="n"/>
      <c r="J34" s="10">
        <f>IF(SUBSTITUTE(SUBSTITUTE(SUBSTITUTE(SUBSTITUTE(CLEAN(I34&amp;"")," ",""),".","")," ",""),"-","")="","",IF(AND(OR(LEN(SUBSTITUTE(SUBSTITUTE(SUBSTITUTE(SUBSTITUTE(CLEAN(I34&amp;"")," ",""),".","")," ",""),"-",""))=2,LEN(SUBSTITUTE(SUBSTITUTE(SUBSTITUTE(SUBSTITUTE(CLEAN(I34&amp;"")," ",""),".","")," ",""),"-",""))=4,LEN(SUBSTITUTE(SUBSTITUTE(SUBSTITUTE(SUBSTITUTE(CLEAN(I34&amp;"")," ",""),".","")," ",""),"-",""))=6,LEN(SUBSTITUTE(SUBSTITUTE(SUBSTITUTE(SUBSTITUTE(CLEAN(I34&amp;"")," ",""),".","")," ",""),"-",""))=8,LEN(SUBSTITUTE(SUBSTITUTE(SUBSTITUTE(SUBSTITUTE(CLEAN(I34&amp;"")," ",""),".","")," ",""),"-",""))=10),IFERROR(TEXT(VALUE(SUBSTITUTE(SUBSTITUTE(SUBSTITUTE(SUBSTITUTE(CLEAN(I34&amp;"")," ",""),".","")," ",""),"-","")),REPT("0",LEN(SUBSTITUTE(SUBSTITUTE(SUBSTITUTE(SUBSTITUTE(CLEAN(I34&amp;"")," ",""),".","")," ",""),"-",""))))=SUBSTITUTE(SUBSTITUTE(SUBSTITUTE(SUBSTITUTE(CLEAN(I34&amp;"")," ",""),".","")," ",""),"-",""),FALSE)),SUBSTITUTE(SUBSTITUTE(SUBSTITUTE(SUBSTITUTE(CLEAN(I34&amp;"")," ",""),".","")," ",""),"-",""),"CHECK: not 2, 4, 6, 8 or 10 digits"))</f>
        <v/>
      </c>
      <c r="K34" s="11" t="n"/>
      <c r="M34" s="8" t="n"/>
      <c r="N34" s="11" t="n"/>
      <c r="P34" s="8" t="n"/>
      <c r="Q34" s="8" t="n"/>
      <c r="R34" s="8" t="n"/>
      <c r="S34" s="12" t="n"/>
      <c r="T34" s="11" t="n"/>
      <c r="U34" s="11" t="n"/>
      <c r="V34" s="10">
        <f>IF(TRIM(CLEAN(SUBSTITUTE(P34&amp;""," "," ")))="","",UPPER(TRIM(CLEAN(SUBSTITUTE(P34&amp;""," "," "))))&amp;"/"&amp;UPPER(TRIM(CLEAN(SUBSTITUTE(Q34&amp;""," "," ")))))</f>
        <v/>
      </c>
      <c r="W34" s="10">
        <f>IF(V34="","",IF(UPPER(TRIM(CLEAN(SUBSTITUTE(Q34&amp;""," "," "))))&lt;&gt;UPPER(TRIM(CLEAN(SUBSTITUTE(act_Country&amp;""," "," ")))),"CHECK: import country must match B7",IF(COUNTIF(det_Key,V34)&gt;1,"CHECK: listed twice",IF(AND(UPPER(TRIM(CLEAN(SUBSTITUTE(R34&amp;""," "," "))))&lt;&gt;"",UPPER(TRIM(CLEAN(SUBSTITUTE(R34&amp;""," "," "))))&lt;&gt;"IN",UPPER(TRIM(CLEAN(SUBSTITUTE(R34&amp;""," "," "))))&lt;&gt;"OUT"),"CHECK: determination must be IN, OUT or blank",IF(AND(S34&amp;""&lt;&gt;"",NOT(ISNUMBER(S34))),"CHECK: displaced rate must be a percentage",IF(AND(UPPER(TRIM(CLEAN(SUBSTITUTE(R34&amp;""," "," "))))="",NOT(ISNUMBER(S34))),"CHECK: enter IN, OUT or a displaced rate",IF(SUMPRODUCT(--(Calc!$AL$5:$AL$254&lt;&gt;""))=0,"WAIT: Items not loaded yet",IF(COUNTIF(Calc!$AL$5:$AL$254,V34)=0,"CHECK: no Items row for this item and import country","OK"))))))))</f>
        <v/>
      </c>
      <c r="Y34" s="8" t="n"/>
      <c r="Z34" s="8" t="n"/>
      <c r="AA34" s="8" t="n"/>
      <c r="AB34" s="8" t="n"/>
      <c r="AC34" s="12" t="n"/>
      <c r="AD34" s="12" t="n"/>
      <c r="AE34" s="8" t="n"/>
      <c r="AF34" s="12" t="n"/>
      <c r="AG34" s="11" t="n"/>
      <c r="AH34" s="13">
        <f>IF(UPPER(TRIM(CLEAN(SUBSTITUTE(Y34&amp;""," "," "))))="","",COUNTIFS(Calc!$O$5:$O$254,UPPER(TRIM(CLEAN(SUBSTITUTE(Y34&amp;""," "," ")))),Calc!$L$5:$L$254,"Y"))</f>
        <v/>
      </c>
      <c r="AI34" s="10">
        <f>IF(AND(UPPER(TRIM(CLEAN(SUBSTITUTE(Y34&amp;""," "," "))))="",UPPER(TRIM(CLEAN(SUBSTITUTE(Z34&amp;""," "," "))))="",UPPER(TRIM(CLEAN(SUBSTITUTE(AA34&amp;""," "," "))))="",UPPER(TRIM(CLEAN(SUBSTITUTE(AB34&amp;""," "," "))))="",UPPER(TRIM(CLEAN(SUBSTITUTE(AE34&amp;""," "," "))))="",AC34&amp;""="",AD34&amp;""="",AF34&amp;""=""),"",IF(UPPER(TRIM(CLEAN(SUBSTITUTE(Y34&amp;""," "," "))))="","CHECK: line ID missing",IF(NOT(ISNUMBER(AC34)),"CHECK: rate missing",IF(OR(AC34&lt;0,AC34&gt;10),"CHECK: rate must be 0% to 1000%",IF(SUMPRODUCT(--(UPPER(TRIM(CLEAN(SUBSTITUTE(rate_ID&amp;""," "," "))))=UPPER(TRIM(CLEAN(SUBSTITUTE(Y34&amp;""," "," "))))))&gt;1,"CHECK: line ID listed twice",IF(AND(UPPER(TRIM(CLEAN(SUBSTITUTE(Z34&amp;""," "," "))))&lt;&gt;"",SUMPRODUCT(--(UPPER(TRIM(CLEAN(SUBSTITUTE(scope_Group&amp;""," "," "))))=UPPER(TRIM(CLEAN(SUBSTITUTE(Z34&amp;""," "," "))))))=0),"CHECK: rate group not on the scope list",IF(AND(UPPER(TRIM(CLEAN(SUBSTITUTE(AA34&amp;""," "," "))))&lt;&gt;"",SUMPRODUCT(--(UPPER(TRIM(CLEAN(SUBSTITUTE(scope_COO&amp;""," "," "))))=UPPER(TRIM(CLEAN(SUBSTITUTE(AA34&amp;""," "," "))))))=0),"CHECK: origin not on the origin list",IF(AND(UPPER(TRIM(CLEAN(SUBSTITUTE(AB34&amp;""," "," "))))&lt;&gt;"",UPPER(TRIM(CLEAN(SUBSTITUTE(AB34&amp;""," "," "))))&lt;&gt;"Y",UPPER(TRIM(CLEAN(SUBSTITUTE(AB34&amp;""," "," "))))&lt;&gt;"N"),"CHECK: USMCA must be Y, N or blank",IF(AND(UPPER(TRIM(CLEAN(SUBSTITUTE(AE34&amp;""," "," "))))&lt;&gt;"",UPPER(TRIM(CLEAN(SUBSTITUTE(AE34&amp;""," "," "))))&lt;&gt;"FULL",UPPER(TRIM(CLEAN(SUBSTITUTE(AE34&amp;""," "," "))))&lt;&gt;"PART"),"CHECK: duty base must be FULL, PART or blank",IF(OR(AND(AD34&amp;""&lt;&gt;"",NOT(ISNUMBER(AD34))),AND(AF34&amp;""&lt;&gt;"",NOT(ISNUMBER(AF34)))),"CHECK: earlier or displaced rate must be a percentage",IF(AC34&gt;1,"NOTE: rate above 100%: check it was entered as a percentage","OK")))))))))))</f>
        <v/>
      </c>
    </row>
    <row r="35">
      <c r="E35" s="8" t="n"/>
      <c r="F35" s="10">
        <f>IF(SUBSTITUTE(SUBSTITUTE(SUBSTITUTE(SUBSTITUTE(CLEAN(E35&amp;"")," ",""),".","")," ",""),"-","")="","",IF(AND(OR(LEN(SUBSTITUTE(SUBSTITUTE(SUBSTITUTE(SUBSTITUTE(CLEAN(E35&amp;"")," ",""),".","")," ",""),"-",""))=2,LEN(SUBSTITUTE(SUBSTITUTE(SUBSTITUTE(SUBSTITUTE(CLEAN(E35&amp;"")," ",""),".","")," ",""),"-",""))=4,LEN(SUBSTITUTE(SUBSTITUTE(SUBSTITUTE(SUBSTITUTE(CLEAN(E35&amp;"")," ",""),".","")," ",""),"-",""))=6,LEN(SUBSTITUTE(SUBSTITUTE(SUBSTITUTE(SUBSTITUTE(CLEAN(E35&amp;"")," ",""),".","")," ",""),"-",""))=8,LEN(SUBSTITUTE(SUBSTITUTE(SUBSTITUTE(SUBSTITUTE(CLEAN(E35&amp;"")," ",""),".","")," ",""),"-",""))=10),IFERROR(TEXT(VALUE(SUBSTITUTE(SUBSTITUTE(SUBSTITUTE(SUBSTITUTE(CLEAN(E35&amp;"")," ",""),".","")," ",""),"-","")),REPT("0",LEN(SUBSTITUTE(SUBSTITUTE(SUBSTITUTE(SUBSTITUTE(CLEAN(E35&amp;"")," ",""),".","")," ",""),"-",""))))=SUBSTITUTE(SUBSTITUTE(SUBSTITUTE(SUBSTITUTE(CLEAN(E35&amp;"")," ",""),".","")," ",""),"-",""),FALSE)),SUBSTITUTE(SUBSTITUTE(SUBSTITUTE(SUBSTITUTE(CLEAN(E35&amp;"")," ",""),".","")," ",""),"-",""),"CHECK: not 2, 4, 6, 8 or 10 digits"))</f>
        <v/>
      </c>
      <c r="G35" s="11" t="n"/>
      <c r="H35" s="8" t="n"/>
      <c r="I35" s="8" t="n"/>
      <c r="J35" s="10">
        <f>IF(SUBSTITUTE(SUBSTITUTE(SUBSTITUTE(SUBSTITUTE(CLEAN(I35&amp;"")," ",""),".","")," ",""),"-","")="","",IF(AND(OR(LEN(SUBSTITUTE(SUBSTITUTE(SUBSTITUTE(SUBSTITUTE(CLEAN(I35&amp;"")," ",""),".","")," ",""),"-",""))=2,LEN(SUBSTITUTE(SUBSTITUTE(SUBSTITUTE(SUBSTITUTE(CLEAN(I35&amp;"")," ",""),".","")," ",""),"-",""))=4,LEN(SUBSTITUTE(SUBSTITUTE(SUBSTITUTE(SUBSTITUTE(CLEAN(I35&amp;"")," ",""),".","")," ",""),"-",""))=6,LEN(SUBSTITUTE(SUBSTITUTE(SUBSTITUTE(SUBSTITUTE(CLEAN(I35&amp;"")," ",""),".","")," ",""),"-",""))=8,LEN(SUBSTITUTE(SUBSTITUTE(SUBSTITUTE(SUBSTITUTE(CLEAN(I35&amp;"")," ",""),".","")," ",""),"-",""))=10),IFERROR(TEXT(VALUE(SUBSTITUTE(SUBSTITUTE(SUBSTITUTE(SUBSTITUTE(CLEAN(I35&amp;"")," ",""),".","")," ",""),"-","")),REPT("0",LEN(SUBSTITUTE(SUBSTITUTE(SUBSTITUTE(SUBSTITUTE(CLEAN(I35&amp;"")," ",""),".","")," ",""),"-",""))))=SUBSTITUTE(SUBSTITUTE(SUBSTITUTE(SUBSTITUTE(CLEAN(I35&amp;"")," ",""),".","")," ",""),"-",""),FALSE)),SUBSTITUTE(SUBSTITUTE(SUBSTITUTE(SUBSTITUTE(CLEAN(I35&amp;"")," ",""),".","")," ",""),"-",""),"CHECK: not 2, 4, 6, 8 or 10 digits"))</f>
        <v/>
      </c>
      <c r="K35" s="11" t="n"/>
      <c r="M35" s="8" t="n"/>
      <c r="N35" s="11" t="n"/>
      <c r="P35" s="8" t="n"/>
      <c r="Q35" s="8" t="n"/>
      <c r="R35" s="8" t="n"/>
      <c r="S35" s="12" t="n"/>
      <c r="T35" s="11" t="n"/>
      <c r="U35" s="11" t="n"/>
      <c r="V35" s="10">
        <f>IF(TRIM(CLEAN(SUBSTITUTE(P35&amp;""," "," ")))="","",UPPER(TRIM(CLEAN(SUBSTITUTE(P35&amp;""," "," "))))&amp;"/"&amp;UPPER(TRIM(CLEAN(SUBSTITUTE(Q35&amp;""," "," ")))))</f>
        <v/>
      </c>
      <c r="W35" s="10">
        <f>IF(V35="","",IF(UPPER(TRIM(CLEAN(SUBSTITUTE(Q35&amp;""," "," "))))&lt;&gt;UPPER(TRIM(CLEAN(SUBSTITUTE(act_Country&amp;""," "," ")))),"CHECK: import country must match B7",IF(COUNTIF(det_Key,V35)&gt;1,"CHECK: listed twice",IF(AND(UPPER(TRIM(CLEAN(SUBSTITUTE(R35&amp;""," "," "))))&lt;&gt;"",UPPER(TRIM(CLEAN(SUBSTITUTE(R35&amp;""," "," "))))&lt;&gt;"IN",UPPER(TRIM(CLEAN(SUBSTITUTE(R35&amp;""," "," "))))&lt;&gt;"OUT"),"CHECK: determination must be IN, OUT or blank",IF(AND(S35&amp;""&lt;&gt;"",NOT(ISNUMBER(S35))),"CHECK: displaced rate must be a percentage",IF(AND(UPPER(TRIM(CLEAN(SUBSTITUTE(R35&amp;""," "," "))))="",NOT(ISNUMBER(S35))),"CHECK: enter IN, OUT or a displaced rate",IF(SUMPRODUCT(--(Calc!$AL$5:$AL$254&lt;&gt;""))=0,"WAIT: Items not loaded yet",IF(COUNTIF(Calc!$AL$5:$AL$254,V35)=0,"CHECK: no Items row for this item and import country","OK"))))))))</f>
        <v/>
      </c>
    </row>
    <row r="36">
      <c r="E36" s="8" t="n"/>
      <c r="F36" s="10">
        <f>IF(SUBSTITUTE(SUBSTITUTE(SUBSTITUTE(SUBSTITUTE(CLEAN(E36&amp;"")," ",""),".","")," ",""),"-","")="","",IF(AND(OR(LEN(SUBSTITUTE(SUBSTITUTE(SUBSTITUTE(SUBSTITUTE(CLEAN(E36&amp;"")," ",""),".","")," ",""),"-",""))=2,LEN(SUBSTITUTE(SUBSTITUTE(SUBSTITUTE(SUBSTITUTE(CLEAN(E36&amp;"")," ",""),".","")," ",""),"-",""))=4,LEN(SUBSTITUTE(SUBSTITUTE(SUBSTITUTE(SUBSTITUTE(CLEAN(E36&amp;"")," ",""),".","")," ",""),"-",""))=6,LEN(SUBSTITUTE(SUBSTITUTE(SUBSTITUTE(SUBSTITUTE(CLEAN(E36&amp;"")," ",""),".","")," ",""),"-",""))=8,LEN(SUBSTITUTE(SUBSTITUTE(SUBSTITUTE(SUBSTITUTE(CLEAN(E36&amp;"")," ",""),".","")," ",""),"-",""))=10),IFERROR(TEXT(VALUE(SUBSTITUTE(SUBSTITUTE(SUBSTITUTE(SUBSTITUTE(CLEAN(E36&amp;"")," ",""),".","")," ",""),"-","")),REPT("0",LEN(SUBSTITUTE(SUBSTITUTE(SUBSTITUTE(SUBSTITUTE(CLEAN(E36&amp;"")," ",""),".","")," ",""),"-",""))))=SUBSTITUTE(SUBSTITUTE(SUBSTITUTE(SUBSTITUTE(CLEAN(E36&amp;"")," ",""),".","")," ",""),"-",""),FALSE)),SUBSTITUTE(SUBSTITUTE(SUBSTITUTE(SUBSTITUTE(CLEAN(E36&amp;"")," ",""),".","")," ",""),"-",""),"CHECK: not 2, 4, 6, 8 or 10 digits"))</f>
        <v/>
      </c>
      <c r="G36" s="11" t="n"/>
      <c r="H36" s="8" t="n"/>
      <c r="I36" s="8" t="n"/>
      <c r="J36" s="10">
        <f>IF(SUBSTITUTE(SUBSTITUTE(SUBSTITUTE(SUBSTITUTE(CLEAN(I36&amp;"")," ",""),".","")," ",""),"-","")="","",IF(AND(OR(LEN(SUBSTITUTE(SUBSTITUTE(SUBSTITUTE(SUBSTITUTE(CLEAN(I36&amp;"")," ",""),".","")," ",""),"-",""))=2,LEN(SUBSTITUTE(SUBSTITUTE(SUBSTITUTE(SUBSTITUTE(CLEAN(I36&amp;"")," ",""),".","")," ",""),"-",""))=4,LEN(SUBSTITUTE(SUBSTITUTE(SUBSTITUTE(SUBSTITUTE(CLEAN(I36&amp;"")," ",""),".","")," ",""),"-",""))=6,LEN(SUBSTITUTE(SUBSTITUTE(SUBSTITUTE(SUBSTITUTE(CLEAN(I36&amp;"")," ",""),".","")," ",""),"-",""))=8,LEN(SUBSTITUTE(SUBSTITUTE(SUBSTITUTE(SUBSTITUTE(CLEAN(I36&amp;"")," ",""),".","")," ",""),"-",""))=10),IFERROR(TEXT(VALUE(SUBSTITUTE(SUBSTITUTE(SUBSTITUTE(SUBSTITUTE(CLEAN(I36&amp;"")," ",""),".","")," ",""),"-","")),REPT("0",LEN(SUBSTITUTE(SUBSTITUTE(SUBSTITUTE(SUBSTITUTE(CLEAN(I36&amp;"")," ",""),".","")," ",""),"-",""))))=SUBSTITUTE(SUBSTITUTE(SUBSTITUTE(SUBSTITUTE(CLEAN(I36&amp;"")," ",""),".","")," ",""),"-",""),FALSE)),SUBSTITUTE(SUBSTITUTE(SUBSTITUTE(SUBSTITUTE(CLEAN(I36&amp;"")," ",""),".","")," ",""),"-",""),"CHECK: not 2, 4, 6, 8 or 10 digits"))</f>
        <v/>
      </c>
      <c r="K36" s="11" t="n"/>
      <c r="M36" s="8" t="n"/>
      <c r="N36" s="11" t="n"/>
      <c r="P36" s="8" t="n"/>
      <c r="Q36" s="8" t="n"/>
      <c r="R36" s="8" t="n"/>
      <c r="S36" s="12" t="n"/>
      <c r="T36" s="11" t="n"/>
      <c r="U36" s="11" t="n"/>
      <c r="V36" s="10">
        <f>IF(TRIM(CLEAN(SUBSTITUTE(P36&amp;""," "," ")))="","",UPPER(TRIM(CLEAN(SUBSTITUTE(P36&amp;""," "," "))))&amp;"/"&amp;UPPER(TRIM(CLEAN(SUBSTITUTE(Q36&amp;""," "," ")))))</f>
        <v/>
      </c>
      <c r="W36" s="10">
        <f>IF(V36="","",IF(UPPER(TRIM(CLEAN(SUBSTITUTE(Q36&amp;""," "," "))))&lt;&gt;UPPER(TRIM(CLEAN(SUBSTITUTE(act_Country&amp;""," "," ")))),"CHECK: import country must match B7",IF(COUNTIF(det_Key,V36)&gt;1,"CHECK: listed twice",IF(AND(UPPER(TRIM(CLEAN(SUBSTITUTE(R36&amp;""," "," "))))&lt;&gt;"",UPPER(TRIM(CLEAN(SUBSTITUTE(R36&amp;""," "," "))))&lt;&gt;"IN",UPPER(TRIM(CLEAN(SUBSTITUTE(R36&amp;""," "," "))))&lt;&gt;"OUT"),"CHECK: determination must be IN, OUT or blank",IF(AND(S36&amp;""&lt;&gt;"",NOT(ISNUMBER(S36))),"CHECK: displaced rate must be a percentage",IF(AND(UPPER(TRIM(CLEAN(SUBSTITUTE(R36&amp;""," "," "))))="",NOT(ISNUMBER(S36))),"CHECK: enter IN, OUT or a displaced rate",IF(SUMPRODUCT(--(Calc!$AL$5:$AL$254&lt;&gt;""))=0,"WAIT: Items not loaded yet",IF(COUNTIF(Calc!$AL$5:$AL$254,V36)=0,"CHECK: no Items row for this item and import country","OK"))))))))</f>
        <v/>
      </c>
    </row>
    <row r="37">
      <c r="E37" s="8" t="n"/>
      <c r="F37" s="10">
        <f>IF(SUBSTITUTE(SUBSTITUTE(SUBSTITUTE(SUBSTITUTE(CLEAN(E37&amp;"")," ",""),".","")," ",""),"-","")="","",IF(AND(OR(LEN(SUBSTITUTE(SUBSTITUTE(SUBSTITUTE(SUBSTITUTE(CLEAN(E37&amp;"")," ",""),".","")," ",""),"-",""))=2,LEN(SUBSTITUTE(SUBSTITUTE(SUBSTITUTE(SUBSTITUTE(CLEAN(E37&amp;"")," ",""),".","")," ",""),"-",""))=4,LEN(SUBSTITUTE(SUBSTITUTE(SUBSTITUTE(SUBSTITUTE(CLEAN(E37&amp;"")," ",""),".","")," ",""),"-",""))=6,LEN(SUBSTITUTE(SUBSTITUTE(SUBSTITUTE(SUBSTITUTE(CLEAN(E37&amp;"")," ",""),".","")," ",""),"-",""))=8,LEN(SUBSTITUTE(SUBSTITUTE(SUBSTITUTE(SUBSTITUTE(CLEAN(E37&amp;"")," ",""),".","")," ",""),"-",""))=10),IFERROR(TEXT(VALUE(SUBSTITUTE(SUBSTITUTE(SUBSTITUTE(SUBSTITUTE(CLEAN(E37&amp;"")," ",""),".","")," ",""),"-","")),REPT("0",LEN(SUBSTITUTE(SUBSTITUTE(SUBSTITUTE(SUBSTITUTE(CLEAN(E37&amp;"")," ",""),".","")," ",""),"-",""))))=SUBSTITUTE(SUBSTITUTE(SUBSTITUTE(SUBSTITUTE(CLEAN(E37&amp;"")," ",""),".","")," ",""),"-",""),FALSE)),SUBSTITUTE(SUBSTITUTE(SUBSTITUTE(SUBSTITUTE(CLEAN(E37&amp;"")," ",""),".","")," ",""),"-",""),"CHECK: not 2, 4, 6, 8 or 10 digits"))</f>
        <v/>
      </c>
      <c r="G37" s="11" t="n"/>
      <c r="H37" s="8" t="n"/>
      <c r="I37" s="8" t="n"/>
      <c r="J37" s="10">
        <f>IF(SUBSTITUTE(SUBSTITUTE(SUBSTITUTE(SUBSTITUTE(CLEAN(I37&amp;"")," ",""),".","")," ",""),"-","")="","",IF(AND(OR(LEN(SUBSTITUTE(SUBSTITUTE(SUBSTITUTE(SUBSTITUTE(CLEAN(I37&amp;"")," ",""),".","")," ",""),"-",""))=2,LEN(SUBSTITUTE(SUBSTITUTE(SUBSTITUTE(SUBSTITUTE(CLEAN(I37&amp;"")," ",""),".","")," ",""),"-",""))=4,LEN(SUBSTITUTE(SUBSTITUTE(SUBSTITUTE(SUBSTITUTE(CLEAN(I37&amp;"")," ",""),".","")," ",""),"-",""))=6,LEN(SUBSTITUTE(SUBSTITUTE(SUBSTITUTE(SUBSTITUTE(CLEAN(I37&amp;"")," ",""),".","")," ",""),"-",""))=8,LEN(SUBSTITUTE(SUBSTITUTE(SUBSTITUTE(SUBSTITUTE(CLEAN(I37&amp;"")," ",""),".","")," ",""),"-",""))=10),IFERROR(TEXT(VALUE(SUBSTITUTE(SUBSTITUTE(SUBSTITUTE(SUBSTITUTE(CLEAN(I37&amp;"")," ",""),".","")," ",""),"-","")),REPT("0",LEN(SUBSTITUTE(SUBSTITUTE(SUBSTITUTE(SUBSTITUTE(CLEAN(I37&amp;"")," ",""),".","")," ",""),"-",""))))=SUBSTITUTE(SUBSTITUTE(SUBSTITUTE(SUBSTITUTE(CLEAN(I37&amp;"")," ",""),".","")," ",""),"-",""),FALSE)),SUBSTITUTE(SUBSTITUTE(SUBSTITUTE(SUBSTITUTE(CLEAN(I37&amp;"")," ",""),".","")," ",""),"-",""),"CHECK: not 2, 4, 6, 8 or 10 digits"))</f>
        <v/>
      </c>
      <c r="K37" s="11" t="n"/>
      <c r="M37" s="8" t="n"/>
      <c r="N37" s="11" t="n"/>
      <c r="P37" s="8" t="n"/>
      <c r="Q37" s="8" t="n"/>
      <c r="R37" s="8" t="n"/>
      <c r="S37" s="12" t="n"/>
      <c r="T37" s="11" t="n"/>
      <c r="U37" s="11" t="n"/>
      <c r="V37" s="10">
        <f>IF(TRIM(CLEAN(SUBSTITUTE(P37&amp;""," "," ")))="","",UPPER(TRIM(CLEAN(SUBSTITUTE(P37&amp;""," "," "))))&amp;"/"&amp;UPPER(TRIM(CLEAN(SUBSTITUTE(Q37&amp;""," "," ")))))</f>
        <v/>
      </c>
      <c r="W37" s="10">
        <f>IF(V37="","",IF(UPPER(TRIM(CLEAN(SUBSTITUTE(Q37&amp;""," "," "))))&lt;&gt;UPPER(TRIM(CLEAN(SUBSTITUTE(act_Country&amp;""," "," ")))),"CHECK: import country must match B7",IF(COUNTIF(det_Key,V37)&gt;1,"CHECK: listed twice",IF(AND(UPPER(TRIM(CLEAN(SUBSTITUTE(R37&amp;""," "," "))))&lt;&gt;"",UPPER(TRIM(CLEAN(SUBSTITUTE(R37&amp;""," "," "))))&lt;&gt;"IN",UPPER(TRIM(CLEAN(SUBSTITUTE(R37&amp;""," "," "))))&lt;&gt;"OUT"),"CHECK: determination must be IN, OUT or blank",IF(AND(S37&amp;""&lt;&gt;"",NOT(ISNUMBER(S37))),"CHECK: displaced rate must be a percentage",IF(AND(UPPER(TRIM(CLEAN(SUBSTITUTE(R37&amp;""," "," "))))="",NOT(ISNUMBER(S37))),"CHECK: enter IN, OUT or a displaced rate",IF(SUMPRODUCT(--(Calc!$AL$5:$AL$254&lt;&gt;""))=0,"WAIT: Items not loaded yet",IF(COUNTIF(Calc!$AL$5:$AL$254,V37)=0,"CHECK: no Items row for this item and import country","OK"))))))))</f>
        <v/>
      </c>
    </row>
    <row r="38">
      <c r="E38" s="8" t="n"/>
      <c r="F38" s="10">
        <f>IF(SUBSTITUTE(SUBSTITUTE(SUBSTITUTE(SUBSTITUTE(CLEAN(E38&amp;"")," ",""),".","")," ",""),"-","")="","",IF(AND(OR(LEN(SUBSTITUTE(SUBSTITUTE(SUBSTITUTE(SUBSTITUTE(CLEAN(E38&amp;"")," ",""),".","")," ",""),"-",""))=2,LEN(SUBSTITUTE(SUBSTITUTE(SUBSTITUTE(SUBSTITUTE(CLEAN(E38&amp;"")," ",""),".","")," ",""),"-",""))=4,LEN(SUBSTITUTE(SUBSTITUTE(SUBSTITUTE(SUBSTITUTE(CLEAN(E38&amp;"")," ",""),".","")," ",""),"-",""))=6,LEN(SUBSTITUTE(SUBSTITUTE(SUBSTITUTE(SUBSTITUTE(CLEAN(E38&amp;"")," ",""),".","")," ",""),"-",""))=8,LEN(SUBSTITUTE(SUBSTITUTE(SUBSTITUTE(SUBSTITUTE(CLEAN(E38&amp;"")," ",""),".","")," ",""),"-",""))=10),IFERROR(TEXT(VALUE(SUBSTITUTE(SUBSTITUTE(SUBSTITUTE(SUBSTITUTE(CLEAN(E38&amp;"")," ",""),".","")," ",""),"-","")),REPT("0",LEN(SUBSTITUTE(SUBSTITUTE(SUBSTITUTE(SUBSTITUTE(CLEAN(E38&amp;"")," ",""),".","")," ",""),"-",""))))=SUBSTITUTE(SUBSTITUTE(SUBSTITUTE(SUBSTITUTE(CLEAN(E38&amp;"")," ",""),".","")," ",""),"-",""),FALSE)),SUBSTITUTE(SUBSTITUTE(SUBSTITUTE(SUBSTITUTE(CLEAN(E38&amp;"")," ",""),".","")," ",""),"-",""),"CHECK: not 2, 4, 6, 8 or 10 digits"))</f>
        <v/>
      </c>
      <c r="G38" s="11" t="n"/>
      <c r="H38" s="8" t="n"/>
      <c r="I38" s="8" t="n"/>
      <c r="J38" s="10">
        <f>IF(SUBSTITUTE(SUBSTITUTE(SUBSTITUTE(SUBSTITUTE(CLEAN(I38&amp;"")," ",""),".","")," ",""),"-","")="","",IF(AND(OR(LEN(SUBSTITUTE(SUBSTITUTE(SUBSTITUTE(SUBSTITUTE(CLEAN(I38&amp;"")," ",""),".","")," ",""),"-",""))=2,LEN(SUBSTITUTE(SUBSTITUTE(SUBSTITUTE(SUBSTITUTE(CLEAN(I38&amp;"")," ",""),".","")," ",""),"-",""))=4,LEN(SUBSTITUTE(SUBSTITUTE(SUBSTITUTE(SUBSTITUTE(CLEAN(I38&amp;"")," ",""),".","")," ",""),"-",""))=6,LEN(SUBSTITUTE(SUBSTITUTE(SUBSTITUTE(SUBSTITUTE(CLEAN(I38&amp;"")," ",""),".","")," ",""),"-",""))=8,LEN(SUBSTITUTE(SUBSTITUTE(SUBSTITUTE(SUBSTITUTE(CLEAN(I38&amp;"")," ",""),".","")," ",""),"-",""))=10),IFERROR(TEXT(VALUE(SUBSTITUTE(SUBSTITUTE(SUBSTITUTE(SUBSTITUTE(CLEAN(I38&amp;"")," ",""),".","")," ",""),"-","")),REPT("0",LEN(SUBSTITUTE(SUBSTITUTE(SUBSTITUTE(SUBSTITUTE(CLEAN(I38&amp;"")," ",""),".","")," ",""),"-",""))))=SUBSTITUTE(SUBSTITUTE(SUBSTITUTE(SUBSTITUTE(CLEAN(I38&amp;"")," ",""),".","")," ",""),"-",""),FALSE)),SUBSTITUTE(SUBSTITUTE(SUBSTITUTE(SUBSTITUTE(CLEAN(I38&amp;"")," ",""),".","")," ",""),"-",""),"CHECK: not 2, 4, 6, 8 or 10 digits"))</f>
        <v/>
      </c>
      <c r="K38" s="11" t="n"/>
      <c r="M38" s="8" t="n"/>
      <c r="N38" s="11" t="n"/>
      <c r="P38" s="8" t="n"/>
      <c r="Q38" s="8" t="n"/>
      <c r="R38" s="8" t="n"/>
      <c r="S38" s="12" t="n"/>
      <c r="T38" s="11" t="n"/>
      <c r="U38" s="11" t="n"/>
      <c r="V38" s="10">
        <f>IF(TRIM(CLEAN(SUBSTITUTE(P38&amp;""," "," ")))="","",UPPER(TRIM(CLEAN(SUBSTITUTE(P38&amp;""," "," "))))&amp;"/"&amp;UPPER(TRIM(CLEAN(SUBSTITUTE(Q38&amp;""," "," ")))))</f>
        <v/>
      </c>
      <c r="W38" s="10">
        <f>IF(V38="","",IF(UPPER(TRIM(CLEAN(SUBSTITUTE(Q38&amp;""," "," "))))&lt;&gt;UPPER(TRIM(CLEAN(SUBSTITUTE(act_Country&amp;""," "," ")))),"CHECK: import country must match B7",IF(COUNTIF(det_Key,V38)&gt;1,"CHECK: listed twice",IF(AND(UPPER(TRIM(CLEAN(SUBSTITUTE(R38&amp;""," "," "))))&lt;&gt;"",UPPER(TRIM(CLEAN(SUBSTITUTE(R38&amp;""," "," "))))&lt;&gt;"IN",UPPER(TRIM(CLEAN(SUBSTITUTE(R38&amp;""," "," "))))&lt;&gt;"OUT"),"CHECK: determination must be IN, OUT or blank",IF(AND(S38&amp;""&lt;&gt;"",NOT(ISNUMBER(S38))),"CHECK: displaced rate must be a percentage",IF(AND(UPPER(TRIM(CLEAN(SUBSTITUTE(R38&amp;""," "," "))))="",NOT(ISNUMBER(S38))),"CHECK: enter IN, OUT or a displaced rate",IF(SUMPRODUCT(--(Calc!$AL$5:$AL$254&lt;&gt;""))=0,"WAIT: Items not loaded yet",IF(COUNTIF(Calc!$AL$5:$AL$254,V38)=0,"CHECK: no Items row for this item and import country","OK"))))))))</f>
        <v/>
      </c>
    </row>
    <row r="39">
      <c r="E39" s="8" t="n"/>
      <c r="F39" s="10">
        <f>IF(SUBSTITUTE(SUBSTITUTE(SUBSTITUTE(SUBSTITUTE(CLEAN(E39&amp;"")," ",""),".","")," ",""),"-","")="","",IF(AND(OR(LEN(SUBSTITUTE(SUBSTITUTE(SUBSTITUTE(SUBSTITUTE(CLEAN(E39&amp;"")," ",""),".","")," ",""),"-",""))=2,LEN(SUBSTITUTE(SUBSTITUTE(SUBSTITUTE(SUBSTITUTE(CLEAN(E39&amp;"")," ",""),".","")," ",""),"-",""))=4,LEN(SUBSTITUTE(SUBSTITUTE(SUBSTITUTE(SUBSTITUTE(CLEAN(E39&amp;"")," ",""),".","")," ",""),"-",""))=6,LEN(SUBSTITUTE(SUBSTITUTE(SUBSTITUTE(SUBSTITUTE(CLEAN(E39&amp;"")," ",""),".","")," ",""),"-",""))=8,LEN(SUBSTITUTE(SUBSTITUTE(SUBSTITUTE(SUBSTITUTE(CLEAN(E39&amp;"")," ",""),".","")," ",""),"-",""))=10),IFERROR(TEXT(VALUE(SUBSTITUTE(SUBSTITUTE(SUBSTITUTE(SUBSTITUTE(CLEAN(E39&amp;"")," ",""),".","")," ",""),"-","")),REPT("0",LEN(SUBSTITUTE(SUBSTITUTE(SUBSTITUTE(SUBSTITUTE(CLEAN(E39&amp;"")," ",""),".","")," ",""),"-",""))))=SUBSTITUTE(SUBSTITUTE(SUBSTITUTE(SUBSTITUTE(CLEAN(E39&amp;"")," ",""),".","")," ",""),"-",""),FALSE)),SUBSTITUTE(SUBSTITUTE(SUBSTITUTE(SUBSTITUTE(CLEAN(E39&amp;"")," ",""),".","")," ",""),"-",""),"CHECK: not 2, 4, 6, 8 or 10 digits"))</f>
        <v/>
      </c>
      <c r="G39" s="11" t="n"/>
      <c r="H39" s="8" t="n"/>
      <c r="I39" s="8" t="n"/>
      <c r="J39" s="10">
        <f>IF(SUBSTITUTE(SUBSTITUTE(SUBSTITUTE(SUBSTITUTE(CLEAN(I39&amp;"")," ",""),".","")," ",""),"-","")="","",IF(AND(OR(LEN(SUBSTITUTE(SUBSTITUTE(SUBSTITUTE(SUBSTITUTE(CLEAN(I39&amp;"")," ",""),".","")," ",""),"-",""))=2,LEN(SUBSTITUTE(SUBSTITUTE(SUBSTITUTE(SUBSTITUTE(CLEAN(I39&amp;"")," ",""),".","")," ",""),"-",""))=4,LEN(SUBSTITUTE(SUBSTITUTE(SUBSTITUTE(SUBSTITUTE(CLEAN(I39&amp;"")," ",""),".","")," ",""),"-",""))=6,LEN(SUBSTITUTE(SUBSTITUTE(SUBSTITUTE(SUBSTITUTE(CLEAN(I39&amp;"")," ",""),".","")," ",""),"-",""))=8,LEN(SUBSTITUTE(SUBSTITUTE(SUBSTITUTE(SUBSTITUTE(CLEAN(I39&amp;"")," ",""),".","")," ",""),"-",""))=10),IFERROR(TEXT(VALUE(SUBSTITUTE(SUBSTITUTE(SUBSTITUTE(SUBSTITUTE(CLEAN(I39&amp;"")," ",""),".","")," ",""),"-","")),REPT("0",LEN(SUBSTITUTE(SUBSTITUTE(SUBSTITUTE(SUBSTITUTE(CLEAN(I39&amp;"")," ",""),".","")," ",""),"-",""))))=SUBSTITUTE(SUBSTITUTE(SUBSTITUTE(SUBSTITUTE(CLEAN(I39&amp;"")," ",""),".","")," ",""),"-",""),FALSE)),SUBSTITUTE(SUBSTITUTE(SUBSTITUTE(SUBSTITUTE(CLEAN(I39&amp;"")," ",""),".","")," ",""),"-",""),"CHECK: not 2, 4, 6, 8 or 10 digits"))</f>
        <v/>
      </c>
      <c r="K39" s="11" t="n"/>
      <c r="M39" s="8" t="n"/>
      <c r="N39" s="11" t="n"/>
      <c r="P39" s="8" t="n"/>
      <c r="Q39" s="8" t="n"/>
      <c r="R39" s="8" t="n"/>
      <c r="S39" s="12" t="n"/>
      <c r="T39" s="11" t="n"/>
      <c r="U39" s="11" t="n"/>
      <c r="V39" s="10">
        <f>IF(TRIM(CLEAN(SUBSTITUTE(P39&amp;""," "," ")))="","",UPPER(TRIM(CLEAN(SUBSTITUTE(P39&amp;""," "," "))))&amp;"/"&amp;UPPER(TRIM(CLEAN(SUBSTITUTE(Q39&amp;""," "," ")))))</f>
        <v/>
      </c>
      <c r="W39" s="10">
        <f>IF(V39="","",IF(UPPER(TRIM(CLEAN(SUBSTITUTE(Q39&amp;""," "," "))))&lt;&gt;UPPER(TRIM(CLEAN(SUBSTITUTE(act_Country&amp;""," "," ")))),"CHECK: import country must match B7",IF(COUNTIF(det_Key,V39)&gt;1,"CHECK: listed twice",IF(AND(UPPER(TRIM(CLEAN(SUBSTITUTE(R39&amp;""," "," "))))&lt;&gt;"",UPPER(TRIM(CLEAN(SUBSTITUTE(R39&amp;""," "," "))))&lt;&gt;"IN",UPPER(TRIM(CLEAN(SUBSTITUTE(R39&amp;""," "," "))))&lt;&gt;"OUT"),"CHECK: determination must be IN, OUT or blank",IF(AND(S39&amp;""&lt;&gt;"",NOT(ISNUMBER(S39))),"CHECK: displaced rate must be a percentage",IF(AND(UPPER(TRIM(CLEAN(SUBSTITUTE(R39&amp;""," "," "))))="",NOT(ISNUMBER(S39))),"CHECK: enter IN, OUT or a displaced rate",IF(SUMPRODUCT(--(Calc!$AL$5:$AL$254&lt;&gt;""))=0,"WAIT: Items not loaded yet",IF(COUNTIF(Calc!$AL$5:$AL$254,V39)=0,"CHECK: no Items row for this item and import country","OK"))))))))</f>
        <v/>
      </c>
    </row>
    <row r="40">
      <c r="E40" s="8" t="n"/>
      <c r="F40" s="10">
        <f>IF(SUBSTITUTE(SUBSTITUTE(SUBSTITUTE(SUBSTITUTE(CLEAN(E40&amp;"")," ",""),".","")," ",""),"-","")="","",IF(AND(OR(LEN(SUBSTITUTE(SUBSTITUTE(SUBSTITUTE(SUBSTITUTE(CLEAN(E40&amp;"")," ",""),".","")," ",""),"-",""))=2,LEN(SUBSTITUTE(SUBSTITUTE(SUBSTITUTE(SUBSTITUTE(CLEAN(E40&amp;"")," ",""),".","")," ",""),"-",""))=4,LEN(SUBSTITUTE(SUBSTITUTE(SUBSTITUTE(SUBSTITUTE(CLEAN(E40&amp;"")," ",""),".","")," ",""),"-",""))=6,LEN(SUBSTITUTE(SUBSTITUTE(SUBSTITUTE(SUBSTITUTE(CLEAN(E40&amp;"")," ",""),".","")," ",""),"-",""))=8,LEN(SUBSTITUTE(SUBSTITUTE(SUBSTITUTE(SUBSTITUTE(CLEAN(E40&amp;"")," ",""),".","")," ",""),"-",""))=10),IFERROR(TEXT(VALUE(SUBSTITUTE(SUBSTITUTE(SUBSTITUTE(SUBSTITUTE(CLEAN(E40&amp;"")," ",""),".","")," ",""),"-","")),REPT("0",LEN(SUBSTITUTE(SUBSTITUTE(SUBSTITUTE(SUBSTITUTE(CLEAN(E40&amp;"")," ",""),".","")," ",""),"-",""))))=SUBSTITUTE(SUBSTITUTE(SUBSTITUTE(SUBSTITUTE(CLEAN(E40&amp;"")," ",""),".","")," ",""),"-",""),FALSE)),SUBSTITUTE(SUBSTITUTE(SUBSTITUTE(SUBSTITUTE(CLEAN(E40&amp;"")," ",""),".","")," ",""),"-",""),"CHECK: not 2, 4, 6, 8 or 10 digits"))</f>
        <v/>
      </c>
      <c r="G40" s="11" t="n"/>
      <c r="H40" s="8" t="n"/>
      <c r="I40" s="8" t="n"/>
      <c r="J40" s="10">
        <f>IF(SUBSTITUTE(SUBSTITUTE(SUBSTITUTE(SUBSTITUTE(CLEAN(I40&amp;"")," ",""),".","")," ",""),"-","")="","",IF(AND(OR(LEN(SUBSTITUTE(SUBSTITUTE(SUBSTITUTE(SUBSTITUTE(CLEAN(I40&amp;"")," ",""),".","")," ",""),"-",""))=2,LEN(SUBSTITUTE(SUBSTITUTE(SUBSTITUTE(SUBSTITUTE(CLEAN(I40&amp;"")," ",""),".","")," ",""),"-",""))=4,LEN(SUBSTITUTE(SUBSTITUTE(SUBSTITUTE(SUBSTITUTE(CLEAN(I40&amp;"")," ",""),".","")," ",""),"-",""))=6,LEN(SUBSTITUTE(SUBSTITUTE(SUBSTITUTE(SUBSTITUTE(CLEAN(I40&amp;"")," ",""),".","")," ",""),"-",""))=8,LEN(SUBSTITUTE(SUBSTITUTE(SUBSTITUTE(SUBSTITUTE(CLEAN(I40&amp;"")," ",""),".","")," ",""),"-",""))=10),IFERROR(TEXT(VALUE(SUBSTITUTE(SUBSTITUTE(SUBSTITUTE(SUBSTITUTE(CLEAN(I40&amp;"")," ",""),".","")," ",""),"-","")),REPT("0",LEN(SUBSTITUTE(SUBSTITUTE(SUBSTITUTE(SUBSTITUTE(CLEAN(I40&amp;"")," ",""),".","")," ",""),"-",""))))=SUBSTITUTE(SUBSTITUTE(SUBSTITUTE(SUBSTITUTE(CLEAN(I40&amp;"")," ",""),".","")," ",""),"-",""),FALSE)),SUBSTITUTE(SUBSTITUTE(SUBSTITUTE(SUBSTITUTE(CLEAN(I40&amp;"")," ",""),".","")," ",""),"-",""),"CHECK: not 2, 4, 6, 8 or 10 digits"))</f>
        <v/>
      </c>
      <c r="K40" s="11" t="n"/>
      <c r="M40" s="8" t="n"/>
      <c r="N40" s="11" t="n"/>
      <c r="P40" s="8" t="n"/>
      <c r="Q40" s="8" t="n"/>
      <c r="R40" s="8" t="n"/>
      <c r="S40" s="12" t="n"/>
      <c r="T40" s="11" t="n"/>
      <c r="U40" s="11" t="n"/>
      <c r="V40" s="10">
        <f>IF(TRIM(CLEAN(SUBSTITUTE(P40&amp;""," "," ")))="","",UPPER(TRIM(CLEAN(SUBSTITUTE(P40&amp;""," "," "))))&amp;"/"&amp;UPPER(TRIM(CLEAN(SUBSTITUTE(Q40&amp;""," "," ")))))</f>
        <v/>
      </c>
      <c r="W40" s="10">
        <f>IF(V40="","",IF(UPPER(TRIM(CLEAN(SUBSTITUTE(Q40&amp;""," "," "))))&lt;&gt;UPPER(TRIM(CLEAN(SUBSTITUTE(act_Country&amp;""," "," ")))),"CHECK: import country must match B7",IF(COUNTIF(det_Key,V40)&gt;1,"CHECK: listed twice",IF(AND(UPPER(TRIM(CLEAN(SUBSTITUTE(R40&amp;""," "," "))))&lt;&gt;"",UPPER(TRIM(CLEAN(SUBSTITUTE(R40&amp;""," "," "))))&lt;&gt;"IN",UPPER(TRIM(CLEAN(SUBSTITUTE(R40&amp;""," "," "))))&lt;&gt;"OUT"),"CHECK: determination must be IN, OUT or blank",IF(AND(S40&amp;""&lt;&gt;"",NOT(ISNUMBER(S40))),"CHECK: displaced rate must be a percentage",IF(AND(UPPER(TRIM(CLEAN(SUBSTITUTE(R40&amp;""," "," "))))="",NOT(ISNUMBER(S40))),"CHECK: enter IN, OUT or a displaced rate",IF(SUMPRODUCT(--(Calc!$AL$5:$AL$254&lt;&gt;""))=0,"WAIT: Items not loaded yet",IF(COUNTIF(Calc!$AL$5:$AL$254,V40)=0,"CHECK: no Items row for this item and import country","OK"))))))))</f>
        <v/>
      </c>
    </row>
    <row r="41">
      <c r="E41" s="8" t="n"/>
      <c r="F41" s="10">
        <f>IF(SUBSTITUTE(SUBSTITUTE(SUBSTITUTE(SUBSTITUTE(CLEAN(E41&amp;"")," ",""),".","")," ",""),"-","")="","",IF(AND(OR(LEN(SUBSTITUTE(SUBSTITUTE(SUBSTITUTE(SUBSTITUTE(CLEAN(E41&amp;"")," ",""),".","")," ",""),"-",""))=2,LEN(SUBSTITUTE(SUBSTITUTE(SUBSTITUTE(SUBSTITUTE(CLEAN(E41&amp;"")," ",""),".","")," ",""),"-",""))=4,LEN(SUBSTITUTE(SUBSTITUTE(SUBSTITUTE(SUBSTITUTE(CLEAN(E41&amp;"")," ",""),".","")," ",""),"-",""))=6,LEN(SUBSTITUTE(SUBSTITUTE(SUBSTITUTE(SUBSTITUTE(CLEAN(E41&amp;"")," ",""),".","")," ",""),"-",""))=8,LEN(SUBSTITUTE(SUBSTITUTE(SUBSTITUTE(SUBSTITUTE(CLEAN(E41&amp;"")," ",""),".","")," ",""),"-",""))=10),IFERROR(TEXT(VALUE(SUBSTITUTE(SUBSTITUTE(SUBSTITUTE(SUBSTITUTE(CLEAN(E41&amp;"")," ",""),".","")," ",""),"-","")),REPT("0",LEN(SUBSTITUTE(SUBSTITUTE(SUBSTITUTE(SUBSTITUTE(CLEAN(E41&amp;"")," ",""),".","")," ",""),"-",""))))=SUBSTITUTE(SUBSTITUTE(SUBSTITUTE(SUBSTITUTE(CLEAN(E41&amp;"")," ",""),".","")," ",""),"-",""),FALSE)),SUBSTITUTE(SUBSTITUTE(SUBSTITUTE(SUBSTITUTE(CLEAN(E41&amp;"")," ",""),".","")," ",""),"-",""),"CHECK: not 2, 4, 6, 8 or 10 digits"))</f>
        <v/>
      </c>
      <c r="G41" s="11" t="n"/>
      <c r="H41" s="8" t="n"/>
      <c r="I41" s="8" t="n"/>
      <c r="J41" s="10">
        <f>IF(SUBSTITUTE(SUBSTITUTE(SUBSTITUTE(SUBSTITUTE(CLEAN(I41&amp;"")," ",""),".","")," ",""),"-","")="","",IF(AND(OR(LEN(SUBSTITUTE(SUBSTITUTE(SUBSTITUTE(SUBSTITUTE(CLEAN(I41&amp;"")," ",""),".","")," ",""),"-",""))=2,LEN(SUBSTITUTE(SUBSTITUTE(SUBSTITUTE(SUBSTITUTE(CLEAN(I41&amp;"")," ",""),".","")," ",""),"-",""))=4,LEN(SUBSTITUTE(SUBSTITUTE(SUBSTITUTE(SUBSTITUTE(CLEAN(I41&amp;"")," ",""),".","")," ",""),"-",""))=6,LEN(SUBSTITUTE(SUBSTITUTE(SUBSTITUTE(SUBSTITUTE(CLEAN(I41&amp;"")," ",""),".","")," ",""),"-",""))=8,LEN(SUBSTITUTE(SUBSTITUTE(SUBSTITUTE(SUBSTITUTE(CLEAN(I41&amp;"")," ",""),".","")," ",""),"-",""))=10),IFERROR(TEXT(VALUE(SUBSTITUTE(SUBSTITUTE(SUBSTITUTE(SUBSTITUTE(CLEAN(I41&amp;"")," ",""),".","")," ",""),"-","")),REPT("0",LEN(SUBSTITUTE(SUBSTITUTE(SUBSTITUTE(SUBSTITUTE(CLEAN(I41&amp;"")," ",""),".","")," ",""),"-",""))))=SUBSTITUTE(SUBSTITUTE(SUBSTITUTE(SUBSTITUTE(CLEAN(I41&amp;"")," ",""),".","")," ",""),"-",""),FALSE)),SUBSTITUTE(SUBSTITUTE(SUBSTITUTE(SUBSTITUTE(CLEAN(I41&amp;"")," ",""),".","")," ",""),"-",""),"CHECK: not 2, 4, 6, 8 or 10 digits"))</f>
        <v/>
      </c>
      <c r="K41" s="11" t="n"/>
      <c r="M41" s="8" t="n"/>
      <c r="N41" s="11" t="n"/>
      <c r="P41" s="8" t="n"/>
      <c r="Q41" s="8" t="n"/>
      <c r="R41" s="8" t="n"/>
      <c r="S41" s="12" t="n"/>
      <c r="T41" s="11" t="n"/>
      <c r="U41" s="11" t="n"/>
      <c r="V41" s="10">
        <f>IF(TRIM(CLEAN(SUBSTITUTE(P41&amp;""," "," ")))="","",UPPER(TRIM(CLEAN(SUBSTITUTE(P41&amp;""," "," "))))&amp;"/"&amp;UPPER(TRIM(CLEAN(SUBSTITUTE(Q41&amp;""," "," ")))))</f>
        <v/>
      </c>
      <c r="W41" s="10">
        <f>IF(V41="","",IF(UPPER(TRIM(CLEAN(SUBSTITUTE(Q41&amp;""," "," "))))&lt;&gt;UPPER(TRIM(CLEAN(SUBSTITUTE(act_Country&amp;""," "," ")))),"CHECK: import country must match B7",IF(COUNTIF(det_Key,V41)&gt;1,"CHECK: listed twice",IF(AND(UPPER(TRIM(CLEAN(SUBSTITUTE(R41&amp;""," "," "))))&lt;&gt;"",UPPER(TRIM(CLEAN(SUBSTITUTE(R41&amp;""," "," "))))&lt;&gt;"IN",UPPER(TRIM(CLEAN(SUBSTITUTE(R41&amp;""," "," "))))&lt;&gt;"OUT"),"CHECK: determination must be IN, OUT or blank",IF(AND(S41&amp;""&lt;&gt;"",NOT(ISNUMBER(S41))),"CHECK: displaced rate must be a percentage",IF(AND(UPPER(TRIM(CLEAN(SUBSTITUTE(R41&amp;""," "," "))))="",NOT(ISNUMBER(S41))),"CHECK: enter IN, OUT or a displaced rate",IF(SUMPRODUCT(--(Calc!$AL$5:$AL$254&lt;&gt;""))=0,"WAIT: Items not loaded yet",IF(COUNTIF(Calc!$AL$5:$AL$254,V41)=0,"CHECK: no Items row for this item and import country","OK"))))))))</f>
        <v/>
      </c>
    </row>
    <row r="42">
      <c r="E42" s="8" t="n"/>
      <c r="F42" s="10">
        <f>IF(SUBSTITUTE(SUBSTITUTE(SUBSTITUTE(SUBSTITUTE(CLEAN(E42&amp;"")," ",""),".","")," ",""),"-","")="","",IF(AND(OR(LEN(SUBSTITUTE(SUBSTITUTE(SUBSTITUTE(SUBSTITUTE(CLEAN(E42&amp;"")," ",""),".","")," ",""),"-",""))=2,LEN(SUBSTITUTE(SUBSTITUTE(SUBSTITUTE(SUBSTITUTE(CLEAN(E42&amp;"")," ",""),".","")," ",""),"-",""))=4,LEN(SUBSTITUTE(SUBSTITUTE(SUBSTITUTE(SUBSTITUTE(CLEAN(E42&amp;"")," ",""),".","")," ",""),"-",""))=6,LEN(SUBSTITUTE(SUBSTITUTE(SUBSTITUTE(SUBSTITUTE(CLEAN(E42&amp;"")," ",""),".","")," ",""),"-",""))=8,LEN(SUBSTITUTE(SUBSTITUTE(SUBSTITUTE(SUBSTITUTE(CLEAN(E42&amp;"")," ",""),".","")," ",""),"-",""))=10),IFERROR(TEXT(VALUE(SUBSTITUTE(SUBSTITUTE(SUBSTITUTE(SUBSTITUTE(CLEAN(E42&amp;"")," ",""),".","")," ",""),"-","")),REPT("0",LEN(SUBSTITUTE(SUBSTITUTE(SUBSTITUTE(SUBSTITUTE(CLEAN(E42&amp;"")," ",""),".","")," ",""),"-",""))))=SUBSTITUTE(SUBSTITUTE(SUBSTITUTE(SUBSTITUTE(CLEAN(E42&amp;"")," ",""),".","")," ",""),"-",""),FALSE)),SUBSTITUTE(SUBSTITUTE(SUBSTITUTE(SUBSTITUTE(CLEAN(E42&amp;"")," ",""),".","")," ",""),"-",""),"CHECK: not 2, 4, 6, 8 or 10 digits"))</f>
        <v/>
      </c>
      <c r="G42" s="11" t="n"/>
      <c r="H42" s="8" t="n"/>
      <c r="I42" s="8" t="n"/>
      <c r="J42" s="10">
        <f>IF(SUBSTITUTE(SUBSTITUTE(SUBSTITUTE(SUBSTITUTE(CLEAN(I42&amp;"")," ",""),".","")," ",""),"-","")="","",IF(AND(OR(LEN(SUBSTITUTE(SUBSTITUTE(SUBSTITUTE(SUBSTITUTE(CLEAN(I42&amp;"")," ",""),".","")," ",""),"-",""))=2,LEN(SUBSTITUTE(SUBSTITUTE(SUBSTITUTE(SUBSTITUTE(CLEAN(I42&amp;"")," ",""),".","")," ",""),"-",""))=4,LEN(SUBSTITUTE(SUBSTITUTE(SUBSTITUTE(SUBSTITUTE(CLEAN(I42&amp;"")," ",""),".","")," ",""),"-",""))=6,LEN(SUBSTITUTE(SUBSTITUTE(SUBSTITUTE(SUBSTITUTE(CLEAN(I42&amp;"")," ",""),".","")," ",""),"-",""))=8,LEN(SUBSTITUTE(SUBSTITUTE(SUBSTITUTE(SUBSTITUTE(CLEAN(I42&amp;"")," ",""),".","")," ",""),"-",""))=10),IFERROR(TEXT(VALUE(SUBSTITUTE(SUBSTITUTE(SUBSTITUTE(SUBSTITUTE(CLEAN(I42&amp;"")," ",""),".","")," ",""),"-","")),REPT("0",LEN(SUBSTITUTE(SUBSTITUTE(SUBSTITUTE(SUBSTITUTE(CLEAN(I42&amp;"")," ",""),".","")," ",""),"-",""))))=SUBSTITUTE(SUBSTITUTE(SUBSTITUTE(SUBSTITUTE(CLEAN(I42&amp;"")," ",""),".","")," ",""),"-",""),FALSE)),SUBSTITUTE(SUBSTITUTE(SUBSTITUTE(SUBSTITUTE(CLEAN(I42&amp;"")," ",""),".","")," ",""),"-",""),"CHECK: not 2, 4, 6, 8 or 10 digits"))</f>
        <v/>
      </c>
      <c r="K42" s="11" t="n"/>
      <c r="M42" s="8" t="n"/>
      <c r="N42" s="11" t="n"/>
      <c r="P42" s="8" t="n"/>
      <c r="Q42" s="8" t="n"/>
      <c r="R42" s="8" t="n"/>
      <c r="S42" s="12" t="n"/>
      <c r="T42" s="11" t="n"/>
      <c r="U42" s="11" t="n"/>
      <c r="V42" s="10">
        <f>IF(TRIM(CLEAN(SUBSTITUTE(P42&amp;""," "," ")))="","",UPPER(TRIM(CLEAN(SUBSTITUTE(P42&amp;""," "," "))))&amp;"/"&amp;UPPER(TRIM(CLEAN(SUBSTITUTE(Q42&amp;""," "," ")))))</f>
        <v/>
      </c>
      <c r="W42" s="10">
        <f>IF(V42="","",IF(UPPER(TRIM(CLEAN(SUBSTITUTE(Q42&amp;""," "," "))))&lt;&gt;UPPER(TRIM(CLEAN(SUBSTITUTE(act_Country&amp;""," "," ")))),"CHECK: import country must match B7",IF(COUNTIF(det_Key,V42)&gt;1,"CHECK: listed twice",IF(AND(UPPER(TRIM(CLEAN(SUBSTITUTE(R42&amp;""," "," "))))&lt;&gt;"",UPPER(TRIM(CLEAN(SUBSTITUTE(R42&amp;""," "," "))))&lt;&gt;"IN",UPPER(TRIM(CLEAN(SUBSTITUTE(R42&amp;""," "," "))))&lt;&gt;"OUT"),"CHECK: determination must be IN, OUT or blank",IF(AND(S42&amp;""&lt;&gt;"",NOT(ISNUMBER(S42))),"CHECK: displaced rate must be a percentage",IF(AND(UPPER(TRIM(CLEAN(SUBSTITUTE(R42&amp;""," "," "))))="",NOT(ISNUMBER(S42))),"CHECK: enter IN, OUT or a displaced rate",IF(SUMPRODUCT(--(Calc!$AL$5:$AL$254&lt;&gt;""))=0,"WAIT: Items not loaded yet",IF(COUNTIF(Calc!$AL$5:$AL$254,V42)=0,"CHECK: no Items row for this item and import country","OK"))))))))</f>
        <v/>
      </c>
    </row>
    <row r="43">
      <c r="E43" s="8" t="n"/>
      <c r="F43" s="10">
        <f>IF(SUBSTITUTE(SUBSTITUTE(SUBSTITUTE(SUBSTITUTE(CLEAN(E43&amp;"")," ",""),".","")," ",""),"-","")="","",IF(AND(OR(LEN(SUBSTITUTE(SUBSTITUTE(SUBSTITUTE(SUBSTITUTE(CLEAN(E43&amp;"")," ",""),".","")," ",""),"-",""))=2,LEN(SUBSTITUTE(SUBSTITUTE(SUBSTITUTE(SUBSTITUTE(CLEAN(E43&amp;"")," ",""),".","")," ",""),"-",""))=4,LEN(SUBSTITUTE(SUBSTITUTE(SUBSTITUTE(SUBSTITUTE(CLEAN(E43&amp;"")," ",""),".","")," ",""),"-",""))=6,LEN(SUBSTITUTE(SUBSTITUTE(SUBSTITUTE(SUBSTITUTE(CLEAN(E43&amp;"")," ",""),".","")," ",""),"-",""))=8,LEN(SUBSTITUTE(SUBSTITUTE(SUBSTITUTE(SUBSTITUTE(CLEAN(E43&amp;"")," ",""),".","")," ",""),"-",""))=10),IFERROR(TEXT(VALUE(SUBSTITUTE(SUBSTITUTE(SUBSTITUTE(SUBSTITUTE(CLEAN(E43&amp;"")," ",""),".","")," ",""),"-","")),REPT("0",LEN(SUBSTITUTE(SUBSTITUTE(SUBSTITUTE(SUBSTITUTE(CLEAN(E43&amp;"")," ",""),".","")," ",""),"-",""))))=SUBSTITUTE(SUBSTITUTE(SUBSTITUTE(SUBSTITUTE(CLEAN(E43&amp;"")," ",""),".","")," ",""),"-",""),FALSE)),SUBSTITUTE(SUBSTITUTE(SUBSTITUTE(SUBSTITUTE(CLEAN(E43&amp;"")," ",""),".","")," ",""),"-",""),"CHECK: not 2, 4, 6, 8 or 10 digits"))</f>
        <v/>
      </c>
      <c r="G43" s="11" t="n"/>
      <c r="H43" s="8" t="n"/>
      <c r="I43" s="8" t="n"/>
      <c r="J43" s="10">
        <f>IF(SUBSTITUTE(SUBSTITUTE(SUBSTITUTE(SUBSTITUTE(CLEAN(I43&amp;"")," ",""),".","")," ",""),"-","")="","",IF(AND(OR(LEN(SUBSTITUTE(SUBSTITUTE(SUBSTITUTE(SUBSTITUTE(CLEAN(I43&amp;"")," ",""),".","")," ",""),"-",""))=2,LEN(SUBSTITUTE(SUBSTITUTE(SUBSTITUTE(SUBSTITUTE(CLEAN(I43&amp;"")," ",""),".","")," ",""),"-",""))=4,LEN(SUBSTITUTE(SUBSTITUTE(SUBSTITUTE(SUBSTITUTE(CLEAN(I43&amp;"")," ",""),".","")," ",""),"-",""))=6,LEN(SUBSTITUTE(SUBSTITUTE(SUBSTITUTE(SUBSTITUTE(CLEAN(I43&amp;"")," ",""),".","")," ",""),"-",""))=8,LEN(SUBSTITUTE(SUBSTITUTE(SUBSTITUTE(SUBSTITUTE(CLEAN(I43&amp;"")," ",""),".","")," ",""),"-",""))=10),IFERROR(TEXT(VALUE(SUBSTITUTE(SUBSTITUTE(SUBSTITUTE(SUBSTITUTE(CLEAN(I43&amp;"")," ",""),".","")," ",""),"-","")),REPT("0",LEN(SUBSTITUTE(SUBSTITUTE(SUBSTITUTE(SUBSTITUTE(CLEAN(I43&amp;"")," ",""),".","")," ",""),"-",""))))=SUBSTITUTE(SUBSTITUTE(SUBSTITUTE(SUBSTITUTE(CLEAN(I43&amp;"")," ",""),".","")," ",""),"-",""),FALSE)),SUBSTITUTE(SUBSTITUTE(SUBSTITUTE(SUBSTITUTE(CLEAN(I43&amp;"")," ",""),".","")," ",""),"-",""),"CHECK: not 2, 4, 6, 8 or 10 digits"))</f>
        <v/>
      </c>
      <c r="K43" s="11" t="n"/>
      <c r="M43" s="8" t="n"/>
      <c r="N43" s="11" t="n"/>
      <c r="P43" s="8" t="n"/>
      <c r="Q43" s="8" t="n"/>
      <c r="R43" s="8" t="n"/>
      <c r="S43" s="12" t="n"/>
      <c r="T43" s="11" t="n"/>
      <c r="U43" s="11" t="n"/>
      <c r="V43" s="10">
        <f>IF(TRIM(CLEAN(SUBSTITUTE(P43&amp;""," "," ")))="","",UPPER(TRIM(CLEAN(SUBSTITUTE(P43&amp;""," "," "))))&amp;"/"&amp;UPPER(TRIM(CLEAN(SUBSTITUTE(Q43&amp;""," "," ")))))</f>
        <v/>
      </c>
      <c r="W43" s="10">
        <f>IF(V43="","",IF(UPPER(TRIM(CLEAN(SUBSTITUTE(Q43&amp;""," "," "))))&lt;&gt;UPPER(TRIM(CLEAN(SUBSTITUTE(act_Country&amp;""," "," ")))),"CHECK: import country must match B7",IF(COUNTIF(det_Key,V43)&gt;1,"CHECK: listed twice",IF(AND(UPPER(TRIM(CLEAN(SUBSTITUTE(R43&amp;""," "," "))))&lt;&gt;"",UPPER(TRIM(CLEAN(SUBSTITUTE(R43&amp;""," "," "))))&lt;&gt;"IN",UPPER(TRIM(CLEAN(SUBSTITUTE(R43&amp;""," "," "))))&lt;&gt;"OUT"),"CHECK: determination must be IN, OUT or blank",IF(AND(S43&amp;""&lt;&gt;"",NOT(ISNUMBER(S43))),"CHECK: displaced rate must be a percentage",IF(AND(UPPER(TRIM(CLEAN(SUBSTITUTE(R43&amp;""," "," "))))="",NOT(ISNUMBER(S43))),"CHECK: enter IN, OUT or a displaced rate",IF(SUMPRODUCT(--(Calc!$AL$5:$AL$254&lt;&gt;""))=0,"WAIT: Items not loaded yet",IF(COUNTIF(Calc!$AL$5:$AL$254,V43)=0,"CHECK: no Items row for this item and import country","OK"))))))))</f>
        <v/>
      </c>
    </row>
    <row r="44">
      <c r="E44" s="8" t="n"/>
      <c r="F44" s="10">
        <f>IF(SUBSTITUTE(SUBSTITUTE(SUBSTITUTE(SUBSTITUTE(CLEAN(E44&amp;"")," ",""),".","")," ",""),"-","")="","",IF(AND(OR(LEN(SUBSTITUTE(SUBSTITUTE(SUBSTITUTE(SUBSTITUTE(CLEAN(E44&amp;"")," ",""),".","")," ",""),"-",""))=2,LEN(SUBSTITUTE(SUBSTITUTE(SUBSTITUTE(SUBSTITUTE(CLEAN(E44&amp;"")," ",""),".","")," ",""),"-",""))=4,LEN(SUBSTITUTE(SUBSTITUTE(SUBSTITUTE(SUBSTITUTE(CLEAN(E44&amp;"")," ",""),".","")," ",""),"-",""))=6,LEN(SUBSTITUTE(SUBSTITUTE(SUBSTITUTE(SUBSTITUTE(CLEAN(E44&amp;"")," ",""),".","")," ",""),"-",""))=8,LEN(SUBSTITUTE(SUBSTITUTE(SUBSTITUTE(SUBSTITUTE(CLEAN(E44&amp;"")," ",""),".","")," ",""),"-",""))=10),IFERROR(TEXT(VALUE(SUBSTITUTE(SUBSTITUTE(SUBSTITUTE(SUBSTITUTE(CLEAN(E44&amp;"")," ",""),".","")," ",""),"-","")),REPT("0",LEN(SUBSTITUTE(SUBSTITUTE(SUBSTITUTE(SUBSTITUTE(CLEAN(E44&amp;"")," ",""),".","")," ",""),"-",""))))=SUBSTITUTE(SUBSTITUTE(SUBSTITUTE(SUBSTITUTE(CLEAN(E44&amp;"")," ",""),".","")," ",""),"-",""),FALSE)),SUBSTITUTE(SUBSTITUTE(SUBSTITUTE(SUBSTITUTE(CLEAN(E44&amp;"")," ",""),".","")," ",""),"-",""),"CHECK: not 2, 4, 6, 8 or 10 digits"))</f>
        <v/>
      </c>
      <c r="G44" s="11" t="n"/>
      <c r="H44" s="8" t="n"/>
      <c r="I44" s="8" t="n"/>
      <c r="J44" s="10">
        <f>IF(SUBSTITUTE(SUBSTITUTE(SUBSTITUTE(SUBSTITUTE(CLEAN(I44&amp;"")," ",""),".","")," ",""),"-","")="","",IF(AND(OR(LEN(SUBSTITUTE(SUBSTITUTE(SUBSTITUTE(SUBSTITUTE(CLEAN(I44&amp;"")," ",""),".","")," ",""),"-",""))=2,LEN(SUBSTITUTE(SUBSTITUTE(SUBSTITUTE(SUBSTITUTE(CLEAN(I44&amp;"")," ",""),".","")," ",""),"-",""))=4,LEN(SUBSTITUTE(SUBSTITUTE(SUBSTITUTE(SUBSTITUTE(CLEAN(I44&amp;"")," ",""),".","")," ",""),"-",""))=6,LEN(SUBSTITUTE(SUBSTITUTE(SUBSTITUTE(SUBSTITUTE(CLEAN(I44&amp;"")," ",""),".","")," ",""),"-",""))=8,LEN(SUBSTITUTE(SUBSTITUTE(SUBSTITUTE(SUBSTITUTE(CLEAN(I44&amp;"")," ",""),".","")," ",""),"-",""))=10),IFERROR(TEXT(VALUE(SUBSTITUTE(SUBSTITUTE(SUBSTITUTE(SUBSTITUTE(CLEAN(I44&amp;"")," ",""),".","")," ",""),"-","")),REPT("0",LEN(SUBSTITUTE(SUBSTITUTE(SUBSTITUTE(SUBSTITUTE(CLEAN(I44&amp;"")," ",""),".","")," ",""),"-",""))))=SUBSTITUTE(SUBSTITUTE(SUBSTITUTE(SUBSTITUTE(CLEAN(I44&amp;"")," ",""),".","")," ",""),"-",""),FALSE)),SUBSTITUTE(SUBSTITUTE(SUBSTITUTE(SUBSTITUTE(CLEAN(I44&amp;"")," ",""),".","")," ",""),"-",""),"CHECK: not 2, 4, 6, 8 or 10 digits"))</f>
        <v/>
      </c>
      <c r="K44" s="11" t="n"/>
      <c r="M44" s="8" t="n"/>
      <c r="N44" s="11" t="n"/>
      <c r="P44" s="8" t="n"/>
      <c r="Q44" s="8" t="n"/>
      <c r="R44" s="8" t="n"/>
      <c r="S44" s="12" t="n"/>
      <c r="T44" s="11" t="n"/>
      <c r="U44" s="11" t="n"/>
      <c r="V44" s="10">
        <f>IF(TRIM(CLEAN(SUBSTITUTE(P44&amp;""," "," ")))="","",UPPER(TRIM(CLEAN(SUBSTITUTE(P44&amp;""," "," "))))&amp;"/"&amp;UPPER(TRIM(CLEAN(SUBSTITUTE(Q44&amp;""," "," ")))))</f>
        <v/>
      </c>
      <c r="W44" s="10">
        <f>IF(V44="","",IF(UPPER(TRIM(CLEAN(SUBSTITUTE(Q44&amp;""," "," "))))&lt;&gt;UPPER(TRIM(CLEAN(SUBSTITUTE(act_Country&amp;""," "," ")))),"CHECK: import country must match B7",IF(COUNTIF(det_Key,V44)&gt;1,"CHECK: listed twice",IF(AND(UPPER(TRIM(CLEAN(SUBSTITUTE(R44&amp;""," "," "))))&lt;&gt;"",UPPER(TRIM(CLEAN(SUBSTITUTE(R44&amp;""," "," "))))&lt;&gt;"IN",UPPER(TRIM(CLEAN(SUBSTITUTE(R44&amp;""," "," "))))&lt;&gt;"OUT"),"CHECK: determination must be IN, OUT or blank",IF(AND(S44&amp;""&lt;&gt;"",NOT(ISNUMBER(S44))),"CHECK: displaced rate must be a percentage",IF(AND(UPPER(TRIM(CLEAN(SUBSTITUTE(R44&amp;""," "," "))))="",NOT(ISNUMBER(S44))),"CHECK: enter IN, OUT or a displaced rate",IF(SUMPRODUCT(--(Calc!$AL$5:$AL$254&lt;&gt;""))=0,"WAIT: Items not loaded yet",IF(COUNTIF(Calc!$AL$5:$AL$254,V44)=0,"CHECK: no Items row for this item and import country","OK"))))))))</f>
        <v/>
      </c>
    </row>
    <row r="45">
      <c r="E45" s="8" t="n"/>
      <c r="F45" s="10">
        <f>IF(SUBSTITUTE(SUBSTITUTE(SUBSTITUTE(SUBSTITUTE(CLEAN(E45&amp;"")," ",""),".","")," ",""),"-","")="","",IF(AND(OR(LEN(SUBSTITUTE(SUBSTITUTE(SUBSTITUTE(SUBSTITUTE(CLEAN(E45&amp;"")," ",""),".","")," ",""),"-",""))=2,LEN(SUBSTITUTE(SUBSTITUTE(SUBSTITUTE(SUBSTITUTE(CLEAN(E45&amp;"")," ",""),".","")," ",""),"-",""))=4,LEN(SUBSTITUTE(SUBSTITUTE(SUBSTITUTE(SUBSTITUTE(CLEAN(E45&amp;"")," ",""),".","")," ",""),"-",""))=6,LEN(SUBSTITUTE(SUBSTITUTE(SUBSTITUTE(SUBSTITUTE(CLEAN(E45&amp;"")," ",""),".","")," ",""),"-",""))=8,LEN(SUBSTITUTE(SUBSTITUTE(SUBSTITUTE(SUBSTITUTE(CLEAN(E45&amp;"")," ",""),".","")," ",""),"-",""))=10),IFERROR(TEXT(VALUE(SUBSTITUTE(SUBSTITUTE(SUBSTITUTE(SUBSTITUTE(CLEAN(E45&amp;"")," ",""),".","")," ",""),"-","")),REPT("0",LEN(SUBSTITUTE(SUBSTITUTE(SUBSTITUTE(SUBSTITUTE(CLEAN(E45&amp;"")," ",""),".","")," ",""),"-",""))))=SUBSTITUTE(SUBSTITUTE(SUBSTITUTE(SUBSTITUTE(CLEAN(E45&amp;"")," ",""),".","")," ",""),"-",""),FALSE)),SUBSTITUTE(SUBSTITUTE(SUBSTITUTE(SUBSTITUTE(CLEAN(E45&amp;"")," ",""),".","")," ",""),"-",""),"CHECK: not 2, 4, 6, 8 or 10 digits"))</f>
        <v/>
      </c>
      <c r="G45" s="11" t="n"/>
      <c r="H45" s="8" t="n"/>
      <c r="I45" s="8" t="n"/>
      <c r="J45" s="10">
        <f>IF(SUBSTITUTE(SUBSTITUTE(SUBSTITUTE(SUBSTITUTE(CLEAN(I45&amp;"")," ",""),".","")," ",""),"-","")="","",IF(AND(OR(LEN(SUBSTITUTE(SUBSTITUTE(SUBSTITUTE(SUBSTITUTE(CLEAN(I45&amp;"")," ",""),".","")," ",""),"-",""))=2,LEN(SUBSTITUTE(SUBSTITUTE(SUBSTITUTE(SUBSTITUTE(CLEAN(I45&amp;"")," ",""),".","")," ",""),"-",""))=4,LEN(SUBSTITUTE(SUBSTITUTE(SUBSTITUTE(SUBSTITUTE(CLEAN(I45&amp;"")," ",""),".","")," ",""),"-",""))=6,LEN(SUBSTITUTE(SUBSTITUTE(SUBSTITUTE(SUBSTITUTE(CLEAN(I45&amp;"")," ",""),".","")," ",""),"-",""))=8,LEN(SUBSTITUTE(SUBSTITUTE(SUBSTITUTE(SUBSTITUTE(CLEAN(I45&amp;"")," ",""),".","")," ",""),"-",""))=10),IFERROR(TEXT(VALUE(SUBSTITUTE(SUBSTITUTE(SUBSTITUTE(SUBSTITUTE(CLEAN(I45&amp;"")," ",""),".","")," ",""),"-","")),REPT("0",LEN(SUBSTITUTE(SUBSTITUTE(SUBSTITUTE(SUBSTITUTE(CLEAN(I45&amp;"")," ",""),".","")," ",""),"-",""))))=SUBSTITUTE(SUBSTITUTE(SUBSTITUTE(SUBSTITUTE(CLEAN(I45&amp;"")," ",""),".","")," ",""),"-",""),FALSE)),SUBSTITUTE(SUBSTITUTE(SUBSTITUTE(SUBSTITUTE(CLEAN(I45&amp;"")," ",""),".","")," ",""),"-",""),"CHECK: not 2, 4, 6, 8 or 10 digits"))</f>
        <v/>
      </c>
      <c r="K45" s="11" t="n"/>
      <c r="M45" s="8" t="n"/>
      <c r="N45" s="11" t="n"/>
      <c r="P45" s="8" t="n"/>
      <c r="Q45" s="8" t="n"/>
      <c r="R45" s="8" t="n"/>
      <c r="S45" s="12" t="n"/>
      <c r="T45" s="11" t="n"/>
      <c r="U45" s="11" t="n"/>
      <c r="V45" s="10">
        <f>IF(TRIM(CLEAN(SUBSTITUTE(P45&amp;""," "," ")))="","",UPPER(TRIM(CLEAN(SUBSTITUTE(P45&amp;""," "," "))))&amp;"/"&amp;UPPER(TRIM(CLEAN(SUBSTITUTE(Q45&amp;""," "," ")))))</f>
        <v/>
      </c>
      <c r="W45" s="10">
        <f>IF(V45="","",IF(UPPER(TRIM(CLEAN(SUBSTITUTE(Q45&amp;""," "," "))))&lt;&gt;UPPER(TRIM(CLEAN(SUBSTITUTE(act_Country&amp;""," "," ")))),"CHECK: import country must match B7",IF(COUNTIF(det_Key,V45)&gt;1,"CHECK: listed twice",IF(AND(UPPER(TRIM(CLEAN(SUBSTITUTE(R45&amp;""," "," "))))&lt;&gt;"",UPPER(TRIM(CLEAN(SUBSTITUTE(R45&amp;""," "," "))))&lt;&gt;"IN",UPPER(TRIM(CLEAN(SUBSTITUTE(R45&amp;""," "," "))))&lt;&gt;"OUT"),"CHECK: determination must be IN, OUT or blank",IF(AND(S45&amp;""&lt;&gt;"",NOT(ISNUMBER(S45))),"CHECK: displaced rate must be a percentage",IF(AND(UPPER(TRIM(CLEAN(SUBSTITUTE(R45&amp;""," "," "))))="",NOT(ISNUMBER(S45))),"CHECK: enter IN, OUT or a displaced rate",IF(SUMPRODUCT(--(Calc!$AL$5:$AL$254&lt;&gt;""))=0,"WAIT: Items not loaded yet",IF(COUNTIF(Calc!$AL$5:$AL$254,V45)=0,"CHECK: no Items row for this item and import country","OK"))))))))</f>
        <v/>
      </c>
    </row>
    <row r="46">
      <c r="E46" s="8" t="n"/>
      <c r="F46" s="10">
        <f>IF(SUBSTITUTE(SUBSTITUTE(SUBSTITUTE(SUBSTITUTE(CLEAN(E46&amp;"")," ",""),".","")," ",""),"-","")="","",IF(AND(OR(LEN(SUBSTITUTE(SUBSTITUTE(SUBSTITUTE(SUBSTITUTE(CLEAN(E46&amp;"")," ",""),".","")," ",""),"-",""))=2,LEN(SUBSTITUTE(SUBSTITUTE(SUBSTITUTE(SUBSTITUTE(CLEAN(E46&amp;"")," ",""),".","")," ",""),"-",""))=4,LEN(SUBSTITUTE(SUBSTITUTE(SUBSTITUTE(SUBSTITUTE(CLEAN(E46&amp;"")," ",""),".","")," ",""),"-",""))=6,LEN(SUBSTITUTE(SUBSTITUTE(SUBSTITUTE(SUBSTITUTE(CLEAN(E46&amp;"")," ",""),".","")," ",""),"-",""))=8,LEN(SUBSTITUTE(SUBSTITUTE(SUBSTITUTE(SUBSTITUTE(CLEAN(E46&amp;"")," ",""),".","")," ",""),"-",""))=10),IFERROR(TEXT(VALUE(SUBSTITUTE(SUBSTITUTE(SUBSTITUTE(SUBSTITUTE(CLEAN(E46&amp;"")," ",""),".","")," ",""),"-","")),REPT("0",LEN(SUBSTITUTE(SUBSTITUTE(SUBSTITUTE(SUBSTITUTE(CLEAN(E46&amp;"")," ",""),".","")," ",""),"-",""))))=SUBSTITUTE(SUBSTITUTE(SUBSTITUTE(SUBSTITUTE(CLEAN(E46&amp;"")," ",""),".","")," ",""),"-",""),FALSE)),SUBSTITUTE(SUBSTITUTE(SUBSTITUTE(SUBSTITUTE(CLEAN(E46&amp;"")," ",""),".","")," ",""),"-",""),"CHECK: not 2, 4, 6, 8 or 10 digits"))</f>
        <v/>
      </c>
      <c r="G46" s="11" t="n"/>
      <c r="H46" s="8" t="n"/>
      <c r="I46" s="8" t="n"/>
      <c r="J46" s="10">
        <f>IF(SUBSTITUTE(SUBSTITUTE(SUBSTITUTE(SUBSTITUTE(CLEAN(I46&amp;"")," ",""),".","")," ",""),"-","")="","",IF(AND(OR(LEN(SUBSTITUTE(SUBSTITUTE(SUBSTITUTE(SUBSTITUTE(CLEAN(I46&amp;"")," ",""),".","")," ",""),"-",""))=2,LEN(SUBSTITUTE(SUBSTITUTE(SUBSTITUTE(SUBSTITUTE(CLEAN(I46&amp;"")," ",""),".","")," ",""),"-",""))=4,LEN(SUBSTITUTE(SUBSTITUTE(SUBSTITUTE(SUBSTITUTE(CLEAN(I46&amp;"")," ",""),".","")," ",""),"-",""))=6,LEN(SUBSTITUTE(SUBSTITUTE(SUBSTITUTE(SUBSTITUTE(CLEAN(I46&amp;"")," ",""),".","")," ",""),"-",""))=8,LEN(SUBSTITUTE(SUBSTITUTE(SUBSTITUTE(SUBSTITUTE(CLEAN(I46&amp;"")," ",""),".","")," ",""),"-",""))=10),IFERROR(TEXT(VALUE(SUBSTITUTE(SUBSTITUTE(SUBSTITUTE(SUBSTITUTE(CLEAN(I46&amp;"")," ",""),".","")," ",""),"-","")),REPT("0",LEN(SUBSTITUTE(SUBSTITUTE(SUBSTITUTE(SUBSTITUTE(CLEAN(I46&amp;"")," ",""),".","")," ",""),"-",""))))=SUBSTITUTE(SUBSTITUTE(SUBSTITUTE(SUBSTITUTE(CLEAN(I46&amp;"")," ",""),".","")," ",""),"-",""),FALSE)),SUBSTITUTE(SUBSTITUTE(SUBSTITUTE(SUBSTITUTE(CLEAN(I46&amp;"")," ",""),".","")," ",""),"-",""),"CHECK: not 2, 4, 6, 8 or 10 digits"))</f>
        <v/>
      </c>
      <c r="K46" s="11" t="n"/>
      <c r="M46" s="8" t="n"/>
      <c r="N46" s="11" t="n"/>
      <c r="P46" s="8" t="n"/>
      <c r="Q46" s="8" t="n"/>
      <c r="R46" s="8" t="n"/>
      <c r="S46" s="12" t="n"/>
      <c r="T46" s="11" t="n"/>
      <c r="U46" s="11" t="n"/>
      <c r="V46" s="10">
        <f>IF(TRIM(CLEAN(SUBSTITUTE(P46&amp;""," "," ")))="","",UPPER(TRIM(CLEAN(SUBSTITUTE(P46&amp;""," "," "))))&amp;"/"&amp;UPPER(TRIM(CLEAN(SUBSTITUTE(Q46&amp;""," "," ")))))</f>
        <v/>
      </c>
      <c r="W46" s="10">
        <f>IF(V46="","",IF(UPPER(TRIM(CLEAN(SUBSTITUTE(Q46&amp;""," "," "))))&lt;&gt;UPPER(TRIM(CLEAN(SUBSTITUTE(act_Country&amp;""," "," ")))),"CHECK: import country must match B7",IF(COUNTIF(det_Key,V46)&gt;1,"CHECK: listed twice",IF(AND(UPPER(TRIM(CLEAN(SUBSTITUTE(R46&amp;""," "," "))))&lt;&gt;"",UPPER(TRIM(CLEAN(SUBSTITUTE(R46&amp;""," "," "))))&lt;&gt;"IN",UPPER(TRIM(CLEAN(SUBSTITUTE(R46&amp;""," "," "))))&lt;&gt;"OUT"),"CHECK: determination must be IN, OUT or blank",IF(AND(S46&amp;""&lt;&gt;"",NOT(ISNUMBER(S46))),"CHECK: displaced rate must be a percentage",IF(AND(UPPER(TRIM(CLEAN(SUBSTITUTE(R46&amp;""," "," "))))="",NOT(ISNUMBER(S46))),"CHECK: enter IN, OUT or a displaced rate",IF(SUMPRODUCT(--(Calc!$AL$5:$AL$254&lt;&gt;""))=0,"WAIT: Items not loaded yet",IF(COUNTIF(Calc!$AL$5:$AL$254,V46)=0,"CHECK: no Items row for this item and import country","OK"))))))))</f>
        <v/>
      </c>
    </row>
    <row r="47">
      <c r="E47" s="8" t="n"/>
      <c r="F47" s="10">
        <f>IF(SUBSTITUTE(SUBSTITUTE(SUBSTITUTE(SUBSTITUTE(CLEAN(E47&amp;"")," ",""),".","")," ",""),"-","")="","",IF(AND(OR(LEN(SUBSTITUTE(SUBSTITUTE(SUBSTITUTE(SUBSTITUTE(CLEAN(E47&amp;"")," ",""),".","")," ",""),"-",""))=2,LEN(SUBSTITUTE(SUBSTITUTE(SUBSTITUTE(SUBSTITUTE(CLEAN(E47&amp;"")," ",""),".","")," ",""),"-",""))=4,LEN(SUBSTITUTE(SUBSTITUTE(SUBSTITUTE(SUBSTITUTE(CLEAN(E47&amp;"")," ",""),".","")," ",""),"-",""))=6,LEN(SUBSTITUTE(SUBSTITUTE(SUBSTITUTE(SUBSTITUTE(CLEAN(E47&amp;"")," ",""),".","")," ",""),"-",""))=8,LEN(SUBSTITUTE(SUBSTITUTE(SUBSTITUTE(SUBSTITUTE(CLEAN(E47&amp;"")," ",""),".","")," ",""),"-",""))=10),IFERROR(TEXT(VALUE(SUBSTITUTE(SUBSTITUTE(SUBSTITUTE(SUBSTITUTE(CLEAN(E47&amp;"")," ",""),".","")," ",""),"-","")),REPT("0",LEN(SUBSTITUTE(SUBSTITUTE(SUBSTITUTE(SUBSTITUTE(CLEAN(E47&amp;"")," ",""),".","")," ",""),"-",""))))=SUBSTITUTE(SUBSTITUTE(SUBSTITUTE(SUBSTITUTE(CLEAN(E47&amp;"")," ",""),".","")," ",""),"-",""),FALSE)),SUBSTITUTE(SUBSTITUTE(SUBSTITUTE(SUBSTITUTE(CLEAN(E47&amp;"")," ",""),".","")," ",""),"-",""),"CHECK: not 2, 4, 6, 8 or 10 digits"))</f>
        <v/>
      </c>
      <c r="G47" s="11" t="n"/>
      <c r="H47" s="8" t="n"/>
      <c r="I47" s="8" t="n"/>
      <c r="J47" s="10">
        <f>IF(SUBSTITUTE(SUBSTITUTE(SUBSTITUTE(SUBSTITUTE(CLEAN(I47&amp;"")," ",""),".","")," ",""),"-","")="","",IF(AND(OR(LEN(SUBSTITUTE(SUBSTITUTE(SUBSTITUTE(SUBSTITUTE(CLEAN(I47&amp;"")," ",""),".","")," ",""),"-",""))=2,LEN(SUBSTITUTE(SUBSTITUTE(SUBSTITUTE(SUBSTITUTE(CLEAN(I47&amp;"")," ",""),".","")," ",""),"-",""))=4,LEN(SUBSTITUTE(SUBSTITUTE(SUBSTITUTE(SUBSTITUTE(CLEAN(I47&amp;"")," ",""),".","")," ",""),"-",""))=6,LEN(SUBSTITUTE(SUBSTITUTE(SUBSTITUTE(SUBSTITUTE(CLEAN(I47&amp;"")," ",""),".","")," ",""),"-",""))=8,LEN(SUBSTITUTE(SUBSTITUTE(SUBSTITUTE(SUBSTITUTE(CLEAN(I47&amp;"")," ",""),".","")," ",""),"-",""))=10),IFERROR(TEXT(VALUE(SUBSTITUTE(SUBSTITUTE(SUBSTITUTE(SUBSTITUTE(CLEAN(I47&amp;"")," ",""),".","")," ",""),"-","")),REPT("0",LEN(SUBSTITUTE(SUBSTITUTE(SUBSTITUTE(SUBSTITUTE(CLEAN(I47&amp;"")," ",""),".","")," ",""),"-",""))))=SUBSTITUTE(SUBSTITUTE(SUBSTITUTE(SUBSTITUTE(CLEAN(I47&amp;"")," ",""),".","")," ",""),"-",""),FALSE)),SUBSTITUTE(SUBSTITUTE(SUBSTITUTE(SUBSTITUTE(CLEAN(I47&amp;"")," ",""),".","")," ",""),"-",""),"CHECK: not 2, 4, 6, 8 or 10 digits"))</f>
        <v/>
      </c>
      <c r="K47" s="11" t="n"/>
      <c r="M47" s="8" t="n"/>
      <c r="N47" s="11" t="n"/>
      <c r="P47" s="8" t="n"/>
      <c r="Q47" s="8" t="n"/>
      <c r="R47" s="8" t="n"/>
      <c r="S47" s="12" t="n"/>
      <c r="T47" s="11" t="n"/>
      <c r="U47" s="11" t="n"/>
      <c r="V47" s="10">
        <f>IF(TRIM(CLEAN(SUBSTITUTE(P47&amp;""," "," ")))="","",UPPER(TRIM(CLEAN(SUBSTITUTE(P47&amp;""," "," "))))&amp;"/"&amp;UPPER(TRIM(CLEAN(SUBSTITUTE(Q47&amp;""," "," ")))))</f>
        <v/>
      </c>
      <c r="W47" s="10">
        <f>IF(V47="","",IF(UPPER(TRIM(CLEAN(SUBSTITUTE(Q47&amp;""," "," "))))&lt;&gt;UPPER(TRIM(CLEAN(SUBSTITUTE(act_Country&amp;""," "," ")))),"CHECK: import country must match B7",IF(COUNTIF(det_Key,V47)&gt;1,"CHECK: listed twice",IF(AND(UPPER(TRIM(CLEAN(SUBSTITUTE(R47&amp;""," "," "))))&lt;&gt;"",UPPER(TRIM(CLEAN(SUBSTITUTE(R47&amp;""," "," "))))&lt;&gt;"IN",UPPER(TRIM(CLEAN(SUBSTITUTE(R47&amp;""," "," "))))&lt;&gt;"OUT"),"CHECK: determination must be IN, OUT or blank",IF(AND(S47&amp;""&lt;&gt;"",NOT(ISNUMBER(S47))),"CHECK: displaced rate must be a percentage",IF(AND(UPPER(TRIM(CLEAN(SUBSTITUTE(R47&amp;""," "," "))))="",NOT(ISNUMBER(S47))),"CHECK: enter IN, OUT or a displaced rate",IF(SUMPRODUCT(--(Calc!$AL$5:$AL$254&lt;&gt;""))=0,"WAIT: Items not loaded yet",IF(COUNTIF(Calc!$AL$5:$AL$254,V47)=0,"CHECK: no Items row for this item and import country","OK"))))))))</f>
        <v/>
      </c>
    </row>
    <row r="48">
      <c r="E48" s="8" t="n"/>
      <c r="F48" s="10">
        <f>IF(SUBSTITUTE(SUBSTITUTE(SUBSTITUTE(SUBSTITUTE(CLEAN(E48&amp;"")," ",""),".","")," ",""),"-","")="","",IF(AND(OR(LEN(SUBSTITUTE(SUBSTITUTE(SUBSTITUTE(SUBSTITUTE(CLEAN(E48&amp;"")," ",""),".","")," ",""),"-",""))=2,LEN(SUBSTITUTE(SUBSTITUTE(SUBSTITUTE(SUBSTITUTE(CLEAN(E48&amp;"")," ",""),".","")," ",""),"-",""))=4,LEN(SUBSTITUTE(SUBSTITUTE(SUBSTITUTE(SUBSTITUTE(CLEAN(E48&amp;"")," ",""),".","")," ",""),"-",""))=6,LEN(SUBSTITUTE(SUBSTITUTE(SUBSTITUTE(SUBSTITUTE(CLEAN(E48&amp;"")," ",""),".","")," ",""),"-",""))=8,LEN(SUBSTITUTE(SUBSTITUTE(SUBSTITUTE(SUBSTITUTE(CLEAN(E48&amp;"")," ",""),".","")," ",""),"-",""))=10),IFERROR(TEXT(VALUE(SUBSTITUTE(SUBSTITUTE(SUBSTITUTE(SUBSTITUTE(CLEAN(E48&amp;"")," ",""),".","")," ",""),"-","")),REPT("0",LEN(SUBSTITUTE(SUBSTITUTE(SUBSTITUTE(SUBSTITUTE(CLEAN(E48&amp;"")," ",""),".","")," ",""),"-",""))))=SUBSTITUTE(SUBSTITUTE(SUBSTITUTE(SUBSTITUTE(CLEAN(E48&amp;"")," ",""),".","")," ",""),"-",""),FALSE)),SUBSTITUTE(SUBSTITUTE(SUBSTITUTE(SUBSTITUTE(CLEAN(E48&amp;"")," ",""),".","")," ",""),"-",""),"CHECK: not 2, 4, 6, 8 or 10 digits"))</f>
        <v/>
      </c>
      <c r="G48" s="11" t="n"/>
      <c r="H48" s="8" t="n"/>
      <c r="I48" s="8" t="n"/>
      <c r="J48" s="10">
        <f>IF(SUBSTITUTE(SUBSTITUTE(SUBSTITUTE(SUBSTITUTE(CLEAN(I48&amp;"")," ",""),".","")," ",""),"-","")="","",IF(AND(OR(LEN(SUBSTITUTE(SUBSTITUTE(SUBSTITUTE(SUBSTITUTE(CLEAN(I48&amp;"")," ",""),".","")," ",""),"-",""))=2,LEN(SUBSTITUTE(SUBSTITUTE(SUBSTITUTE(SUBSTITUTE(CLEAN(I48&amp;"")," ",""),".","")," ",""),"-",""))=4,LEN(SUBSTITUTE(SUBSTITUTE(SUBSTITUTE(SUBSTITUTE(CLEAN(I48&amp;"")," ",""),".","")," ",""),"-",""))=6,LEN(SUBSTITUTE(SUBSTITUTE(SUBSTITUTE(SUBSTITUTE(CLEAN(I48&amp;"")," ",""),".","")," ",""),"-",""))=8,LEN(SUBSTITUTE(SUBSTITUTE(SUBSTITUTE(SUBSTITUTE(CLEAN(I48&amp;"")," ",""),".","")," ",""),"-",""))=10),IFERROR(TEXT(VALUE(SUBSTITUTE(SUBSTITUTE(SUBSTITUTE(SUBSTITUTE(CLEAN(I48&amp;"")," ",""),".","")," ",""),"-","")),REPT("0",LEN(SUBSTITUTE(SUBSTITUTE(SUBSTITUTE(SUBSTITUTE(CLEAN(I48&amp;"")," ",""),".","")," ",""),"-",""))))=SUBSTITUTE(SUBSTITUTE(SUBSTITUTE(SUBSTITUTE(CLEAN(I48&amp;"")," ",""),".","")," ",""),"-",""),FALSE)),SUBSTITUTE(SUBSTITUTE(SUBSTITUTE(SUBSTITUTE(CLEAN(I48&amp;"")," ",""),".","")," ",""),"-",""),"CHECK: not 2, 4, 6, 8 or 10 digits"))</f>
        <v/>
      </c>
      <c r="K48" s="11" t="n"/>
      <c r="M48" s="8" t="n"/>
      <c r="N48" s="11" t="n"/>
      <c r="P48" s="8" t="n"/>
      <c r="Q48" s="8" t="n"/>
      <c r="R48" s="8" t="n"/>
      <c r="S48" s="12" t="n"/>
      <c r="T48" s="11" t="n"/>
      <c r="U48" s="11" t="n"/>
      <c r="V48" s="10">
        <f>IF(TRIM(CLEAN(SUBSTITUTE(P48&amp;""," "," ")))="","",UPPER(TRIM(CLEAN(SUBSTITUTE(P48&amp;""," "," "))))&amp;"/"&amp;UPPER(TRIM(CLEAN(SUBSTITUTE(Q48&amp;""," "," ")))))</f>
        <v/>
      </c>
      <c r="W48" s="10">
        <f>IF(V48="","",IF(UPPER(TRIM(CLEAN(SUBSTITUTE(Q48&amp;""," "," "))))&lt;&gt;UPPER(TRIM(CLEAN(SUBSTITUTE(act_Country&amp;""," "," ")))),"CHECK: import country must match B7",IF(COUNTIF(det_Key,V48)&gt;1,"CHECK: listed twice",IF(AND(UPPER(TRIM(CLEAN(SUBSTITUTE(R48&amp;""," "," "))))&lt;&gt;"",UPPER(TRIM(CLEAN(SUBSTITUTE(R48&amp;""," "," "))))&lt;&gt;"IN",UPPER(TRIM(CLEAN(SUBSTITUTE(R48&amp;""," "," "))))&lt;&gt;"OUT"),"CHECK: determination must be IN, OUT or blank",IF(AND(S48&amp;""&lt;&gt;"",NOT(ISNUMBER(S48))),"CHECK: displaced rate must be a percentage",IF(AND(UPPER(TRIM(CLEAN(SUBSTITUTE(R48&amp;""," "," "))))="",NOT(ISNUMBER(S48))),"CHECK: enter IN, OUT or a displaced rate",IF(SUMPRODUCT(--(Calc!$AL$5:$AL$254&lt;&gt;""))=0,"WAIT: Items not loaded yet",IF(COUNTIF(Calc!$AL$5:$AL$254,V48)=0,"CHECK: no Items row for this item and import country","OK"))))))))</f>
        <v/>
      </c>
    </row>
    <row r="49">
      <c r="E49" s="8" t="n"/>
      <c r="F49" s="10">
        <f>IF(SUBSTITUTE(SUBSTITUTE(SUBSTITUTE(SUBSTITUTE(CLEAN(E49&amp;"")," ",""),".","")," ",""),"-","")="","",IF(AND(OR(LEN(SUBSTITUTE(SUBSTITUTE(SUBSTITUTE(SUBSTITUTE(CLEAN(E49&amp;"")," ",""),".","")," ",""),"-",""))=2,LEN(SUBSTITUTE(SUBSTITUTE(SUBSTITUTE(SUBSTITUTE(CLEAN(E49&amp;"")," ",""),".","")," ",""),"-",""))=4,LEN(SUBSTITUTE(SUBSTITUTE(SUBSTITUTE(SUBSTITUTE(CLEAN(E49&amp;"")," ",""),".","")," ",""),"-",""))=6,LEN(SUBSTITUTE(SUBSTITUTE(SUBSTITUTE(SUBSTITUTE(CLEAN(E49&amp;"")," ",""),".","")," ",""),"-",""))=8,LEN(SUBSTITUTE(SUBSTITUTE(SUBSTITUTE(SUBSTITUTE(CLEAN(E49&amp;"")," ",""),".","")," ",""),"-",""))=10),IFERROR(TEXT(VALUE(SUBSTITUTE(SUBSTITUTE(SUBSTITUTE(SUBSTITUTE(CLEAN(E49&amp;"")," ",""),".","")," ",""),"-","")),REPT("0",LEN(SUBSTITUTE(SUBSTITUTE(SUBSTITUTE(SUBSTITUTE(CLEAN(E49&amp;"")," ",""),".","")," ",""),"-",""))))=SUBSTITUTE(SUBSTITUTE(SUBSTITUTE(SUBSTITUTE(CLEAN(E49&amp;"")," ",""),".","")," ",""),"-",""),FALSE)),SUBSTITUTE(SUBSTITUTE(SUBSTITUTE(SUBSTITUTE(CLEAN(E49&amp;"")," ",""),".","")," ",""),"-",""),"CHECK: not 2, 4, 6, 8 or 10 digits"))</f>
        <v/>
      </c>
      <c r="G49" s="11" t="n"/>
      <c r="H49" s="8" t="n"/>
      <c r="I49" s="8" t="n"/>
      <c r="J49" s="10">
        <f>IF(SUBSTITUTE(SUBSTITUTE(SUBSTITUTE(SUBSTITUTE(CLEAN(I49&amp;"")," ",""),".","")," ",""),"-","")="","",IF(AND(OR(LEN(SUBSTITUTE(SUBSTITUTE(SUBSTITUTE(SUBSTITUTE(CLEAN(I49&amp;"")," ",""),".","")," ",""),"-",""))=2,LEN(SUBSTITUTE(SUBSTITUTE(SUBSTITUTE(SUBSTITUTE(CLEAN(I49&amp;"")," ",""),".","")," ",""),"-",""))=4,LEN(SUBSTITUTE(SUBSTITUTE(SUBSTITUTE(SUBSTITUTE(CLEAN(I49&amp;"")," ",""),".","")," ",""),"-",""))=6,LEN(SUBSTITUTE(SUBSTITUTE(SUBSTITUTE(SUBSTITUTE(CLEAN(I49&amp;"")," ",""),".","")," ",""),"-",""))=8,LEN(SUBSTITUTE(SUBSTITUTE(SUBSTITUTE(SUBSTITUTE(CLEAN(I49&amp;"")," ",""),".","")," ",""),"-",""))=10),IFERROR(TEXT(VALUE(SUBSTITUTE(SUBSTITUTE(SUBSTITUTE(SUBSTITUTE(CLEAN(I49&amp;"")," ",""),".","")," ",""),"-","")),REPT("0",LEN(SUBSTITUTE(SUBSTITUTE(SUBSTITUTE(SUBSTITUTE(CLEAN(I49&amp;"")," ",""),".","")," ",""),"-",""))))=SUBSTITUTE(SUBSTITUTE(SUBSTITUTE(SUBSTITUTE(CLEAN(I49&amp;"")," ",""),".","")," ",""),"-",""),FALSE)),SUBSTITUTE(SUBSTITUTE(SUBSTITUTE(SUBSTITUTE(CLEAN(I49&amp;"")," ",""),".","")," ",""),"-",""),"CHECK: not 2, 4, 6, 8 or 10 digits"))</f>
        <v/>
      </c>
      <c r="K49" s="11" t="n"/>
      <c r="M49" s="8" t="n"/>
      <c r="N49" s="11" t="n"/>
      <c r="P49" s="8" t="n"/>
      <c r="Q49" s="8" t="n"/>
      <c r="R49" s="8" t="n"/>
      <c r="S49" s="12" t="n"/>
      <c r="T49" s="11" t="n"/>
      <c r="U49" s="11" t="n"/>
      <c r="V49" s="10">
        <f>IF(TRIM(CLEAN(SUBSTITUTE(P49&amp;""," "," ")))="","",UPPER(TRIM(CLEAN(SUBSTITUTE(P49&amp;""," "," "))))&amp;"/"&amp;UPPER(TRIM(CLEAN(SUBSTITUTE(Q49&amp;""," "," ")))))</f>
        <v/>
      </c>
      <c r="W49" s="10">
        <f>IF(V49="","",IF(UPPER(TRIM(CLEAN(SUBSTITUTE(Q49&amp;""," "," "))))&lt;&gt;UPPER(TRIM(CLEAN(SUBSTITUTE(act_Country&amp;""," "," ")))),"CHECK: import country must match B7",IF(COUNTIF(det_Key,V49)&gt;1,"CHECK: listed twice",IF(AND(UPPER(TRIM(CLEAN(SUBSTITUTE(R49&amp;""," "," "))))&lt;&gt;"",UPPER(TRIM(CLEAN(SUBSTITUTE(R49&amp;""," "," "))))&lt;&gt;"IN",UPPER(TRIM(CLEAN(SUBSTITUTE(R49&amp;""," "," "))))&lt;&gt;"OUT"),"CHECK: determination must be IN, OUT or blank",IF(AND(S49&amp;""&lt;&gt;"",NOT(ISNUMBER(S49))),"CHECK: displaced rate must be a percentage",IF(AND(UPPER(TRIM(CLEAN(SUBSTITUTE(R49&amp;""," "," "))))="",NOT(ISNUMBER(S49))),"CHECK: enter IN, OUT or a displaced rate",IF(SUMPRODUCT(--(Calc!$AL$5:$AL$254&lt;&gt;""))=0,"WAIT: Items not loaded yet",IF(COUNTIF(Calc!$AL$5:$AL$254,V49)=0,"CHECK: no Items row for this item and import country","OK"))))))))</f>
        <v/>
      </c>
    </row>
    <row r="50">
      <c r="E50" s="8" t="n"/>
      <c r="F50" s="10">
        <f>IF(SUBSTITUTE(SUBSTITUTE(SUBSTITUTE(SUBSTITUTE(CLEAN(E50&amp;"")," ",""),".","")," ",""),"-","")="","",IF(AND(OR(LEN(SUBSTITUTE(SUBSTITUTE(SUBSTITUTE(SUBSTITUTE(CLEAN(E50&amp;"")," ",""),".","")," ",""),"-",""))=2,LEN(SUBSTITUTE(SUBSTITUTE(SUBSTITUTE(SUBSTITUTE(CLEAN(E50&amp;"")," ",""),".","")," ",""),"-",""))=4,LEN(SUBSTITUTE(SUBSTITUTE(SUBSTITUTE(SUBSTITUTE(CLEAN(E50&amp;"")," ",""),".","")," ",""),"-",""))=6,LEN(SUBSTITUTE(SUBSTITUTE(SUBSTITUTE(SUBSTITUTE(CLEAN(E50&amp;"")," ",""),".","")," ",""),"-",""))=8,LEN(SUBSTITUTE(SUBSTITUTE(SUBSTITUTE(SUBSTITUTE(CLEAN(E50&amp;"")," ",""),".","")," ",""),"-",""))=10),IFERROR(TEXT(VALUE(SUBSTITUTE(SUBSTITUTE(SUBSTITUTE(SUBSTITUTE(CLEAN(E50&amp;"")," ",""),".","")," ",""),"-","")),REPT("0",LEN(SUBSTITUTE(SUBSTITUTE(SUBSTITUTE(SUBSTITUTE(CLEAN(E50&amp;"")," ",""),".","")," ",""),"-",""))))=SUBSTITUTE(SUBSTITUTE(SUBSTITUTE(SUBSTITUTE(CLEAN(E50&amp;"")," ",""),".","")," ",""),"-",""),FALSE)),SUBSTITUTE(SUBSTITUTE(SUBSTITUTE(SUBSTITUTE(CLEAN(E50&amp;"")," ",""),".","")," ",""),"-",""),"CHECK: not 2, 4, 6, 8 or 10 digits"))</f>
        <v/>
      </c>
      <c r="G50" s="11" t="n"/>
      <c r="H50" s="8" t="n"/>
      <c r="I50" s="8" t="n"/>
      <c r="J50" s="10">
        <f>IF(SUBSTITUTE(SUBSTITUTE(SUBSTITUTE(SUBSTITUTE(CLEAN(I50&amp;"")," ",""),".","")," ",""),"-","")="","",IF(AND(OR(LEN(SUBSTITUTE(SUBSTITUTE(SUBSTITUTE(SUBSTITUTE(CLEAN(I50&amp;"")," ",""),".","")," ",""),"-",""))=2,LEN(SUBSTITUTE(SUBSTITUTE(SUBSTITUTE(SUBSTITUTE(CLEAN(I50&amp;"")," ",""),".","")," ",""),"-",""))=4,LEN(SUBSTITUTE(SUBSTITUTE(SUBSTITUTE(SUBSTITUTE(CLEAN(I50&amp;"")," ",""),".","")," ",""),"-",""))=6,LEN(SUBSTITUTE(SUBSTITUTE(SUBSTITUTE(SUBSTITUTE(CLEAN(I50&amp;"")," ",""),".","")," ",""),"-",""))=8,LEN(SUBSTITUTE(SUBSTITUTE(SUBSTITUTE(SUBSTITUTE(CLEAN(I50&amp;"")," ",""),".","")," ",""),"-",""))=10),IFERROR(TEXT(VALUE(SUBSTITUTE(SUBSTITUTE(SUBSTITUTE(SUBSTITUTE(CLEAN(I50&amp;"")," ",""),".","")," ",""),"-","")),REPT("0",LEN(SUBSTITUTE(SUBSTITUTE(SUBSTITUTE(SUBSTITUTE(CLEAN(I50&amp;"")," ",""),".","")," ",""),"-",""))))=SUBSTITUTE(SUBSTITUTE(SUBSTITUTE(SUBSTITUTE(CLEAN(I50&amp;"")," ",""),".","")," ",""),"-",""),FALSE)),SUBSTITUTE(SUBSTITUTE(SUBSTITUTE(SUBSTITUTE(CLEAN(I50&amp;"")," ",""),".","")," ",""),"-",""),"CHECK: not 2, 4, 6, 8 or 10 digits"))</f>
        <v/>
      </c>
      <c r="K50" s="11" t="n"/>
      <c r="M50" s="8" t="n"/>
      <c r="N50" s="11" t="n"/>
      <c r="P50" s="8" t="n"/>
      <c r="Q50" s="8" t="n"/>
      <c r="R50" s="8" t="n"/>
      <c r="S50" s="12" t="n"/>
      <c r="T50" s="11" t="n"/>
      <c r="U50" s="11" t="n"/>
      <c r="V50" s="10">
        <f>IF(TRIM(CLEAN(SUBSTITUTE(P50&amp;""," "," ")))="","",UPPER(TRIM(CLEAN(SUBSTITUTE(P50&amp;""," "," "))))&amp;"/"&amp;UPPER(TRIM(CLEAN(SUBSTITUTE(Q50&amp;""," "," ")))))</f>
        <v/>
      </c>
      <c r="W50" s="10">
        <f>IF(V50="","",IF(UPPER(TRIM(CLEAN(SUBSTITUTE(Q50&amp;""," "," "))))&lt;&gt;UPPER(TRIM(CLEAN(SUBSTITUTE(act_Country&amp;""," "," ")))),"CHECK: import country must match B7",IF(COUNTIF(det_Key,V50)&gt;1,"CHECK: listed twice",IF(AND(UPPER(TRIM(CLEAN(SUBSTITUTE(R50&amp;""," "," "))))&lt;&gt;"",UPPER(TRIM(CLEAN(SUBSTITUTE(R50&amp;""," "," "))))&lt;&gt;"IN",UPPER(TRIM(CLEAN(SUBSTITUTE(R50&amp;""," "," "))))&lt;&gt;"OUT"),"CHECK: determination must be IN, OUT or blank",IF(AND(S50&amp;""&lt;&gt;"",NOT(ISNUMBER(S50))),"CHECK: displaced rate must be a percentage",IF(AND(UPPER(TRIM(CLEAN(SUBSTITUTE(R50&amp;""," "," "))))="",NOT(ISNUMBER(S50))),"CHECK: enter IN, OUT or a displaced rate",IF(SUMPRODUCT(--(Calc!$AL$5:$AL$254&lt;&gt;""))=0,"WAIT: Items not loaded yet",IF(COUNTIF(Calc!$AL$5:$AL$254,V50)=0,"CHECK: no Items row for this item and import country","OK"))))))))</f>
        <v/>
      </c>
    </row>
    <row r="51">
      <c r="E51" s="8" t="n"/>
      <c r="F51" s="10">
        <f>IF(SUBSTITUTE(SUBSTITUTE(SUBSTITUTE(SUBSTITUTE(CLEAN(E51&amp;"")," ",""),".","")," ",""),"-","")="","",IF(AND(OR(LEN(SUBSTITUTE(SUBSTITUTE(SUBSTITUTE(SUBSTITUTE(CLEAN(E51&amp;"")," ",""),".","")," ",""),"-",""))=2,LEN(SUBSTITUTE(SUBSTITUTE(SUBSTITUTE(SUBSTITUTE(CLEAN(E51&amp;"")," ",""),".","")," ",""),"-",""))=4,LEN(SUBSTITUTE(SUBSTITUTE(SUBSTITUTE(SUBSTITUTE(CLEAN(E51&amp;"")," ",""),".","")," ",""),"-",""))=6,LEN(SUBSTITUTE(SUBSTITUTE(SUBSTITUTE(SUBSTITUTE(CLEAN(E51&amp;"")," ",""),".","")," ",""),"-",""))=8,LEN(SUBSTITUTE(SUBSTITUTE(SUBSTITUTE(SUBSTITUTE(CLEAN(E51&amp;"")," ",""),".","")," ",""),"-",""))=10),IFERROR(TEXT(VALUE(SUBSTITUTE(SUBSTITUTE(SUBSTITUTE(SUBSTITUTE(CLEAN(E51&amp;"")," ",""),".","")," ",""),"-","")),REPT("0",LEN(SUBSTITUTE(SUBSTITUTE(SUBSTITUTE(SUBSTITUTE(CLEAN(E51&amp;"")," ",""),".","")," ",""),"-",""))))=SUBSTITUTE(SUBSTITUTE(SUBSTITUTE(SUBSTITUTE(CLEAN(E51&amp;"")," ",""),".","")," ",""),"-",""),FALSE)),SUBSTITUTE(SUBSTITUTE(SUBSTITUTE(SUBSTITUTE(CLEAN(E51&amp;"")," ",""),".","")," ",""),"-",""),"CHECK: not 2, 4, 6, 8 or 10 digits"))</f>
        <v/>
      </c>
      <c r="G51" s="11" t="n"/>
      <c r="H51" s="8" t="n"/>
      <c r="I51" s="8" t="n"/>
      <c r="J51" s="10">
        <f>IF(SUBSTITUTE(SUBSTITUTE(SUBSTITUTE(SUBSTITUTE(CLEAN(I51&amp;"")," ",""),".","")," ",""),"-","")="","",IF(AND(OR(LEN(SUBSTITUTE(SUBSTITUTE(SUBSTITUTE(SUBSTITUTE(CLEAN(I51&amp;"")," ",""),".","")," ",""),"-",""))=2,LEN(SUBSTITUTE(SUBSTITUTE(SUBSTITUTE(SUBSTITUTE(CLEAN(I51&amp;"")," ",""),".","")," ",""),"-",""))=4,LEN(SUBSTITUTE(SUBSTITUTE(SUBSTITUTE(SUBSTITUTE(CLEAN(I51&amp;"")," ",""),".","")," ",""),"-",""))=6,LEN(SUBSTITUTE(SUBSTITUTE(SUBSTITUTE(SUBSTITUTE(CLEAN(I51&amp;"")," ",""),".","")," ",""),"-",""))=8,LEN(SUBSTITUTE(SUBSTITUTE(SUBSTITUTE(SUBSTITUTE(CLEAN(I51&amp;"")," ",""),".","")," ",""),"-",""))=10),IFERROR(TEXT(VALUE(SUBSTITUTE(SUBSTITUTE(SUBSTITUTE(SUBSTITUTE(CLEAN(I51&amp;"")," ",""),".","")," ",""),"-","")),REPT("0",LEN(SUBSTITUTE(SUBSTITUTE(SUBSTITUTE(SUBSTITUTE(CLEAN(I51&amp;"")," ",""),".","")," ",""),"-",""))))=SUBSTITUTE(SUBSTITUTE(SUBSTITUTE(SUBSTITUTE(CLEAN(I51&amp;"")," ",""),".","")," ",""),"-",""),FALSE)),SUBSTITUTE(SUBSTITUTE(SUBSTITUTE(SUBSTITUTE(CLEAN(I51&amp;"")," ",""),".","")," ",""),"-",""),"CHECK: not 2, 4, 6, 8 or 10 digits"))</f>
        <v/>
      </c>
      <c r="K51" s="11" t="n"/>
      <c r="M51" s="8" t="n"/>
      <c r="N51" s="11" t="n"/>
      <c r="P51" s="8" t="n"/>
      <c r="Q51" s="8" t="n"/>
      <c r="R51" s="8" t="n"/>
      <c r="S51" s="12" t="n"/>
      <c r="T51" s="11" t="n"/>
      <c r="U51" s="11" t="n"/>
      <c r="V51" s="10">
        <f>IF(TRIM(CLEAN(SUBSTITUTE(P51&amp;""," "," ")))="","",UPPER(TRIM(CLEAN(SUBSTITUTE(P51&amp;""," "," "))))&amp;"/"&amp;UPPER(TRIM(CLEAN(SUBSTITUTE(Q51&amp;""," "," ")))))</f>
        <v/>
      </c>
      <c r="W51" s="10">
        <f>IF(V51="","",IF(UPPER(TRIM(CLEAN(SUBSTITUTE(Q51&amp;""," "," "))))&lt;&gt;UPPER(TRIM(CLEAN(SUBSTITUTE(act_Country&amp;""," "," ")))),"CHECK: import country must match B7",IF(COUNTIF(det_Key,V51)&gt;1,"CHECK: listed twice",IF(AND(UPPER(TRIM(CLEAN(SUBSTITUTE(R51&amp;""," "," "))))&lt;&gt;"",UPPER(TRIM(CLEAN(SUBSTITUTE(R51&amp;""," "," "))))&lt;&gt;"IN",UPPER(TRIM(CLEAN(SUBSTITUTE(R51&amp;""," "," "))))&lt;&gt;"OUT"),"CHECK: determination must be IN, OUT or blank",IF(AND(S51&amp;""&lt;&gt;"",NOT(ISNUMBER(S51))),"CHECK: displaced rate must be a percentage",IF(AND(UPPER(TRIM(CLEAN(SUBSTITUTE(R51&amp;""," "," "))))="",NOT(ISNUMBER(S51))),"CHECK: enter IN, OUT or a displaced rate",IF(SUMPRODUCT(--(Calc!$AL$5:$AL$254&lt;&gt;""))=0,"WAIT: Items not loaded yet",IF(COUNTIF(Calc!$AL$5:$AL$254,V51)=0,"CHECK: no Items row for this item and import country","OK"))))))))</f>
        <v/>
      </c>
    </row>
    <row r="52">
      <c r="E52" s="8" t="n"/>
      <c r="F52" s="10">
        <f>IF(SUBSTITUTE(SUBSTITUTE(SUBSTITUTE(SUBSTITUTE(CLEAN(E52&amp;"")," ",""),".","")," ",""),"-","")="","",IF(AND(OR(LEN(SUBSTITUTE(SUBSTITUTE(SUBSTITUTE(SUBSTITUTE(CLEAN(E52&amp;"")," ",""),".","")," ",""),"-",""))=2,LEN(SUBSTITUTE(SUBSTITUTE(SUBSTITUTE(SUBSTITUTE(CLEAN(E52&amp;"")," ",""),".","")," ",""),"-",""))=4,LEN(SUBSTITUTE(SUBSTITUTE(SUBSTITUTE(SUBSTITUTE(CLEAN(E52&amp;"")," ",""),".","")," ",""),"-",""))=6,LEN(SUBSTITUTE(SUBSTITUTE(SUBSTITUTE(SUBSTITUTE(CLEAN(E52&amp;"")," ",""),".","")," ",""),"-",""))=8,LEN(SUBSTITUTE(SUBSTITUTE(SUBSTITUTE(SUBSTITUTE(CLEAN(E52&amp;"")," ",""),".","")," ",""),"-",""))=10),IFERROR(TEXT(VALUE(SUBSTITUTE(SUBSTITUTE(SUBSTITUTE(SUBSTITUTE(CLEAN(E52&amp;"")," ",""),".","")," ",""),"-","")),REPT("0",LEN(SUBSTITUTE(SUBSTITUTE(SUBSTITUTE(SUBSTITUTE(CLEAN(E52&amp;"")," ",""),".","")," ",""),"-",""))))=SUBSTITUTE(SUBSTITUTE(SUBSTITUTE(SUBSTITUTE(CLEAN(E52&amp;"")," ",""),".","")," ",""),"-",""),FALSE)),SUBSTITUTE(SUBSTITUTE(SUBSTITUTE(SUBSTITUTE(CLEAN(E52&amp;"")," ",""),".","")," ",""),"-",""),"CHECK: not 2, 4, 6, 8 or 10 digits"))</f>
        <v/>
      </c>
      <c r="G52" s="11" t="n"/>
      <c r="H52" s="8" t="n"/>
      <c r="I52" s="8" t="n"/>
      <c r="J52" s="10">
        <f>IF(SUBSTITUTE(SUBSTITUTE(SUBSTITUTE(SUBSTITUTE(CLEAN(I52&amp;"")," ",""),".","")," ",""),"-","")="","",IF(AND(OR(LEN(SUBSTITUTE(SUBSTITUTE(SUBSTITUTE(SUBSTITUTE(CLEAN(I52&amp;"")," ",""),".","")," ",""),"-",""))=2,LEN(SUBSTITUTE(SUBSTITUTE(SUBSTITUTE(SUBSTITUTE(CLEAN(I52&amp;"")," ",""),".","")," ",""),"-",""))=4,LEN(SUBSTITUTE(SUBSTITUTE(SUBSTITUTE(SUBSTITUTE(CLEAN(I52&amp;"")," ",""),".","")," ",""),"-",""))=6,LEN(SUBSTITUTE(SUBSTITUTE(SUBSTITUTE(SUBSTITUTE(CLEAN(I52&amp;"")," ",""),".","")," ",""),"-",""))=8,LEN(SUBSTITUTE(SUBSTITUTE(SUBSTITUTE(SUBSTITUTE(CLEAN(I52&amp;"")," ",""),".","")," ",""),"-",""))=10),IFERROR(TEXT(VALUE(SUBSTITUTE(SUBSTITUTE(SUBSTITUTE(SUBSTITUTE(CLEAN(I52&amp;"")," ",""),".","")," ",""),"-","")),REPT("0",LEN(SUBSTITUTE(SUBSTITUTE(SUBSTITUTE(SUBSTITUTE(CLEAN(I52&amp;"")," ",""),".","")," ",""),"-",""))))=SUBSTITUTE(SUBSTITUTE(SUBSTITUTE(SUBSTITUTE(CLEAN(I52&amp;"")," ",""),".","")," ",""),"-",""),FALSE)),SUBSTITUTE(SUBSTITUTE(SUBSTITUTE(SUBSTITUTE(CLEAN(I52&amp;"")," ",""),".","")," ",""),"-",""),"CHECK: not 2, 4, 6, 8 or 10 digits"))</f>
        <v/>
      </c>
      <c r="K52" s="11" t="n"/>
      <c r="M52" s="8" t="n"/>
      <c r="N52" s="11" t="n"/>
      <c r="P52" s="8" t="n"/>
      <c r="Q52" s="8" t="n"/>
      <c r="R52" s="8" t="n"/>
      <c r="S52" s="12" t="n"/>
      <c r="T52" s="11" t="n"/>
      <c r="U52" s="11" t="n"/>
      <c r="V52" s="10">
        <f>IF(TRIM(CLEAN(SUBSTITUTE(P52&amp;""," "," ")))="","",UPPER(TRIM(CLEAN(SUBSTITUTE(P52&amp;""," "," "))))&amp;"/"&amp;UPPER(TRIM(CLEAN(SUBSTITUTE(Q52&amp;""," "," ")))))</f>
        <v/>
      </c>
      <c r="W52" s="10">
        <f>IF(V52="","",IF(UPPER(TRIM(CLEAN(SUBSTITUTE(Q52&amp;""," "," "))))&lt;&gt;UPPER(TRIM(CLEAN(SUBSTITUTE(act_Country&amp;""," "," ")))),"CHECK: import country must match B7",IF(COUNTIF(det_Key,V52)&gt;1,"CHECK: listed twice",IF(AND(UPPER(TRIM(CLEAN(SUBSTITUTE(R52&amp;""," "," "))))&lt;&gt;"",UPPER(TRIM(CLEAN(SUBSTITUTE(R52&amp;""," "," "))))&lt;&gt;"IN",UPPER(TRIM(CLEAN(SUBSTITUTE(R52&amp;""," "," "))))&lt;&gt;"OUT"),"CHECK: determination must be IN, OUT or blank",IF(AND(S52&amp;""&lt;&gt;"",NOT(ISNUMBER(S52))),"CHECK: displaced rate must be a percentage",IF(AND(UPPER(TRIM(CLEAN(SUBSTITUTE(R52&amp;""," "," "))))="",NOT(ISNUMBER(S52))),"CHECK: enter IN, OUT or a displaced rate",IF(SUMPRODUCT(--(Calc!$AL$5:$AL$254&lt;&gt;""))=0,"WAIT: Items not loaded yet",IF(COUNTIF(Calc!$AL$5:$AL$254,V52)=0,"CHECK: no Items row for this item and import country","OK"))))))))</f>
        <v/>
      </c>
    </row>
    <row r="53">
      <c r="E53" s="8" t="n"/>
      <c r="F53" s="10">
        <f>IF(SUBSTITUTE(SUBSTITUTE(SUBSTITUTE(SUBSTITUTE(CLEAN(E53&amp;"")," ",""),".","")," ",""),"-","")="","",IF(AND(OR(LEN(SUBSTITUTE(SUBSTITUTE(SUBSTITUTE(SUBSTITUTE(CLEAN(E53&amp;"")," ",""),".","")," ",""),"-",""))=2,LEN(SUBSTITUTE(SUBSTITUTE(SUBSTITUTE(SUBSTITUTE(CLEAN(E53&amp;"")," ",""),".","")," ",""),"-",""))=4,LEN(SUBSTITUTE(SUBSTITUTE(SUBSTITUTE(SUBSTITUTE(CLEAN(E53&amp;"")," ",""),".","")," ",""),"-",""))=6,LEN(SUBSTITUTE(SUBSTITUTE(SUBSTITUTE(SUBSTITUTE(CLEAN(E53&amp;"")," ",""),".","")," ",""),"-",""))=8,LEN(SUBSTITUTE(SUBSTITUTE(SUBSTITUTE(SUBSTITUTE(CLEAN(E53&amp;"")," ",""),".","")," ",""),"-",""))=10),IFERROR(TEXT(VALUE(SUBSTITUTE(SUBSTITUTE(SUBSTITUTE(SUBSTITUTE(CLEAN(E53&amp;"")," ",""),".","")," ",""),"-","")),REPT("0",LEN(SUBSTITUTE(SUBSTITUTE(SUBSTITUTE(SUBSTITUTE(CLEAN(E53&amp;"")," ",""),".","")," ",""),"-",""))))=SUBSTITUTE(SUBSTITUTE(SUBSTITUTE(SUBSTITUTE(CLEAN(E53&amp;"")," ",""),".","")," ",""),"-",""),FALSE)),SUBSTITUTE(SUBSTITUTE(SUBSTITUTE(SUBSTITUTE(CLEAN(E53&amp;"")," ",""),".","")," ",""),"-",""),"CHECK: not 2, 4, 6, 8 or 10 digits"))</f>
        <v/>
      </c>
      <c r="G53" s="11" t="n"/>
      <c r="H53" s="8" t="n"/>
      <c r="I53" s="8" t="n"/>
      <c r="J53" s="10">
        <f>IF(SUBSTITUTE(SUBSTITUTE(SUBSTITUTE(SUBSTITUTE(CLEAN(I53&amp;"")," ",""),".","")," ",""),"-","")="","",IF(AND(OR(LEN(SUBSTITUTE(SUBSTITUTE(SUBSTITUTE(SUBSTITUTE(CLEAN(I53&amp;"")," ",""),".","")," ",""),"-",""))=2,LEN(SUBSTITUTE(SUBSTITUTE(SUBSTITUTE(SUBSTITUTE(CLEAN(I53&amp;"")," ",""),".","")," ",""),"-",""))=4,LEN(SUBSTITUTE(SUBSTITUTE(SUBSTITUTE(SUBSTITUTE(CLEAN(I53&amp;"")," ",""),".","")," ",""),"-",""))=6,LEN(SUBSTITUTE(SUBSTITUTE(SUBSTITUTE(SUBSTITUTE(CLEAN(I53&amp;"")," ",""),".","")," ",""),"-",""))=8,LEN(SUBSTITUTE(SUBSTITUTE(SUBSTITUTE(SUBSTITUTE(CLEAN(I53&amp;"")," ",""),".","")," ",""),"-",""))=10),IFERROR(TEXT(VALUE(SUBSTITUTE(SUBSTITUTE(SUBSTITUTE(SUBSTITUTE(CLEAN(I53&amp;"")," ",""),".","")," ",""),"-","")),REPT("0",LEN(SUBSTITUTE(SUBSTITUTE(SUBSTITUTE(SUBSTITUTE(CLEAN(I53&amp;"")," ",""),".","")," ",""),"-",""))))=SUBSTITUTE(SUBSTITUTE(SUBSTITUTE(SUBSTITUTE(CLEAN(I53&amp;"")," ",""),".","")," ",""),"-",""),FALSE)),SUBSTITUTE(SUBSTITUTE(SUBSTITUTE(SUBSTITUTE(CLEAN(I53&amp;"")," ",""),".","")," ",""),"-",""),"CHECK: not 2, 4, 6, 8 or 10 digits"))</f>
        <v/>
      </c>
      <c r="K53" s="11" t="n"/>
      <c r="M53" s="8" t="n"/>
      <c r="N53" s="11" t="n"/>
      <c r="P53" s="8" t="n"/>
      <c r="Q53" s="8" t="n"/>
      <c r="R53" s="8" t="n"/>
      <c r="S53" s="12" t="n"/>
      <c r="T53" s="11" t="n"/>
      <c r="U53" s="11" t="n"/>
      <c r="V53" s="10">
        <f>IF(TRIM(CLEAN(SUBSTITUTE(P53&amp;""," "," ")))="","",UPPER(TRIM(CLEAN(SUBSTITUTE(P53&amp;""," "," "))))&amp;"/"&amp;UPPER(TRIM(CLEAN(SUBSTITUTE(Q53&amp;""," "," ")))))</f>
        <v/>
      </c>
      <c r="W53" s="10">
        <f>IF(V53="","",IF(UPPER(TRIM(CLEAN(SUBSTITUTE(Q53&amp;""," "," "))))&lt;&gt;UPPER(TRIM(CLEAN(SUBSTITUTE(act_Country&amp;""," "," ")))),"CHECK: import country must match B7",IF(COUNTIF(det_Key,V53)&gt;1,"CHECK: listed twice",IF(AND(UPPER(TRIM(CLEAN(SUBSTITUTE(R53&amp;""," "," "))))&lt;&gt;"",UPPER(TRIM(CLEAN(SUBSTITUTE(R53&amp;""," "," "))))&lt;&gt;"IN",UPPER(TRIM(CLEAN(SUBSTITUTE(R53&amp;""," "," "))))&lt;&gt;"OUT"),"CHECK: determination must be IN, OUT or blank",IF(AND(S53&amp;""&lt;&gt;"",NOT(ISNUMBER(S53))),"CHECK: displaced rate must be a percentage",IF(AND(UPPER(TRIM(CLEAN(SUBSTITUTE(R53&amp;""," "," "))))="",NOT(ISNUMBER(S53))),"CHECK: enter IN, OUT or a displaced rate",IF(SUMPRODUCT(--(Calc!$AL$5:$AL$254&lt;&gt;""))=0,"WAIT: Items not loaded yet",IF(COUNTIF(Calc!$AL$5:$AL$254,V53)=0,"CHECK: no Items row for this item and import country","OK"))))))))</f>
        <v/>
      </c>
    </row>
    <row r="54">
      <c r="E54" s="8" t="n"/>
      <c r="F54" s="10">
        <f>IF(SUBSTITUTE(SUBSTITUTE(SUBSTITUTE(SUBSTITUTE(CLEAN(E54&amp;"")," ",""),".","")," ",""),"-","")="","",IF(AND(OR(LEN(SUBSTITUTE(SUBSTITUTE(SUBSTITUTE(SUBSTITUTE(CLEAN(E54&amp;"")," ",""),".","")," ",""),"-",""))=2,LEN(SUBSTITUTE(SUBSTITUTE(SUBSTITUTE(SUBSTITUTE(CLEAN(E54&amp;"")," ",""),".","")," ",""),"-",""))=4,LEN(SUBSTITUTE(SUBSTITUTE(SUBSTITUTE(SUBSTITUTE(CLEAN(E54&amp;"")," ",""),".","")," ",""),"-",""))=6,LEN(SUBSTITUTE(SUBSTITUTE(SUBSTITUTE(SUBSTITUTE(CLEAN(E54&amp;"")," ",""),".","")," ",""),"-",""))=8,LEN(SUBSTITUTE(SUBSTITUTE(SUBSTITUTE(SUBSTITUTE(CLEAN(E54&amp;"")," ",""),".","")," ",""),"-",""))=10),IFERROR(TEXT(VALUE(SUBSTITUTE(SUBSTITUTE(SUBSTITUTE(SUBSTITUTE(CLEAN(E54&amp;"")," ",""),".","")," ",""),"-","")),REPT("0",LEN(SUBSTITUTE(SUBSTITUTE(SUBSTITUTE(SUBSTITUTE(CLEAN(E54&amp;"")," ",""),".","")," ",""),"-",""))))=SUBSTITUTE(SUBSTITUTE(SUBSTITUTE(SUBSTITUTE(CLEAN(E54&amp;"")," ",""),".","")," ",""),"-",""),FALSE)),SUBSTITUTE(SUBSTITUTE(SUBSTITUTE(SUBSTITUTE(CLEAN(E54&amp;"")," ",""),".","")," ",""),"-",""),"CHECK: not 2, 4, 6, 8 or 10 digits"))</f>
        <v/>
      </c>
      <c r="G54" s="11" t="n"/>
      <c r="H54" s="8" t="n"/>
      <c r="I54" s="8" t="n"/>
      <c r="J54" s="10">
        <f>IF(SUBSTITUTE(SUBSTITUTE(SUBSTITUTE(SUBSTITUTE(CLEAN(I54&amp;"")," ",""),".","")," ",""),"-","")="","",IF(AND(OR(LEN(SUBSTITUTE(SUBSTITUTE(SUBSTITUTE(SUBSTITUTE(CLEAN(I54&amp;"")," ",""),".","")," ",""),"-",""))=2,LEN(SUBSTITUTE(SUBSTITUTE(SUBSTITUTE(SUBSTITUTE(CLEAN(I54&amp;"")," ",""),".","")," ",""),"-",""))=4,LEN(SUBSTITUTE(SUBSTITUTE(SUBSTITUTE(SUBSTITUTE(CLEAN(I54&amp;"")," ",""),".","")," ",""),"-",""))=6,LEN(SUBSTITUTE(SUBSTITUTE(SUBSTITUTE(SUBSTITUTE(CLEAN(I54&amp;"")," ",""),".","")," ",""),"-",""))=8,LEN(SUBSTITUTE(SUBSTITUTE(SUBSTITUTE(SUBSTITUTE(CLEAN(I54&amp;"")," ",""),".","")," ",""),"-",""))=10),IFERROR(TEXT(VALUE(SUBSTITUTE(SUBSTITUTE(SUBSTITUTE(SUBSTITUTE(CLEAN(I54&amp;"")," ",""),".","")," ",""),"-","")),REPT("0",LEN(SUBSTITUTE(SUBSTITUTE(SUBSTITUTE(SUBSTITUTE(CLEAN(I54&amp;"")," ",""),".","")," ",""),"-",""))))=SUBSTITUTE(SUBSTITUTE(SUBSTITUTE(SUBSTITUTE(CLEAN(I54&amp;"")," ",""),".","")," ",""),"-",""),FALSE)),SUBSTITUTE(SUBSTITUTE(SUBSTITUTE(SUBSTITUTE(CLEAN(I54&amp;"")," ",""),".","")," ",""),"-",""),"CHECK: not 2, 4, 6, 8 or 10 digits"))</f>
        <v/>
      </c>
      <c r="K54" s="11" t="n"/>
      <c r="M54" s="8" t="n"/>
      <c r="N54" s="11" t="n"/>
      <c r="P54" s="8" t="n"/>
      <c r="Q54" s="8" t="n"/>
      <c r="R54" s="8" t="n"/>
      <c r="S54" s="12" t="n"/>
      <c r="T54" s="11" t="n"/>
      <c r="U54" s="11" t="n"/>
      <c r="V54" s="10">
        <f>IF(TRIM(CLEAN(SUBSTITUTE(P54&amp;""," "," ")))="","",UPPER(TRIM(CLEAN(SUBSTITUTE(P54&amp;""," "," "))))&amp;"/"&amp;UPPER(TRIM(CLEAN(SUBSTITUTE(Q54&amp;""," "," ")))))</f>
        <v/>
      </c>
      <c r="W54" s="10">
        <f>IF(V54="","",IF(UPPER(TRIM(CLEAN(SUBSTITUTE(Q54&amp;""," "," "))))&lt;&gt;UPPER(TRIM(CLEAN(SUBSTITUTE(act_Country&amp;""," "," ")))),"CHECK: import country must match B7",IF(COUNTIF(det_Key,V54)&gt;1,"CHECK: listed twice",IF(AND(UPPER(TRIM(CLEAN(SUBSTITUTE(R54&amp;""," "," "))))&lt;&gt;"",UPPER(TRIM(CLEAN(SUBSTITUTE(R54&amp;""," "," "))))&lt;&gt;"IN",UPPER(TRIM(CLEAN(SUBSTITUTE(R54&amp;""," "," "))))&lt;&gt;"OUT"),"CHECK: determination must be IN, OUT or blank",IF(AND(S54&amp;""&lt;&gt;"",NOT(ISNUMBER(S54))),"CHECK: displaced rate must be a percentage",IF(AND(UPPER(TRIM(CLEAN(SUBSTITUTE(R54&amp;""," "," "))))="",NOT(ISNUMBER(S54))),"CHECK: enter IN, OUT or a displaced rate",IF(SUMPRODUCT(--(Calc!$AL$5:$AL$254&lt;&gt;""))=0,"WAIT: Items not loaded yet",IF(COUNTIF(Calc!$AL$5:$AL$254,V54)=0,"CHECK: no Items row for this item and import country","OK"))))))))</f>
        <v/>
      </c>
    </row>
    <row r="55">
      <c r="E55" s="8" t="n"/>
      <c r="F55" s="10">
        <f>IF(SUBSTITUTE(SUBSTITUTE(SUBSTITUTE(SUBSTITUTE(CLEAN(E55&amp;"")," ",""),".","")," ",""),"-","")="","",IF(AND(OR(LEN(SUBSTITUTE(SUBSTITUTE(SUBSTITUTE(SUBSTITUTE(CLEAN(E55&amp;"")," ",""),".","")," ",""),"-",""))=2,LEN(SUBSTITUTE(SUBSTITUTE(SUBSTITUTE(SUBSTITUTE(CLEAN(E55&amp;"")," ",""),".","")," ",""),"-",""))=4,LEN(SUBSTITUTE(SUBSTITUTE(SUBSTITUTE(SUBSTITUTE(CLEAN(E55&amp;"")," ",""),".","")," ",""),"-",""))=6,LEN(SUBSTITUTE(SUBSTITUTE(SUBSTITUTE(SUBSTITUTE(CLEAN(E55&amp;"")," ",""),".","")," ",""),"-",""))=8,LEN(SUBSTITUTE(SUBSTITUTE(SUBSTITUTE(SUBSTITUTE(CLEAN(E55&amp;"")," ",""),".","")," ",""),"-",""))=10),IFERROR(TEXT(VALUE(SUBSTITUTE(SUBSTITUTE(SUBSTITUTE(SUBSTITUTE(CLEAN(E55&amp;"")," ",""),".","")," ",""),"-","")),REPT("0",LEN(SUBSTITUTE(SUBSTITUTE(SUBSTITUTE(SUBSTITUTE(CLEAN(E55&amp;"")," ",""),".","")," ",""),"-",""))))=SUBSTITUTE(SUBSTITUTE(SUBSTITUTE(SUBSTITUTE(CLEAN(E55&amp;"")," ",""),".","")," ",""),"-",""),FALSE)),SUBSTITUTE(SUBSTITUTE(SUBSTITUTE(SUBSTITUTE(CLEAN(E55&amp;"")," ",""),".","")," ",""),"-",""),"CHECK: not 2, 4, 6, 8 or 10 digits"))</f>
        <v/>
      </c>
      <c r="G55" s="11" t="n"/>
      <c r="H55" s="8" t="n"/>
      <c r="I55" s="8" t="n"/>
      <c r="J55" s="10">
        <f>IF(SUBSTITUTE(SUBSTITUTE(SUBSTITUTE(SUBSTITUTE(CLEAN(I55&amp;"")," ",""),".","")," ",""),"-","")="","",IF(AND(OR(LEN(SUBSTITUTE(SUBSTITUTE(SUBSTITUTE(SUBSTITUTE(CLEAN(I55&amp;"")," ",""),".","")," ",""),"-",""))=2,LEN(SUBSTITUTE(SUBSTITUTE(SUBSTITUTE(SUBSTITUTE(CLEAN(I55&amp;"")," ",""),".","")," ",""),"-",""))=4,LEN(SUBSTITUTE(SUBSTITUTE(SUBSTITUTE(SUBSTITUTE(CLEAN(I55&amp;"")," ",""),".","")," ",""),"-",""))=6,LEN(SUBSTITUTE(SUBSTITUTE(SUBSTITUTE(SUBSTITUTE(CLEAN(I55&amp;"")," ",""),".","")," ",""),"-",""))=8,LEN(SUBSTITUTE(SUBSTITUTE(SUBSTITUTE(SUBSTITUTE(CLEAN(I55&amp;"")," ",""),".","")," ",""),"-",""))=10),IFERROR(TEXT(VALUE(SUBSTITUTE(SUBSTITUTE(SUBSTITUTE(SUBSTITUTE(CLEAN(I55&amp;"")," ",""),".","")," ",""),"-","")),REPT("0",LEN(SUBSTITUTE(SUBSTITUTE(SUBSTITUTE(SUBSTITUTE(CLEAN(I55&amp;"")," ",""),".","")," ",""),"-",""))))=SUBSTITUTE(SUBSTITUTE(SUBSTITUTE(SUBSTITUTE(CLEAN(I55&amp;"")," ",""),".","")," ",""),"-",""),FALSE)),SUBSTITUTE(SUBSTITUTE(SUBSTITUTE(SUBSTITUTE(CLEAN(I55&amp;"")," ",""),".","")," ",""),"-",""),"CHECK: not 2, 4, 6, 8 or 10 digits"))</f>
        <v/>
      </c>
      <c r="K55" s="11" t="n"/>
      <c r="P55" s="8" t="n"/>
      <c r="Q55" s="8" t="n"/>
      <c r="R55" s="8" t="n"/>
      <c r="S55" s="12" t="n"/>
      <c r="T55" s="11" t="n"/>
      <c r="U55" s="11" t="n"/>
      <c r="V55" s="10">
        <f>IF(TRIM(CLEAN(SUBSTITUTE(P55&amp;""," "," ")))="","",UPPER(TRIM(CLEAN(SUBSTITUTE(P55&amp;""," "," "))))&amp;"/"&amp;UPPER(TRIM(CLEAN(SUBSTITUTE(Q55&amp;""," "," ")))))</f>
        <v/>
      </c>
      <c r="W55" s="10">
        <f>IF(V55="","",IF(UPPER(TRIM(CLEAN(SUBSTITUTE(Q55&amp;""," "," "))))&lt;&gt;UPPER(TRIM(CLEAN(SUBSTITUTE(act_Country&amp;""," "," ")))),"CHECK: import country must match B7",IF(COUNTIF(det_Key,V55)&gt;1,"CHECK: listed twice",IF(AND(UPPER(TRIM(CLEAN(SUBSTITUTE(R55&amp;""," "," "))))&lt;&gt;"",UPPER(TRIM(CLEAN(SUBSTITUTE(R55&amp;""," "," "))))&lt;&gt;"IN",UPPER(TRIM(CLEAN(SUBSTITUTE(R55&amp;""," "," "))))&lt;&gt;"OUT"),"CHECK: determination must be IN, OUT or blank",IF(AND(S55&amp;""&lt;&gt;"",NOT(ISNUMBER(S55))),"CHECK: displaced rate must be a percentage",IF(AND(UPPER(TRIM(CLEAN(SUBSTITUTE(R55&amp;""," "," "))))="",NOT(ISNUMBER(S55))),"CHECK: enter IN, OUT or a displaced rate",IF(SUMPRODUCT(--(Calc!$AL$5:$AL$254&lt;&gt;""))=0,"WAIT: Items not loaded yet",IF(COUNTIF(Calc!$AL$5:$AL$254,V55)=0,"CHECK: no Items row for this item and import country","OK"))))))))</f>
        <v/>
      </c>
    </row>
    <row r="56">
      <c r="E56" s="8" t="n"/>
      <c r="F56" s="10">
        <f>IF(SUBSTITUTE(SUBSTITUTE(SUBSTITUTE(SUBSTITUTE(CLEAN(E56&amp;"")," ",""),".","")," ",""),"-","")="","",IF(AND(OR(LEN(SUBSTITUTE(SUBSTITUTE(SUBSTITUTE(SUBSTITUTE(CLEAN(E56&amp;"")," ",""),".","")," ",""),"-",""))=2,LEN(SUBSTITUTE(SUBSTITUTE(SUBSTITUTE(SUBSTITUTE(CLEAN(E56&amp;"")," ",""),".","")," ",""),"-",""))=4,LEN(SUBSTITUTE(SUBSTITUTE(SUBSTITUTE(SUBSTITUTE(CLEAN(E56&amp;"")," ",""),".","")," ",""),"-",""))=6,LEN(SUBSTITUTE(SUBSTITUTE(SUBSTITUTE(SUBSTITUTE(CLEAN(E56&amp;"")," ",""),".","")," ",""),"-",""))=8,LEN(SUBSTITUTE(SUBSTITUTE(SUBSTITUTE(SUBSTITUTE(CLEAN(E56&amp;"")," ",""),".","")," ",""),"-",""))=10),IFERROR(TEXT(VALUE(SUBSTITUTE(SUBSTITUTE(SUBSTITUTE(SUBSTITUTE(CLEAN(E56&amp;"")," ",""),".","")," ",""),"-","")),REPT("0",LEN(SUBSTITUTE(SUBSTITUTE(SUBSTITUTE(SUBSTITUTE(CLEAN(E56&amp;"")," ",""),".","")," ",""),"-",""))))=SUBSTITUTE(SUBSTITUTE(SUBSTITUTE(SUBSTITUTE(CLEAN(E56&amp;"")," ",""),".","")," ",""),"-",""),FALSE)),SUBSTITUTE(SUBSTITUTE(SUBSTITUTE(SUBSTITUTE(CLEAN(E56&amp;"")," ",""),".","")," ",""),"-",""),"CHECK: not 2, 4, 6, 8 or 10 digits"))</f>
        <v/>
      </c>
      <c r="G56" s="11" t="n"/>
      <c r="H56" s="8" t="n"/>
      <c r="I56" s="8" t="n"/>
      <c r="J56" s="10">
        <f>IF(SUBSTITUTE(SUBSTITUTE(SUBSTITUTE(SUBSTITUTE(CLEAN(I56&amp;"")," ",""),".","")," ",""),"-","")="","",IF(AND(OR(LEN(SUBSTITUTE(SUBSTITUTE(SUBSTITUTE(SUBSTITUTE(CLEAN(I56&amp;"")," ",""),".","")," ",""),"-",""))=2,LEN(SUBSTITUTE(SUBSTITUTE(SUBSTITUTE(SUBSTITUTE(CLEAN(I56&amp;"")," ",""),".","")," ",""),"-",""))=4,LEN(SUBSTITUTE(SUBSTITUTE(SUBSTITUTE(SUBSTITUTE(CLEAN(I56&amp;"")," ",""),".","")," ",""),"-",""))=6,LEN(SUBSTITUTE(SUBSTITUTE(SUBSTITUTE(SUBSTITUTE(CLEAN(I56&amp;"")," ",""),".","")," ",""),"-",""))=8,LEN(SUBSTITUTE(SUBSTITUTE(SUBSTITUTE(SUBSTITUTE(CLEAN(I56&amp;"")," ",""),".","")," ",""),"-",""))=10),IFERROR(TEXT(VALUE(SUBSTITUTE(SUBSTITUTE(SUBSTITUTE(SUBSTITUTE(CLEAN(I56&amp;"")," ",""),".","")," ",""),"-","")),REPT("0",LEN(SUBSTITUTE(SUBSTITUTE(SUBSTITUTE(SUBSTITUTE(CLEAN(I56&amp;"")," ",""),".","")," ",""),"-",""))))=SUBSTITUTE(SUBSTITUTE(SUBSTITUTE(SUBSTITUTE(CLEAN(I56&amp;"")," ",""),".","")," ",""),"-",""),FALSE)),SUBSTITUTE(SUBSTITUTE(SUBSTITUTE(SUBSTITUTE(CLEAN(I56&amp;"")," ",""),".","")," ",""),"-",""),"CHECK: not 2, 4, 6, 8 or 10 digits"))</f>
        <v/>
      </c>
      <c r="K56" s="11" t="n"/>
      <c r="P56" s="8" t="n"/>
      <c r="Q56" s="8" t="n"/>
      <c r="R56" s="8" t="n"/>
      <c r="S56" s="12" t="n"/>
      <c r="T56" s="11" t="n"/>
      <c r="U56" s="11" t="n"/>
      <c r="V56" s="10">
        <f>IF(TRIM(CLEAN(SUBSTITUTE(P56&amp;""," "," ")))="","",UPPER(TRIM(CLEAN(SUBSTITUTE(P56&amp;""," "," "))))&amp;"/"&amp;UPPER(TRIM(CLEAN(SUBSTITUTE(Q56&amp;""," "," ")))))</f>
        <v/>
      </c>
      <c r="W56" s="10">
        <f>IF(V56="","",IF(UPPER(TRIM(CLEAN(SUBSTITUTE(Q56&amp;""," "," "))))&lt;&gt;UPPER(TRIM(CLEAN(SUBSTITUTE(act_Country&amp;""," "," ")))),"CHECK: import country must match B7",IF(COUNTIF(det_Key,V56)&gt;1,"CHECK: listed twice",IF(AND(UPPER(TRIM(CLEAN(SUBSTITUTE(R56&amp;""," "," "))))&lt;&gt;"",UPPER(TRIM(CLEAN(SUBSTITUTE(R56&amp;""," "," "))))&lt;&gt;"IN",UPPER(TRIM(CLEAN(SUBSTITUTE(R56&amp;""," "," "))))&lt;&gt;"OUT"),"CHECK: determination must be IN, OUT or blank",IF(AND(S56&amp;""&lt;&gt;"",NOT(ISNUMBER(S56))),"CHECK: displaced rate must be a percentage",IF(AND(UPPER(TRIM(CLEAN(SUBSTITUTE(R56&amp;""," "," "))))="",NOT(ISNUMBER(S56))),"CHECK: enter IN, OUT or a displaced rate",IF(SUMPRODUCT(--(Calc!$AL$5:$AL$254&lt;&gt;""))=0,"WAIT: Items not loaded yet",IF(COUNTIF(Calc!$AL$5:$AL$254,V56)=0,"CHECK: no Items row for this item and import country","OK"))))))))</f>
        <v/>
      </c>
    </row>
    <row r="57">
      <c r="E57" s="8" t="n"/>
      <c r="F57" s="10">
        <f>IF(SUBSTITUTE(SUBSTITUTE(SUBSTITUTE(SUBSTITUTE(CLEAN(E57&amp;"")," ",""),".","")," ",""),"-","")="","",IF(AND(OR(LEN(SUBSTITUTE(SUBSTITUTE(SUBSTITUTE(SUBSTITUTE(CLEAN(E57&amp;"")," ",""),".","")," ",""),"-",""))=2,LEN(SUBSTITUTE(SUBSTITUTE(SUBSTITUTE(SUBSTITUTE(CLEAN(E57&amp;"")," ",""),".","")," ",""),"-",""))=4,LEN(SUBSTITUTE(SUBSTITUTE(SUBSTITUTE(SUBSTITUTE(CLEAN(E57&amp;"")," ",""),".","")," ",""),"-",""))=6,LEN(SUBSTITUTE(SUBSTITUTE(SUBSTITUTE(SUBSTITUTE(CLEAN(E57&amp;"")," ",""),".","")," ",""),"-",""))=8,LEN(SUBSTITUTE(SUBSTITUTE(SUBSTITUTE(SUBSTITUTE(CLEAN(E57&amp;"")," ",""),".","")," ",""),"-",""))=10),IFERROR(TEXT(VALUE(SUBSTITUTE(SUBSTITUTE(SUBSTITUTE(SUBSTITUTE(CLEAN(E57&amp;"")," ",""),".","")," ",""),"-","")),REPT("0",LEN(SUBSTITUTE(SUBSTITUTE(SUBSTITUTE(SUBSTITUTE(CLEAN(E57&amp;"")," ",""),".","")," ",""),"-",""))))=SUBSTITUTE(SUBSTITUTE(SUBSTITUTE(SUBSTITUTE(CLEAN(E57&amp;"")," ",""),".","")," ",""),"-",""),FALSE)),SUBSTITUTE(SUBSTITUTE(SUBSTITUTE(SUBSTITUTE(CLEAN(E57&amp;"")," ",""),".","")," ",""),"-",""),"CHECK: not 2, 4, 6, 8 or 10 digits"))</f>
        <v/>
      </c>
      <c r="G57" s="11" t="n"/>
      <c r="H57" s="8" t="n"/>
      <c r="I57" s="8" t="n"/>
      <c r="J57" s="10">
        <f>IF(SUBSTITUTE(SUBSTITUTE(SUBSTITUTE(SUBSTITUTE(CLEAN(I57&amp;"")," ",""),".","")," ",""),"-","")="","",IF(AND(OR(LEN(SUBSTITUTE(SUBSTITUTE(SUBSTITUTE(SUBSTITUTE(CLEAN(I57&amp;"")," ",""),".","")," ",""),"-",""))=2,LEN(SUBSTITUTE(SUBSTITUTE(SUBSTITUTE(SUBSTITUTE(CLEAN(I57&amp;"")," ",""),".","")," ",""),"-",""))=4,LEN(SUBSTITUTE(SUBSTITUTE(SUBSTITUTE(SUBSTITUTE(CLEAN(I57&amp;"")," ",""),".","")," ",""),"-",""))=6,LEN(SUBSTITUTE(SUBSTITUTE(SUBSTITUTE(SUBSTITUTE(CLEAN(I57&amp;"")," ",""),".","")," ",""),"-",""))=8,LEN(SUBSTITUTE(SUBSTITUTE(SUBSTITUTE(SUBSTITUTE(CLEAN(I57&amp;"")," ",""),".","")," ",""),"-",""))=10),IFERROR(TEXT(VALUE(SUBSTITUTE(SUBSTITUTE(SUBSTITUTE(SUBSTITUTE(CLEAN(I57&amp;"")," ",""),".","")," ",""),"-","")),REPT("0",LEN(SUBSTITUTE(SUBSTITUTE(SUBSTITUTE(SUBSTITUTE(CLEAN(I57&amp;"")," ",""),".","")," ",""),"-",""))))=SUBSTITUTE(SUBSTITUTE(SUBSTITUTE(SUBSTITUTE(CLEAN(I57&amp;"")," ",""),".","")," ",""),"-",""),FALSE)),SUBSTITUTE(SUBSTITUTE(SUBSTITUTE(SUBSTITUTE(CLEAN(I57&amp;"")," ",""),".","")," ",""),"-",""),"CHECK: not 2, 4, 6, 8 or 10 digits"))</f>
        <v/>
      </c>
      <c r="K57" s="11" t="n"/>
      <c r="P57" s="8" t="n"/>
      <c r="Q57" s="8" t="n"/>
      <c r="R57" s="8" t="n"/>
      <c r="S57" s="12" t="n"/>
      <c r="T57" s="11" t="n"/>
      <c r="U57" s="11" t="n"/>
      <c r="V57" s="10">
        <f>IF(TRIM(CLEAN(SUBSTITUTE(P57&amp;""," "," ")))="","",UPPER(TRIM(CLEAN(SUBSTITUTE(P57&amp;""," "," "))))&amp;"/"&amp;UPPER(TRIM(CLEAN(SUBSTITUTE(Q57&amp;""," "," ")))))</f>
        <v/>
      </c>
      <c r="W57" s="10">
        <f>IF(V57="","",IF(UPPER(TRIM(CLEAN(SUBSTITUTE(Q57&amp;""," "," "))))&lt;&gt;UPPER(TRIM(CLEAN(SUBSTITUTE(act_Country&amp;""," "," ")))),"CHECK: import country must match B7",IF(COUNTIF(det_Key,V57)&gt;1,"CHECK: listed twice",IF(AND(UPPER(TRIM(CLEAN(SUBSTITUTE(R57&amp;""," "," "))))&lt;&gt;"",UPPER(TRIM(CLEAN(SUBSTITUTE(R57&amp;""," "," "))))&lt;&gt;"IN",UPPER(TRIM(CLEAN(SUBSTITUTE(R57&amp;""," "," "))))&lt;&gt;"OUT"),"CHECK: determination must be IN, OUT or blank",IF(AND(S57&amp;""&lt;&gt;"",NOT(ISNUMBER(S57))),"CHECK: displaced rate must be a percentage",IF(AND(UPPER(TRIM(CLEAN(SUBSTITUTE(R57&amp;""," "," "))))="",NOT(ISNUMBER(S57))),"CHECK: enter IN, OUT or a displaced rate",IF(SUMPRODUCT(--(Calc!$AL$5:$AL$254&lt;&gt;""))=0,"WAIT: Items not loaded yet",IF(COUNTIF(Calc!$AL$5:$AL$254,V57)=0,"CHECK: no Items row for this item and import country","OK"))))))))</f>
        <v/>
      </c>
    </row>
    <row r="58">
      <c r="E58" s="8" t="n"/>
      <c r="F58" s="10">
        <f>IF(SUBSTITUTE(SUBSTITUTE(SUBSTITUTE(SUBSTITUTE(CLEAN(E58&amp;"")," ",""),".","")," ",""),"-","")="","",IF(AND(OR(LEN(SUBSTITUTE(SUBSTITUTE(SUBSTITUTE(SUBSTITUTE(CLEAN(E58&amp;"")," ",""),".","")," ",""),"-",""))=2,LEN(SUBSTITUTE(SUBSTITUTE(SUBSTITUTE(SUBSTITUTE(CLEAN(E58&amp;"")," ",""),".","")," ",""),"-",""))=4,LEN(SUBSTITUTE(SUBSTITUTE(SUBSTITUTE(SUBSTITUTE(CLEAN(E58&amp;"")," ",""),".","")," ",""),"-",""))=6,LEN(SUBSTITUTE(SUBSTITUTE(SUBSTITUTE(SUBSTITUTE(CLEAN(E58&amp;"")," ",""),".","")," ",""),"-",""))=8,LEN(SUBSTITUTE(SUBSTITUTE(SUBSTITUTE(SUBSTITUTE(CLEAN(E58&amp;"")," ",""),".","")," ",""),"-",""))=10),IFERROR(TEXT(VALUE(SUBSTITUTE(SUBSTITUTE(SUBSTITUTE(SUBSTITUTE(CLEAN(E58&amp;"")," ",""),".","")," ",""),"-","")),REPT("0",LEN(SUBSTITUTE(SUBSTITUTE(SUBSTITUTE(SUBSTITUTE(CLEAN(E58&amp;"")," ",""),".","")," ",""),"-",""))))=SUBSTITUTE(SUBSTITUTE(SUBSTITUTE(SUBSTITUTE(CLEAN(E58&amp;"")," ",""),".","")," ",""),"-",""),FALSE)),SUBSTITUTE(SUBSTITUTE(SUBSTITUTE(SUBSTITUTE(CLEAN(E58&amp;"")," ",""),".","")," ",""),"-",""),"CHECK: not 2, 4, 6, 8 or 10 digits"))</f>
        <v/>
      </c>
      <c r="G58" s="11" t="n"/>
      <c r="H58" s="8" t="n"/>
      <c r="I58" s="8" t="n"/>
      <c r="J58" s="10">
        <f>IF(SUBSTITUTE(SUBSTITUTE(SUBSTITUTE(SUBSTITUTE(CLEAN(I58&amp;"")," ",""),".","")," ",""),"-","")="","",IF(AND(OR(LEN(SUBSTITUTE(SUBSTITUTE(SUBSTITUTE(SUBSTITUTE(CLEAN(I58&amp;"")," ",""),".","")," ",""),"-",""))=2,LEN(SUBSTITUTE(SUBSTITUTE(SUBSTITUTE(SUBSTITUTE(CLEAN(I58&amp;"")," ",""),".","")," ",""),"-",""))=4,LEN(SUBSTITUTE(SUBSTITUTE(SUBSTITUTE(SUBSTITUTE(CLEAN(I58&amp;"")," ",""),".","")," ",""),"-",""))=6,LEN(SUBSTITUTE(SUBSTITUTE(SUBSTITUTE(SUBSTITUTE(CLEAN(I58&amp;"")," ",""),".","")," ",""),"-",""))=8,LEN(SUBSTITUTE(SUBSTITUTE(SUBSTITUTE(SUBSTITUTE(CLEAN(I58&amp;"")," ",""),".","")," ",""),"-",""))=10),IFERROR(TEXT(VALUE(SUBSTITUTE(SUBSTITUTE(SUBSTITUTE(SUBSTITUTE(CLEAN(I58&amp;"")," ",""),".","")," ",""),"-","")),REPT("0",LEN(SUBSTITUTE(SUBSTITUTE(SUBSTITUTE(SUBSTITUTE(CLEAN(I58&amp;"")," ",""),".","")," ",""),"-",""))))=SUBSTITUTE(SUBSTITUTE(SUBSTITUTE(SUBSTITUTE(CLEAN(I58&amp;"")," ",""),".","")," ",""),"-",""),FALSE)),SUBSTITUTE(SUBSTITUTE(SUBSTITUTE(SUBSTITUTE(CLEAN(I58&amp;"")," ",""),".","")," ",""),"-",""),"CHECK: not 2, 4, 6, 8 or 10 digits"))</f>
        <v/>
      </c>
      <c r="K58" s="11" t="n"/>
      <c r="P58" s="8" t="n"/>
      <c r="Q58" s="8" t="n"/>
      <c r="R58" s="8" t="n"/>
      <c r="S58" s="12" t="n"/>
      <c r="T58" s="11" t="n"/>
      <c r="U58" s="11" t="n"/>
      <c r="V58" s="10">
        <f>IF(TRIM(CLEAN(SUBSTITUTE(P58&amp;""," "," ")))="","",UPPER(TRIM(CLEAN(SUBSTITUTE(P58&amp;""," "," "))))&amp;"/"&amp;UPPER(TRIM(CLEAN(SUBSTITUTE(Q58&amp;""," "," ")))))</f>
        <v/>
      </c>
      <c r="W58" s="10">
        <f>IF(V58="","",IF(UPPER(TRIM(CLEAN(SUBSTITUTE(Q58&amp;""," "," "))))&lt;&gt;UPPER(TRIM(CLEAN(SUBSTITUTE(act_Country&amp;""," "," ")))),"CHECK: import country must match B7",IF(COUNTIF(det_Key,V58)&gt;1,"CHECK: listed twice",IF(AND(UPPER(TRIM(CLEAN(SUBSTITUTE(R58&amp;""," "," "))))&lt;&gt;"",UPPER(TRIM(CLEAN(SUBSTITUTE(R58&amp;""," "," "))))&lt;&gt;"IN",UPPER(TRIM(CLEAN(SUBSTITUTE(R58&amp;""," "," "))))&lt;&gt;"OUT"),"CHECK: determination must be IN, OUT or blank",IF(AND(S58&amp;""&lt;&gt;"",NOT(ISNUMBER(S58))),"CHECK: displaced rate must be a percentage",IF(AND(UPPER(TRIM(CLEAN(SUBSTITUTE(R58&amp;""," "," "))))="",NOT(ISNUMBER(S58))),"CHECK: enter IN, OUT or a displaced rate",IF(SUMPRODUCT(--(Calc!$AL$5:$AL$254&lt;&gt;""))=0,"WAIT: Items not loaded yet",IF(COUNTIF(Calc!$AL$5:$AL$254,V58)=0,"CHECK: no Items row for this item and import country","OK"))))))))</f>
        <v/>
      </c>
    </row>
    <row r="59">
      <c r="E59" s="8" t="n"/>
      <c r="F59" s="10">
        <f>IF(SUBSTITUTE(SUBSTITUTE(SUBSTITUTE(SUBSTITUTE(CLEAN(E59&amp;"")," ",""),".","")," ",""),"-","")="","",IF(AND(OR(LEN(SUBSTITUTE(SUBSTITUTE(SUBSTITUTE(SUBSTITUTE(CLEAN(E59&amp;"")," ",""),".","")," ",""),"-",""))=2,LEN(SUBSTITUTE(SUBSTITUTE(SUBSTITUTE(SUBSTITUTE(CLEAN(E59&amp;"")," ",""),".","")," ",""),"-",""))=4,LEN(SUBSTITUTE(SUBSTITUTE(SUBSTITUTE(SUBSTITUTE(CLEAN(E59&amp;"")," ",""),".","")," ",""),"-",""))=6,LEN(SUBSTITUTE(SUBSTITUTE(SUBSTITUTE(SUBSTITUTE(CLEAN(E59&amp;"")," ",""),".","")," ",""),"-",""))=8,LEN(SUBSTITUTE(SUBSTITUTE(SUBSTITUTE(SUBSTITUTE(CLEAN(E59&amp;"")," ",""),".","")," ",""),"-",""))=10),IFERROR(TEXT(VALUE(SUBSTITUTE(SUBSTITUTE(SUBSTITUTE(SUBSTITUTE(CLEAN(E59&amp;"")," ",""),".","")," ",""),"-","")),REPT("0",LEN(SUBSTITUTE(SUBSTITUTE(SUBSTITUTE(SUBSTITUTE(CLEAN(E59&amp;"")," ",""),".","")," ",""),"-",""))))=SUBSTITUTE(SUBSTITUTE(SUBSTITUTE(SUBSTITUTE(CLEAN(E59&amp;"")," ",""),".","")," ",""),"-",""),FALSE)),SUBSTITUTE(SUBSTITUTE(SUBSTITUTE(SUBSTITUTE(CLEAN(E59&amp;"")," ",""),".","")," ",""),"-",""),"CHECK: not 2, 4, 6, 8 or 10 digits"))</f>
        <v/>
      </c>
      <c r="G59" s="11" t="n"/>
      <c r="H59" s="8" t="n"/>
      <c r="I59" s="8" t="n"/>
      <c r="J59" s="10">
        <f>IF(SUBSTITUTE(SUBSTITUTE(SUBSTITUTE(SUBSTITUTE(CLEAN(I59&amp;"")," ",""),".","")," ",""),"-","")="","",IF(AND(OR(LEN(SUBSTITUTE(SUBSTITUTE(SUBSTITUTE(SUBSTITUTE(CLEAN(I59&amp;"")," ",""),".","")," ",""),"-",""))=2,LEN(SUBSTITUTE(SUBSTITUTE(SUBSTITUTE(SUBSTITUTE(CLEAN(I59&amp;"")," ",""),".","")," ",""),"-",""))=4,LEN(SUBSTITUTE(SUBSTITUTE(SUBSTITUTE(SUBSTITUTE(CLEAN(I59&amp;"")," ",""),".","")," ",""),"-",""))=6,LEN(SUBSTITUTE(SUBSTITUTE(SUBSTITUTE(SUBSTITUTE(CLEAN(I59&amp;"")," ",""),".","")," ",""),"-",""))=8,LEN(SUBSTITUTE(SUBSTITUTE(SUBSTITUTE(SUBSTITUTE(CLEAN(I59&amp;"")," ",""),".","")," ",""),"-",""))=10),IFERROR(TEXT(VALUE(SUBSTITUTE(SUBSTITUTE(SUBSTITUTE(SUBSTITUTE(CLEAN(I59&amp;"")," ",""),".","")," ",""),"-","")),REPT("0",LEN(SUBSTITUTE(SUBSTITUTE(SUBSTITUTE(SUBSTITUTE(CLEAN(I59&amp;"")," ",""),".","")," ",""),"-",""))))=SUBSTITUTE(SUBSTITUTE(SUBSTITUTE(SUBSTITUTE(CLEAN(I59&amp;"")," ",""),".","")," ",""),"-",""),FALSE)),SUBSTITUTE(SUBSTITUTE(SUBSTITUTE(SUBSTITUTE(CLEAN(I59&amp;"")," ",""),".","")," ",""),"-",""),"CHECK: not 2, 4, 6, 8 or 10 digits"))</f>
        <v/>
      </c>
      <c r="K59" s="11" t="n"/>
      <c r="P59" s="8" t="n"/>
      <c r="Q59" s="8" t="n"/>
      <c r="R59" s="8" t="n"/>
      <c r="S59" s="12" t="n"/>
      <c r="T59" s="11" t="n"/>
      <c r="U59" s="11" t="n"/>
      <c r="V59" s="10">
        <f>IF(TRIM(CLEAN(SUBSTITUTE(P59&amp;""," "," ")))="","",UPPER(TRIM(CLEAN(SUBSTITUTE(P59&amp;""," "," "))))&amp;"/"&amp;UPPER(TRIM(CLEAN(SUBSTITUTE(Q59&amp;""," "," ")))))</f>
        <v/>
      </c>
      <c r="W59" s="10">
        <f>IF(V59="","",IF(UPPER(TRIM(CLEAN(SUBSTITUTE(Q59&amp;""," "," "))))&lt;&gt;UPPER(TRIM(CLEAN(SUBSTITUTE(act_Country&amp;""," "," ")))),"CHECK: import country must match B7",IF(COUNTIF(det_Key,V59)&gt;1,"CHECK: listed twice",IF(AND(UPPER(TRIM(CLEAN(SUBSTITUTE(R59&amp;""," "," "))))&lt;&gt;"",UPPER(TRIM(CLEAN(SUBSTITUTE(R59&amp;""," "," "))))&lt;&gt;"IN",UPPER(TRIM(CLEAN(SUBSTITUTE(R59&amp;""," "," "))))&lt;&gt;"OUT"),"CHECK: determination must be IN, OUT or blank",IF(AND(S59&amp;""&lt;&gt;"",NOT(ISNUMBER(S59))),"CHECK: displaced rate must be a percentage",IF(AND(UPPER(TRIM(CLEAN(SUBSTITUTE(R59&amp;""," "," "))))="",NOT(ISNUMBER(S59))),"CHECK: enter IN, OUT or a displaced rate",IF(SUMPRODUCT(--(Calc!$AL$5:$AL$254&lt;&gt;""))=0,"WAIT: Items not loaded yet",IF(COUNTIF(Calc!$AL$5:$AL$254,V59)=0,"CHECK: no Items row for this item and import country","OK"))))))))</f>
        <v/>
      </c>
    </row>
    <row r="60">
      <c r="E60" s="8" t="n"/>
      <c r="F60" s="10">
        <f>IF(SUBSTITUTE(SUBSTITUTE(SUBSTITUTE(SUBSTITUTE(CLEAN(E60&amp;"")," ",""),".","")," ",""),"-","")="","",IF(AND(OR(LEN(SUBSTITUTE(SUBSTITUTE(SUBSTITUTE(SUBSTITUTE(CLEAN(E60&amp;"")," ",""),".","")," ",""),"-",""))=2,LEN(SUBSTITUTE(SUBSTITUTE(SUBSTITUTE(SUBSTITUTE(CLEAN(E60&amp;"")," ",""),".","")," ",""),"-",""))=4,LEN(SUBSTITUTE(SUBSTITUTE(SUBSTITUTE(SUBSTITUTE(CLEAN(E60&amp;"")," ",""),".","")," ",""),"-",""))=6,LEN(SUBSTITUTE(SUBSTITUTE(SUBSTITUTE(SUBSTITUTE(CLEAN(E60&amp;"")," ",""),".","")," ",""),"-",""))=8,LEN(SUBSTITUTE(SUBSTITUTE(SUBSTITUTE(SUBSTITUTE(CLEAN(E60&amp;"")," ",""),".","")," ",""),"-",""))=10),IFERROR(TEXT(VALUE(SUBSTITUTE(SUBSTITUTE(SUBSTITUTE(SUBSTITUTE(CLEAN(E60&amp;"")," ",""),".","")," ",""),"-","")),REPT("0",LEN(SUBSTITUTE(SUBSTITUTE(SUBSTITUTE(SUBSTITUTE(CLEAN(E60&amp;"")," ",""),".","")," ",""),"-",""))))=SUBSTITUTE(SUBSTITUTE(SUBSTITUTE(SUBSTITUTE(CLEAN(E60&amp;"")," ",""),".","")," ",""),"-",""),FALSE)),SUBSTITUTE(SUBSTITUTE(SUBSTITUTE(SUBSTITUTE(CLEAN(E60&amp;"")," ",""),".","")," ",""),"-",""),"CHECK: not 2, 4, 6, 8 or 10 digits"))</f>
        <v/>
      </c>
      <c r="G60" s="11" t="n"/>
      <c r="H60" s="8" t="n"/>
      <c r="I60" s="8" t="n"/>
      <c r="J60" s="10">
        <f>IF(SUBSTITUTE(SUBSTITUTE(SUBSTITUTE(SUBSTITUTE(CLEAN(I60&amp;"")," ",""),".","")," ",""),"-","")="","",IF(AND(OR(LEN(SUBSTITUTE(SUBSTITUTE(SUBSTITUTE(SUBSTITUTE(CLEAN(I60&amp;"")," ",""),".","")," ",""),"-",""))=2,LEN(SUBSTITUTE(SUBSTITUTE(SUBSTITUTE(SUBSTITUTE(CLEAN(I60&amp;"")," ",""),".","")," ",""),"-",""))=4,LEN(SUBSTITUTE(SUBSTITUTE(SUBSTITUTE(SUBSTITUTE(CLEAN(I60&amp;"")," ",""),".","")," ",""),"-",""))=6,LEN(SUBSTITUTE(SUBSTITUTE(SUBSTITUTE(SUBSTITUTE(CLEAN(I60&amp;"")," ",""),".","")," ",""),"-",""))=8,LEN(SUBSTITUTE(SUBSTITUTE(SUBSTITUTE(SUBSTITUTE(CLEAN(I60&amp;"")," ",""),".","")," ",""),"-",""))=10),IFERROR(TEXT(VALUE(SUBSTITUTE(SUBSTITUTE(SUBSTITUTE(SUBSTITUTE(CLEAN(I60&amp;"")," ",""),".","")," ",""),"-","")),REPT("0",LEN(SUBSTITUTE(SUBSTITUTE(SUBSTITUTE(SUBSTITUTE(CLEAN(I60&amp;"")," ",""),".","")," ",""),"-",""))))=SUBSTITUTE(SUBSTITUTE(SUBSTITUTE(SUBSTITUTE(CLEAN(I60&amp;"")," ",""),".","")," ",""),"-",""),FALSE)),SUBSTITUTE(SUBSTITUTE(SUBSTITUTE(SUBSTITUTE(CLEAN(I60&amp;"")," ",""),".","")," ",""),"-",""),"CHECK: not 2, 4, 6, 8 or 10 digits"))</f>
        <v/>
      </c>
      <c r="K60" s="11" t="n"/>
      <c r="P60" s="8" t="n"/>
      <c r="Q60" s="8" t="n"/>
      <c r="R60" s="8" t="n"/>
      <c r="S60" s="12" t="n"/>
      <c r="T60" s="11" t="n"/>
      <c r="U60" s="11" t="n"/>
      <c r="V60" s="10">
        <f>IF(TRIM(CLEAN(SUBSTITUTE(P60&amp;""," "," ")))="","",UPPER(TRIM(CLEAN(SUBSTITUTE(P60&amp;""," "," "))))&amp;"/"&amp;UPPER(TRIM(CLEAN(SUBSTITUTE(Q60&amp;""," "," ")))))</f>
        <v/>
      </c>
      <c r="W60" s="10">
        <f>IF(V60="","",IF(UPPER(TRIM(CLEAN(SUBSTITUTE(Q60&amp;""," "," "))))&lt;&gt;UPPER(TRIM(CLEAN(SUBSTITUTE(act_Country&amp;""," "," ")))),"CHECK: import country must match B7",IF(COUNTIF(det_Key,V60)&gt;1,"CHECK: listed twice",IF(AND(UPPER(TRIM(CLEAN(SUBSTITUTE(R60&amp;""," "," "))))&lt;&gt;"",UPPER(TRIM(CLEAN(SUBSTITUTE(R60&amp;""," "," "))))&lt;&gt;"IN",UPPER(TRIM(CLEAN(SUBSTITUTE(R60&amp;""," "," "))))&lt;&gt;"OUT"),"CHECK: determination must be IN, OUT or blank",IF(AND(S60&amp;""&lt;&gt;"",NOT(ISNUMBER(S60))),"CHECK: displaced rate must be a percentage",IF(AND(UPPER(TRIM(CLEAN(SUBSTITUTE(R60&amp;""," "," "))))="",NOT(ISNUMBER(S60))),"CHECK: enter IN, OUT or a displaced rate",IF(SUMPRODUCT(--(Calc!$AL$5:$AL$254&lt;&gt;""))=0,"WAIT: Items not loaded yet",IF(COUNTIF(Calc!$AL$5:$AL$254,V60)=0,"CHECK: no Items row for this item and import country","OK"))))))))</f>
        <v/>
      </c>
    </row>
    <row r="61">
      <c r="E61" s="8" t="n"/>
      <c r="F61" s="10">
        <f>IF(SUBSTITUTE(SUBSTITUTE(SUBSTITUTE(SUBSTITUTE(CLEAN(E61&amp;"")," ",""),".","")," ",""),"-","")="","",IF(AND(OR(LEN(SUBSTITUTE(SUBSTITUTE(SUBSTITUTE(SUBSTITUTE(CLEAN(E61&amp;"")," ",""),".","")," ",""),"-",""))=2,LEN(SUBSTITUTE(SUBSTITUTE(SUBSTITUTE(SUBSTITUTE(CLEAN(E61&amp;"")," ",""),".","")," ",""),"-",""))=4,LEN(SUBSTITUTE(SUBSTITUTE(SUBSTITUTE(SUBSTITUTE(CLEAN(E61&amp;"")," ",""),".","")," ",""),"-",""))=6,LEN(SUBSTITUTE(SUBSTITUTE(SUBSTITUTE(SUBSTITUTE(CLEAN(E61&amp;"")," ",""),".","")," ",""),"-",""))=8,LEN(SUBSTITUTE(SUBSTITUTE(SUBSTITUTE(SUBSTITUTE(CLEAN(E61&amp;"")," ",""),".","")," ",""),"-",""))=10),IFERROR(TEXT(VALUE(SUBSTITUTE(SUBSTITUTE(SUBSTITUTE(SUBSTITUTE(CLEAN(E61&amp;"")," ",""),".","")," ",""),"-","")),REPT("0",LEN(SUBSTITUTE(SUBSTITUTE(SUBSTITUTE(SUBSTITUTE(CLEAN(E61&amp;"")," ",""),".","")," ",""),"-",""))))=SUBSTITUTE(SUBSTITUTE(SUBSTITUTE(SUBSTITUTE(CLEAN(E61&amp;"")," ",""),".","")," ",""),"-",""),FALSE)),SUBSTITUTE(SUBSTITUTE(SUBSTITUTE(SUBSTITUTE(CLEAN(E61&amp;"")," ",""),".","")," ",""),"-",""),"CHECK: not 2, 4, 6, 8 or 10 digits"))</f>
        <v/>
      </c>
      <c r="G61" s="11" t="n"/>
      <c r="H61" s="8" t="n"/>
      <c r="I61" s="8" t="n"/>
      <c r="J61" s="10">
        <f>IF(SUBSTITUTE(SUBSTITUTE(SUBSTITUTE(SUBSTITUTE(CLEAN(I61&amp;"")," ",""),".","")," ",""),"-","")="","",IF(AND(OR(LEN(SUBSTITUTE(SUBSTITUTE(SUBSTITUTE(SUBSTITUTE(CLEAN(I61&amp;"")," ",""),".","")," ",""),"-",""))=2,LEN(SUBSTITUTE(SUBSTITUTE(SUBSTITUTE(SUBSTITUTE(CLEAN(I61&amp;"")," ",""),".","")," ",""),"-",""))=4,LEN(SUBSTITUTE(SUBSTITUTE(SUBSTITUTE(SUBSTITUTE(CLEAN(I61&amp;"")," ",""),".","")," ",""),"-",""))=6,LEN(SUBSTITUTE(SUBSTITUTE(SUBSTITUTE(SUBSTITUTE(CLEAN(I61&amp;"")," ",""),".","")," ",""),"-",""))=8,LEN(SUBSTITUTE(SUBSTITUTE(SUBSTITUTE(SUBSTITUTE(CLEAN(I61&amp;"")," ",""),".","")," ",""),"-",""))=10),IFERROR(TEXT(VALUE(SUBSTITUTE(SUBSTITUTE(SUBSTITUTE(SUBSTITUTE(CLEAN(I61&amp;"")," ",""),".","")," ",""),"-","")),REPT("0",LEN(SUBSTITUTE(SUBSTITUTE(SUBSTITUTE(SUBSTITUTE(CLEAN(I61&amp;"")," ",""),".","")," ",""),"-",""))))=SUBSTITUTE(SUBSTITUTE(SUBSTITUTE(SUBSTITUTE(CLEAN(I61&amp;"")," ",""),".","")," ",""),"-",""),FALSE)),SUBSTITUTE(SUBSTITUTE(SUBSTITUTE(SUBSTITUTE(CLEAN(I61&amp;"")," ",""),".","")," ",""),"-",""),"CHECK: not 2, 4, 6, 8 or 10 digits"))</f>
        <v/>
      </c>
      <c r="K61" s="11" t="n"/>
      <c r="P61" s="8" t="n"/>
      <c r="Q61" s="8" t="n"/>
      <c r="R61" s="8" t="n"/>
      <c r="S61" s="12" t="n"/>
      <c r="T61" s="11" t="n"/>
      <c r="U61" s="11" t="n"/>
      <c r="V61" s="10">
        <f>IF(TRIM(CLEAN(SUBSTITUTE(P61&amp;""," "," ")))="","",UPPER(TRIM(CLEAN(SUBSTITUTE(P61&amp;""," "," "))))&amp;"/"&amp;UPPER(TRIM(CLEAN(SUBSTITUTE(Q61&amp;""," "," ")))))</f>
        <v/>
      </c>
      <c r="W61" s="10">
        <f>IF(V61="","",IF(UPPER(TRIM(CLEAN(SUBSTITUTE(Q61&amp;""," "," "))))&lt;&gt;UPPER(TRIM(CLEAN(SUBSTITUTE(act_Country&amp;""," "," ")))),"CHECK: import country must match B7",IF(COUNTIF(det_Key,V61)&gt;1,"CHECK: listed twice",IF(AND(UPPER(TRIM(CLEAN(SUBSTITUTE(R61&amp;""," "," "))))&lt;&gt;"",UPPER(TRIM(CLEAN(SUBSTITUTE(R61&amp;""," "," "))))&lt;&gt;"IN",UPPER(TRIM(CLEAN(SUBSTITUTE(R61&amp;""," "," "))))&lt;&gt;"OUT"),"CHECK: determination must be IN, OUT or blank",IF(AND(S61&amp;""&lt;&gt;"",NOT(ISNUMBER(S61))),"CHECK: displaced rate must be a percentage",IF(AND(UPPER(TRIM(CLEAN(SUBSTITUTE(R61&amp;""," "," "))))="",NOT(ISNUMBER(S61))),"CHECK: enter IN, OUT or a displaced rate",IF(SUMPRODUCT(--(Calc!$AL$5:$AL$254&lt;&gt;""))=0,"WAIT: Items not loaded yet",IF(COUNTIF(Calc!$AL$5:$AL$254,V61)=0,"CHECK: no Items row for this item and import country","OK"))))))))</f>
        <v/>
      </c>
    </row>
    <row r="62">
      <c r="E62" s="8" t="n"/>
      <c r="F62" s="10">
        <f>IF(SUBSTITUTE(SUBSTITUTE(SUBSTITUTE(SUBSTITUTE(CLEAN(E62&amp;"")," ",""),".","")," ",""),"-","")="","",IF(AND(OR(LEN(SUBSTITUTE(SUBSTITUTE(SUBSTITUTE(SUBSTITUTE(CLEAN(E62&amp;"")," ",""),".","")," ",""),"-",""))=2,LEN(SUBSTITUTE(SUBSTITUTE(SUBSTITUTE(SUBSTITUTE(CLEAN(E62&amp;"")," ",""),".","")," ",""),"-",""))=4,LEN(SUBSTITUTE(SUBSTITUTE(SUBSTITUTE(SUBSTITUTE(CLEAN(E62&amp;"")," ",""),".","")," ",""),"-",""))=6,LEN(SUBSTITUTE(SUBSTITUTE(SUBSTITUTE(SUBSTITUTE(CLEAN(E62&amp;"")," ",""),".","")," ",""),"-",""))=8,LEN(SUBSTITUTE(SUBSTITUTE(SUBSTITUTE(SUBSTITUTE(CLEAN(E62&amp;"")," ",""),".","")," ",""),"-",""))=10),IFERROR(TEXT(VALUE(SUBSTITUTE(SUBSTITUTE(SUBSTITUTE(SUBSTITUTE(CLEAN(E62&amp;"")," ",""),".","")," ",""),"-","")),REPT("0",LEN(SUBSTITUTE(SUBSTITUTE(SUBSTITUTE(SUBSTITUTE(CLEAN(E62&amp;"")," ",""),".","")," ",""),"-",""))))=SUBSTITUTE(SUBSTITUTE(SUBSTITUTE(SUBSTITUTE(CLEAN(E62&amp;"")," ",""),".","")," ",""),"-",""),FALSE)),SUBSTITUTE(SUBSTITUTE(SUBSTITUTE(SUBSTITUTE(CLEAN(E62&amp;"")," ",""),".","")," ",""),"-",""),"CHECK: not 2, 4, 6, 8 or 10 digits"))</f>
        <v/>
      </c>
      <c r="G62" s="11" t="n"/>
      <c r="H62" s="8" t="n"/>
      <c r="I62" s="8" t="n"/>
      <c r="J62" s="10">
        <f>IF(SUBSTITUTE(SUBSTITUTE(SUBSTITUTE(SUBSTITUTE(CLEAN(I62&amp;"")," ",""),".","")," ",""),"-","")="","",IF(AND(OR(LEN(SUBSTITUTE(SUBSTITUTE(SUBSTITUTE(SUBSTITUTE(CLEAN(I62&amp;"")," ",""),".","")," ",""),"-",""))=2,LEN(SUBSTITUTE(SUBSTITUTE(SUBSTITUTE(SUBSTITUTE(CLEAN(I62&amp;"")," ",""),".","")," ",""),"-",""))=4,LEN(SUBSTITUTE(SUBSTITUTE(SUBSTITUTE(SUBSTITUTE(CLEAN(I62&amp;"")," ",""),".","")," ",""),"-",""))=6,LEN(SUBSTITUTE(SUBSTITUTE(SUBSTITUTE(SUBSTITUTE(CLEAN(I62&amp;"")," ",""),".","")," ",""),"-",""))=8,LEN(SUBSTITUTE(SUBSTITUTE(SUBSTITUTE(SUBSTITUTE(CLEAN(I62&amp;"")," ",""),".","")," ",""),"-",""))=10),IFERROR(TEXT(VALUE(SUBSTITUTE(SUBSTITUTE(SUBSTITUTE(SUBSTITUTE(CLEAN(I62&amp;"")," ",""),".","")," ",""),"-","")),REPT("0",LEN(SUBSTITUTE(SUBSTITUTE(SUBSTITUTE(SUBSTITUTE(CLEAN(I62&amp;"")," ",""),".","")," ",""),"-",""))))=SUBSTITUTE(SUBSTITUTE(SUBSTITUTE(SUBSTITUTE(CLEAN(I62&amp;"")," ",""),".","")," ",""),"-",""),FALSE)),SUBSTITUTE(SUBSTITUTE(SUBSTITUTE(SUBSTITUTE(CLEAN(I62&amp;"")," ",""),".","")," ",""),"-",""),"CHECK: not 2, 4, 6, 8 or 10 digits"))</f>
        <v/>
      </c>
      <c r="K62" s="11" t="n"/>
      <c r="P62" s="8" t="n"/>
      <c r="Q62" s="8" t="n"/>
      <c r="R62" s="8" t="n"/>
      <c r="S62" s="12" t="n"/>
      <c r="T62" s="11" t="n"/>
      <c r="U62" s="11" t="n"/>
      <c r="V62" s="10">
        <f>IF(TRIM(CLEAN(SUBSTITUTE(P62&amp;""," "," ")))="","",UPPER(TRIM(CLEAN(SUBSTITUTE(P62&amp;""," "," "))))&amp;"/"&amp;UPPER(TRIM(CLEAN(SUBSTITUTE(Q62&amp;""," "," ")))))</f>
        <v/>
      </c>
      <c r="W62" s="10">
        <f>IF(V62="","",IF(UPPER(TRIM(CLEAN(SUBSTITUTE(Q62&amp;""," "," "))))&lt;&gt;UPPER(TRIM(CLEAN(SUBSTITUTE(act_Country&amp;""," "," ")))),"CHECK: import country must match B7",IF(COUNTIF(det_Key,V62)&gt;1,"CHECK: listed twice",IF(AND(UPPER(TRIM(CLEAN(SUBSTITUTE(R62&amp;""," "," "))))&lt;&gt;"",UPPER(TRIM(CLEAN(SUBSTITUTE(R62&amp;""," "," "))))&lt;&gt;"IN",UPPER(TRIM(CLEAN(SUBSTITUTE(R62&amp;""," "," "))))&lt;&gt;"OUT"),"CHECK: determination must be IN, OUT or blank",IF(AND(S62&amp;""&lt;&gt;"",NOT(ISNUMBER(S62))),"CHECK: displaced rate must be a percentage",IF(AND(UPPER(TRIM(CLEAN(SUBSTITUTE(R62&amp;""," "," "))))="",NOT(ISNUMBER(S62))),"CHECK: enter IN, OUT or a displaced rate",IF(SUMPRODUCT(--(Calc!$AL$5:$AL$254&lt;&gt;""))=0,"WAIT: Items not loaded yet",IF(COUNTIF(Calc!$AL$5:$AL$254,V62)=0,"CHECK: no Items row for this item and import country","OK"))))))))</f>
        <v/>
      </c>
    </row>
    <row r="63">
      <c r="E63" s="8" t="n"/>
      <c r="F63" s="10">
        <f>IF(SUBSTITUTE(SUBSTITUTE(SUBSTITUTE(SUBSTITUTE(CLEAN(E63&amp;"")," ",""),".","")," ",""),"-","")="","",IF(AND(OR(LEN(SUBSTITUTE(SUBSTITUTE(SUBSTITUTE(SUBSTITUTE(CLEAN(E63&amp;"")," ",""),".","")," ",""),"-",""))=2,LEN(SUBSTITUTE(SUBSTITUTE(SUBSTITUTE(SUBSTITUTE(CLEAN(E63&amp;"")," ",""),".","")," ",""),"-",""))=4,LEN(SUBSTITUTE(SUBSTITUTE(SUBSTITUTE(SUBSTITUTE(CLEAN(E63&amp;"")," ",""),".","")," ",""),"-",""))=6,LEN(SUBSTITUTE(SUBSTITUTE(SUBSTITUTE(SUBSTITUTE(CLEAN(E63&amp;"")," ",""),".","")," ",""),"-",""))=8,LEN(SUBSTITUTE(SUBSTITUTE(SUBSTITUTE(SUBSTITUTE(CLEAN(E63&amp;"")," ",""),".","")," ",""),"-",""))=10),IFERROR(TEXT(VALUE(SUBSTITUTE(SUBSTITUTE(SUBSTITUTE(SUBSTITUTE(CLEAN(E63&amp;"")," ",""),".","")," ",""),"-","")),REPT("0",LEN(SUBSTITUTE(SUBSTITUTE(SUBSTITUTE(SUBSTITUTE(CLEAN(E63&amp;"")," ",""),".","")," ",""),"-",""))))=SUBSTITUTE(SUBSTITUTE(SUBSTITUTE(SUBSTITUTE(CLEAN(E63&amp;"")," ",""),".","")," ",""),"-",""),FALSE)),SUBSTITUTE(SUBSTITUTE(SUBSTITUTE(SUBSTITUTE(CLEAN(E63&amp;"")," ",""),".","")," ",""),"-",""),"CHECK: not 2, 4, 6, 8 or 10 digits"))</f>
        <v/>
      </c>
      <c r="G63" s="11" t="n"/>
      <c r="H63" s="8" t="n"/>
      <c r="I63" s="8" t="n"/>
      <c r="J63" s="10">
        <f>IF(SUBSTITUTE(SUBSTITUTE(SUBSTITUTE(SUBSTITUTE(CLEAN(I63&amp;"")," ",""),".","")," ",""),"-","")="","",IF(AND(OR(LEN(SUBSTITUTE(SUBSTITUTE(SUBSTITUTE(SUBSTITUTE(CLEAN(I63&amp;"")," ",""),".","")," ",""),"-",""))=2,LEN(SUBSTITUTE(SUBSTITUTE(SUBSTITUTE(SUBSTITUTE(CLEAN(I63&amp;"")," ",""),".","")," ",""),"-",""))=4,LEN(SUBSTITUTE(SUBSTITUTE(SUBSTITUTE(SUBSTITUTE(CLEAN(I63&amp;"")," ",""),".","")," ",""),"-",""))=6,LEN(SUBSTITUTE(SUBSTITUTE(SUBSTITUTE(SUBSTITUTE(CLEAN(I63&amp;"")," ",""),".","")," ",""),"-",""))=8,LEN(SUBSTITUTE(SUBSTITUTE(SUBSTITUTE(SUBSTITUTE(CLEAN(I63&amp;"")," ",""),".","")," ",""),"-",""))=10),IFERROR(TEXT(VALUE(SUBSTITUTE(SUBSTITUTE(SUBSTITUTE(SUBSTITUTE(CLEAN(I63&amp;"")," ",""),".","")," ",""),"-","")),REPT("0",LEN(SUBSTITUTE(SUBSTITUTE(SUBSTITUTE(SUBSTITUTE(CLEAN(I63&amp;"")," ",""),".","")," ",""),"-",""))))=SUBSTITUTE(SUBSTITUTE(SUBSTITUTE(SUBSTITUTE(CLEAN(I63&amp;"")," ",""),".","")," ",""),"-",""),FALSE)),SUBSTITUTE(SUBSTITUTE(SUBSTITUTE(SUBSTITUTE(CLEAN(I63&amp;"")," ",""),".","")," ",""),"-",""),"CHECK: not 2, 4, 6, 8 or 10 digits"))</f>
        <v/>
      </c>
      <c r="K63" s="11" t="n"/>
      <c r="P63" s="8" t="n"/>
      <c r="Q63" s="8" t="n"/>
      <c r="R63" s="8" t="n"/>
      <c r="S63" s="12" t="n"/>
      <c r="T63" s="11" t="n"/>
      <c r="U63" s="11" t="n"/>
      <c r="V63" s="10">
        <f>IF(TRIM(CLEAN(SUBSTITUTE(P63&amp;""," "," ")))="","",UPPER(TRIM(CLEAN(SUBSTITUTE(P63&amp;""," "," "))))&amp;"/"&amp;UPPER(TRIM(CLEAN(SUBSTITUTE(Q63&amp;""," "," ")))))</f>
        <v/>
      </c>
      <c r="W63" s="10">
        <f>IF(V63="","",IF(UPPER(TRIM(CLEAN(SUBSTITUTE(Q63&amp;""," "," "))))&lt;&gt;UPPER(TRIM(CLEAN(SUBSTITUTE(act_Country&amp;""," "," ")))),"CHECK: import country must match B7",IF(COUNTIF(det_Key,V63)&gt;1,"CHECK: listed twice",IF(AND(UPPER(TRIM(CLEAN(SUBSTITUTE(R63&amp;""," "," "))))&lt;&gt;"",UPPER(TRIM(CLEAN(SUBSTITUTE(R63&amp;""," "," "))))&lt;&gt;"IN",UPPER(TRIM(CLEAN(SUBSTITUTE(R63&amp;""," "," "))))&lt;&gt;"OUT"),"CHECK: determination must be IN, OUT or blank",IF(AND(S63&amp;""&lt;&gt;"",NOT(ISNUMBER(S63))),"CHECK: displaced rate must be a percentage",IF(AND(UPPER(TRIM(CLEAN(SUBSTITUTE(R63&amp;""," "," "))))="",NOT(ISNUMBER(S63))),"CHECK: enter IN, OUT or a displaced rate",IF(SUMPRODUCT(--(Calc!$AL$5:$AL$254&lt;&gt;""))=0,"WAIT: Items not loaded yet",IF(COUNTIF(Calc!$AL$5:$AL$254,V63)=0,"CHECK: no Items row for this item and import country","OK"))))))))</f>
        <v/>
      </c>
    </row>
    <row r="64">
      <c r="E64" s="8" t="n"/>
      <c r="F64" s="10">
        <f>IF(SUBSTITUTE(SUBSTITUTE(SUBSTITUTE(SUBSTITUTE(CLEAN(E64&amp;"")," ",""),".","")," ",""),"-","")="","",IF(AND(OR(LEN(SUBSTITUTE(SUBSTITUTE(SUBSTITUTE(SUBSTITUTE(CLEAN(E64&amp;"")," ",""),".","")," ",""),"-",""))=2,LEN(SUBSTITUTE(SUBSTITUTE(SUBSTITUTE(SUBSTITUTE(CLEAN(E64&amp;"")," ",""),".","")," ",""),"-",""))=4,LEN(SUBSTITUTE(SUBSTITUTE(SUBSTITUTE(SUBSTITUTE(CLEAN(E64&amp;"")," ",""),".","")," ",""),"-",""))=6,LEN(SUBSTITUTE(SUBSTITUTE(SUBSTITUTE(SUBSTITUTE(CLEAN(E64&amp;"")," ",""),".","")," ",""),"-",""))=8,LEN(SUBSTITUTE(SUBSTITUTE(SUBSTITUTE(SUBSTITUTE(CLEAN(E64&amp;"")," ",""),".","")," ",""),"-",""))=10),IFERROR(TEXT(VALUE(SUBSTITUTE(SUBSTITUTE(SUBSTITUTE(SUBSTITUTE(CLEAN(E64&amp;"")," ",""),".","")," ",""),"-","")),REPT("0",LEN(SUBSTITUTE(SUBSTITUTE(SUBSTITUTE(SUBSTITUTE(CLEAN(E64&amp;"")," ",""),".","")," ",""),"-",""))))=SUBSTITUTE(SUBSTITUTE(SUBSTITUTE(SUBSTITUTE(CLEAN(E64&amp;"")," ",""),".","")," ",""),"-",""),FALSE)),SUBSTITUTE(SUBSTITUTE(SUBSTITUTE(SUBSTITUTE(CLEAN(E64&amp;"")," ",""),".","")," ",""),"-",""),"CHECK: not 2, 4, 6, 8 or 10 digits"))</f>
        <v/>
      </c>
      <c r="G64" s="11" t="n"/>
      <c r="H64" s="8" t="n"/>
      <c r="I64" s="8" t="n"/>
      <c r="J64" s="10">
        <f>IF(SUBSTITUTE(SUBSTITUTE(SUBSTITUTE(SUBSTITUTE(CLEAN(I64&amp;"")," ",""),".","")," ",""),"-","")="","",IF(AND(OR(LEN(SUBSTITUTE(SUBSTITUTE(SUBSTITUTE(SUBSTITUTE(CLEAN(I64&amp;"")," ",""),".","")," ",""),"-",""))=2,LEN(SUBSTITUTE(SUBSTITUTE(SUBSTITUTE(SUBSTITUTE(CLEAN(I64&amp;"")," ",""),".","")," ",""),"-",""))=4,LEN(SUBSTITUTE(SUBSTITUTE(SUBSTITUTE(SUBSTITUTE(CLEAN(I64&amp;"")," ",""),".","")," ",""),"-",""))=6,LEN(SUBSTITUTE(SUBSTITUTE(SUBSTITUTE(SUBSTITUTE(CLEAN(I64&amp;"")," ",""),".","")," ",""),"-",""))=8,LEN(SUBSTITUTE(SUBSTITUTE(SUBSTITUTE(SUBSTITUTE(CLEAN(I64&amp;"")," ",""),".","")," ",""),"-",""))=10),IFERROR(TEXT(VALUE(SUBSTITUTE(SUBSTITUTE(SUBSTITUTE(SUBSTITUTE(CLEAN(I64&amp;"")," ",""),".","")," ",""),"-","")),REPT("0",LEN(SUBSTITUTE(SUBSTITUTE(SUBSTITUTE(SUBSTITUTE(CLEAN(I64&amp;"")," ",""),".","")," ",""),"-",""))))=SUBSTITUTE(SUBSTITUTE(SUBSTITUTE(SUBSTITUTE(CLEAN(I64&amp;"")," ",""),".","")," ",""),"-",""),FALSE)),SUBSTITUTE(SUBSTITUTE(SUBSTITUTE(SUBSTITUTE(CLEAN(I64&amp;"")," ",""),".","")," ",""),"-",""),"CHECK: not 2, 4, 6, 8 or 10 digits"))</f>
        <v/>
      </c>
      <c r="K64" s="11" t="n"/>
      <c r="P64" s="8" t="n"/>
      <c r="Q64" s="8" t="n"/>
      <c r="R64" s="8" t="n"/>
      <c r="S64" s="12" t="n"/>
      <c r="T64" s="11" t="n"/>
      <c r="U64" s="11" t="n"/>
      <c r="V64" s="10">
        <f>IF(TRIM(CLEAN(SUBSTITUTE(P64&amp;""," "," ")))="","",UPPER(TRIM(CLEAN(SUBSTITUTE(P64&amp;""," "," "))))&amp;"/"&amp;UPPER(TRIM(CLEAN(SUBSTITUTE(Q64&amp;""," "," ")))))</f>
        <v/>
      </c>
      <c r="W64" s="10">
        <f>IF(V64="","",IF(UPPER(TRIM(CLEAN(SUBSTITUTE(Q64&amp;""," "," "))))&lt;&gt;UPPER(TRIM(CLEAN(SUBSTITUTE(act_Country&amp;""," "," ")))),"CHECK: import country must match B7",IF(COUNTIF(det_Key,V64)&gt;1,"CHECK: listed twice",IF(AND(UPPER(TRIM(CLEAN(SUBSTITUTE(R64&amp;""," "," "))))&lt;&gt;"",UPPER(TRIM(CLEAN(SUBSTITUTE(R64&amp;""," "," "))))&lt;&gt;"IN",UPPER(TRIM(CLEAN(SUBSTITUTE(R64&amp;""," "," "))))&lt;&gt;"OUT"),"CHECK: determination must be IN, OUT or blank",IF(AND(S64&amp;""&lt;&gt;"",NOT(ISNUMBER(S64))),"CHECK: displaced rate must be a percentage",IF(AND(UPPER(TRIM(CLEAN(SUBSTITUTE(R64&amp;""," "," "))))="",NOT(ISNUMBER(S64))),"CHECK: enter IN, OUT or a displaced rate",IF(SUMPRODUCT(--(Calc!$AL$5:$AL$254&lt;&gt;""))=0,"WAIT: Items not loaded yet",IF(COUNTIF(Calc!$AL$5:$AL$254,V64)=0,"CHECK: no Items row for this item and import country","OK"))))))))</f>
        <v/>
      </c>
    </row>
    <row r="65">
      <c r="E65" s="8" t="n"/>
      <c r="F65" s="10">
        <f>IF(SUBSTITUTE(SUBSTITUTE(SUBSTITUTE(SUBSTITUTE(CLEAN(E65&amp;"")," ",""),".","")," ",""),"-","")="","",IF(AND(OR(LEN(SUBSTITUTE(SUBSTITUTE(SUBSTITUTE(SUBSTITUTE(CLEAN(E65&amp;"")," ",""),".","")," ",""),"-",""))=2,LEN(SUBSTITUTE(SUBSTITUTE(SUBSTITUTE(SUBSTITUTE(CLEAN(E65&amp;"")," ",""),".","")," ",""),"-",""))=4,LEN(SUBSTITUTE(SUBSTITUTE(SUBSTITUTE(SUBSTITUTE(CLEAN(E65&amp;"")," ",""),".","")," ",""),"-",""))=6,LEN(SUBSTITUTE(SUBSTITUTE(SUBSTITUTE(SUBSTITUTE(CLEAN(E65&amp;"")," ",""),".","")," ",""),"-",""))=8,LEN(SUBSTITUTE(SUBSTITUTE(SUBSTITUTE(SUBSTITUTE(CLEAN(E65&amp;"")," ",""),".","")," ",""),"-",""))=10),IFERROR(TEXT(VALUE(SUBSTITUTE(SUBSTITUTE(SUBSTITUTE(SUBSTITUTE(CLEAN(E65&amp;"")," ",""),".","")," ",""),"-","")),REPT("0",LEN(SUBSTITUTE(SUBSTITUTE(SUBSTITUTE(SUBSTITUTE(CLEAN(E65&amp;"")," ",""),".","")," ",""),"-",""))))=SUBSTITUTE(SUBSTITUTE(SUBSTITUTE(SUBSTITUTE(CLEAN(E65&amp;"")," ",""),".","")," ",""),"-",""),FALSE)),SUBSTITUTE(SUBSTITUTE(SUBSTITUTE(SUBSTITUTE(CLEAN(E65&amp;"")," ",""),".","")," ",""),"-",""),"CHECK: not 2, 4, 6, 8 or 10 digits"))</f>
        <v/>
      </c>
      <c r="G65" s="11" t="n"/>
      <c r="H65" s="8" t="n"/>
      <c r="I65" s="8" t="n"/>
      <c r="J65" s="10">
        <f>IF(SUBSTITUTE(SUBSTITUTE(SUBSTITUTE(SUBSTITUTE(CLEAN(I65&amp;"")," ",""),".","")," ",""),"-","")="","",IF(AND(OR(LEN(SUBSTITUTE(SUBSTITUTE(SUBSTITUTE(SUBSTITUTE(CLEAN(I65&amp;"")," ",""),".","")," ",""),"-",""))=2,LEN(SUBSTITUTE(SUBSTITUTE(SUBSTITUTE(SUBSTITUTE(CLEAN(I65&amp;"")," ",""),".","")," ",""),"-",""))=4,LEN(SUBSTITUTE(SUBSTITUTE(SUBSTITUTE(SUBSTITUTE(CLEAN(I65&amp;"")," ",""),".","")," ",""),"-",""))=6,LEN(SUBSTITUTE(SUBSTITUTE(SUBSTITUTE(SUBSTITUTE(CLEAN(I65&amp;"")," ",""),".","")," ",""),"-",""))=8,LEN(SUBSTITUTE(SUBSTITUTE(SUBSTITUTE(SUBSTITUTE(CLEAN(I65&amp;"")," ",""),".","")," ",""),"-",""))=10),IFERROR(TEXT(VALUE(SUBSTITUTE(SUBSTITUTE(SUBSTITUTE(SUBSTITUTE(CLEAN(I65&amp;"")," ",""),".","")," ",""),"-","")),REPT("0",LEN(SUBSTITUTE(SUBSTITUTE(SUBSTITUTE(SUBSTITUTE(CLEAN(I65&amp;"")," ",""),".","")," ",""),"-",""))))=SUBSTITUTE(SUBSTITUTE(SUBSTITUTE(SUBSTITUTE(CLEAN(I65&amp;"")," ",""),".","")," ",""),"-",""),FALSE)),SUBSTITUTE(SUBSTITUTE(SUBSTITUTE(SUBSTITUTE(CLEAN(I65&amp;"")," ",""),".","")," ",""),"-",""),"CHECK: not 2, 4, 6, 8 or 10 digits"))</f>
        <v/>
      </c>
      <c r="K65" s="11" t="n"/>
      <c r="P65" s="8" t="n"/>
      <c r="Q65" s="8" t="n"/>
      <c r="R65" s="8" t="n"/>
      <c r="S65" s="12" t="n"/>
      <c r="T65" s="11" t="n"/>
      <c r="U65" s="11" t="n"/>
      <c r="V65" s="10">
        <f>IF(TRIM(CLEAN(SUBSTITUTE(P65&amp;""," "," ")))="","",UPPER(TRIM(CLEAN(SUBSTITUTE(P65&amp;""," "," "))))&amp;"/"&amp;UPPER(TRIM(CLEAN(SUBSTITUTE(Q65&amp;""," "," ")))))</f>
        <v/>
      </c>
      <c r="W65" s="10">
        <f>IF(V65="","",IF(UPPER(TRIM(CLEAN(SUBSTITUTE(Q65&amp;""," "," "))))&lt;&gt;UPPER(TRIM(CLEAN(SUBSTITUTE(act_Country&amp;""," "," ")))),"CHECK: import country must match B7",IF(COUNTIF(det_Key,V65)&gt;1,"CHECK: listed twice",IF(AND(UPPER(TRIM(CLEAN(SUBSTITUTE(R65&amp;""," "," "))))&lt;&gt;"",UPPER(TRIM(CLEAN(SUBSTITUTE(R65&amp;""," "," "))))&lt;&gt;"IN",UPPER(TRIM(CLEAN(SUBSTITUTE(R65&amp;""," "," "))))&lt;&gt;"OUT"),"CHECK: determination must be IN, OUT or blank",IF(AND(S65&amp;""&lt;&gt;"",NOT(ISNUMBER(S65))),"CHECK: displaced rate must be a percentage",IF(AND(UPPER(TRIM(CLEAN(SUBSTITUTE(R65&amp;""," "," "))))="",NOT(ISNUMBER(S65))),"CHECK: enter IN, OUT or a displaced rate",IF(SUMPRODUCT(--(Calc!$AL$5:$AL$254&lt;&gt;""))=0,"WAIT: Items not loaded yet",IF(COUNTIF(Calc!$AL$5:$AL$254,V65)=0,"CHECK: no Items row for this item and import country","OK"))))))))</f>
        <v/>
      </c>
    </row>
    <row r="66">
      <c r="E66" s="8" t="n"/>
      <c r="F66" s="10">
        <f>IF(SUBSTITUTE(SUBSTITUTE(SUBSTITUTE(SUBSTITUTE(CLEAN(E66&amp;"")," ",""),".","")," ",""),"-","")="","",IF(AND(OR(LEN(SUBSTITUTE(SUBSTITUTE(SUBSTITUTE(SUBSTITUTE(CLEAN(E66&amp;"")," ",""),".","")," ",""),"-",""))=2,LEN(SUBSTITUTE(SUBSTITUTE(SUBSTITUTE(SUBSTITUTE(CLEAN(E66&amp;"")," ",""),".","")," ",""),"-",""))=4,LEN(SUBSTITUTE(SUBSTITUTE(SUBSTITUTE(SUBSTITUTE(CLEAN(E66&amp;"")," ",""),".","")," ",""),"-",""))=6,LEN(SUBSTITUTE(SUBSTITUTE(SUBSTITUTE(SUBSTITUTE(CLEAN(E66&amp;"")," ",""),".","")," ",""),"-",""))=8,LEN(SUBSTITUTE(SUBSTITUTE(SUBSTITUTE(SUBSTITUTE(CLEAN(E66&amp;"")," ",""),".","")," ",""),"-",""))=10),IFERROR(TEXT(VALUE(SUBSTITUTE(SUBSTITUTE(SUBSTITUTE(SUBSTITUTE(CLEAN(E66&amp;"")," ",""),".","")," ",""),"-","")),REPT("0",LEN(SUBSTITUTE(SUBSTITUTE(SUBSTITUTE(SUBSTITUTE(CLEAN(E66&amp;"")," ",""),".","")," ",""),"-",""))))=SUBSTITUTE(SUBSTITUTE(SUBSTITUTE(SUBSTITUTE(CLEAN(E66&amp;"")," ",""),".","")," ",""),"-",""),FALSE)),SUBSTITUTE(SUBSTITUTE(SUBSTITUTE(SUBSTITUTE(CLEAN(E66&amp;"")," ",""),".","")," ",""),"-",""),"CHECK: not 2, 4, 6, 8 or 10 digits"))</f>
        <v/>
      </c>
      <c r="G66" s="11" t="n"/>
      <c r="H66" s="8" t="n"/>
      <c r="I66" s="8" t="n"/>
      <c r="J66" s="10">
        <f>IF(SUBSTITUTE(SUBSTITUTE(SUBSTITUTE(SUBSTITUTE(CLEAN(I66&amp;"")," ",""),".","")," ",""),"-","")="","",IF(AND(OR(LEN(SUBSTITUTE(SUBSTITUTE(SUBSTITUTE(SUBSTITUTE(CLEAN(I66&amp;"")," ",""),".","")," ",""),"-",""))=2,LEN(SUBSTITUTE(SUBSTITUTE(SUBSTITUTE(SUBSTITUTE(CLEAN(I66&amp;"")," ",""),".","")," ",""),"-",""))=4,LEN(SUBSTITUTE(SUBSTITUTE(SUBSTITUTE(SUBSTITUTE(CLEAN(I66&amp;"")," ",""),".","")," ",""),"-",""))=6,LEN(SUBSTITUTE(SUBSTITUTE(SUBSTITUTE(SUBSTITUTE(CLEAN(I66&amp;"")," ",""),".","")," ",""),"-",""))=8,LEN(SUBSTITUTE(SUBSTITUTE(SUBSTITUTE(SUBSTITUTE(CLEAN(I66&amp;"")," ",""),".","")," ",""),"-",""))=10),IFERROR(TEXT(VALUE(SUBSTITUTE(SUBSTITUTE(SUBSTITUTE(SUBSTITUTE(CLEAN(I66&amp;"")," ",""),".","")," ",""),"-","")),REPT("0",LEN(SUBSTITUTE(SUBSTITUTE(SUBSTITUTE(SUBSTITUTE(CLEAN(I66&amp;"")," ",""),".","")," ",""),"-",""))))=SUBSTITUTE(SUBSTITUTE(SUBSTITUTE(SUBSTITUTE(CLEAN(I66&amp;"")," ",""),".","")," ",""),"-",""),FALSE)),SUBSTITUTE(SUBSTITUTE(SUBSTITUTE(SUBSTITUTE(CLEAN(I66&amp;"")," ",""),".","")," ",""),"-",""),"CHECK: not 2, 4, 6, 8 or 10 digits"))</f>
        <v/>
      </c>
      <c r="K66" s="11" t="n"/>
      <c r="P66" s="8" t="n"/>
      <c r="Q66" s="8" t="n"/>
      <c r="R66" s="8" t="n"/>
      <c r="S66" s="12" t="n"/>
      <c r="T66" s="11" t="n"/>
      <c r="U66" s="11" t="n"/>
      <c r="V66" s="10">
        <f>IF(TRIM(CLEAN(SUBSTITUTE(P66&amp;""," "," ")))="","",UPPER(TRIM(CLEAN(SUBSTITUTE(P66&amp;""," "," "))))&amp;"/"&amp;UPPER(TRIM(CLEAN(SUBSTITUTE(Q66&amp;""," "," ")))))</f>
        <v/>
      </c>
      <c r="W66" s="10">
        <f>IF(V66="","",IF(UPPER(TRIM(CLEAN(SUBSTITUTE(Q66&amp;""," "," "))))&lt;&gt;UPPER(TRIM(CLEAN(SUBSTITUTE(act_Country&amp;""," "," ")))),"CHECK: import country must match B7",IF(COUNTIF(det_Key,V66)&gt;1,"CHECK: listed twice",IF(AND(UPPER(TRIM(CLEAN(SUBSTITUTE(R66&amp;""," "," "))))&lt;&gt;"",UPPER(TRIM(CLEAN(SUBSTITUTE(R66&amp;""," "," "))))&lt;&gt;"IN",UPPER(TRIM(CLEAN(SUBSTITUTE(R66&amp;""," "," "))))&lt;&gt;"OUT"),"CHECK: determination must be IN, OUT or blank",IF(AND(S66&amp;""&lt;&gt;"",NOT(ISNUMBER(S66))),"CHECK: displaced rate must be a percentage",IF(AND(UPPER(TRIM(CLEAN(SUBSTITUTE(R66&amp;""," "," "))))="",NOT(ISNUMBER(S66))),"CHECK: enter IN, OUT or a displaced rate",IF(SUMPRODUCT(--(Calc!$AL$5:$AL$254&lt;&gt;""))=0,"WAIT: Items not loaded yet",IF(COUNTIF(Calc!$AL$5:$AL$254,V66)=0,"CHECK: no Items row for this item and import country","OK"))))))))</f>
        <v/>
      </c>
    </row>
    <row r="67">
      <c r="E67" s="8" t="n"/>
      <c r="F67" s="10">
        <f>IF(SUBSTITUTE(SUBSTITUTE(SUBSTITUTE(SUBSTITUTE(CLEAN(E67&amp;"")," ",""),".","")," ",""),"-","")="","",IF(AND(OR(LEN(SUBSTITUTE(SUBSTITUTE(SUBSTITUTE(SUBSTITUTE(CLEAN(E67&amp;"")," ",""),".","")," ",""),"-",""))=2,LEN(SUBSTITUTE(SUBSTITUTE(SUBSTITUTE(SUBSTITUTE(CLEAN(E67&amp;"")," ",""),".","")," ",""),"-",""))=4,LEN(SUBSTITUTE(SUBSTITUTE(SUBSTITUTE(SUBSTITUTE(CLEAN(E67&amp;"")," ",""),".","")," ",""),"-",""))=6,LEN(SUBSTITUTE(SUBSTITUTE(SUBSTITUTE(SUBSTITUTE(CLEAN(E67&amp;"")," ",""),".","")," ",""),"-",""))=8,LEN(SUBSTITUTE(SUBSTITUTE(SUBSTITUTE(SUBSTITUTE(CLEAN(E67&amp;"")," ",""),".","")," ",""),"-",""))=10),IFERROR(TEXT(VALUE(SUBSTITUTE(SUBSTITUTE(SUBSTITUTE(SUBSTITUTE(CLEAN(E67&amp;"")," ",""),".","")," ",""),"-","")),REPT("0",LEN(SUBSTITUTE(SUBSTITUTE(SUBSTITUTE(SUBSTITUTE(CLEAN(E67&amp;"")," ",""),".","")," ",""),"-",""))))=SUBSTITUTE(SUBSTITUTE(SUBSTITUTE(SUBSTITUTE(CLEAN(E67&amp;"")," ",""),".","")," ",""),"-",""),FALSE)),SUBSTITUTE(SUBSTITUTE(SUBSTITUTE(SUBSTITUTE(CLEAN(E67&amp;"")," ",""),".","")," ",""),"-",""),"CHECK: not 2, 4, 6, 8 or 10 digits"))</f>
        <v/>
      </c>
      <c r="G67" s="11" t="n"/>
      <c r="H67" s="8" t="n"/>
      <c r="I67" s="8" t="n"/>
      <c r="J67" s="10">
        <f>IF(SUBSTITUTE(SUBSTITUTE(SUBSTITUTE(SUBSTITUTE(CLEAN(I67&amp;"")," ",""),".","")," ",""),"-","")="","",IF(AND(OR(LEN(SUBSTITUTE(SUBSTITUTE(SUBSTITUTE(SUBSTITUTE(CLEAN(I67&amp;"")," ",""),".","")," ",""),"-",""))=2,LEN(SUBSTITUTE(SUBSTITUTE(SUBSTITUTE(SUBSTITUTE(CLEAN(I67&amp;"")," ",""),".","")," ",""),"-",""))=4,LEN(SUBSTITUTE(SUBSTITUTE(SUBSTITUTE(SUBSTITUTE(CLEAN(I67&amp;"")," ",""),".","")," ",""),"-",""))=6,LEN(SUBSTITUTE(SUBSTITUTE(SUBSTITUTE(SUBSTITUTE(CLEAN(I67&amp;"")," ",""),".","")," ",""),"-",""))=8,LEN(SUBSTITUTE(SUBSTITUTE(SUBSTITUTE(SUBSTITUTE(CLEAN(I67&amp;"")," ",""),".","")," ",""),"-",""))=10),IFERROR(TEXT(VALUE(SUBSTITUTE(SUBSTITUTE(SUBSTITUTE(SUBSTITUTE(CLEAN(I67&amp;"")," ",""),".","")," ",""),"-","")),REPT("0",LEN(SUBSTITUTE(SUBSTITUTE(SUBSTITUTE(SUBSTITUTE(CLEAN(I67&amp;"")," ",""),".","")," ",""),"-",""))))=SUBSTITUTE(SUBSTITUTE(SUBSTITUTE(SUBSTITUTE(CLEAN(I67&amp;"")," ",""),".","")," ",""),"-",""),FALSE)),SUBSTITUTE(SUBSTITUTE(SUBSTITUTE(SUBSTITUTE(CLEAN(I67&amp;"")," ",""),".","")," ",""),"-",""),"CHECK: not 2, 4, 6, 8 or 10 digits"))</f>
        <v/>
      </c>
      <c r="K67" s="11" t="n"/>
      <c r="P67" s="8" t="n"/>
      <c r="Q67" s="8" t="n"/>
      <c r="R67" s="8" t="n"/>
      <c r="S67" s="12" t="n"/>
      <c r="T67" s="11" t="n"/>
      <c r="U67" s="11" t="n"/>
      <c r="V67" s="10">
        <f>IF(TRIM(CLEAN(SUBSTITUTE(P67&amp;""," "," ")))="","",UPPER(TRIM(CLEAN(SUBSTITUTE(P67&amp;""," "," "))))&amp;"/"&amp;UPPER(TRIM(CLEAN(SUBSTITUTE(Q67&amp;""," "," ")))))</f>
        <v/>
      </c>
      <c r="W67" s="10">
        <f>IF(V67="","",IF(UPPER(TRIM(CLEAN(SUBSTITUTE(Q67&amp;""," "," "))))&lt;&gt;UPPER(TRIM(CLEAN(SUBSTITUTE(act_Country&amp;""," "," ")))),"CHECK: import country must match B7",IF(COUNTIF(det_Key,V67)&gt;1,"CHECK: listed twice",IF(AND(UPPER(TRIM(CLEAN(SUBSTITUTE(R67&amp;""," "," "))))&lt;&gt;"",UPPER(TRIM(CLEAN(SUBSTITUTE(R67&amp;""," "," "))))&lt;&gt;"IN",UPPER(TRIM(CLEAN(SUBSTITUTE(R67&amp;""," "," "))))&lt;&gt;"OUT"),"CHECK: determination must be IN, OUT or blank",IF(AND(S67&amp;""&lt;&gt;"",NOT(ISNUMBER(S67))),"CHECK: displaced rate must be a percentage",IF(AND(UPPER(TRIM(CLEAN(SUBSTITUTE(R67&amp;""," "," "))))="",NOT(ISNUMBER(S67))),"CHECK: enter IN, OUT or a displaced rate",IF(SUMPRODUCT(--(Calc!$AL$5:$AL$254&lt;&gt;""))=0,"WAIT: Items not loaded yet",IF(COUNTIF(Calc!$AL$5:$AL$254,V67)=0,"CHECK: no Items row for this item and import country","OK"))))))))</f>
        <v/>
      </c>
    </row>
    <row r="68">
      <c r="E68" s="8" t="n"/>
      <c r="F68" s="10">
        <f>IF(SUBSTITUTE(SUBSTITUTE(SUBSTITUTE(SUBSTITUTE(CLEAN(E68&amp;"")," ",""),".","")," ",""),"-","")="","",IF(AND(OR(LEN(SUBSTITUTE(SUBSTITUTE(SUBSTITUTE(SUBSTITUTE(CLEAN(E68&amp;"")," ",""),".","")," ",""),"-",""))=2,LEN(SUBSTITUTE(SUBSTITUTE(SUBSTITUTE(SUBSTITUTE(CLEAN(E68&amp;"")," ",""),".","")," ",""),"-",""))=4,LEN(SUBSTITUTE(SUBSTITUTE(SUBSTITUTE(SUBSTITUTE(CLEAN(E68&amp;"")," ",""),".","")," ",""),"-",""))=6,LEN(SUBSTITUTE(SUBSTITUTE(SUBSTITUTE(SUBSTITUTE(CLEAN(E68&amp;"")," ",""),".","")," ",""),"-",""))=8,LEN(SUBSTITUTE(SUBSTITUTE(SUBSTITUTE(SUBSTITUTE(CLEAN(E68&amp;"")," ",""),".","")," ",""),"-",""))=10),IFERROR(TEXT(VALUE(SUBSTITUTE(SUBSTITUTE(SUBSTITUTE(SUBSTITUTE(CLEAN(E68&amp;"")," ",""),".","")," ",""),"-","")),REPT("0",LEN(SUBSTITUTE(SUBSTITUTE(SUBSTITUTE(SUBSTITUTE(CLEAN(E68&amp;"")," ",""),".","")," ",""),"-",""))))=SUBSTITUTE(SUBSTITUTE(SUBSTITUTE(SUBSTITUTE(CLEAN(E68&amp;"")," ",""),".","")," ",""),"-",""),FALSE)),SUBSTITUTE(SUBSTITUTE(SUBSTITUTE(SUBSTITUTE(CLEAN(E68&amp;"")," ",""),".","")," ",""),"-",""),"CHECK: not 2, 4, 6, 8 or 10 digits"))</f>
        <v/>
      </c>
      <c r="G68" s="11" t="n"/>
      <c r="H68" s="8" t="n"/>
      <c r="I68" s="8" t="n"/>
      <c r="J68" s="10">
        <f>IF(SUBSTITUTE(SUBSTITUTE(SUBSTITUTE(SUBSTITUTE(CLEAN(I68&amp;"")," ",""),".","")," ",""),"-","")="","",IF(AND(OR(LEN(SUBSTITUTE(SUBSTITUTE(SUBSTITUTE(SUBSTITUTE(CLEAN(I68&amp;"")," ",""),".","")," ",""),"-",""))=2,LEN(SUBSTITUTE(SUBSTITUTE(SUBSTITUTE(SUBSTITUTE(CLEAN(I68&amp;"")," ",""),".","")," ",""),"-",""))=4,LEN(SUBSTITUTE(SUBSTITUTE(SUBSTITUTE(SUBSTITUTE(CLEAN(I68&amp;"")," ",""),".","")," ",""),"-",""))=6,LEN(SUBSTITUTE(SUBSTITUTE(SUBSTITUTE(SUBSTITUTE(CLEAN(I68&amp;"")," ",""),".","")," ",""),"-",""))=8,LEN(SUBSTITUTE(SUBSTITUTE(SUBSTITUTE(SUBSTITUTE(CLEAN(I68&amp;"")," ",""),".","")," ",""),"-",""))=10),IFERROR(TEXT(VALUE(SUBSTITUTE(SUBSTITUTE(SUBSTITUTE(SUBSTITUTE(CLEAN(I68&amp;"")," ",""),".","")," ",""),"-","")),REPT("0",LEN(SUBSTITUTE(SUBSTITUTE(SUBSTITUTE(SUBSTITUTE(CLEAN(I68&amp;"")," ",""),".","")," ",""),"-",""))))=SUBSTITUTE(SUBSTITUTE(SUBSTITUTE(SUBSTITUTE(CLEAN(I68&amp;"")," ",""),".","")," ",""),"-",""),FALSE)),SUBSTITUTE(SUBSTITUTE(SUBSTITUTE(SUBSTITUTE(CLEAN(I68&amp;"")," ",""),".","")," ",""),"-",""),"CHECK: not 2, 4, 6, 8 or 10 digits"))</f>
        <v/>
      </c>
      <c r="K68" s="11" t="n"/>
      <c r="P68" s="8" t="n"/>
      <c r="Q68" s="8" t="n"/>
      <c r="R68" s="8" t="n"/>
      <c r="S68" s="12" t="n"/>
      <c r="T68" s="11" t="n"/>
      <c r="U68" s="11" t="n"/>
      <c r="V68" s="10">
        <f>IF(TRIM(CLEAN(SUBSTITUTE(P68&amp;""," "," ")))="","",UPPER(TRIM(CLEAN(SUBSTITUTE(P68&amp;""," "," "))))&amp;"/"&amp;UPPER(TRIM(CLEAN(SUBSTITUTE(Q68&amp;""," "," ")))))</f>
        <v/>
      </c>
      <c r="W68" s="10">
        <f>IF(V68="","",IF(UPPER(TRIM(CLEAN(SUBSTITUTE(Q68&amp;""," "," "))))&lt;&gt;UPPER(TRIM(CLEAN(SUBSTITUTE(act_Country&amp;""," "," ")))),"CHECK: import country must match B7",IF(COUNTIF(det_Key,V68)&gt;1,"CHECK: listed twice",IF(AND(UPPER(TRIM(CLEAN(SUBSTITUTE(R68&amp;""," "," "))))&lt;&gt;"",UPPER(TRIM(CLEAN(SUBSTITUTE(R68&amp;""," "," "))))&lt;&gt;"IN",UPPER(TRIM(CLEAN(SUBSTITUTE(R68&amp;""," "," "))))&lt;&gt;"OUT"),"CHECK: determination must be IN, OUT or blank",IF(AND(S68&amp;""&lt;&gt;"",NOT(ISNUMBER(S68))),"CHECK: displaced rate must be a percentage",IF(AND(UPPER(TRIM(CLEAN(SUBSTITUTE(R68&amp;""," "," "))))="",NOT(ISNUMBER(S68))),"CHECK: enter IN, OUT or a displaced rate",IF(SUMPRODUCT(--(Calc!$AL$5:$AL$254&lt;&gt;""))=0,"WAIT: Items not loaded yet",IF(COUNTIF(Calc!$AL$5:$AL$254,V68)=0,"CHECK: no Items row for this item and import country","OK"))))))))</f>
        <v/>
      </c>
    </row>
    <row r="69">
      <c r="E69" s="8" t="n"/>
      <c r="F69" s="10">
        <f>IF(SUBSTITUTE(SUBSTITUTE(SUBSTITUTE(SUBSTITUTE(CLEAN(E69&amp;"")," ",""),".","")," ",""),"-","")="","",IF(AND(OR(LEN(SUBSTITUTE(SUBSTITUTE(SUBSTITUTE(SUBSTITUTE(CLEAN(E69&amp;"")," ",""),".","")," ",""),"-",""))=2,LEN(SUBSTITUTE(SUBSTITUTE(SUBSTITUTE(SUBSTITUTE(CLEAN(E69&amp;"")," ",""),".","")," ",""),"-",""))=4,LEN(SUBSTITUTE(SUBSTITUTE(SUBSTITUTE(SUBSTITUTE(CLEAN(E69&amp;"")," ",""),".","")," ",""),"-",""))=6,LEN(SUBSTITUTE(SUBSTITUTE(SUBSTITUTE(SUBSTITUTE(CLEAN(E69&amp;"")," ",""),".","")," ",""),"-",""))=8,LEN(SUBSTITUTE(SUBSTITUTE(SUBSTITUTE(SUBSTITUTE(CLEAN(E69&amp;"")," ",""),".","")," ",""),"-",""))=10),IFERROR(TEXT(VALUE(SUBSTITUTE(SUBSTITUTE(SUBSTITUTE(SUBSTITUTE(CLEAN(E69&amp;"")," ",""),".","")," ",""),"-","")),REPT("0",LEN(SUBSTITUTE(SUBSTITUTE(SUBSTITUTE(SUBSTITUTE(CLEAN(E69&amp;"")," ",""),".","")," ",""),"-",""))))=SUBSTITUTE(SUBSTITUTE(SUBSTITUTE(SUBSTITUTE(CLEAN(E69&amp;"")," ",""),".","")," ",""),"-",""),FALSE)),SUBSTITUTE(SUBSTITUTE(SUBSTITUTE(SUBSTITUTE(CLEAN(E69&amp;"")," ",""),".","")," ",""),"-",""),"CHECK: not 2, 4, 6, 8 or 10 digits"))</f>
        <v/>
      </c>
      <c r="G69" s="11" t="n"/>
      <c r="H69" s="8" t="n"/>
      <c r="I69" s="8" t="n"/>
      <c r="J69" s="10">
        <f>IF(SUBSTITUTE(SUBSTITUTE(SUBSTITUTE(SUBSTITUTE(CLEAN(I69&amp;"")," ",""),".","")," ",""),"-","")="","",IF(AND(OR(LEN(SUBSTITUTE(SUBSTITUTE(SUBSTITUTE(SUBSTITUTE(CLEAN(I69&amp;"")," ",""),".","")," ",""),"-",""))=2,LEN(SUBSTITUTE(SUBSTITUTE(SUBSTITUTE(SUBSTITUTE(CLEAN(I69&amp;"")," ",""),".","")," ",""),"-",""))=4,LEN(SUBSTITUTE(SUBSTITUTE(SUBSTITUTE(SUBSTITUTE(CLEAN(I69&amp;"")," ",""),".","")," ",""),"-",""))=6,LEN(SUBSTITUTE(SUBSTITUTE(SUBSTITUTE(SUBSTITUTE(CLEAN(I69&amp;"")," ",""),".","")," ",""),"-",""))=8,LEN(SUBSTITUTE(SUBSTITUTE(SUBSTITUTE(SUBSTITUTE(CLEAN(I69&amp;"")," ",""),".","")," ",""),"-",""))=10),IFERROR(TEXT(VALUE(SUBSTITUTE(SUBSTITUTE(SUBSTITUTE(SUBSTITUTE(CLEAN(I69&amp;"")," ",""),".","")," ",""),"-","")),REPT("0",LEN(SUBSTITUTE(SUBSTITUTE(SUBSTITUTE(SUBSTITUTE(CLEAN(I69&amp;"")," ",""),".","")," ",""),"-",""))))=SUBSTITUTE(SUBSTITUTE(SUBSTITUTE(SUBSTITUTE(CLEAN(I69&amp;"")," ",""),".","")," ",""),"-",""),FALSE)),SUBSTITUTE(SUBSTITUTE(SUBSTITUTE(SUBSTITUTE(CLEAN(I69&amp;"")," ",""),".","")," ",""),"-",""),"CHECK: not 2, 4, 6, 8 or 10 digits"))</f>
        <v/>
      </c>
      <c r="K69" s="11" t="n"/>
      <c r="P69" s="8" t="n"/>
      <c r="Q69" s="8" t="n"/>
      <c r="R69" s="8" t="n"/>
      <c r="S69" s="12" t="n"/>
      <c r="T69" s="11" t="n"/>
      <c r="U69" s="11" t="n"/>
      <c r="V69" s="10">
        <f>IF(TRIM(CLEAN(SUBSTITUTE(P69&amp;""," "," ")))="","",UPPER(TRIM(CLEAN(SUBSTITUTE(P69&amp;""," "," "))))&amp;"/"&amp;UPPER(TRIM(CLEAN(SUBSTITUTE(Q69&amp;""," "," ")))))</f>
        <v/>
      </c>
      <c r="W69" s="10">
        <f>IF(V69="","",IF(UPPER(TRIM(CLEAN(SUBSTITUTE(Q69&amp;""," "," "))))&lt;&gt;UPPER(TRIM(CLEAN(SUBSTITUTE(act_Country&amp;""," "," ")))),"CHECK: import country must match B7",IF(COUNTIF(det_Key,V69)&gt;1,"CHECK: listed twice",IF(AND(UPPER(TRIM(CLEAN(SUBSTITUTE(R69&amp;""," "," "))))&lt;&gt;"",UPPER(TRIM(CLEAN(SUBSTITUTE(R69&amp;""," "," "))))&lt;&gt;"IN",UPPER(TRIM(CLEAN(SUBSTITUTE(R69&amp;""," "," "))))&lt;&gt;"OUT"),"CHECK: determination must be IN, OUT or blank",IF(AND(S69&amp;""&lt;&gt;"",NOT(ISNUMBER(S69))),"CHECK: displaced rate must be a percentage",IF(AND(UPPER(TRIM(CLEAN(SUBSTITUTE(R69&amp;""," "," "))))="",NOT(ISNUMBER(S69))),"CHECK: enter IN, OUT or a displaced rate",IF(SUMPRODUCT(--(Calc!$AL$5:$AL$254&lt;&gt;""))=0,"WAIT: Items not loaded yet",IF(COUNTIF(Calc!$AL$5:$AL$254,V69)=0,"CHECK: no Items row for this item and import country","OK"))))))))</f>
        <v/>
      </c>
    </row>
    <row r="70">
      <c r="E70" s="8" t="n"/>
      <c r="F70" s="10">
        <f>IF(SUBSTITUTE(SUBSTITUTE(SUBSTITUTE(SUBSTITUTE(CLEAN(E70&amp;"")," ",""),".","")," ",""),"-","")="","",IF(AND(OR(LEN(SUBSTITUTE(SUBSTITUTE(SUBSTITUTE(SUBSTITUTE(CLEAN(E70&amp;"")," ",""),".","")," ",""),"-",""))=2,LEN(SUBSTITUTE(SUBSTITUTE(SUBSTITUTE(SUBSTITUTE(CLEAN(E70&amp;"")," ",""),".","")," ",""),"-",""))=4,LEN(SUBSTITUTE(SUBSTITUTE(SUBSTITUTE(SUBSTITUTE(CLEAN(E70&amp;"")," ",""),".","")," ",""),"-",""))=6,LEN(SUBSTITUTE(SUBSTITUTE(SUBSTITUTE(SUBSTITUTE(CLEAN(E70&amp;"")," ",""),".","")," ",""),"-",""))=8,LEN(SUBSTITUTE(SUBSTITUTE(SUBSTITUTE(SUBSTITUTE(CLEAN(E70&amp;"")," ",""),".","")," ",""),"-",""))=10),IFERROR(TEXT(VALUE(SUBSTITUTE(SUBSTITUTE(SUBSTITUTE(SUBSTITUTE(CLEAN(E70&amp;"")," ",""),".","")," ",""),"-","")),REPT("0",LEN(SUBSTITUTE(SUBSTITUTE(SUBSTITUTE(SUBSTITUTE(CLEAN(E70&amp;"")," ",""),".","")," ",""),"-",""))))=SUBSTITUTE(SUBSTITUTE(SUBSTITUTE(SUBSTITUTE(CLEAN(E70&amp;"")," ",""),".","")," ",""),"-",""),FALSE)),SUBSTITUTE(SUBSTITUTE(SUBSTITUTE(SUBSTITUTE(CLEAN(E70&amp;"")," ",""),".","")," ",""),"-",""),"CHECK: not 2, 4, 6, 8 or 10 digits"))</f>
        <v/>
      </c>
      <c r="G70" s="11" t="n"/>
      <c r="H70" s="8" t="n"/>
      <c r="I70" s="8" t="n"/>
      <c r="J70" s="10">
        <f>IF(SUBSTITUTE(SUBSTITUTE(SUBSTITUTE(SUBSTITUTE(CLEAN(I70&amp;"")," ",""),".","")," ",""),"-","")="","",IF(AND(OR(LEN(SUBSTITUTE(SUBSTITUTE(SUBSTITUTE(SUBSTITUTE(CLEAN(I70&amp;"")," ",""),".","")," ",""),"-",""))=2,LEN(SUBSTITUTE(SUBSTITUTE(SUBSTITUTE(SUBSTITUTE(CLEAN(I70&amp;"")," ",""),".","")," ",""),"-",""))=4,LEN(SUBSTITUTE(SUBSTITUTE(SUBSTITUTE(SUBSTITUTE(CLEAN(I70&amp;"")," ",""),".","")," ",""),"-",""))=6,LEN(SUBSTITUTE(SUBSTITUTE(SUBSTITUTE(SUBSTITUTE(CLEAN(I70&amp;"")," ",""),".","")," ",""),"-",""))=8,LEN(SUBSTITUTE(SUBSTITUTE(SUBSTITUTE(SUBSTITUTE(CLEAN(I70&amp;"")," ",""),".","")," ",""),"-",""))=10),IFERROR(TEXT(VALUE(SUBSTITUTE(SUBSTITUTE(SUBSTITUTE(SUBSTITUTE(CLEAN(I70&amp;"")," ",""),".","")," ",""),"-","")),REPT("0",LEN(SUBSTITUTE(SUBSTITUTE(SUBSTITUTE(SUBSTITUTE(CLEAN(I70&amp;"")," ",""),".","")," ",""),"-",""))))=SUBSTITUTE(SUBSTITUTE(SUBSTITUTE(SUBSTITUTE(CLEAN(I70&amp;"")," ",""),".","")," ",""),"-",""),FALSE)),SUBSTITUTE(SUBSTITUTE(SUBSTITUTE(SUBSTITUTE(CLEAN(I70&amp;"")," ",""),".","")," ",""),"-",""),"CHECK: not 2, 4, 6, 8 or 10 digits"))</f>
        <v/>
      </c>
      <c r="K70" s="11" t="n"/>
      <c r="P70" s="8" t="n"/>
      <c r="Q70" s="8" t="n"/>
      <c r="R70" s="8" t="n"/>
      <c r="S70" s="12" t="n"/>
      <c r="T70" s="11" t="n"/>
      <c r="U70" s="11" t="n"/>
      <c r="V70" s="10">
        <f>IF(TRIM(CLEAN(SUBSTITUTE(P70&amp;""," "," ")))="","",UPPER(TRIM(CLEAN(SUBSTITUTE(P70&amp;""," "," "))))&amp;"/"&amp;UPPER(TRIM(CLEAN(SUBSTITUTE(Q70&amp;""," "," ")))))</f>
        <v/>
      </c>
      <c r="W70" s="10">
        <f>IF(V70="","",IF(UPPER(TRIM(CLEAN(SUBSTITUTE(Q70&amp;""," "," "))))&lt;&gt;UPPER(TRIM(CLEAN(SUBSTITUTE(act_Country&amp;""," "," ")))),"CHECK: import country must match B7",IF(COUNTIF(det_Key,V70)&gt;1,"CHECK: listed twice",IF(AND(UPPER(TRIM(CLEAN(SUBSTITUTE(R70&amp;""," "," "))))&lt;&gt;"",UPPER(TRIM(CLEAN(SUBSTITUTE(R70&amp;""," "," "))))&lt;&gt;"IN",UPPER(TRIM(CLEAN(SUBSTITUTE(R70&amp;""," "," "))))&lt;&gt;"OUT"),"CHECK: determination must be IN, OUT or blank",IF(AND(S70&amp;""&lt;&gt;"",NOT(ISNUMBER(S70))),"CHECK: displaced rate must be a percentage",IF(AND(UPPER(TRIM(CLEAN(SUBSTITUTE(R70&amp;""," "," "))))="",NOT(ISNUMBER(S70))),"CHECK: enter IN, OUT or a displaced rate",IF(SUMPRODUCT(--(Calc!$AL$5:$AL$254&lt;&gt;""))=0,"WAIT: Items not loaded yet",IF(COUNTIF(Calc!$AL$5:$AL$254,V70)=0,"CHECK: no Items row for this item and import country","OK"))))))))</f>
        <v/>
      </c>
    </row>
    <row r="71">
      <c r="E71" s="8" t="n"/>
      <c r="F71" s="10">
        <f>IF(SUBSTITUTE(SUBSTITUTE(SUBSTITUTE(SUBSTITUTE(CLEAN(E71&amp;"")," ",""),".","")," ",""),"-","")="","",IF(AND(OR(LEN(SUBSTITUTE(SUBSTITUTE(SUBSTITUTE(SUBSTITUTE(CLEAN(E71&amp;"")," ",""),".","")," ",""),"-",""))=2,LEN(SUBSTITUTE(SUBSTITUTE(SUBSTITUTE(SUBSTITUTE(CLEAN(E71&amp;"")," ",""),".","")," ",""),"-",""))=4,LEN(SUBSTITUTE(SUBSTITUTE(SUBSTITUTE(SUBSTITUTE(CLEAN(E71&amp;"")," ",""),".","")," ",""),"-",""))=6,LEN(SUBSTITUTE(SUBSTITUTE(SUBSTITUTE(SUBSTITUTE(CLEAN(E71&amp;"")," ",""),".","")," ",""),"-",""))=8,LEN(SUBSTITUTE(SUBSTITUTE(SUBSTITUTE(SUBSTITUTE(CLEAN(E71&amp;"")," ",""),".","")," ",""),"-",""))=10),IFERROR(TEXT(VALUE(SUBSTITUTE(SUBSTITUTE(SUBSTITUTE(SUBSTITUTE(CLEAN(E71&amp;"")," ",""),".","")," ",""),"-","")),REPT("0",LEN(SUBSTITUTE(SUBSTITUTE(SUBSTITUTE(SUBSTITUTE(CLEAN(E71&amp;"")," ",""),".","")," ",""),"-",""))))=SUBSTITUTE(SUBSTITUTE(SUBSTITUTE(SUBSTITUTE(CLEAN(E71&amp;"")," ",""),".","")," ",""),"-",""),FALSE)),SUBSTITUTE(SUBSTITUTE(SUBSTITUTE(SUBSTITUTE(CLEAN(E71&amp;"")," ",""),".","")," ",""),"-",""),"CHECK: not 2, 4, 6, 8 or 10 digits"))</f>
        <v/>
      </c>
      <c r="G71" s="11" t="n"/>
      <c r="H71" s="8" t="n"/>
      <c r="I71" s="8" t="n"/>
      <c r="J71" s="10">
        <f>IF(SUBSTITUTE(SUBSTITUTE(SUBSTITUTE(SUBSTITUTE(CLEAN(I71&amp;"")," ",""),".","")," ",""),"-","")="","",IF(AND(OR(LEN(SUBSTITUTE(SUBSTITUTE(SUBSTITUTE(SUBSTITUTE(CLEAN(I71&amp;"")," ",""),".","")," ",""),"-",""))=2,LEN(SUBSTITUTE(SUBSTITUTE(SUBSTITUTE(SUBSTITUTE(CLEAN(I71&amp;"")," ",""),".","")," ",""),"-",""))=4,LEN(SUBSTITUTE(SUBSTITUTE(SUBSTITUTE(SUBSTITUTE(CLEAN(I71&amp;"")," ",""),".","")," ",""),"-",""))=6,LEN(SUBSTITUTE(SUBSTITUTE(SUBSTITUTE(SUBSTITUTE(CLEAN(I71&amp;"")," ",""),".","")," ",""),"-",""))=8,LEN(SUBSTITUTE(SUBSTITUTE(SUBSTITUTE(SUBSTITUTE(CLEAN(I71&amp;"")," ",""),".","")," ",""),"-",""))=10),IFERROR(TEXT(VALUE(SUBSTITUTE(SUBSTITUTE(SUBSTITUTE(SUBSTITUTE(CLEAN(I71&amp;"")," ",""),".","")," ",""),"-","")),REPT("0",LEN(SUBSTITUTE(SUBSTITUTE(SUBSTITUTE(SUBSTITUTE(CLEAN(I71&amp;"")," ",""),".","")," ",""),"-",""))))=SUBSTITUTE(SUBSTITUTE(SUBSTITUTE(SUBSTITUTE(CLEAN(I71&amp;"")," ",""),".","")," ",""),"-",""),FALSE)),SUBSTITUTE(SUBSTITUTE(SUBSTITUTE(SUBSTITUTE(CLEAN(I71&amp;"")," ",""),".","")," ",""),"-",""),"CHECK: not 2, 4, 6, 8 or 10 digits"))</f>
        <v/>
      </c>
      <c r="K71" s="11" t="n"/>
      <c r="P71" s="8" t="n"/>
      <c r="Q71" s="8" t="n"/>
      <c r="R71" s="8" t="n"/>
      <c r="S71" s="12" t="n"/>
      <c r="T71" s="11" t="n"/>
      <c r="U71" s="11" t="n"/>
      <c r="V71" s="10">
        <f>IF(TRIM(CLEAN(SUBSTITUTE(P71&amp;""," "," ")))="","",UPPER(TRIM(CLEAN(SUBSTITUTE(P71&amp;""," "," "))))&amp;"/"&amp;UPPER(TRIM(CLEAN(SUBSTITUTE(Q71&amp;""," "," ")))))</f>
        <v/>
      </c>
      <c r="W71" s="10">
        <f>IF(V71="","",IF(UPPER(TRIM(CLEAN(SUBSTITUTE(Q71&amp;""," "," "))))&lt;&gt;UPPER(TRIM(CLEAN(SUBSTITUTE(act_Country&amp;""," "," ")))),"CHECK: import country must match B7",IF(COUNTIF(det_Key,V71)&gt;1,"CHECK: listed twice",IF(AND(UPPER(TRIM(CLEAN(SUBSTITUTE(R71&amp;""," "," "))))&lt;&gt;"",UPPER(TRIM(CLEAN(SUBSTITUTE(R71&amp;""," "," "))))&lt;&gt;"IN",UPPER(TRIM(CLEAN(SUBSTITUTE(R71&amp;""," "," "))))&lt;&gt;"OUT"),"CHECK: determination must be IN, OUT or blank",IF(AND(S71&amp;""&lt;&gt;"",NOT(ISNUMBER(S71))),"CHECK: displaced rate must be a percentage",IF(AND(UPPER(TRIM(CLEAN(SUBSTITUTE(R71&amp;""," "," "))))="",NOT(ISNUMBER(S71))),"CHECK: enter IN, OUT or a displaced rate",IF(SUMPRODUCT(--(Calc!$AL$5:$AL$254&lt;&gt;""))=0,"WAIT: Items not loaded yet",IF(COUNTIF(Calc!$AL$5:$AL$254,V71)=0,"CHECK: no Items row for this item and import country","OK"))))))))</f>
        <v/>
      </c>
    </row>
    <row r="72">
      <c r="E72" s="8" t="n"/>
      <c r="F72" s="10">
        <f>IF(SUBSTITUTE(SUBSTITUTE(SUBSTITUTE(SUBSTITUTE(CLEAN(E72&amp;"")," ",""),".","")," ",""),"-","")="","",IF(AND(OR(LEN(SUBSTITUTE(SUBSTITUTE(SUBSTITUTE(SUBSTITUTE(CLEAN(E72&amp;"")," ",""),".","")," ",""),"-",""))=2,LEN(SUBSTITUTE(SUBSTITUTE(SUBSTITUTE(SUBSTITUTE(CLEAN(E72&amp;"")," ",""),".","")," ",""),"-",""))=4,LEN(SUBSTITUTE(SUBSTITUTE(SUBSTITUTE(SUBSTITUTE(CLEAN(E72&amp;"")," ",""),".","")," ",""),"-",""))=6,LEN(SUBSTITUTE(SUBSTITUTE(SUBSTITUTE(SUBSTITUTE(CLEAN(E72&amp;"")," ",""),".","")," ",""),"-",""))=8,LEN(SUBSTITUTE(SUBSTITUTE(SUBSTITUTE(SUBSTITUTE(CLEAN(E72&amp;"")," ",""),".","")," ",""),"-",""))=10),IFERROR(TEXT(VALUE(SUBSTITUTE(SUBSTITUTE(SUBSTITUTE(SUBSTITUTE(CLEAN(E72&amp;"")," ",""),".","")," ",""),"-","")),REPT("0",LEN(SUBSTITUTE(SUBSTITUTE(SUBSTITUTE(SUBSTITUTE(CLEAN(E72&amp;"")," ",""),".","")," ",""),"-",""))))=SUBSTITUTE(SUBSTITUTE(SUBSTITUTE(SUBSTITUTE(CLEAN(E72&amp;"")," ",""),".","")," ",""),"-",""),FALSE)),SUBSTITUTE(SUBSTITUTE(SUBSTITUTE(SUBSTITUTE(CLEAN(E72&amp;"")," ",""),".","")," ",""),"-",""),"CHECK: not 2, 4, 6, 8 or 10 digits"))</f>
        <v/>
      </c>
      <c r="G72" s="11" t="n"/>
      <c r="H72" s="8" t="n"/>
      <c r="I72" s="8" t="n"/>
      <c r="J72" s="10">
        <f>IF(SUBSTITUTE(SUBSTITUTE(SUBSTITUTE(SUBSTITUTE(CLEAN(I72&amp;"")," ",""),".","")," ",""),"-","")="","",IF(AND(OR(LEN(SUBSTITUTE(SUBSTITUTE(SUBSTITUTE(SUBSTITUTE(CLEAN(I72&amp;"")," ",""),".","")," ",""),"-",""))=2,LEN(SUBSTITUTE(SUBSTITUTE(SUBSTITUTE(SUBSTITUTE(CLEAN(I72&amp;"")," ",""),".","")," ",""),"-",""))=4,LEN(SUBSTITUTE(SUBSTITUTE(SUBSTITUTE(SUBSTITUTE(CLEAN(I72&amp;"")," ",""),".","")," ",""),"-",""))=6,LEN(SUBSTITUTE(SUBSTITUTE(SUBSTITUTE(SUBSTITUTE(CLEAN(I72&amp;"")," ",""),".","")," ",""),"-",""))=8,LEN(SUBSTITUTE(SUBSTITUTE(SUBSTITUTE(SUBSTITUTE(CLEAN(I72&amp;"")," ",""),".","")," ",""),"-",""))=10),IFERROR(TEXT(VALUE(SUBSTITUTE(SUBSTITUTE(SUBSTITUTE(SUBSTITUTE(CLEAN(I72&amp;"")," ",""),".","")," ",""),"-","")),REPT("0",LEN(SUBSTITUTE(SUBSTITUTE(SUBSTITUTE(SUBSTITUTE(CLEAN(I72&amp;"")," ",""),".","")," ",""),"-",""))))=SUBSTITUTE(SUBSTITUTE(SUBSTITUTE(SUBSTITUTE(CLEAN(I72&amp;"")," ",""),".","")," ",""),"-",""),FALSE)),SUBSTITUTE(SUBSTITUTE(SUBSTITUTE(SUBSTITUTE(CLEAN(I72&amp;"")," ",""),".","")," ",""),"-",""),"CHECK: not 2, 4, 6, 8 or 10 digits"))</f>
        <v/>
      </c>
      <c r="K72" s="11" t="n"/>
      <c r="P72" s="8" t="n"/>
      <c r="Q72" s="8" t="n"/>
      <c r="R72" s="8" t="n"/>
      <c r="S72" s="12" t="n"/>
      <c r="T72" s="11" t="n"/>
      <c r="U72" s="11" t="n"/>
      <c r="V72" s="10">
        <f>IF(TRIM(CLEAN(SUBSTITUTE(P72&amp;""," "," ")))="","",UPPER(TRIM(CLEAN(SUBSTITUTE(P72&amp;""," "," "))))&amp;"/"&amp;UPPER(TRIM(CLEAN(SUBSTITUTE(Q72&amp;""," "," ")))))</f>
        <v/>
      </c>
      <c r="W72" s="10">
        <f>IF(V72="","",IF(UPPER(TRIM(CLEAN(SUBSTITUTE(Q72&amp;""," "," "))))&lt;&gt;UPPER(TRIM(CLEAN(SUBSTITUTE(act_Country&amp;""," "," ")))),"CHECK: import country must match B7",IF(COUNTIF(det_Key,V72)&gt;1,"CHECK: listed twice",IF(AND(UPPER(TRIM(CLEAN(SUBSTITUTE(R72&amp;""," "," "))))&lt;&gt;"",UPPER(TRIM(CLEAN(SUBSTITUTE(R72&amp;""," "," "))))&lt;&gt;"IN",UPPER(TRIM(CLEAN(SUBSTITUTE(R72&amp;""," "," "))))&lt;&gt;"OUT"),"CHECK: determination must be IN, OUT or blank",IF(AND(S72&amp;""&lt;&gt;"",NOT(ISNUMBER(S72))),"CHECK: displaced rate must be a percentage",IF(AND(UPPER(TRIM(CLEAN(SUBSTITUTE(R72&amp;""," "," "))))="",NOT(ISNUMBER(S72))),"CHECK: enter IN, OUT or a displaced rate",IF(SUMPRODUCT(--(Calc!$AL$5:$AL$254&lt;&gt;""))=0,"WAIT: Items not loaded yet",IF(COUNTIF(Calc!$AL$5:$AL$254,V72)=0,"CHECK: no Items row for this item and import country","OK"))))))))</f>
        <v/>
      </c>
    </row>
    <row r="73">
      <c r="E73" s="8" t="n"/>
      <c r="F73" s="10">
        <f>IF(SUBSTITUTE(SUBSTITUTE(SUBSTITUTE(SUBSTITUTE(CLEAN(E73&amp;"")," ",""),".","")," ",""),"-","")="","",IF(AND(OR(LEN(SUBSTITUTE(SUBSTITUTE(SUBSTITUTE(SUBSTITUTE(CLEAN(E73&amp;"")," ",""),".","")," ",""),"-",""))=2,LEN(SUBSTITUTE(SUBSTITUTE(SUBSTITUTE(SUBSTITUTE(CLEAN(E73&amp;"")," ",""),".","")," ",""),"-",""))=4,LEN(SUBSTITUTE(SUBSTITUTE(SUBSTITUTE(SUBSTITUTE(CLEAN(E73&amp;"")," ",""),".","")," ",""),"-",""))=6,LEN(SUBSTITUTE(SUBSTITUTE(SUBSTITUTE(SUBSTITUTE(CLEAN(E73&amp;"")," ",""),".","")," ",""),"-",""))=8,LEN(SUBSTITUTE(SUBSTITUTE(SUBSTITUTE(SUBSTITUTE(CLEAN(E73&amp;"")," ",""),".","")," ",""),"-",""))=10),IFERROR(TEXT(VALUE(SUBSTITUTE(SUBSTITUTE(SUBSTITUTE(SUBSTITUTE(CLEAN(E73&amp;"")," ",""),".","")," ",""),"-","")),REPT("0",LEN(SUBSTITUTE(SUBSTITUTE(SUBSTITUTE(SUBSTITUTE(CLEAN(E73&amp;"")," ",""),".","")," ",""),"-",""))))=SUBSTITUTE(SUBSTITUTE(SUBSTITUTE(SUBSTITUTE(CLEAN(E73&amp;"")," ",""),".","")," ",""),"-",""),FALSE)),SUBSTITUTE(SUBSTITUTE(SUBSTITUTE(SUBSTITUTE(CLEAN(E73&amp;"")," ",""),".","")," ",""),"-",""),"CHECK: not 2, 4, 6, 8 or 10 digits"))</f>
        <v/>
      </c>
      <c r="G73" s="11" t="n"/>
      <c r="H73" s="8" t="n"/>
      <c r="I73" s="8" t="n"/>
      <c r="J73" s="10">
        <f>IF(SUBSTITUTE(SUBSTITUTE(SUBSTITUTE(SUBSTITUTE(CLEAN(I73&amp;"")," ",""),".","")," ",""),"-","")="","",IF(AND(OR(LEN(SUBSTITUTE(SUBSTITUTE(SUBSTITUTE(SUBSTITUTE(CLEAN(I73&amp;"")," ",""),".","")," ",""),"-",""))=2,LEN(SUBSTITUTE(SUBSTITUTE(SUBSTITUTE(SUBSTITUTE(CLEAN(I73&amp;"")," ",""),".","")," ",""),"-",""))=4,LEN(SUBSTITUTE(SUBSTITUTE(SUBSTITUTE(SUBSTITUTE(CLEAN(I73&amp;"")," ",""),".","")," ",""),"-",""))=6,LEN(SUBSTITUTE(SUBSTITUTE(SUBSTITUTE(SUBSTITUTE(CLEAN(I73&amp;"")," ",""),".","")," ",""),"-",""))=8,LEN(SUBSTITUTE(SUBSTITUTE(SUBSTITUTE(SUBSTITUTE(CLEAN(I73&amp;"")," ",""),".","")," ",""),"-",""))=10),IFERROR(TEXT(VALUE(SUBSTITUTE(SUBSTITUTE(SUBSTITUTE(SUBSTITUTE(CLEAN(I73&amp;"")," ",""),".","")," ",""),"-","")),REPT("0",LEN(SUBSTITUTE(SUBSTITUTE(SUBSTITUTE(SUBSTITUTE(CLEAN(I73&amp;"")," ",""),".","")," ",""),"-",""))))=SUBSTITUTE(SUBSTITUTE(SUBSTITUTE(SUBSTITUTE(CLEAN(I73&amp;"")," ",""),".","")," ",""),"-",""),FALSE)),SUBSTITUTE(SUBSTITUTE(SUBSTITUTE(SUBSTITUTE(CLEAN(I73&amp;"")," ",""),".","")," ",""),"-",""),"CHECK: not 2, 4, 6, 8 or 10 digits"))</f>
        <v/>
      </c>
      <c r="K73" s="11" t="n"/>
      <c r="P73" s="8" t="n"/>
      <c r="Q73" s="8" t="n"/>
      <c r="R73" s="8" t="n"/>
      <c r="S73" s="12" t="n"/>
      <c r="T73" s="11" t="n"/>
      <c r="U73" s="11" t="n"/>
      <c r="V73" s="10">
        <f>IF(TRIM(CLEAN(SUBSTITUTE(P73&amp;""," "," ")))="","",UPPER(TRIM(CLEAN(SUBSTITUTE(P73&amp;""," "," "))))&amp;"/"&amp;UPPER(TRIM(CLEAN(SUBSTITUTE(Q73&amp;""," "," ")))))</f>
        <v/>
      </c>
      <c r="W73" s="10">
        <f>IF(V73="","",IF(UPPER(TRIM(CLEAN(SUBSTITUTE(Q73&amp;""," "," "))))&lt;&gt;UPPER(TRIM(CLEAN(SUBSTITUTE(act_Country&amp;""," "," ")))),"CHECK: import country must match B7",IF(COUNTIF(det_Key,V73)&gt;1,"CHECK: listed twice",IF(AND(UPPER(TRIM(CLEAN(SUBSTITUTE(R73&amp;""," "," "))))&lt;&gt;"",UPPER(TRIM(CLEAN(SUBSTITUTE(R73&amp;""," "," "))))&lt;&gt;"IN",UPPER(TRIM(CLEAN(SUBSTITUTE(R73&amp;""," "," "))))&lt;&gt;"OUT"),"CHECK: determination must be IN, OUT or blank",IF(AND(S73&amp;""&lt;&gt;"",NOT(ISNUMBER(S73))),"CHECK: displaced rate must be a percentage",IF(AND(UPPER(TRIM(CLEAN(SUBSTITUTE(R73&amp;""," "," "))))="",NOT(ISNUMBER(S73))),"CHECK: enter IN, OUT or a displaced rate",IF(SUMPRODUCT(--(Calc!$AL$5:$AL$254&lt;&gt;""))=0,"WAIT: Items not loaded yet",IF(COUNTIF(Calc!$AL$5:$AL$254,V73)=0,"CHECK: no Items row for this item and import country","OK"))))))))</f>
        <v/>
      </c>
    </row>
    <row r="74">
      <c r="E74" s="8" t="n"/>
      <c r="F74" s="10">
        <f>IF(SUBSTITUTE(SUBSTITUTE(SUBSTITUTE(SUBSTITUTE(CLEAN(E74&amp;"")," ",""),".","")," ",""),"-","")="","",IF(AND(OR(LEN(SUBSTITUTE(SUBSTITUTE(SUBSTITUTE(SUBSTITUTE(CLEAN(E74&amp;"")," ",""),".","")," ",""),"-",""))=2,LEN(SUBSTITUTE(SUBSTITUTE(SUBSTITUTE(SUBSTITUTE(CLEAN(E74&amp;"")," ",""),".","")," ",""),"-",""))=4,LEN(SUBSTITUTE(SUBSTITUTE(SUBSTITUTE(SUBSTITUTE(CLEAN(E74&amp;"")," ",""),".","")," ",""),"-",""))=6,LEN(SUBSTITUTE(SUBSTITUTE(SUBSTITUTE(SUBSTITUTE(CLEAN(E74&amp;"")," ",""),".","")," ",""),"-",""))=8,LEN(SUBSTITUTE(SUBSTITUTE(SUBSTITUTE(SUBSTITUTE(CLEAN(E74&amp;"")," ",""),".","")," ",""),"-",""))=10),IFERROR(TEXT(VALUE(SUBSTITUTE(SUBSTITUTE(SUBSTITUTE(SUBSTITUTE(CLEAN(E74&amp;"")," ",""),".","")," ",""),"-","")),REPT("0",LEN(SUBSTITUTE(SUBSTITUTE(SUBSTITUTE(SUBSTITUTE(CLEAN(E74&amp;"")," ",""),".","")," ",""),"-",""))))=SUBSTITUTE(SUBSTITUTE(SUBSTITUTE(SUBSTITUTE(CLEAN(E74&amp;"")," ",""),".","")," ",""),"-",""),FALSE)),SUBSTITUTE(SUBSTITUTE(SUBSTITUTE(SUBSTITUTE(CLEAN(E74&amp;"")," ",""),".","")," ",""),"-",""),"CHECK: not 2, 4, 6, 8 or 10 digits"))</f>
        <v/>
      </c>
      <c r="G74" s="11" t="n"/>
      <c r="H74" s="8" t="n"/>
      <c r="I74" s="8" t="n"/>
      <c r="J74" s="10">
        <f>IF(SUBSTITUTE(SUBSTITUTE(SUBSTITUTE(SUBSTITUTE(CLEAN(I74&amp;"")," ",""),".","")," ",""),"-","")="","",IF(AND(OR(LEN(SUBSTITUTE(SUBSTITUTE(SUBSTITUTE(SUBSTITUTE(CLEAN(I74&amp;"")," ",""),".","")," ",""),"-",""))=2,LEN(SUBSTITUTE(SUBSTITUTE(SUBSTITUTE(SUBSTITUTE(CLEAN(I74&amp;"")," ",""),".","")," ",""),"-",""))=4,LEN(SUBSTITUTE(SUBSTITUTE(SUBSTITUTE(SUBSTITUTE(CLEAN(I74&amp;"")," ",""),".","")," ",""),"-",""))=6,LEN(SUBSTITUTE(SUBSTITUTE(SUBSTITUTE(SUBSTITUTE(CLEAN(I74&amp;"")," ",""),".","")," ",""),"-",""))=8,LEN(SUBSTITUTE(SUBSTITUTE(SUBSTITUTE(SUBSTITUTE(CLEAN(I74&amp;"")," ",""),".","")," ",""),"-",""))=10),IFERROR(TEXT(VALUE(SUBSTITUTE(SUBSTITUTE(SUBSTITUTE(SUBSTITUTE(CLEAN(I74&amp;"")," ",""),".","")," ",""),"-","")),REPT("0",LEN(SUBSTITUTE(SUBSTITUTE(SUBSTITUTE(SUBSTITUTE(CLEAN(I74&amp;"")," ",""),".","")," ",""),"-",""))))=SUBSTITUTE(SUBSTITUTE(SUBSTITUTE(SUBSTITUTE(CLEAN(I74&amp;"")," ",""),".","")," ",""),"-",""),FALSE)),SUBSTITUTE(SUBSTITUTE(SUBSTITUTE(SUBSTITUTE(CLEAN(I74&amp;"")," ",""),".","")," ",""),"-",""),"CHECK: not 2, 4, 6, 8 or 10 digits"))</f>
        <v/>
      </c>
      <c r="K74" s="11" t="n"/>
      <c r="P74" s="8" t="n"/>
      <c r="Q74" s="8" t="n"/>
      <c r="R74" s="8" t="n"/>
      <c r="S74" s="12" t="n"/>
      <c r="T74" s="11" t="n"/>
      <c r="U74" s="11" t="n"/>
      <c r="V74" s="10">
        <f>IF(TRIM(CLEAN(SUBSTITUTE(P74&amp;""," "," ")))="","",UPPER(TRIM(CLEAN(SUBSTITUTE(P74&amp;""," "," "))))&amp;"/"&amp;UPPER(TRIM(CLEAN(SUBSTITUTE(Q74&amp;""," "," ")))))</f>
        <v/>
      </c>
      <c r="W74" s="10">
        <f>IF(V74="","",IF(UPPER(TRIM(CLEAN(SUBSTITUTE(Q74&amp;""," "," "))))&lt;&gt;UPPER(TRIM(CLEAN(SUBSTITUTE(act_Country&amp;""," "," ")))),"CHECK: import country must match B7",IF(COUNTIF(det_Key,V74)&gt;1,"CHECK: listed twice",IF(AND(UPPER(TRIM(CLEAN(SUBSTITUTE(R74&amp;""," "," "))))&lt;&gt;"",UPPER(TRIM(CLEAN(SUBSTITUTE(R74&amp;""," "," "))))&lt;&gt;"IN",UPPER(TRIM(CLEAN(SUBSTITUTE(R74&amp;""," "," "))))&lt;&gt;"OUT"),"CHECK: determination must be IN, OUT or blank",IF(AND(S74&amp;""&lt;&gt;"",NOT(ISNUMBER(S74))),"CHECK: displaced rate must be a percentage",IF(AND(UPPER(TRIM(CLEAN(SUBSTITUTE(R74&amp;""," "," "))))="",NOT(ISNUMBER(S74))),"CHECK: enter IN, OUT or a displaced rate",IF(SUMPRODUCT(--(Calc!$AL$5:$AL$254&lt;&gt;""))=0,"WAIT: Items not loaded yet",IF(COUNTIF(Calc!$AL$5:$AL$254,V74)=0,"CHECK: no Items row for this item and import country","OK"))))))))</f>
        <v/>
      </c>
    </row>
    <row r="75">
      <c r="E75" s="8" t="n"/>
      <c r="F75" s="10">
        <f>IF(SUBSTITUTE(SUBSTITUTE(SUBSTITUTE(SUBSTITUTE(CLEAN(E75&amp;"")," ",""),".","")," ",""),"-","")="","",IF(AND(OR(LEN(SUBSTITUTE(SUBSTITUTE(SUBSTITUTE(SUBSTITUTE(CLEAN(E75&amp;"")," ",""),".","")," ",""),"-",""))=2,LEN(SUBSTITUTE(SUBSTITUTE(SUBSTITUTE(SUBSTITUTE(CLEAN(E75&amp;"")," ",""),".","")," ",""),"-",""))=4,LEN(SUBSTITUTE(SUBSTITUTE(SUBSTITUTE(SUBSTITUTE(CLEAN(E75&amp;"")," ",""),".","")," ",""),"-",""))=6,LEN(SUBSTITUTE(SUBSTITUTE(SUBSTITUTE(SUBSTITUTE(CLEAN(E75&amp;"")," ",""),".","")," ",""),"-",""))=8,LEN(SUBSTITUTE(SUBSTITUTE(SUBSTITUTE(SUBSTITUTE(CLEAN(E75&amp;"")," ",""),".","")," ",""),"-",""))=10),IFERROR(TEXT(VALUE(SUBSTITUTE(SUBSTITUTE(SUBSTITUTE(SUBSTITUTE(CLEAN(E75&amp;"")," ",""),".","")," ",""),"-","")),REPT("0",LEN(SUBSTITUTE(SUBSTITUTE(SUBSTITUTE(SUBSTITUTE(CLEAN(E75&amp;"")," ",""),".","")," ",""),"-",""))))=SUBSTITUTE(SUBSTITUTE(SUBSTITUTE(SUBSTITUTE(CLEAN(E75&amp;"")," ",""),".","")," ",""),"-",""),FALSE)),SUBSTITUTE(SUBSTITUTE(SUBSTITUTE(SUBSTITUTE(CLEAN(E75&amp;"")," ",""),".","")," ",""),"-",""),"CHECK: not 2, 4, 6, 8 or 10 digits"))</f>
        <v/>
      </c>
      <c r="G75" s="11" t="n"/>
      <c r="H75" s="8" t="n"/>
      <c r="I75" s="8" t="n"/>
      <c r="J75" s="10">
        <f>IF(SUBSTITUTE(SUBSTITUTE(SUBSTITUTE(SUBSTITUTE(CLEAN(I75&amp;"")," ",""),".","")," ",""),"-","")="","",IF(AND(OR(LEN(SUBSTITUTE(SUBSTITUTE(SUBSTITUTE(SUBSTITUTE(CLEAN(I75&amp;"")," ",""),".","")," ",""),"-",""))=2,LEN(SUBSTITUTE(SUBSTITUTE(SUBSTITUTE(SUBSTITUTE(CLEAN(I75&amp;"")," ",""),".","")," ",""),"-",""))=4,LEN(SUBSTITUTE(SUBSTITUTE(SUBSTITUTE(SUBSTITUTE(CLEAN(I75&amp;"")," ",""),".","")," ",""),"-",""))=6,LEN(SUBSTITUTE(SUBSTITUTE(SUBSTITUTE(SUBSTITUTE(CLEAN(I75&amp;"")," ",""),".","")," ",""),"-",""))=8,LEN(SUBSTITUTE(SUBSTITUTE(SUBSTITUTE(SUBSTITUTE(CLEAN(I75&amp;"")," ",""),".","")," ",""),"-",""))=10),IFERROR(TEXT(VALUE(SUBSTITUTE(SUBSTITUTE(SUBSTITUTE(SUBSTITUTE(CLEAN(I75&amp;"")," ",""),".","")," ",""),"-","")),REPT("0",LEN(SUBSTITUTE(SUBSTITUTE(SUBSTITUTE(SUBSTITUTE(CLEAN(I75&amp;"")," ",""),".","")," ",""),"-",""))))=SUBSTITUTE(SUBSTITUTE(SUBSTITUTE(SUBSTITUTE(CLEAN(I75&amp;"")," ",""),".","")," ",""),"-",""),FALSE)),SUBSTITUTE(SUBSTITUTE(SUBSTITUTE(SUBSTITUTE(CLEAN(I75&amp;"")," ",""),".","")," ",""),"-",""),"CHECK: not 2, 4, 6, 8 or 10 digits"))</f>
        <v/>
      </c>
      <c r="K75" s="11" t="n"/>
      <c r="P75" s="8" t="n"/>
      <c r="Q75" s="8" t="n"/>
      <c r="R75" s="8" t="n"/>
      <c r="S75" s="12" t="n"/>
      <c r="T75" s="11" t="n"/>
      <c r="U75" s="11" t="n"/>
      <c r="V75" s="10">
        <f>IF(TRIM(CLEAN(SUBSTITUTE(P75&amp;""," "," ")))="","",UPPER(TRIM(CLEAN(SUBSTITUTE(P75&amp;""," "," "))))&amp;"/"&amp;UPPER(TRIM(CLEAN(SUBSTITUTE(Q75&amp;""," "," ")))))</f>
        <v/>
      </c>
      <c r="W75" s="10">
        <f>IF(V75="","",IF(UPPER(TRIM(CLEAN(SUBSTITUTE(Q75&amp;""," "," "))))&lt;&gt;UPPER(TRIM(CLEAN(SUBSTITUTE(act_Country&amp;""," "," ")))),"CHECK: import country must match B7",IF(COUNTIF(det_Key,V75)&gt;1,"CHECK: listed twice",IF(AND(UPPER(TRIM(CLEAN(SUBSTITUTE(R75&amp;""," "," "))))&lt;&gt;"",UPPER(TRIM(CLEAN(SUBSTITUTE(R75&amp;""," "," "))))&lt;&gt;"IN",UPPER(TRIM(CLEAN(SUBSTITUTE(R75&amp;""," "," "))))&lt;&gt;"OUT"),"CHECK: determination must be IN, OUT or blank",IF(AND(S75&amp;""&lt;&gt;"",NOT(ISNUMBER(S75))),"CHECK: displaced rate must be a percentage",IF(AND(UPPER(TRIM(CLEAN(SUBSTITUTE(R75&amp;""," "," "))))="",NOT(ISNUMBER(S75))),"CHECK: enter IN, OUT or a displaced rate",IF(SUMPRODUCT(--(Calc!$AL$5:$AL$254&lt;&gt;""))=0,"WAIT: Items not loaded yet",IF(COUNTIF(Calc!$AL$5:$AL$254,V75)=0,"CHECK: no Items row for this item and import country","OK"))))))))</f>
        <v/>
      </c>
    </row>
    <row r="76">
      <c r="E76" s="8" t="n"/>
      <c r="F76" s="10">
        <f>IF(SUBSTITUTE(SUBSTITUTE(SUBSTITUTE(SUBSTITUTE(CLEAN(E76&amp;"")," ",""),".","")," ",""),"-","")="","",IF(AND(OR(LEN(SUBSTITUTE(SUBSTITUTE(SUBSTITUTE(SUBSTITUTE(CLEAN(E76&amp;"")," ",""),".","")," ",""),"-",""))=2,LEN(SUBSTITUTE(SUBSTITUTE(SUBSTITUTE(SUBSTITUTE(CLEAN(E76&amp;"")," ",""),".","")," ",""),"-",""))=4,LEN(SUBSTITUTE(SUBSTITUTE(SUBSTITUTE(SUBSTITUTE(CLEAN(E76&amp;"")," ",""),".","")," ",""),"-",""))=6,LEN(SUBSTITUTE(SUBSTITUTE(SUBSTITUTE(SUBSTITUTE(CLEAN(E76&amp;"")," ",""),".","")," ",""),"-",""))=8,LEN(SUBSTITUTE(SUBSTITUTE(SUBSTITUTE(SUBSTITUTE(CLEAN(E76&amp;"")," ",""),".","")," ",""),"-",""))=10),IFERROR(TEXT(VALUE(SUBSTITUTE(SUBSTITUTE(SUBSTITUTE(SUBSTITUTE(CLEAN(E76&amp;"")," ",""),".","")," ",""),"-","")),REPT("0",LEN(SUBSTITUTE(SUBSTITUTE(SUBSTITUTE(SUBSTITUTE(CLEAN(E76&amp;"")," ",""),".","")," ",""),"-",""))))=SUBSTITUTE(SUBSTITUTE(SUBSTITUTE(SUBSTITUTE(CLEAN(E76&amp;"")," ",""),".","")," ",""),"-",""),FALSE)),SUBSTITUTE(SUBSTITUTE(SUBSTITUTE(SUBSTITUTE(CLEAN(E76&amp;"")," ",""),".","")," ",""),"-",""),"CHECK: not 2, 4, 6, 8 or 10 digits"))</f>
        <v/>
      </c>
      <c r="G76" s="11" t="n"/>
      <c r="H76" s="8" t="n"/>
      <c r="I76" s="8" t="n"/>
      <c r="J76" s="10">
        <f>IF(SUBSTITUTE(SUBSTITUTE(SUBSTITUTE(SUBSTITUTE(CLEAN(I76&amp;"")," ",""),".","")," ",""),"-","")="","",IF(AND(OR(LEN(SUBSTITUTE(SUBSTITUTE(SUBSTITUTE(SUBSTITUTE(CLEAN(I76&amp;"")," ",""),".","")," ",""),"-",""))=2,LEN(SUBSTITUTE(SUBSTITUTE(SUBSTITUTE(SUBSTITUTE(CLEAN(I76&amp;"")," ",""),".","")," ",""),"-",""))=4,LEN(SUBSTITUTE(SUBSTITUTE(SUBSTITUTE(SUBSTITUTE(CLEAN(I76&amp;"")," ",""),".","")," ",""),"-",""))=6,LEN(SUBSTITUTE(SUBSTITUTE(SUBSTITUTE(SUBSTITUTE(CLEAN(I76&amp;"")," ",""),".","")," ",""),"-",""))=8,LEN(SUBSTITUTE(SUBSTITUTE(SUBSTITUTE(SUBSTITUTE(CLEAN(I76&amp;"")," ",""),".","")," ",""),"-",""))=10),IFERROR(TEXT(VALUE(SUBSTITUTE(SUBSTITUTE(SUBSTITUTE(SUBSTITUTE(CLEAN(I76&amp;"")," ",""),".","")," ",""),"-","")),REPT("0",LEN(SUBSTITUTE(SUBSTITUTE(SUBSTITUTE(SUBSTITUTE(CLEAN(I76&amp;"")," ",""),".","")," ",""),"-",""))))=SUBSTITUTE(SUBSTITUTE(SUBSTITUTE(SUBSTITUTE(CLEAN(I76&amp;"")," ",""),".","")," ",""),"-",""),FALSE)),SUBSTITUTE(SUBSTITUTE(SUBSTITUTE(SUBSTITUTE(CLEAN(I76&amp;"")," ",""),".","")," ",""),"-",""),"CHECK: not 2, 4, 6, 8 or 10 digits"))</f>
        <v/>
      </c>
      <c r="K76" s="11" t="n"/>
      <c r="P76" s="8" t="n"/>
      <c r="Q76" s="8" t="n"/>
      <c r="R76" s="8" t="n"/>
      <c r="S76" s="12" t="n"/>
      <c r="T76" s="11" t="n"/>
      <c r="U76" s="11" t="n"/>
      <c r="V76" s="10">
        <f>IF(TRIM(CLEAN(SUBSTITUTE(P76&amp;""," "," ")))="","",UPPER(TRIM(CLEAN(SUBSTITUTE(P76&amp;""," "," "))))&amp;"/"&amp;UPPER(TRIM(CLEAN(SUBSTITUTE(Q76&amp;""," "," ")))))</f>
        <v/>
      </c>
      <c r="W76" s="10">
        <f>IF(V76="","",IF(UPPER(TRIM(CLEAN(SUBSTITUTE(Q76&amp;""," "," "))))&lt;&gt;UPPER(TRIM(CLEAN(SUBSTITUTE(act_Country&amp;""," "," ")))),"CHECK: import country must match B7",IF(COUNTIF(det_Key,V76)&gt;1,"CHECK: listed twice",IF(AND(UPPER(TRIM(CLEAN(SUBSTITUTE(R76&amp;""," "," "))))&lt;&gt;"",UPPER(TRIM(CLEAN(SUBSTITUTE(R76&amp;""," "," "))))&lt;&gt;"IN",UPPER(TRIM(CLEAN(SUBSTITUTE(R76&amp;""," "," "))))&lt;&gt;"OUT"),"CHECK: determination must be IN, OUT or blank",IF(AND(S76&amp;""&lt;&gt;"",NOT(ISNUMBER(S76))),"CHECK: displaced rate must be a percentage",IF(AND(UPPER(TRIM(CLEAN(SUBSTITUTE(R76&amp;""," "," "))))="",NOT(ISNUMBER(S76))),"CHECK: enter IN, OUT or a displaced rate",IF(SUMPRODUCT(--(Calc!$AL$5:$AL$254&lt;&gt;""))=0,"WAIT: Items not loaded yet",IF(COUNTIF(Calc!$AL$5:$AL$254,V76)=0,"CHECK: no Items row for this item and import country","OK"))))))))</f>
        <v/>
      </c>
    </row>
    <row r="77">
      <c r="E77" s="8" t="n"/>
      <c r="F77" s="10">
        <f>IF(SUBSTITUTE(SUBSTITUTE(SUBSTITUTE(SUBSTITUTE(CLEAN(E77&amp;"")," ",""),".","")," ",""),"-","")="","",IF(AND(OR(LEN(SUBSTITUTE(SUBSTITUTE(SUBSTITUTE(SUBSTITUTE(CLEAN(E77&amp;"")," ",""),".","")," ",""),"-",""))=2,LEN(SUBSTITUTE(SUBSTITUTE(SUBSTITUTE(SUBSTITUTE(CLEAN(E77&amp;"")," ",""),".","")," ",""),"-",""))=4,LEN(SUBSTITUTE(SUBSTITUTE(SUBSTITUTE(SUBSTITUTE(CLEAN(E77&amp;"")," ",""),".","")," ",""),"-",""))=6,LEN(SUBSTITUTE(SUBSTITUTE(SUBSTITUTE(SUBSTITUTE(CLEAN(E77&amp;"")," ",""),".","")," ",""),"-",""))=8,LEN(SUBSTITUTE(SUBSTITUTE(SUBSTITUTE(SUBSTITUTE(CLEAN(E77&amp;"")," ",""),".","")," ",""),"-",""))=10),IFERROR(TEXT(VALUE(SUBSTITUTE(SUBSTITUTE(SUBSTITUTE(SUBSTITUTE(CLEAN(E77&amp;"")," ",""),".","")," ",""),"-","")),REPT("0",LEN(SUBSTITUTE(SUBSTITUTE(SUBSTITUTE(SUBSTITUTE(CLEAN(E77&amp;"")," ",""),".","")," ",""),"-",""))))=SUBSTITUTE(SUBSTITUTE(SUBSTITUTE(SUBSTITUTE(CLEAN(E77&amp;"")," ",""),".","")," ",""),"-",""),FALSE)),SUBSTITUTE(SUBSTITUTE(SUBSTITUTE(SUBSTITUTE(CLEAN(E77&amp;"")," ",""),".","")," ",""),"-",""),"CHECK: not 2, 4, 6, 8 or 10 digits"))</f>
        <v/>
      </c>
      <c r="G77" s="11" t="n"/>
      <c r="H77" s="8" t="n"/>
      <c r="I77" s="8" t="n"/>
      <c r="J77" s="10">
        <f>IF(SUBSTITUTE(SUBSTITUTE(SUBSTITUTE(SUBSTITUTE(CLEAN(I77&amp;"")," ",""),".","")," ",""),"-","")="","",IF(AND(OR(LEN(SUBSTITUTE(SUBSTITUTE(SUBSTITUTE(SUBSTITUTE(CLEAN(I77&amp;"")," ",""),".","")," ",""),"-",""))=2,LEN(SUBSTITUTE(SUBSTITUTE(SUBSTITUTE(SUBSTITUTE(CLEAN(I77&amp;"")," ",""),".","")," ",""),"-",""))=4,LEN(SUBSTITUTE(SUBSTITUTE(SUBSTITUTE(SUBSTITUTE(CLEAN(I77&amp;"")," ",""),".","")," ",""),"-",""))=6,LEN(SUBSTITUTE(SUBSTITUTE(SUBSTITUTE(SUBSTITUTE(CLEAN(I77&amp;"")," ",""),".","")," ",""),"-",""))=8,LEN(SUBSTITUTE(SUBSTITUTE(SUBSTITUTE(SUBSTITUTE(CLEAN(I77&amp;"")," ",""),".","")," ",""),"-",""))=10),IFERROR(TEXT(VALUE(SUBSTITUTE(SUBSTITUTE(SUBSTITUTE(SUBSTITUTE(CLEAN(I77&amp;"")," ",""),".","")," ",""),"-","")),REPT("0",LEN(SUBSTITUTE(SUBSTITUTE(SUBSTITUTE(SUBSTITUTE(CLEAN(I77&amp;"")," ",""),".","")," ",""),"-",""))))=SUBSTITUTE(SUBSTITUTE(SUBSTITUTE(SUBSTITUTE(CLEAN(I77&amp;"")," ",""),".","")," ",""),"-",""),FALSE)),SUBSTITUTE(SUBSTITUTE(SUBSTITUTE(SUBSTITUTE(CLEAN(I77&amp;"")," ",""),".","")," ",""),"-",""),"CHECK: not 2, 4, 6, 8 or 10 digits"))</f>
        <v/>
      </c>
      <c r="K77" s="11" t="n"/>
      <c r="P77" s="8" t="n"/>
      <c r="Q77" s="8" t="n"/>
      <c r="R77" s="8" t="n"/>
      <c r="S77" s="12" t="n"/>
      <c r="T77" s="11" t="n"/>
      <c r="U77" s="11" t="n"/>
      <c r="V77" s="10">
        <f>IF(TRIM(CLEAN(SUBSTITUTE(P77&amp;""," "," ")))="","",UPPER(TRIM(CLEAN(SUBSTITUTE(P77&amp;""," "," "))))&amp;"/"&amp;UPPER(TRIM(CLEAN(SUBSTITUTE(Q77&amp;""," "," ")))))</f>
        <v/>
      </c>
      <c r="W77" s="10">
        <f>IF(V77="","",IF(UPPER(TRIM(CLEAN(SUBSTITUTE(Q77&amp;""," "," "))))&lt;&gt;UPPER(TRIM(CLEAN(SUBSTITUTE(act_Country&amp;""," "," ")))),"CHECK: import country must match B7",IF(COUNTIF(det_Key,V77)&gt;1,"CHECK: listed twice",IF(AND(UPPER(TRIM(CLEAN(SUBSTITUTE(R77&amp;""," "," "))))&lt;&gt;"",UPPER(TRIM(CLEAN(SUBSTITUTE(R77&amp;""," "," "))))&lt;&gt;"IN",UPPER(TRIM(CLEAN(SUBSTITUTE(R77&amp;""," "," "))))&lt;&gt;"OUT"),"CHECK: determination must be IN, OUT or blank",IF(AND(S77&amp;""&lt;&gt;"",NOT(ISNUMBER(S77))),"CHECK: displaced rate must be a percentage",IF(AND(UPPER(TRIM(CLEAN(SUBSTITUTE(R77&amp;""," "," "))))="",NOT(ISNUMBER(S77))),"CHECK: enter IN, OUT or a displaced rate",IF(SUMPRODUCT(--(Calc!$AL$5:$AL$254&lt;&gt;""))=0,"WAIT: Items not loaded yet",IF(COUNTIF(Calc!$AL$5:$AL$254,V77)=0,"CHECK: no Items row for this item and import country","OK"))))))))</f>
        <v/>
      </c>
    </row>
    <row r="78">
      <c r="E78" s="8" t="n"/>
      <c r="F78" s="10">
        <f>IF(SUBSTITUTE(SUBSTITUTE(SUBSTITUTE(SUBSTITUTE(CLEAN(E78&amp;"")," ",""),".","")," ",""),"-","")="","",IF(AND(OR(LEN(SUBSTITUTE(SUBSTITUTE(SUBSTITUTE(SUBSTITUTE(CLEAN(E78&amp;"")," ",""),".","")," ",""),"-",""))=2,LEN(SUBSTITUTE(SUBSTITUTE(SUBSTITUTE(SUBSTITUTE(CLEAN(E78&amp;"")," ",""),".","")," ",""),"-",""))=4,LEN(SUBSTITUTE(SUBSTITUTE(SUBSTITUTE(SUBSTITUTE(CLEAN(E78&amp;"")," ",""),".","")," ",""),"-",""))=6,LEN(SUBSTITUTE(SUBSTITUTE(SUBSTITUTE(SUBSTITUTE(CLEAN(E78&amp;"")," ",""),".","")," ",""),"-",""))=8,LEN(SUBSTITUTE(SUBSTITUTE(SUBSTITUTE(SUBSTITUTE(CLEAN(E78&amp;"")," ",""),".","")," ",""),"-",""))=10),IFERROR(TEXT(VALUE(SUBSTITUTE(SUBSTITUTE(SUBSTITUTE(SUBSTITUTE(CLEAN(E78&amp;"")," ",""),".","")," ",""),"-","")),REPT("0",LEN(SUBSTITUTE(SUBSTITUTE(SUBSTITUTE(SUBSTITUTE(CLEAN(E78&amp;"")," ",""),".","")," ",""),"-",""))))=SUBSTITUTE(SUBSTITUTE(SUBSTITUTE(SUBSTITUTE(CLEAN(E78&amp;"")," ",""),".","")," ",""),"-",""),FALSE)),SUBSTITUTE(SUBSTITUTE(SUBSTITUTE(SUBSTITUTE(CLEAN(E78&amp;"")," ",""),".","")," ",""),"-",""),"CHECK: not 2, 4, 6, 8 or 10 digits"))</f>
        <v/>
      </c>
      <c r="G78" s="11" t="n"/>
      <c r="H78" s="8" t="n"/>
      <c r="I78" s="8" t="n"/>
      <c r="J78" s="10">
        <f>IF(SUBSTITUTE(SUBSTITUTE(SUBSTITUTE(SUBSTITUTE(CLEAN(I78&amp;"")," ",""),".","")," ",""),"-","")="","",IF(AND(OR(LEN(SUBSTITUTE(SUBSTITUTE(SUBSTITUTE(SUBSTITUTE(CLEAN(I78&amp;"")," ",""),".","")," ",""),"-",""))=2,LEN(SUBSTITUTE(SUBSTITUTE(SUBSTITUTE(SUBSTITUTE(CLEAN(I78&amp;"")," ",""),".","")," ",""),"-",""))=4,LEN(SUBSTITUTE(SUBSTITUTE(SUBSTITUTE(SUBSTITUTE(CLEAN(I78&amp;"")," ",""),".","")," ",""),"-",""))=6,LEN(SUBSTITUTE(SUBSTITUTE(SUBSTITUTE(SUBSTITUTE(CLEAN(I78&amp;"")," ",""),".","")," ",""),"-",""))=8,LEN(SUBSTITUTE(SUBSTITUTE(SUBSTITUTE(SUBSTITUTE(CLEAN(I78&amp;"")," ",""),".","")," ",""),"-",""))=10),IFERROR(TEXT(VALUE(SUBSTITUTE(SUBSTITUTE(SUBSTITUTE(SUBSTITUTE(CLEAN(I78&amp;"")," ",""),".","")," ",""),"-","")),REPT("0",LEN(SUBSTITUTE(SUBSTITUTE(SUBSTITUTE(SUBSTITUTE(CLEAN(I78&amp;"")," ",""),".","")," ",""),"-",""))))=SUBSTITUTE(SUBSTITUTE(SUBSTITUTE(SUBSTITUTE(CLEAN(I78&amp;"")," ",""),".","")," ",""),"-",""),FALSE)),SUBSTITUTE(SUBSTITUTE(SUBSTITUTE(SUBSTITUTE(CLEAN(I78&amp;"")," ",""),".","")," ",""),"-",""),"CHECK: not 2, 4, 6, 8 or 10 digits"))</f>
        <v/>
      </c>
      <c r="K78" s="11" t="n"/>
      <c r="P78" s="8" t="n"/>
      <c r="Q78" s="8" t="n"/>
      <c r="R78" s="8" t="n"/>
      <c r="S78" s="12" t="n"/>
      <c r="T78" s="11" t="n"/>
      <c r="U78" s="11" t="n"/>
      <c r="V78" s="10">
        <f>IF(TRIM(CLEAN(SUBSTITUTE(P78&amp;""," "," ")))="","",UPPER(TRIM(CLEAN(SUBSTITUTE(P78&amp;""," "," "))))&amp;"/"&amp;UPPER(TRIM(CLEAN(SUBSTITUTE(Q78&amp;""," "," ")))))</f>
        <v/>
      </c>
      <c r="W78" s="10">
        <f>IF(V78="","",IF(UPPER(TRIM(CLEAN(SUBSTITUTE(Q78&amp;""," "," "))))&lt;&gt;UPPER(TRIM(CLEAN(SUBSTITUTE(act_Country&amp;""," "," ")))),"CHECK: import country must match B7",IF(COUNTIF(det_Key,V78)&gt;1,"CHECK: listed twice",IF(AND(UPPER(TRIM(CLEAN(SUBSTITUTE(R78&amp;""," "," "))))&lt;&gt;"",UPPER(TRIM(CLEAN(SUBSTITUTE(R78&amp;""," "," "))))&lt;&gt;"IN",UPPER(TRIM(CLEAN(SUBSTITUTE(R78&amp;""," "," "))))&lt;&gt;"OUT"),"CHECK: determination must be IN, OUT or blank",IF(AND(S78&amp;""&lt;&gt;"",NOT(ISNUMBER(S78))),"CHECK: displaced rate must be a percentage",IF(AND(UPPER(TRIM(CLEAN(SUBSTITUTE(R78&amp;""," "," "))))="",NOT(ISNUMBER(S78))),"CHECK: enter IN, OUT or a displaced rate",IF(SUMPRODUCT(--(Calc!$AL$5:$AL$254&lt;&gt;""))=0,"WAIT: Items not loaded yet",IF(COUNTIF(Calc!$AL$5:$AL$254,V78)=0,"CHECK: no Items row for this item and import country","OK"))))))))</f>
        <v/>
      </c>
    </row>
    <row r="79">
      <c r="E79" s="8" t="n"/>
      <c r="F79" s="10">
        <f>IF(SUBSTITUTE(SUBSTITUTE(SUBSTITUTE(SUBSTITUTE(CLEAN(E79&amp;"")," ",""),".","")," ",""),"-","")="","",IF(AND(OR(LEN(SUBSTITUTE(SUBSTITUTE(SUBSTITUTE(SUBSTITUTE(CLEAN(E79&amp;"")," ",""),".","")," ",""),"-",""))=2,LEN(SUBSTITUTE(SUBSTITUTE(SUBSTITUTE(SUBSTITUTE(CLEAN(E79&amp;"")," ",""),".","")," ",""),"-",""))=4,LEN(SUBSTITUTE(SUBSTITUTE(SUBSTITUTE(SUBSTITUTE(CLEAN(E79&amp;"")," ",""),".","")," ",""),"-",""))=6,LEN(SUBSTITUTE(SUBSTITUTE(SUBSTITUTE(SUBSTITUTE(CLEAN(E79&amp;"")," ",""),".","")," ",""),"-",""))=8,LEN(SUBSTITUTE(SUBSTITUTE(SUBSTITUTE(SUBSTITUTE(CLEAN(E79&amp;"")," ",""),".","")," ",""),"-",""))=10),IFERROR(TEXT(VALUE(SUBSTITUTE(SUBSTITUTE(SUBSTITUTE(SUBSTITUTE(CLEAN(E79&amp;"")," ",""),".","")," ",""),"-","")),REPT("0",LEN(SUBSTITUTE(SUBSTITUTE(SUBSTITUTE(SUBSTITUTE(CLEAN(E79&amp;"")," ",""),".","")," ",""),"-",""))))=SUBSTITUTE(SUBSTITUTE(SUBSTITUTE(SUBSTITUTE(CLEAN(E79&amp;"")," ",""),".","")," ",""),"-",""),FALSE)),SUBSTITUTE(SUBSTITUTE(SUBSTITUTE(SUBSTITUTE(CLEAN(E79&amp;"")," ",""),".","")," ",""),"-",""),"CHECK: not 2, 4, 6, 8 or 10 digits"))</f>
        <v/>
      </c>
      <c r="G79" s="11" t="n"/>
      <c r="H79" s="8" t="n"/>
      <c r="I79" s="8" t="n"/>
      <c r="J79" s="10">
        <f>IF(SUBSTITUTE(SUBSTITUTE(SUBSTITUTE(SUBSTITUTE(CLEAN(I79&amp;"")," ",""),".","")," ",""),"-","")="","",IF(AND(OR(LEN(SUBSTITUTE(SUBSTITUTE(SUBSTITUTE(SUBSTITUTE(CLEAN(I79&amp;"")," ",""),".","")," ",""),"-",""))=2,LEN(SUBSTITUTE(SUBSTITUTE(SUBSTITUTE(SUBSTITUTE(CLEAN(I79&amp;"")," ",""),".","")," ",""),"-",""))=4,LEN(SUBSTITUTE(SUBSTITUTE(SUBSTITUTE(SUBSTITUTE(CLEAN(I79&amp;"")," ",""),".","")," ",""),"-",""))=6,LEN(SUBSTITUTE(SUBSTITUTE(SUBSTITUTE(SUBSTITUTE(CLEAN(I79&amp;"")," ",""),".","")," ",""),"-",""))=8,LEN(SUBSTITUTE(SUBSTITUTE(SUBSTITUTE(SUBSTITUTE(CLEAN(I79&amp;"")," ",""),".","")," ",""),"-",""))=10),IFERROR(TEXT(VALUE(SUBSTITUTE(SUBSTITUTE(SUBSTITUTE(SUBSTITUTE(CLEAN(I79&amp;"")," ",""),".","")," ",""),"-","")),REPT("0",LEN(SUBSTITUTE(SUBSTITUTE(SUBSTITUTE(SUBSTITUTE(CLEAN(I79&amp;"")," ",""),".","")," ",""),"-",""))))=SUBSTITUTE(SUBSTITUTE(SUBSTITUTE(SUBSTITUTE(CLEAN(I79&amp;"")," ",""),".","")," ",""),"-",""),FALSE)),SUBSTITUTE(SUBSTITUTE(SUBSTITUTE(SUBSTITUTE(CLEAN(I79&amp;"")," ",""),".","")," ",""),"-",""),"CHECK: not 2, 4, 6, 8 or 10 digits"))</f>
        <v/>
      </c>
      <c r="K79" s="11" t="n"/>
      <c r="P79" s="8" t="n"/>
      <c r="Q79" s="8" t="n"/>
      <c r="R79" s="8" t="n"/>
      <c r="S79" s="12" t="n"/>
      <c r="T79" s="11" t="n"/>
      <c r="U79" s="11" t="n"/>
      <c r="V79" s="10">
        <f>IF(TRIM(CLEAN(SUBSTITUTE(P79&amp;""," "," ")))="","",UPPER(TRIM(CLEAN(SUBSTITUTE(P79&amp;""," "," "))))&amp;"/"&amp;UPPER(TRIM(CLEAN(SUBSTITUTE(Q79&amp;""," "," ")))))</f>
        <v/>
      </c>
      <c r="W79" s="10">
        <f>IF(V79="","",IF(UPPER(TRIM(CLEAN(SUBSTITUTE(Q79&amp;""," "," "))))&lt;&gt;UPPER(TRIM(CLEAN(SUBSTITUTE(act_Country&amp;""," "," ")))),"CHECK: import country must match B7",IF(COUNTIF(det_Key,V79)&gt;1,"CHECK: listed twice",IF(AND(UPPER(TRIM(CLEAN(SUBSTITUTE(R79&amp;""," "," "))))&lt;&gt;"",UPPER(TRIM(CLEAN(SUBSTITUTE(R79&amp;""," "," "))))&lt;&gt;"IN",UPPER(TRIM(CLEAN(SUBSTITUTE(R79&amp;""," "," "))))&lt;&gt;"OUT"),"CHECK: determination must be IN, OUT or blank",IF(AND(S79&amp;""&lt;&gt;"",NOT(ISNUMBER(S79))),"CHECK: displaced rate must be a percentage",IF(AND(UPPER(TRIM(CLEAN(SUBSTITUTE(R79&amp;""," "," "))))="",NOT(ISNUMBER(S79))),"CHECK: enter IN, OUT or a displaced rate",IF(SUMPRODUCT(--(Calc!$AL$5:$AL$254&lt;&gt;""))=0,"WAIT: Items not loaded yet",IF(COUNTIF(Calc!$AL$5:$AL$254,V79)=0,"CHECK: no Items row for this item and import country","OK"))))))))</f>
        <v/>
      </c>
    </row>
    <row r="80">
      <c r="E80" s="8" t="n"/>
      <c r="F80" s="10">
        <f>IF(SUBSTITUTE(SUBSTITUTE(SUBSTITUTE(SUBSTITUTE(CLEAN(E80&amp;"")," ",""),".","")," ",""),"-","")="","",IF(AND(OR(LEN(SUBSTITUTE(SUBSTITUTE(SUBSTITUTE(SUBSTITUTE(CLEAN(E80&amp;"")," ",""),".","")," ",""),"-",""))=2,LEN(SUBSTITUTE(SUBSTITUTE(SUBSTITUTE(SUBSTITUTE(CLEAN(E80&amp;"")," ",""),".","")," ",""),"-",""))=4,LEN(SUBSTITUTE(SUBSTITUTE(SUBSTITUTE(SUBSTITUTE(CLEAN(E80&amp;"")," ",""),".","")," ",""),"-",""))=6,LEN(SUBSTITUTE(SUBSTITUTE(SUBSTITUTE(SUBSTITUTE(CLEAN(E80&amp;"")," ",""),".","")," ",""),"-",""))=8,LEN(SUBSTITUTE(SUBSTITUTE(SUBSTITUTE(SUBSTITUTE(CLEAN(E80&amp;"")," ",""),".","")," ",""),"-",""))=10),IFERROR(TEXT(VALUE(SUBSTITUTE(SUBSTITUTE(SUBSTITUTE(SUBSTITUTE(CLEAN(E80&amp;"")," ",""),".","")," ",""),"-","")),REPT("0",LEN(SUBSTITUTE(SUBSTITUTE(SUBSTITUTE(SUBSTITUTE(CLEAN(E80&amp;"")," ",""),".","")," ",""),"-",""))))=SUBSTITUTE(SUBSTITUTE(SUBSTITUTE(SUBSTITUTE(CLEAN(E80&amp;"")," ",""),".","")," ",""),"-",""),FALSE)),SUBSTITUTE(SUBSTITUTE(SUBSTITUTE(SUBSTITUTE(CLEAN(E80&amp;"")," ",""),".","")," ",""),"-",""),"CHECK: not 2, 4, 6, 8 or 10 digits"))</f>
        <v/>
      </c>
      <c r="G80" s="11" t="n"/>
      <c r="H80" s="8" t="n"/>
      <c r="I80" s="8" t="n"/>
      <c r="J80" s="10">
        <f>IF(SUBSTITUTE(SUBSTITUTE(SUBSTITUTE(SUBSTITUTE(CLEAN(I80&amp;"")," ",""),".","")," ",""),"-","")="","",IF(AND(OR(LEN(SUBSTITUTE(SUBSTITUTE(SUBSTITUTE(SUBSTITUTE(CLEAN(I80&amp;"")," ",""),".","")," ",""),"-",""))=2,LEN(SUBSTITUTE(SUBSTITUTE(SUBSTITUTE(SUBSTITUTE(CLEAN(I80&amp;"")," ",""),".","")," ",""),"-",""))=4,LEN(SUBSTITUTE(SUBSTITUTE(SUBSTITUTE(SUBSTITUTE(CLEAN(I80&amp;"")," ",""),".","")," ",""),"-",""))=6,LEN(SUBSTITUTE(SUBSTITUTE(SUBSTITUTE(SUBSTITUTE(CLEAN(I80&amp;"")," ",""),".","")," ",""),"-",""))=8,LEN(SUBSTITUTE(SUBSTITUTE(SUBSTITUTE(SUBSTITUTE(CLEAN(I80&amp;"")," ",""),".","")," ",""),"-",""))=10),IFERROR(TEXT(VALUE(SUBSTITUTE(SUBSTITUTE(SUBSTITUTE(SUBSTITUTE(CLEAN(I80&amp;"")," ",""),".","")," ",""),"-","")),REPT("0",LEN(SUBSTITUTE(SUBSTITUTE(SUBSTITUTE(SUBSTITUTE(CLEAN(I80&amp;"")," ",""),".","")," ",""),"-",""))))=SUBSTITUTE(SUBSTITUTE(SUBSTITUTE(SUBSTITUTE(CLEAN(I80&amp;"")," ",""),".","")," ",""),"-",""),FALSE)),SUBSTITUTE(SUBSTITUTE(SUBSTITUTE(SUBSTITUTE(CLEAN(I80&amp;"")," ",""),".","")," ",""),"-",""),"CHECK: not 2, 4, 6, 8 or 10 digits"))</f>
        <v/>
      </c>
      <c r="K80" s="11" t="n"/>
      <c r="P80" s="8" t="n"/>
      <c r="Q80" s="8" t="n"/>
      <c r="R80" s="8" t="n"/>
      <c r="S80" s="12" t="n"/>
      <c r="T80" s="11" t="n"/>
      <c r="U80" s="11" t="n"/>
      <c r="V80" s="10">
        <f>IF(TRIM(CLEAN(SUBSTITUTE(P80&amp;""," "," ")))="","",UPPER(TRIM(CLEAN(SUBSTITUTE(P80&amp;""," "," "))))&amp;"/"&amp;UPPER(TRIM(CLEAN(SUBSTITUTE(Q80&amp;""," "," ")))))</f>
        <v/>
      </c>
      <c r="W80" s="10">
        <f>IF(V80="","",IF(UPPER(TRIM(CLEAN(SUBSTITUTE(Q80&amp;""," "," "))))&lt;&gt;UPPER(TRIM(CLEAN(SUBSTITUTE(act_Country&amp;""," "," ")))),"CHECK: import country must match B7",IF(COUNTIF(det_Key,V80)&gt;1,"CHECK: listed twice",IF(AND(UPPER(TRIM(CLEAN(SUBSTITUTE(R80&amp;""," "," "))))&lt;&gt;"",UPPER(TRIM(CLEAN(SUBSTITUTE(R80&amp;""," "," "))))&lt;&gt;"IN",UPPER(TRIM(CLEAN(SUBSTITUTE(R80&amp;""," "," "))))&lt;&gt;"OUT"),"CHECK: determination must be IN, OUT or blank",IF(AND(S80&amp;""&lt;&gt;"",NOT(ISNUMBER(S80))),"CHECK: displaced rate must be a percentage",IF(AND(UPPER(TRIM(CLEAN(SUBSTITUTE(R80&amp;""," "," "))))="",NOT(ISNUMBER(S80))),"CHECK: enter IN, OUT or a displaced rate",IF(SUMPRODUCT(--(Calc!$AL$5:$AL$254&lt;&gt;""))=0,"WAIT: Items not loaded yet",IF(COUNTIF(Calc!$AL$5:$AL$254,V80)=0,"CHECK: no Items row for this item and import country","OK"))))))))</f>
        <v/>
      </c>
    </row>
    <row r="81">
      <c r="E81" s="8" t="n"/>
      <c r="F81" s="10">
        <f>IF(SUBSTITUTE(SUBSTITUTE(SUBSTITUTE(SUBSTITUTE(CLEAN(E81&amp;"")," ",""),".","")," ",""),"-","")="","",IF(AND(OR(LEN(SUBSTITUTE(SUBSTITUTE(SUBSTITUTE(SUBSTITUTE(CLEAN(E81&amp;"")," ",""),".","")," ",""),"-",""))=2,LEN(SUBSTITUTE(SUBSTITUTE(SUBSTITUTE(SUBSTITUTE(CLEAN(E81&amp;"")," ",""),".","")," ",""),"-",""))=4,LEN(SUBSTITUTE(SUBSTITUTE(SUBSTITUTE(SUBSTITUTE(CLEAN(E81&amp;"")," ",""),".","")," ",""),"-",""))=6,LEN(SUBSTITUTE(SUBSTITUTE(SUBSTITUTE(SUBSTITUTE(CLEAN(E81&amp;"")," ",""),".","")," ",""),"-",""))=8,LEN(SUBSTITUTE(SUBSTITUTE(SUBSTITUTE(SUBSTITUTE(CLEAN(E81&amp;"")," ",""),".","")," ",""),"-",""))=10),IFERROR(TEXT(VALUE(SUBSTITUTE(SUBSTITUTE(SUBSTITUTE(SUBSTITUTE(CLEAN(E81&amp;"")," ",""),".","")," ",""),"-","")),REPT("0",LEN(SUBSTITUTE(SUBSTITUTE(SUBSTITUTE(SUBSTITUTE(CLEAN(E81&amp;"")," ",""),".","")," ",""),"-",""))))=SUBSTITUTE(SUBSTITUTE(SUBSTITUTE(SUBSTITUTE(CLEAN(E81&amp;"")," ",""),".","")," ",""),"-",""),FALSE)),SUBSTITUTE(SUBSTITUTE(SUBSTITUTE(SUBSTITUTE(CLEAN(E81&amp;"")," ",""),".","")," ",""),"-",""),"CHECK: not 2, 4, 6, 8 or 10 digits"))</f>
        <v/>
      </c>
      <c r="G81" s="11" t="n"/>
      <c r="H81" s="8" t="n"/>
      <c r="I81" s="8" t="n"/>
      <c r="J81" s="10">
        <f>IF(SUBSTITUTE(SUBSTITUTE(SUBSTITUTE(SUBSTITUTE(CLEAN(I81&amp;"")," ",""),".","")," ",""),"-","")="","",IF(AND(OR(LEN(SUBSTITUTE(SUBSTITUTE(SUBSTITUTE(SUBSTITUTE(CLEAN(I81&amp;"")," ",""),".","")," ",""),"-",""))=2,LEN(SUBSTITUTE(SUBSTITUTE(SUBSTITUTE(SUBSTITUTE(CLEAN(I81&amp;"")," ",""),".","")," ",""),"-",""))=4,LEN(SUBSTITUTE(SUBSTITUTE(SUBSTITUTE(SUBSTITUTE(CLEAN(I81&amp;"")," ",""),".","")," ",""),"-",""))=6,LEN(SUBSTITUTE(SUBSTITUTE(SUBSTITUTE(SUBSTITUTE(CLEAN(I81&amp;"")," ",""),".","")," ",""),"-",""))=8,LEN(SUBSTITUTE(SUBSTITUTE(SUBSTITUTE(SUBSTITUTE(CLEAN(I81&amp;"")," ",""),".","")," ",""),"-",""))=10),IFERROR(TEXT(VALUE(SUBSTITUTE(SUBSTITUTE(SUBSTITUTE(SUBSTITUTE(CLEAN(I81&amp;"")," ",""),".","")," ",""),"-","")),REPT("0",LEN(SUBSTITUTE(SUBSTITUTE(SUBSTITUTE(SUBSTITUTE(CLEAN(I81&amp;"")," ",""),".","")," ",""),"-",""))))=SUBSTITUTE(SUBSTITUTE(SUBSTITUTE(SUBSTITUTE(CLEAN(I81&amp;"")," ",""),".","")," ",""),"-",""),FALSE)),SUBSTITUTE(SUBSTITUTE(SUBSTITUTE(SUBSTITUTE(CLEAN(I81&amp;"")," ",""),".","")," ",""),"-",""),"CHECK: not 2, 4, 6, 8 or 10 digits"))</f>
        <v/>
      </c>
      <c r="K81" s="11" t="n"/>
      <c r="P81" s="8" t="n"/>
      <c r="Q81" s="8" t="n"/>
      <c r="R81" s="8" t="n"/>
      <c r="S81" s="12" t="n"/>
      <c r="T81" s="11" t="n"/>
      <c r="U81" s="11" t="n"/>
      <c r="V81" s="10">
        <f>IF(TRIM(CLEAN(SUBSTITUTE(P81&amp;""," "," ")))="","",UPPER(TRIM(CLEAN(SUBSTITUTE(P81&amp;""," "," "))))&amp;"/"&amp;UPPER(TRIM(CLEAN(SUBSTITUTE(Q81&amp;""," "," ")))))</f>
        <v/>
      </c>
      <c r="W81" s="10">
        <f>IF(V81="","",IF(UPPER(TRIM(CLEAN(SUBSTITUTE(Q81&amp;""," "," "))))&lt;&gt;UPPER(TRIM(CLEAN(SUBSTITUTE(act_Country&amp;""," "," ")))),"CHECK: import country must match B7",IF(COUNTIF(det_Key,V81)&gt;1,"CHECK: listed twice",IF(AND(UPPER(TRIM(CLEAN(SUBSTITUTE(R81&amp;""," "," "))))&lt;&gt;"",UPPER(TRIM(CLEAN(SUBSTITUTE(R81&amp;""," "," "))))&lt;&gt;"IN",UPPER(TRIM(CLEAN(SUBSTITUTE(R81&amp;""," "," "))))&lt;&gt;"OUT"),"CHECK: determination must be IN, OUT or blank",IF(AND(S81&amp;""&lt;&gt;"",NOT(ISNUMBER(S81))),"CHECK: displaced rate must be a percentage",IF(AND(UPPER(TRIM(CLEAN(SUBSTITUTE(R81&amp;""," "," "))))="",NOT(ISNUMBER(S81))),"CHECK: enter IN, OUT or a displaced rate",IF(SUMPRODUCT(--(Calc!$AL$5:$AL$254&lt;&gt;""))=0,"WAIT: Items not loaded yet",IF(COUNTIF(Calc!$AL$5:$AL$254,V81)=0,"CHECK: no Items row for this item and import country","OK"))))))))</f>
        <v/>
      </c>
    </row>
    <row r="82">
      <c r="E82" s="8" t="n"/>
      <c r="F82" s="10">
        <f>IF(SUBSTITUTE(SUBSTITUTE(SUBSTITUTE(SUBSTITUTE(CLEAN(E82&amp;"")," ",""),".","")," ",""),"-","")="","",IF(AND(OR(LEN(SUBSTITUTE(SUBSTITUTE(SUBSTITUTE(SUBSTITUTE(CLEAN(E82&amp;"")," ",""),".","")," ",""),"-",""))=2,LEN(SUBSTITUTE(SUBSTITUTE(SUBSTITUTE(SUBSTITUTE(CLEAN(E82&amp;"")," ",""),".","")," ",""),"-",""))=4,LEN(SUBSTITUTE(SUBSTITUTE(SUBSTITUTE(SUBSTITUTE(CLEAN(E82&amp;"")," ",""),".","")," ",""),"-",""))=6,LEN(SUBSTITUTE(SUBSTITUTE(SUBSTITUTE(SUBSTITUTE(CLEAN(E82&amp;"")," ",""),".","")," ",""),"-",""))=8,LEN(SUBSTITUTE(SUBSTITUTE(SUBSTITUTE(SUBSTITUTE(CLEAN(E82&amp;"")," ",""),".","")," ",""),"-",""))=10),IFERROR(TEXT(VALUE(SUBSTITUTE(SUBSTITUTE(SUBSTITUTE(SUBSTITUTE(CLEAN(E82&amp;"")," ",""),".","")," ",""),"-","")),REPT("0",LEN(SUBSTITUTE(SUBSTITUTE(SUBSTITUTE(SUBSTITUTE(CLEAN(E82&amp;"")," ",""),".","")," ",""),"-",""))))=SUBSTITUTE(SUBSTITUTE(SUBSTITUTE(SUBSTITUTE(CLEAN(E82&amp;"")," ",""),".","")," ",""),"-",""),FALSE)),SUBSTITUTE(SUBSTITUTE(SUBSTITUTE(SUBSTITUTE(CLEAN(E82&amp;"")," ",""),".","")," ",""),"-",""),"CHECK: not 2, 4, 6, 8 or 10 digits"))</f>
        <v/>
      </c>
      <c r="G82" s="11" t="n"/>
      <c r="H82" s="8" t="n"/>
      <c r="I82" s="8" t="n"/>
      <c r="J82" s="10">
        <f>IF(SUBSTITUTE(SUBSTITUTE(SUBSTITUTE(SUBSTITUTE(CLEAN(I82&amp;"")," ",""),".","")," ",""),"-","")="","",IF(AND(OR(LEN(SUBSTITUTE(SUBSTITUTE(SUBSTITUTE(SUBSTITUTE(CLEAN(I82&amp;"")," ",""),".","")," ",""),"-",""))=2,LEN(SUBSTITUTE(SUBSTITUTE(SUBSTITUTE(SUBSTITUTE(CLEAN(I82&amp;"")," ",""),".","")," ",""),"-",""))=4,LEN(SUBSTITUTE(SUBSTITUTE(SUBSTITUTE(SUBSTITUTE(CLEAN(I82&amp;"")," ",""),".","")," ",""),"-",""))=6,LEN(SUBSTITUTE(SUBSTITUTE(SUBSTITUTE(SUBSTITUTE(CLEAN(I82&amp;"")," ",""),".","")," ",""),"-",""))=8,LEN(SUBSTITUTE(SUBSTITUTE(SUBSTITUTE(SUBSTITUTE(CLEAN(I82&amp;"")," ",""),".","")," ",""),"-",""))=10),IFERROR(TEXT(VALUE(SUBSTITUTE(SUBSTITUTE(SUBSTITUTE(SUBSTITUTE(CLEAN(I82&amp;"")," ",""),".","")," ",""),"-","")),REPT("0",LEN(SUBSTITUTE(SUBSTITUTE(SUBSTITUTE(SUBSTITUTE(CLEAN(I82&amp;"")," ",""),".","")," ",""),"-",""))))=SUBSTITUTE(SUBSTITUTE(SUBSTITUTE(SUBSTITUTE(CLEAN(I82&amp;"")," ",""),".","")," ",""),"-",""),FALSE)),SUBSTITUTE(SUBSTITUTE(SUBSTITUTE(SUBSTITUTE(CLEAN(I82&amp;"")," ",""),".","")," ",""),"-",""),"CHECK: not 2, 4, 6, 8 or 10 digits"))</f>
        <v/>
      </c>
      <c r="K82" s="11" t="n"/>
      <c r="P82" s="8" t="n"/>
      <c r="Q82" s="8" t="n"/>
      <c r="R82" s="8" t="n"/>
      <c r="S82" s="12" t="n"/>
      <c r="T82" s="11" t="n"/>
      <c r="U82" s="11" t="n"/>
      <c r="V82" s="10">
        <f>IF(TRIM(CLEAN(SUBSTITUTE(P82&amp;""," "," ")))="","",UPPER(TRIM(CLEAN(SUBSTITUTE(P82&amp;""," "," "))))&amp;"/"&amp;UPPER(TRIM(CLEAN(SUBSTITUTE(Q82&amp;""," "," ")))))</f>
        <v/>
      </c>
      <c r="W82" s="10">
        <f>IF(V82="","",IF(UPPER(TRIM(CLEAN(SUBSTITUTE(Q82&amp;""," "," "))))&lt;&gt;UPPER(TRIM(CLEAN(SUBSTITUTE(act_Country&amp;""," "," ")))),"CHECK: import country must match B7",IF(COUNTIF(det_Key,V82)&gt;1,"CHECK: listed twice",IF(AND(UPPER(TRIM(CLEAN(SUBSTITUTE(R82&amp;""," "," "))))&lt;&gt;"",UPPER(TRIM(CLEAN(SUBSTITUTE(R82&amp;""," "," "))))&lt;&gt;"IN",UPPER(TRIM(CLEAN(SUBSTITUTE(R82&amp;""," "," "))))&lt;&gt;"OUT"),"CHECK: determination must be IN, OUT or blank",IF(AND(S82&amp;""&lt;&gt;"",NOT(ISNUMBER(S82))),"CHECK: displaced rate must be a percentage",IF(AND(UPPER(TRIM(CLEAN(SUBSTITUTE(R82&amp;""," "," "))))="",NOT(ISNUMBER(S82))),"CHECK: enter IN, OUT or a displaced rate",IF(SUMPRODUCT(--(Calc!$AL$5:$AL$254&lt;&gt;""))=0,"WAIT: Items not loaded yet",IF(COUNTIF(Calc!$AL$5:$AL$254,V82)=0,"CHECK: no Items row for this item and import country","OK"))))))))</f>
        <v/>
      </c>
    </row>
    <row r="83">
      <c r="E83" s="8" t="n"/>
      <c r="F83" s="10">
        <f>IF(SUBSTITUTE(SUBSTITUTE(SUBSTITUTE(SUBSTITUTE(CLEAN(E83&amp;"")," ",""),".","")," ",""),"-","")="","",IF(AND(OR(LEN(SUBSTITUTE(SUBSTITUTE(SUBSTITUTE(SUBSTITUTE(CLEAN(E83&amp;"")," ",""),".","")," ",""),"-",""))=2,LEN(SUBSTITUTE(SUBSTITUTE(SUBSTITUTE(SUBSTITUTE(CLEAN(E83&amp;"")," ",""),".","")," ",""),"-",""))=4,LEN(SUBSTITUTE(SUBSTITUTE(SUBSTITUTE(SUBSTITUTE(CLEAN(E83&amp;"")," ",""),".","")," ",""),"-",""))=6,LEN(SUBSTITUTE(SUBSTITUTE(SUBSTITUTE(SUBSTITUTE(CLEAN(E83&amp;"")," ",""),".","")," ",""),"-",""))=8,LEN(SUBSTITUTE(SUBSTITUTE(SUBSTITUTE(SUBSTITUTE(CLEAN(E83&amp;"")," ",""),".","")," ",""),"-",""))=10),IFERROR(TEXT(VALUE(SUBSTITUTE(SUBSTITUTE(SUBSTITUTE(SUBSTITUTE(CLEAN(E83&amp;"")," ",""),".","")," ",""),"-","")),REPT("0",LEN(SUBSTITUTE(SUBSTITUTE(SUBSTITUTE(SUBSTITUTE(CLEAN(E83&amp;"")," ",""),".","")," ",""),"-",""))))=SUBSTITUTE(SUBSTITUTE(SUBSTITUTE(SUBSTITUTE(CLEAN(E83&amp;"")," ",""),".","")," ",""),"-",""),FALSE)),SUBSTITUTE(SUBSTITUTE(SUBSTITUTE(SUBSTITUTE(CLEAN(E83&amp;"")," ",""),".","")," ",""),"-",""),"CHECK: not 2, 4, 6, 8 or 10 digits"))</f>
        <v/>
      </c>
      <c r="G83" s="11" t="n"/>
      <c r="H83" s="8" t="n"/>
      <c r="I83" s="8" t="n"/>
      <c r="J83" s="10">
        <f>IF(SUBSTITUTE(SUBSTITUTE(SUBSTITUTE(SUBSTITUTE(CLEAN(I83&amp;"")," ",""),".","")," ",""),"-","")="","",IF(AND(OR(LEN(SUBSTITUTE(SUBSTITUTE(SUBSTITUTE(SUBSTITUTE(CLEAN(I83&amp;"")," ",""),".","")," ",""),"-",""))=2,LEN(SUBSTITUTE(SUBSTITUTE(SUBSTITUTE(SUBSTITUTE(CLEAN(I83&amp;"")," ",""),".","")," ",""),"-",""))=4,LEN(SUBSTITUTE(SUBSTITUTE(SUBSTITUTE(SUBSTITUTE(CLEAN(I83&amp;"")," ",""),".","")," ",""),"-",""))=6,LEN(SUBSTITUTE(SUBSTITUTE(SUBSTITUTE(SUBSTITUTE(CLEAN(I83&amp;"")," ",""),".","")," ",""),"-",""))=8,LEN(SUBSTITUTE(SUBSTITUTE(SUBSTITUTE(SUBSTITUTE(CLEAN(I83&amp;"")," ",""),".","")," ",""),"-",""))=10),IFERROR(TEXT(VALUE(SUBSTITUTE(SUBSTITUTE(SUBSTITUTE(SUBSTITUTE(CLEAN(I83&amp;"")," ",""),".","")," ",""),"-","")),REPT("0",LEN(SUBSTITUTE(SUBSTITUTE(SUBSTITUTE(SUBSTITUTE(CLEAN(I83&amp;"")," ",""),".","")," ",""),"-",""))))=SUBSTITUTE(SUBSTITUTE(SUBSTITUTE(SUBSTITUTE(CLEAN(I83&amp;"")," ",""),".","")," ",""),"-",""),FALSE)),SUBSTITUTE(SUBSTITUTE(SUBSTITUTE(SUBSTITUTE(CLEAN(I83&amp;"")," ",""),".","")," ",""),"-",""),"CHECK: not 2, 4, 6, 8 or 10 digits"))</f>
        <v/>
      </c>
      <c r="K83" s="11" t="n"/>
      <c r="P83" s="8" t="n"/>
      <c r="Q83" s="8" t="n"/>
      <c r="R83" s="8" t="n"/>
      <c r="S83" s="12" t="n"/>
      <c r="T83" s="11" t="n"/>
      <c r="U83" s="11" t="n"/>
      <c r="V83" s="10">
        <f>IF(TRIM(CLEAN(SUBSTITUTE(P83&amp;""," "," ")))="","",UPPER(TRIM(CLEAN(SUBSTITUTE(P83&amp;""," "," "))))&amp;"/"&amp;UPPER(TRIM(CLEAN(SUBSTITUTE(Q83&amp;""," "," ")))))</f>
        <v/>
      </c>
      <c r="W83" s="10">
        <f>IF(V83="","",IF(UPPER(TRIM(CLEAN(SUBSTITUTE(Q83&amp;""," "," "))))&lt;&gt;UPPER(TRIM(CLEAN(SUBSTITUTE(act_Country&amp;""," "," ")))),"CHECK: import country must match B7",IF(COUNTIF(det_Key,V83)&gt;1,"CHECK: listed twice",IF(AND(UPPER(TRIM(CLEAN(SUBSTITUTE(R83&amp;""," "," "))))&lt;&gt;"",UPPER(TRIM(CLEAN(SUBSTITUTE(R83&amp;""," "," "))))&lt;&gt;"IN",UPPER(TRIM(CLEAN(SUBSTITUTE(R83&amp;""," "," "))))&lt;&gt;"OUT"),"CHECK: determination must be IN, OUT or blank",IF(AND(S83&amp;""&lt;&gt;"",NOT(ISNUMBER(S83))),"CHECK: displaced rate must be a percentage",IF(AND(UPPER(TRIM(CLEAN(SUBSTITUTE(R83&amp;""," "," "))))="",NOT(ISNUMBER(S83))),"CHECK: enter IN, OUT or a displaced rate",IF(SUMPRODUCT(--(Calc!$AL$5:$AL$254&lt;&gt;""))=0,"WAIT: Items not loaded yet",IF(COUNTIF(Calc!$AL$5:$AL$254,V83)=0,"CHECK: no Items row for this item and import country","OK"))))))))</f>
        <v/>
      </c>
    </row>
    <row r="84">
      <c r="E84" s="8" t="n"/>
      <c r="F84" s="10">
        <f>IF(SUBSTITUTE(SUBSTITUTE(SUBSTITUTE(SUBSTITUTE(CLEAN(E84&amp;"")," ",""),".","")," ",""),"-","")="","",IF(AND(OR(LEN(SUBSTITUTE(SUBSTITUTE(SUBSTITUTE(SUBSTITUTE(CLEAN(E84&amp;"")," ",""),".","")," ",""),"-",""))=2,LEN(SUBSTITUTE(SUBSTITUTE(SUBSTITUTE(SUBSTITUTE(CLEAN(E84&amp;"")," ",""),".","")," ",""),"-",""))=4,LEN(SUBSTITUTE(SUBSTITUTE(SUBSTITUTE(SUBSTITUTE(CLEAN(E84&amp;"")," ",""),".","")," ",""),"-",""))=6,LEN(SUBSTITUTE(SUBSTITUTE(SUBSTITUTE(SUBSTITUTE(CLEAN(E84&amp;"")," ",""),".","")," ",""),"-",""))=8,LEN(SUBSTITUTE(SUBSTITUTE(SUBSTITUTE(SUBSTITUTE(CLEAN(E84&amp;"")," ",""),".","")," ",""),"-",""))=10),IFERROR(TEXT(VALUE(SUBSTITUTE(SUBSTITUTE(SUBSTITUTE(SUBSTITUTE(CLEAN(E84&amp;"")," ",""),".","")," ",""),"-","")),REPT("0",LEN(SUBSTITUTE(SUBSTITUTE(SUBSTITUTE(SUBSTITUTE(CLEAN(E84&amp;"")," ",""),".","")," ",""),"-",""))))=SUBSTITUTE(SUBSTITUTE(SUBSTITUTE(SUBSTITUTE(CLEAN(E84&amp;"")," ",""),".","")," ",""),"-",""),FALSE)),SUBSTITUTE(SUBSTITUTE(SUBSTITUTE(SUBSTITUTE(CLEAN(E84&amp;"")," ",""),".","")," ",""),"-",""),"CHECK: not 2, 4, 6, 8 or 10 digits"))</f>
        <v/>
      </c>
      <c r="G84" s="11" t="n"/>
      <c r="H84" s="8" t="n"/>
      <c r="I84" s="8" t="n"/>
      <c r="J84" s="10">
        <f>IF(SUBSTITUTE(SUBSTITUTE(SUBSTITUTE(SUBSTITUTE(CLEAN(I84&amp;"")," ",""),".","")," ",""),"-","")="","",IF(AND(OR(LEN(SUBSTITUTE(SUBSTITUTE(SUBSTITUTE(SUBSTITUTE(CLEAN(I84&amp;"")," ",""),".","")," ",""),"-",""))=2,LEN(SUBSTITUTE(SUBSTITUTE(SUBSTITUTE(SUBSTITUTE(CLEAN(I84&amp;"")," ",""),".","")," ",""),"-",""))=4,LEN(SUBSTITUTE(SUBSTITUTE(SUBSTITUTE(SUBSTITUTE(CLEAN(I84&amp;"")," ",""),".","")," ",""),"-",""))=6,LEN(SUBSTITUTE(SUBSTITUTE(SUBSTITUTE(SUBSTITUTE(CLEAN(I84&amp;"")," ",""),".","")," ",""),"-",""))=8,LEN(SUBSTITUTE(SUBSTITUTE(SUBSTITUTE(SUBSTITUTE(CLEAN(I84&amp;"")," ",""),".","")," ",""),"-",""))=10),IFERROR(TEXT(VALUE(SUBSTITUTE(SUBSTITUTE(SUBSTITUTE(SUBSTITUTE(CLEAN(I84&amp;"")," ",""),".","")," ",""),"-","")),REPT("0",LEN(SUBSTITUTE(SUBSTITUTE(SUBSTITUTE(SUBSTITUTE(CLEAN(I84&amp;"")," ",""),".","")," ",""),"-",""))))=SUBSTITUTE(SUBSTITUTE(SUBSTITUTE(SUBSTITUTE(CLEAN(I84&amp;"")," ",""),".","")," ",""),"-",""),FALSE)),SUBSTITUTE(SUBSTITUTE(SUBSTITUTE(SUBSTITUTE(CLEAN(I84&amp;"")," ",""),".","")," ",""),"-",""),"CHECK: not 2, 4, 6, 8 or 10 digits"))</f>
        <v/>
      </c>
      <c r="K84" s="11" t="n"/>
      <c r="P84" s="8" t="n"/>
      <c r="Q84" s="8" t="n"/>
      <c r="R84" s="8" t="n"/>
      <c r="S84" s="12" t="n"/>
      <c r="T84" s="11" t="n"/>
      <c r="U84" s="11" t="n"/>
      <c r="V84" s="10">
        <f>IF(TRIM(CLEAN(SUBSTITUTE(P84&amp;""," "," ")))="","",UPPER(TRIM(CLEAN(SUBSTITUTE(P84&amp;""," "," "))))&amp;"/"&amp;UPPER(TRIM(CLEAN(SUBSTITUTE(Q84&amp;""," "," ")))))</f>
        <v/>
      </c>
      <c r="W84" s="10">
        <f>IF(V84="","",IF(UPPER(TRIM(CLEAN(SUBSTITUTE(Q84&amp;""," "," "))))&lt;&gt;UPPER(TRIM(CLEAN(SUBSTITUTE(act_Country&amp;""," "," ")))),"CHECK: import country must match B7",IF(COUNTIF(det_Key,V84)&gt;1,"CHECK: listed twice",IF(AND(UPPER(TRIM(CLEAN(SUBSTITUTE(R84&amp;""," "," "))))&lt;&gt;"",UPPER(TRIM(CLEAN(SUBSTITUTE(R84&amp;""," "," "))))&lt;&gt;"IN",UPPER(TRIM(CLEAN(SUBSTITUTE(R84&amp;""," "," "))))&lt;&gt;"OUT"),"CHECK: determination must be IN, OUT or blank",IF(AND(S84&amp;""&lt;&gt;"",NOT(ISNUMBER(S84))),"CHECK: displaced rate must be a percentage",IF(AND(UPPER(TRIM(CLEAN(SUBSTITUTE(R84&amp;""," "," "))))="",NOT(ISNUMBER(S84))),"CHECK: enter IN, OUT or a displaced rate",IF(SUMPRODUCT(--(Calc!$AL$5:$AL$254&lt;&gt;""))=0,"WAIT: Items not loaded yet",IF(COUNTIF(Calc!$AL$5:$AL$254,V84)=0,"CHECK: no Items row for this item and import country","OK"))))))))</f>
        <v/>
      </c>
    </row>
    <row r="85">
      <c r="E85" s="8" t="n"/>
      <c r="F85" s="10">
        <f>IF(SUBSTITUTE(SUBSTITUTE(SUBSTITUTE(SUBSTITUTE(CLEAN(E85&amp;"")," ",""),".","")," ",""),"-","")="","",IF(AND(OR(LEN(SUBSTITUTE(SUBSTITUTE(SUBSTITUTE(SUBSTITUTE(CLEAN(E85&amp;"")," ",""),".","")," ",""),"-",""))=2,LEN(SUBSTITUTE(SUBSTITUTE(SUBSTITUTE(SUBSTITUTE(CLEAN(E85&amp;"")," ",""),".","")," ",""),"-",""))=4,LEN(SUBSTITUTE(SUBSTITUTE(SUBSTITUTE(SUBSTITUTE(CLEAN(E85&amp;"")," ",""),".","")," ",""),"-",""))=6,LEN(SUBSTITUTE(SUBSTITUTE(SUBSTITUTE(SUBSTITUTE(CLEAN(E85&amp;"")," ",""),".","")," ",""),"-",""))=8,LEN(SUBSTITUTE(SUBSTITUTE(SUBSTITUTE(SUBSTITUTE(CLEAN(E85&amp;"")," ",""),".","")," ",""),"-",""))=10),IFERROR(TEXT(VALUE(SUBSTITUTE(SUBSTITUTE(SUBSTITUTE(SUBSTITUTE(CLEAN(E85&amp;"")," ",""),".","")," ",""),"-","")),REPT("0",LEN(SUBSTITUTE(SUBSTITUTE(SUBSTITUTE(SUBSTITUTE(CLEAN(E85&amp;"")," ",""),".","")," ",""),"-",""))))=SUBSTITUTE(SUBSTITUTE(SUBSTITUTE(SUBSTITUTE(CLEAN(E85&amp;"")," ",""),".","")," ",""),"-",""),FALSE)),SUBSTITUTE(SUBSTITUTE(SUBSTITUTE(SUBSTITUTE(CLEAN(E85&amp;"")," ",""),".","")," ",""),"-",""),"CHECK: not 2, 4, 6, 8 or 10 digits"))</f>
        <v/>
      </c>
      <c r="G85" s="11" t="n"/>
      <c r="H85" s="8" t="n"/>
      <c r="I85" s="8" t="n"/>
      <c r="J85" s="10">
        <f>IF(SUBSTITUTE(SUBSTITUTE(SUBSTITUTE(SUBSTITUTE(CLEAN(I85&amp;"")," ",""),".","")," ",""),"-","")="","",IF(AND(OR(LEN(SUBSTITUTE(SUBSTITUTE(SUBSTITUTE(SUBSTITUTE(CLEAN(I85&amp;"")," ",""),".","")," ",""),"-",""))=2,LEN(SUBSTITUTE(SUBSTITUTE(SUBSTITUTE(SUBSTITUTE(CLEAN(I85&amp;"")," ",""),".","")," ",""),"-",""))=4,LEN(SUBSTITUTE(SUBSTITUTE(SUBSTITUTE(SUBSTITUTE(CLEAN(I85&amp;"")," ",""),".","")," ",""),"-",""))=6,LEN(SUBSTITUTE(SUBSTITUTE(SUBSTITUTE(SUBSTITUTE(CLEAN(I85&amp;"")," ",""),".","")," ",""),"-",""))=8,LEN(SUBSTITUTE(SUBSTITUTE(SUBSTITUTE(SUBSTITUTE(CLEAN(I85&amp;"")," ",""),".","")," ",""),"-",""))=10),IFERROR(TEXT(VALUE(SUBSTITUTE(SUBSTITUTE(SUBSTITUTE(SUBSTITUTE(CLEAN(I85&amp;"")," ",""),".","")," ",""),"-","")),REPT("0",LEN(SUBSTITUTE(SUBSTITUTE(SUBSTITUTE(SUBSTITUTE(CLEAN(I85&amp;"")," ",""),".","")," ",""),"-",""))))=SUBSTITUTE(SUBSTITUTE(SUBSTITUTE(SUBSTITUTE(CLEAN(I85&amp;"")," ",""),".","")," ",""),"-",""),FALSE)),SUBSTITUTE(SUBSTITUTE(SUBSTITUTE(SUBSTITUTE(CLEAN(I85&amp;"")," ",""),".","")," ",""),"-",""),"CHECK: not 2, 4, 6, 8 or 10 digits"))</f>
        <v/>
      </c>
      <c r="K85" s="11" t="n"/>
      <c r="P85" s="8" t="n"/>
      <c r="Q85" s="8" t="n"/>
      <c r="R85" s="8" t="n"/>
      <c r="S85" s="12" t="n"/>
      <c r="T85" s="11" t="n"/>
      <c r="U85" s="11" t="n"/>
      <c r="V85" s="10">
        <f>IF(TRIM(CLEAN(SUBSTITUTE(P85&amp;""," "," ")))="","",UPPER(TRIM(CLEAN(SUBSTITUTE(P85&amp;""," "," "))))&amp;"/"&amp;UPPER(TRIM(CLEAN(SUBSTITUTE(Q85&amp;""," "," ")))))</f>
        <v/>
      </c>
      <c r="W85" s="10">
        <f>IF(V85="","",IF(UPPER(TRIM(CLEAN(SUBSTITUTE(Q85&amp;""," "," "))))&lt;&gt;UPPER(TRIM(CLEAN(SUBSTITUTE(act_Country&amp;""," "," ")))),"CHECK: import country must match B7",IF(COUNTIF(det_Key,V85)&gt;1,"CHECK: listed twice",IF(AND(UPPER(TRIM(CLEAN(SUBSTITUTE(R85&amp;""," "," "))))&lt;&gt;"",UPPER(TRIM(CLEAN(SUBSTITUTE(R85&amp;""," "," "))))&lt;&gt;"IN",UPPER(TRIM(CLEAN(SUBSTITUTE(R85&amp;""," "," "))))&lt;&gt;"OUT"),"CHECK: determination must be IN, OUT or blank",IF(AND(S85&amp;""&lt;&gt;"",NOT(ISNUMBER(S85))),"CHECK: displaced rate must be a percentage",IF(AND(UPPER(TRIM(CLEAN(SUBSTITUTE(R85&amp;""," "," "))))="",NOT(ISNUMBER(S85))),"CHECK: enter IN, OUT or a displaced rate",IF(SUMPRODUCT(--(Calc!$AL$5:$AL$254&lt;&gt;""))=0,"WAIT: Items not loaded yet",IF(COUNTIF(Calc!$AL$5:$AL$254,V85)=0,"CHECK: no Items row for this item and import country","OK"))))))))</f>
        <v/>
      </c>
    </row>
    <row r="86">
      <c r="E86" s="8" t="n"/>
      <c r="F86" s="10">
        <f>IF(SUBSTITUTE(SUBSTITUTE(SUBSTITUTE(SUBSTITUTE(CLEAN(E86&amp;"")," ",""),".","")," ",""),"-","")="","",IF(AND(OR(LEN(SUBSTITUTE(SUBSTITUTE(SUBSTITUTE(SUBSTITUTE(CLEAN(E86&amp;"")," ",""),".","")," ",""),"-",""))=2,LEN(SUBSTITUTE(SUBSTITUTE(SUBSTITUTE(SUBSTITUTE(CLEAN(E86&amp;"")," ",""),".","")," ",""),"-",""))=4,LEN(SUBSTITUTE(SUBSTITUTE(SUBSTITUTE(SUBSTITUTE(CLEAN(E86&amp;"")," ",""),".","")," ",""),"-",""))=6,LEN(SUBSTITUTE(SUBSTITUTE(SUBSTITUTE(SUBSTITUTE(CLEAN(E86&amp;"")," ",""),".","")," ",""),"-",""))=8,LEN(SUBSTITUTE(SUBSTITUTE(SUBSTITUTE(SUBSTITUTE(CLEAN(E86&amp;"")," ",""),".","")," ",""),"-",""))=10),IFERROR(TEXT(VALUE(SUBSTITUTE(SUBSTITUTE(SUBSTITUTE(SUBSTITUTE(CLEAN(E86&amp;"")," ",""),".","")," ",""),"-","")),REPT("0",LEN(SUBSTITUTE(SUBSTITUTE(SUBSTITUTE(SUBSTITUTE(CLEAN(E86&amp;"")," ",""),".","")," ",""),"-",""))))=SUBSTITUTE(SUBSTITUTE(SUBSTITUTE(SUBSTITUTE(CLEAN(E86&amp;"")," ",""),".","")," ",""),"-",""),FALSE)),SUBSTITUTE(SUBSTITUTE(SUBSTITUTE(SUBSTITUTE(CLEAN(E86&amp;"")," ",""),".","")," ",""),"-",""),"CHECK: not 2, 4, 6, 8 or 10 digits"))</f>
        <v/>
      </c>
      <c r="G86" s="11" t="n"/>
      <c r="H86" s="8" t="n"/>
      <c r="I86" s="8" t="n"/>
      <c r="J86" s="10">
        <f>IF(SUBSTITUTE(SUBSTITUTE(SUBSTITUTE(SUBSTITUTE(CLEAN(I86&amp;"")," ",""),".","")," ",""),"-","")="","",IF(AND(OR(LEN(SUBSTITUTE(SUBSTITUTE(SUBSTITUTE(SUBSTITUTE(CLEAN(I86&amp;"")," ",""),".","")," ",""),"-",""))=2,LEN(SUBSTITUTE(SUBSTITUTE(SUBSTITUTE(SUBSTITUTE(CLEAN(I86&amp;"")," ",""),".","")," ",""),"-",""))=4,LEN(SUBSTITUTE(SUBSTITUTE(SUBSTITUTE(SUBSTITUTE(CLEAN(I86&amp;"")," ",""),".","")," ",""),"-",""))=6,LEN(SUBSTITUTE(SUBSTITUTE(SUBSTITUTE(SUBSTITUTE(CLEAN(I86&amp;"")," ",""),".","")," ",""),"-",""))=8,LEN(SUBSTITUTE(SUBSTITUTE(SUBSTITUTE(SUBSTITUTE(CLEAN(I86&amp;"")," ",""),".","")," ",""),"-",""))=10),IFERROR(TEXT(VALUE(SUBSTITUTE(SUBSTITUTE(SUBSTITUTE(SUBSTITUTE(CLEAN(I86&amp;"")," ",""),".","")," ",""),"-","")),REPT("0",LEN(SUBSTITUTE(SUBSTITUTE(SUBSTITUTE(SUBSTITUTE(CLEAN(I86&amp;"")," ",""),".","")," ",""),"-",""))))=SUBSTITUTE(SUBSTITUTE(SUBSTITUTE(SUBSTITUTE(CLEAN(I86&amp;"")," ",""),".","")," ",""),"-",""),FALSE)),SUBSTITUTE(SUBSTITUTE(SUBSTITUTE(SUBSTITUTE(CLEAN(I86&amp;"")," ",""),".","")," ",""),"-",""),"CHECK: not 2, 4, 6, 8 or 10 digits"))</f>
        <v/>
      </c>
      <c r="K86" s="11" t="n"/>
      <c r="P86" s="8" t="n"/>
      <c r="Q86" s="8" t="n"/>
      <c r="R86" s="8" t="n"/>
      <c r="S86" s="12" t="n"/>
      <c r="T86" s="11" t="n"/>
      <c r="U86" s="11" t="n"/>
      <c r="V86" s="10">
        <f>IF(TRIM(CLEAN(SUBSTITUTE(P86&amp;""," "," ")))="","",UPPER(TRIM(CLEAN(SUBSTITUTE(P86&amp;""," "," "))))&amp;"/"&amp;UPPER(TRIM(CLEAN(SUBSTITUTE(Q86&amp;""," "," ")))))</f>
        <v/>
      </c>
      <c r="W86" s="10">
        <f>IF(V86="","",IF(UPPER(TRIM(CLEAN(SUBSTITUTE(Q86&amp;""," "," "))))&lt;&gt;UPPER(TRIM(CLEAN(SUBSTITUTE(act_Country&amp;""," "," ")))),"CHECK: import country must match B7",IF(COUNTIF(det_Key,V86)&gt;1,"CHECK: listed twice",IF(AND(UPPER(TRIM(CLEAN(SUBSTITUTE(R86&amp;""," "," "))))&lt;&gt;"",UPPER(TRIM(CLEAN(SUBSTITUTE(R86&amp;""," "," "))))&lt;&gt;"IN",UPPER(TRIM(CLEAN(SUBSTITUTE(R86&amp;""," "," "))))&lt;&gt;"OUT"),"CHECK: determination must be IN, OUT or blank",IF(AND(S86&amp;""&lt;&gt;"",NOT(ISNUMBER(S86))),"CHECK: displaced rate must be a percentage",IF(AND(UPPER(TRIM(CLEAN(SUBSTITUTE(R86&amp;""," "," "))))="",NOT(ISNUMBER(S86))),"CHECK: enter IN, OUT or a displaced rate",IF(SUMPRODUCT(--(Calc!$AL$5:$AL$254&lt;&gt;""))=0,"WAIT: Items not loaded yet",IF(COUNTIF(Calc!$AL$5:$AL$254,V86)=0,"CHECK: no Items row for this item and import country","OK"))))))))</f>
        <v/>
      </c>
    </row>
    <row r="87">
      <c r="E87" s="8" t="n"/>
      <c r="F87" s="10">
        <f>IF(SUBSTITUTE(SUBSTITUTE(SUBSTITUTE(SUBSTITUTE(CLEAN(E87&amp;"")," ",""),".","")," ",""),"-","")="","",IF(AND(OR(LEN(SUBSTITUTE(SUBSTITUTE(SUBSTITUTE(SUBSTITUTE(CLEAN(E87&amp;"")," ",""),".","")," ",""),"-",""))=2,LEN(SUBSTITUTE(SUBSTITUTE(SUBSTITUTE(SUBSTITUTE(CLEAN(E87&amp;"")," ",""),".","")," ",""),"-",""))=4,LEN(SUBSTITUTE(SUBSTITUTE(SUBSTITUTE(SUBSTITUTE(CLEAN(E87&amp;"")," ",""),".","")," ",""),"-",""))=6,LEN(SUBSTITUTE(SUBSTITUTE(SUBSTITUTE(SUBSTITUTE(CLEAN(E87&amp;"")," ",""),".","")," ",""),"-",""))=8,LEN(SUBSTITUTE(SUBSTITUTE(SUBSTITUTE(SUBSTITUTE(CLEAN(E87&amp;"")," ",""),".","")," ",""),"-",""))=10),IFERROR(TEXT(VALUE(SUBSTITUTE(SUBSTITUTE(SUBSTITUTE(SUBSTITUTE(CLEAN(E87&amp;"")," ",""),".","")," ",""),"-","")),REPT("0",LEN(SUBSTITUTE(SUBSTITUTE(SUBSTITUTE(SUBSTITUTE(CLEAN(E87&amp;"")," ",""),".","")," ",""),"-",""))))=SUBSTITUTE(SUBSTITUTE(SUBSTITUTE(SUBSTITUTE(CLEAN(E87&amp;"")," ",""),".","")," ",""),"-",""),FALSE)),SUBSTITUTE(SUBSTITUTE(SUBSTITUTE(SUBSTITUTE(CLEAN(E87&amp;"")," ",""),".","")," ",""),"-",""),"CHECK: not 2, 4, 6, 8 or 10 digits"))</f>
        <v/>
      </c>
      <c r="G87" s="11" t="n"/>
      <c r="H87" s="8" t="n"/>
      <c r="I87" s="8" t="n"/>
      <c r="J87" s="10">
        <f>IF(SUBSTITUTE(SUBSTITUTE(SUBSTITUTE(SUBSTITUTE(CLEAN(I87&amp;"")," ",""),".","")," ",""),"-","")="","",IF(AND(OR(LEN(SUBSTITUTE(SUBSTITUTE(SUBSTITUTE(SUBSTITUTE(CLEAN(I87&amp;"")," ",""),".","")," ",""),"-",""))=2,LEN(SUBSTITUTE(SUBSTITUTE(SUBSTITUTE(SUBSTITUTE(CLEAN(I87&amp;"")," ",""),".","")," ",""),"-",""))=4,LEN(SUBSTITUTE(SUBSTITUTE(SUBSTITUTE(SUBSTITUTE(CLEAN(I87&amp;"")," ",""),".","")," ",""),"-",""))=6,LEN(SUBSTITUTE(SUBSTITUTE(SUBSTITUTE(SUBSTITUTE(CLEAN(I87&amp;"")," ",""),".","")," ",""),"-",""))=8,LEN(SUBSTITUTE(SUBSTITUTE(SUBSTITUTE(SUBSTITUTE(CLEAN(I87&amp;"")," ",""),".","")," ",""),"-",""))=10),IFERROR(TEXT(VALUE(SUBSTITUTE(SUBSTITUTE(SUBSTITUTE(SUBSTITUTE(CLEAN(I87&amp;"")," ",""),".","")," ",""),"-","")),REPT("0",LEN(SUBSTITUTE(SUBSTITUTE(SUBSTITUTE(SUBSTITUTE(CLEAN(I87&amp;"")," ",""),".","")," ",""),"-",""))))=SUBSTITUTE(SUBSTITUTE(SUBSTITUTE(SUBSTITUTE(CLEAN(I87&amp;"")," ",""),".","")," ",""),"-",""),FALSE)),SUBSTITUTE(SUBSTITUTE(SUBSTITUTE(SUBSTITUTE(CLEAN(I87&amp;"")," ",""),".","")," ",""),"-",""),"CHECK: not 2, 4, 6, 8 or 10 digits"))</f>
        <v/>
      </c>
      <c r="K87" s="11" t="n"/>
      <c r="P87" s="8" t="n"/>
      <c r="Q87" s="8" t="n"/>
      <c r="R87" s="8" t="n"/>
      <c r="S87" s="12" t="n"/>
      <c r="T87" s="11" t="n"/>
      <c r="U87" s="11" t="n"/>
      <c r="V87" s="10">
        <f>IF(TRIM(CLEAN(SUBSTITUTE(P87&amp;""," "," ")))="","",UPPER(TRIM(CLEAN(SUBSTITUTE(P87&amp;""," "," "))))&amp;"/"&amp;UPPER(TRIM(CLEAN(SUBSTITUTE(Q87&amp;""," "," ")))))</f>
        <v/>
      </c>
      <c r="W87" s="10">
        <f>IF(V87="","",IF(UPPER(TRIM(CLEAN(SUBSTITUTE(Q87&amp;""," "," "))))&lt;&gt;UPPER(TRIM(CLEAN(SUBSTITUTE(act_Country&amp;""," "," ")))),"CHECK: import country must match B7",IF(COUNTIF(det_Key,V87)&gt;1,"CHECK: listed twice",IF(AND(UPPER(TRIM(CLEAN(SUBSTITUTE(R87&amp;""," "," "))))&lt;&gt;"",UPPER(TRIM(CLEAN(SUBSTITUTE(R87&amp;""," "," "))))&lt;&gt;"IN",UPPER(TRIM(CLEAN(SUBSTITUTE(R87&amp;""," "," "))))&lt;&gt;"OUT"),"CHECK: determination must be IN, OUT or blank",IF(AND(S87&amp;""&lt;&gt;"",NOT(ISNUMBER(S87))),"CHECK: displaced rate must be a percentage",IF(AND(UPPER(TRIM(CLEAN(SUBSTITUTE(R87&amp;""," "," "))))="",NOT(ISNUMBER(S87))),"CHECK: enter IN, OUT or a displaced rate",IF(SUMPRODUCT(--(Calc!$AL$5:$AL$254&lt;&gt;""))=0,"WAIT: Items not loaded yet",IF(COUNTIF(Calc!$AL$5:$AL$254,V87)=0,"CHECK: no Items row for this item and import country","OK"))))))))</f>
        <v/>
      </c>
    </row>
    <row r="88">
      <c r="E88" s="8" t="n"/>
      <c r="F88" s="10">
        <f>IF(SUBSTITUTE(SUBSTITUTE(SUBSTITUTE(SUBSTITUTE(CLEAN(E88&amp;"")," ",""),".","")," ",""),"-","")="","",IF(AND(OR(LEN(SUBSTITUTE(SUBSTITUTE(SUBSTITUTE(SUBSTITUTE(CLEAN(E88&amp;"")," ",""),".","")," ",""),"-",""))=2,LEN(SUBSTITUTE(SUBSTITUTE(SUBSTITUTE(SUBSTITUTE(CLEAN(E88&amp;"")," ",""),".","")," ",""),"-",""))=4,LEN(SUBSTITUTE(SUBSTITUTE(SUBSTITUTE(SUBSTITUTE(CLEAN(E88&amp;"")," ",""),".","")," ",""),"-",""))=6,LEN(SUBSTITUTE(SUBSTITUTE(SUBSTITUTE(SUBSTITUTE(CLEAN(E88&amp;"")," ",""),".","")," ",""),"-",""))=8,LEN(SUBSTITUTE(SUBSTITUTE(SUBSTITUTE(SUBSTITUTE(CLEAN(E88&amp;"")," ",""),".","")," ",""),"-",""))=10),IFERROR(TEXT(VALUE(SUBSTITUTE(SUBSTITUTE(SUBSTITUTE(SUBSTITUTE(CLEAN(E88&amp;"")," ",""),".","")," ",""),"-","")),REPT("0",LEN(SUBSTITUTE(SUBSTITUTE(SUBSTITUTE(SUBSTITUTE(CLEAN(E88&amp;"")," ",""),".","")," ",""),"-",""))))=SUBSTITUTE(SUBSTITUTE(SUBSTITUTE(SUBSTITUTE(CLEAN(E88&amp;"")," ",""),".","")," ",""),"-",""),FALSE)),SUBSTITUTE(SUBSTITUTE(SUBSTITUTE(SUBSTITUTE(CLEAN(E88&amp;"")," ",""),".","")," ",""),"-",""),"CHECK: not 2, 4, 6, 8 or 10 digits"))</f>
        <v/>
      </c>
      <c r="G88" s="11" t="n"/>
      <c r="H88" s="8" t="n"/>
      <c r="I88" s="8" t="n"/>
      <c r="J88" s="10">
        <f>IF(SUBSTITUTE(SUBSTITUTE(SUBSTITUTE(SUBSTITUTE(CLEAN(I88&amp;"")," ",""),".","")," ",""),"-","")="","",IF(AND(OR(LEN(SUBSTITUTE(SUBSTITUTE(SUBSTITUTE(SUBSTITUTE(CLEAN(I88&amp;"")," ",""),".","")," ",""),"-",""))=2,LEN(SUBSTITUTE(SUBSTITUTE(SUBSTITUTE(SUBSTITUTE(CLEAN(I88&amp;"")," ",""),".","")," ",""),"-",""))=4,LEN(SUBSTITUTE(SUBSTITUTE(SUBSTITUTE(SUBSTITUTE(CLEAN(I88&amp;"")," ",""),".","")," ",""),"-",""))=6,LEN(SUBSTITUTE(SUBSTITUTE(SUBSTITUTE(SUBSTITUTE(CLEAN(I88&amp;"")," ",""),".","")," ",""),"-",""))=8,LEN(SUBSTITUTE(SUBSTITUTE(SUBSTITUTE(SUBSTITUTE(CLEAN(I88&amp;"")," ",""),".","")," ",""),"-",""))=10),IFERROR(TEXT(VALUE(SUBSTITUTE(SUBSTITUTE(SUBSTITUTE(SUBSTITUTE(CLEAN(I88&amp;"")," ",""),".","")," ",""),"-","")),REPT("0",LEN(SUBSTITUTE(SUBSTITUTE(SUBSTITUTE(SUBSTITUTE(CLEAN(I88&amp;"")," ",""),".","")," ",""),"-",""))))=SUBSTITUTE(SUBSTITUTE(SUBSTITUTE(SUBSTITUTE(CLEAN(I88&amp;"")," ",""),".","")," ",""),"-",""),FALSE)),SUBSTITUTE(SUBSTITUTE(SUBSTITUTE(SUBSTITUTE(CLEAN(I88&amp;"")," ",""),".","")," ",""),"-",""),"CHECK: not 2, 4, 6, 8 or 10 digits"))</f>
        <v/>
      </c>
      <c r="K88" s="11" t="n"/>
      <c r="P88" s="8" t="n"/>
      <c r="Q88" s="8" t="n"/>
      <c r="R88" s="8" t="n"/>
      <c r="S88" s="12" t="n"/>
      <c r="T88" s="11" t="n"/>
      <c r="U88" s="11" t="n"/>
      <c r="V88" s="10">
        <f>IF(TRIM(CLEAN(SUBSTITUTE(P88&amp;""," "," ")))="","",UPPER(TRIM(CLEAN(SUBSTITUTE(P88&amp;""," "," "))))&amp;"/"&amp;UPPER(TRIM(CLEAN(SUBSTITUTE(Q88&amp;""," "," ")))))</f>
        <v/>
      </c>
      <c r="W88" s="10">
        <f>IF(V88="","",IF(UPPER(TRIM(CLEAN(SUBSTITUTE(Q88&amp;""," "," "))))&lt;&gt;UPPER(TRIM(CLEAN(SUBSTITUTE(act_Country&amp;""," "," ")))),"CHECK: import country must match B7",IF(COUNTIF(det_Key,V88)&gt;1,"CHECK: listed twice",IF(AND(UPPER(TRIM(CLEAN(SUBSTITUTE(R88&amp;""," "," "))))&lt;&gt;"",UPPER(TRIM(CLEAN(SUBSTITUTE(R88&amp;""," "," "))))&lt;&gt;"IN",UPPER(TRIM(CLEAN(SUBSTITUTE(R88&amp;""," "," "))))&lt;&gt;"OUT"),"CHECK: determination must be IN, OUT or blank",IF(AND(S88&amp;""&lt;&gt;"",NOT(ISNUMBER(S88))),"CHECK: displaced rate must be a percentage",IF(AND(UPPER(TRIM(CLEAN(SUBSTITUTE(R88&amp;""," "," "))))="",NOT(ISNUMBER(S88))),"CHECK: enter IN, OUT or a displaced rate",IF(SUMPRODUCT(--(Calc!$AL$5:$AL$254&lt;&gt;""))=0,"WAIT: Items not loaded yet",IF(COUNTIF(Calc!$AL$5:$AL$254,V88)=0,"CHECK: no Items row for this item and import country","OK"))))))))</f>
        <v/>
      </c>
    </row>
    <row r="89">
      <c r="E89" s="8" t="n"/>
      <c r="F89" s="10">
        <f>IF(SUBSTITUTE(SUBSTITUTE(SUBSTITUTE(SUBSTITUTE(CLEAN(E89&amp;"")," ",""),".","")," ",""),"-","")="","",IF(AND(OR(LEN(SUBSTITUTE(SUBSTITUTE(SUBSTITUTE(SUBSTITUTE(CLEAN(E89&amp;"")," ",""),".","")," ",""),"-",""))=2,LEN(SUBSTITUTE(SUBSTITUTE(SUBSTITUTE(SUBSTITUTE(CLEAN(E89&amp;"")," ",""),".","")," ",""),"-",""))=4,LEN(SUBSTITUTE(SUBSTITUTE(SUBSTITUTE(SUBSTITUTE(CLEAN(E89&amp;"")," ",""),".","")," ",""),"-",""))=6,LEN(SUBSTITUTE(SUBSTITUTE(SUBSTITUTE(SUBSTITUTE(CLEAN(E89&amp;"")," ",""),".","")," ",""),"-",""))=8,LEN(SUBSTITUTE(SUBSTITUTE(SUBSTITUTE(SUBSTITUTE(CLEAN(E89&amp;"")," ",""),".","")," ",""),"-",""))=10),IFERROR(TEXT(VALUE(SUBSTITUTE(SUBSTITUTE(SUBSTITUTE(SUBSTITUTE(CLEAN(E89&amp;"")," ",""),".","")," ",""),"-","")),REPT("0",LEN(SUBSTITUTE(SUBSTITUTE(SUBSTITUTE(SUBSTITUTE(CLEAN(E89&amp;"")," ",""),".","")," ",""),"-",""))))=SUBSTITUTE(SUBSTITUTE(SUBSTITUTE(SUBSTITUTE(CLEAN(E89&amp;"")," ",""),".","")," ",""),"-",""),FALSE)),SUBSTITUTE(SUBSTITUTE(SUBSTITUTE(SUBSTITUTE(CLEAN(E89&amp;"")," ",""),".","")," ",""),"-",""),"CHECK: not 2, 4, 6, 8 or 10 digits"))</f>
        <v/>
      </c>
      <c r="G89" s="11" t="n"/>
      <c r="H89" s="8" t="n"/>
      <c r="I89" s="8" t="n"/>
      <c r="J89" s="10">
        <f>IF(SUBSTITUTE(SUBSTITUTE(SUBSTITUTE(SUBSTITUTE(CLEAN(I89&amp;"")," ",""),".","")," ",""),"-","")="","",IF(AND(OR(LEN(SUBSTITUTE(SUBSTITUTE(SUBSTITUTE(SUBSTITUTE(CLEAN(I89&amp;"")," ",""),".","")," ",""),"-",""))=2,LEN(SUBSTITUTE(SUBSTITUTE(SUBSTITUTE(SUBSTITUTE(CLEAN(I89&amp;"")," ",""),".","")," ",""),"-",""))=4,LEN(SUBSTITUTE(SUBSTITUTE(SUBSTITUTE(SUBSTITUTE(CLEAN(I89&amp;"")," ",""),".","")," ",""),"-",""))=6,LEN(SUBSTITUTE(SUBSTITUTE(SUBSTITUTE(SUBSTITUTE(CLEAN(I89&amp;"")," ",""),".","")," ",""),"-",""))=8,LEN(SUBSTITUTE(SUBSTITUTE(SUBSTITUTE(SUBSTITUTE(CLEAN(I89&amp;"")," ",""),".","")," ",""),"-",""))=10),IFERROR(TEXT(VALUE(SUBSTITUTE(SUBSTITUTE(SUBSTITUTE(SUBSTITUTE(CLEAN(I89&amp;"")," ",""),".","")," ",""),"-","")),REPT("0",LEN(SUBSTITUTE(SUBSTITUTE(SUBSTITUTE(SUBSTITUTE(CLEAN(I89&amp;"")," ",""),".","")," ",""),"-",""))))=SUBSTITUTE(SUBSTITUTE(SUBSTITUTE(SUBSTITUTE(CLEAN(I89&amp;"")," ",""),".","")," ",""),"-",""),FALSE)),SUBSTITUTE(SUBSTITUTE(SUBSTITUTE(SUBSTITUTE(CLEAN(I89&amp;"")," ",""),".","")," ",""),"-",""),"CHECK: not 2, 4, 6, 8 or 10 digits"))</f>
        <v/>
      </c>
      <c r="K89" s="11" t="n"/>
      <c r="P89" s="8" t="n"/>
      <c r="Q89" s="8" t="n"/>
      <c r="R89" s="8" t="n"/>
      <c r="S89" s="12" t="n"/>
      <c r="T89" s="11" t="n"/>
      <c r="U89" s="11" t="n"/>
      <c r="V89" s="10">
        <f>IF(TRIM(CLEAN(SUBSTITUTE(P89&amp;""," "," ")))="","",UPPER(TRIM(CLEAN(SUBSTITUTE(P89&amp;""," "," "))))&amp;"/"&amp;UPPER(TRIM(CLEAN(SUBSTITUTE(Q89&amp;""," "," ")))))</f>
        <v/>
      </c>
      <c r="W89" s="10">
        <f>IF(V89="","",IF(UPPER(TRIM(CLEAN(SUBSTITUTE(Q89&amp;""," "," "))))&lt;&gt;UPPER(TRIM(CLEAN(SUBSTITUTE(act_Country&amp;""," "," ")))),"CHECK: import country must match B7",IF(COUNTIF(det_Key,V89)&gt;1,"CHECK: listed twice",IF(AND(UPPER(TRIM(CLEAN(SUBSTITUTE(R89&amp;""," "," "))))&lt;&gt;"",UPPER(TRIM(CLEAN(SUBSTITUTE(R89&amp;""," "," "))))&lt;&gt;"IN",UPPER(TRIM(CLEAN(SUBSTITUTE(R89&amp;""," "," "))))&lt;&gt;"OUT"),"CHECK: determination must be IN, OUT or blank",IF(AND(S89&amp;""&lt;&gt;"",NOT(ISNUMBER(S89))),"CHECK: displaced rate must be a percentage",IF(AND(UPPER(TRIM(CLEAN(SUBSTITUTE(R89&amp;""," "," "))))="",NOT(ISNUMBER(S89))),"CHECK: enter IN, OUT or a displaced rate",IF(SUMPRODUCT(--(Calc!$AL$5:$AL$254&lt;&gt;""))=0,"WAIT: Items not loaded yet",IF(COUNTIF(Calc!$AL$5:$AL$254,V89)=0,"CHECK: no Items row for this item and import country","OK"))))))))</f>
        <v/>
      </c>
    </row>
    <row r="90">
      <c r="E90" s="8" t="n"/>
      <c r="F90" s="10">
        <f>IF(SUBSTITUTE(SUBSTITUTE(SUBSTITUTE(SUBSTITUTE(CLEAN(E90&amp;"")," ",""),".","")," ",""),"-","")="","",IF(AND(OR(LEN(SUBSTITUTE(SUBSTITUTE(SUBSTITUTE(SUBSTITUTE(CLEAN(E90&amp;"")," ",""),".","")," ",""),"-",""))=2,LEN(SUBSTITUTE(SUBSTITUTE(SUBSTITUTE(SUBSTITUTE(CLEAN(E90&amp;"")," ",""),".","")," ",""),"-",""))=4,LEN(SUBSTITUTE(SUBSTITUTE(SUBSTITUTE(SUBSTITUTE(CLEAN(E90&amp;"")," ",""),".","")," ",""),"-",""))=6,LEN(SUBSTITUTE(SUBSTITUTE(SUBSTITUTE(SUBSTITUTE(CLEAN(E90&amp;"")," ",""),".","")," ",""),"-",""))=8,LEN(SUBSTITUTE(SUBSTITUTE(SUBSTITUTE(SUBSTITUTE(CLEAN(E90&amp;"")," ",""),".","")," ",""),"-",""))=10),IFERROR(TEXT(VALUE(SUBSTITUTE(SUBSTITUTE(SUBSTITUTE(SUBSTITUTE(CLEAN(E90&amp;"")," ",""),".","")," ",""),"-","")),REPT("0",LEN(SUBSTITUTE(SUBSTITUTE(SUBSTITUTE(SUBSTITUTE(CLEAN(E90&amp;"")," ",""),".","")," ",""),"-",""))))=SUBSTITUTE(SUBSTITUTE(SUBSTITUTE(SUBSTITUTE(CLEAN(E90&amp;"")," ",""),".","")," ",""),"-",""),FALSE)),SUBSTITUTE(SUBSTITUTE(SUBSTITUTE(SUBSTITUTE(CLEAN(E90&amp;"")," ",""),".","")," ",""),"-",""),"CHECK: not 2, 4, 6, 8 or 10 digits"))</f>
        <v/>
      </c>
      <c r="G90" s="11" t="n"/>
      <c r="H90" s="8" t="n"/>
      <c r="I90" s="8" t="n"/>
      <c r="J90" s="10">
        <f>IF(SUBSTITUTE(SUBSTITUTE(SUBSTITUTE(SUBSTITUTE(CLEAN(I90&amp;"")," ",""),".","")," ",""),"-","")="","",IF(AND(OR(LEN(SUBSTITUTE(SUBSTITUTE(SUBSTITUTE(SUBSTITUTE(CLEAN(I90&amp;"")," ",""),".","")," ",""),"-",""))=2,LEN(SUBSTITUTE(SUBSTITUTE(SUBSTITUTE(SUBSTITUTE(CLEAN(I90&amp;"")," ",""),".","")," ",""),"-",""))=4,LEN(SUBSTITUTE(SUBSTITUTE(SUBSTITUTE(SUBSTITUTE(CLEAN(I90&amp;"")," ",""),".","")," ",""),"-",""))=6,LEN(SUBSTITUTE(SUBSTITUTE(SUBSTITUTE(SUBSTITUTE(CLEAN(I90&amp;"")," ",""),".","")," ",""),"-",""))=8,LEN(SUBSTITUTE(SUBSTITUTE(SUBSTITUTE(SUBSTITUTE(CLEAN(I90&amp;"")," ",""),".","")," ",""),"-",""))=10),IFERROR(TEXT(VALUE(SUBSTITUTE(SUBSTITUTE(SUBSTITUTE(SUBSTITUTE(CLEAN(I90&amp;"")," ",""),".","")," ",""),"-","")),REPT("0",LEN(SUBSTITUTE(SUBSTITUTE(SUBSTITUTE(SUBSTITUTE(CLEAN(I90&amp;"")," ",""),".","")," ",""),"-",""))))=SUBSTITUTE(SUBSTITUTE(SUBSTITUTE(SUBSTITUTE(CLEAN(I90&amp;"")," ",""),".","")," ",""),"-",""),FALSE)),SUBSTITUTE(SUBSTITUTE(SUBSTITUTE(SUBSTITUTE(CLEAN(I90&amp;"")," ",""),".","")," ",""),"-",""),"CHECK: not 2, 4, 6, 8 or 10 digits"))</f>
        <v/>
      </c>
      <c r="K90" s="11" t="n"/>
      <c r="P90" s="8" t="n"/>
      <c r="Q90" s="8" t="n"/>
      <c r="R90" s="8" t="n"/>
      <c r="S90" s="12" t="n"/>
      <c r="T90" s="11" t="n"/>
      <c r="U90" s="11" t="n"/>
      <c r="V90" s="10">
        <f>IF(TRIM(CLEAN(SUBSTITUTE(P90&amp;""," "," ")))="","",UPPER(TRIM(CLEAN(SUBSTITUTE(P90&amp;""," "," "))))&amp;"/"&amp;UPPER(TRIM(CLEAN(SUBSTITUTE(Q90&amp;""," "," ")))))</f>
        <v/>
      </c>
      <c r="W90" s="10">
        <f>IF(V90="","",IF(UPPER(TRIM(CLEAN(SUBSTITUTE(Q90&amp;""," "," "))))&lt;&gt;UPPER(TRIM(CLEAN(SUBSTITUTE(act_Country&amp;""," "," ")))),"CHECK: import country must match B7",IF(COUNTIF(det_Key,V90)&gt;1,"CHECK: listed twice",IF(AND(UPPER(TRIM(CLEAN(SUBSTITUTE(R90&amp;""," "," "))))&lt;&gt;"",UPPER(TRIM(CLEAN(SUBSTITUTE(R90&amp;""," "," "))))&lt;&gt;"IN",UPPER(TRIM(CLEAN(SUBSTITUTE(R90&amp;""," "," "))))&lt;&gt;"OUT"),"CHECK: determination must be IN, OUT or blank",IF(AND(S90&amp;""&lt;&gt;"",NOT(ISNUMBER(S90))),"CHECK: displaced rate must be a percentage",IF(AND(UPPER(TRIM(CLEAN(SUBSTITUTE(R90&amp;""," "," "))))="",NOT(ISNUMBER(S90))),"CHECK: enter IN, OUT or a displaced rate",IF(SUMPRODUCT(--(Calc!$AL$5:$AL$254&lt;&gt;""))=0,"WAIT: Items not loaded yet",IF(COUNTIF(Calc!$AL$5:$AL$254,V90)=0,"CHECK: no Items row for this item and import country","OK"))))))))</f>
        <v/>
      </c>
    </row>
    <row r="91">
      <c r="E91" s="8" t="n"/>
      <c r="F91" s="10">
        <f>IF(SUBSTITUTE(SUBSTITUTE(SUBSTITUTE(SUBSTITUTE(CLEAN(E91&amp;"")," ",""),".","")," ",""),"-","")="","",IF(AND(OR(LEN(SUBSTITUTE(SUBSTITUTE(SUBSTITUTE(SUBSTITUTE(CLEAN(E91&amp;"")," ",""),".","")," ",""),"-",""))=2,LEN(SUBSTITUTE(SUBSTITUTE(SUBSTITUTE(SUBSTITUTE(CLEAN(E91&amp;"")," ",""),".","")," ",""),"-",""))=4,LEN(SUBSTITUTE(SUBSTITUTE(SUBSTITUTE(SUBSTITUTE(CLEAN(E91&amp;"")," ",""),".","")," ",""),"-",""))=6,LEN(SUBSTITUTE(SUBSTITUTE(SUBSTITUTE(SUBSTITUTE(CLEAN(E91&amp;"")," ",""),".","")," ",""),"-",""))=8,LEN(SUBSTITUTE(SUBSTITUTE(SUBSTITUTE(SUBSTITUTE(CLEAN(E91&amp;"")," ",""),".","")," ",""),"-",""))=10),IFERROR(TEXT(VALUE(SUBSTITUTE(SUBSTITUTE(SUBSTITUTE(SUBSTITUTE(CLEAN(E91&amp;"")," ",""),".","")," ",""),"-","")),REPT("0",LEN(SUBSTITUTE(SUBSTITUTE(SUBSTITUTE(SUBSTITUTE(CLEAN(E91&amp;"")," ",""),".","")," ",""),"-",""))))=SUBSTITUTE(SUBSTITUTE(SUBSTITUTE(SUBSTITUTE(CLEAN(E91&amp;"")," ",""),".","")," ",""),"-",""),FALSE)),SUBSTITUTE(SUBSTITUTE(SUBSTITUTE(SUBSTITUTE(CLEAN(E91&amp;"")," ",""),".","")," ",""),"-",""),"CHECK: not 2, 4, 6, 8 or 10 digits"))</f>
        <v/>
      </c>
      <c r="G91" s="11" t="n"/>
      <c r="H91" s="8" t="n"/>
      <c r="I91" s="8" t="n"/>
      <c r="J91" s="10">
        <f>IF(SUBSTITUTE(SUBSTITUTE(SUBSTITUTE(SUBSTITUTE(CLEAN(I91&amp;"")," ",""),".","")," ",""),"-","")="","",IF(AND(OR(LEN(SUBSTITUTE(SUBSTITUTE(SUBSTITUTE(SUBSTITUTE(CLEAN(I91&amp;"")," ",""),".","")," ",""),"-",""))=2,LEN(SUBSTITUTE(SUBSTITUTE(SUBSTITUTE(SUBSTITUTE(CLEAN(I91&amp;"")," ",""),".","")," ",""),"-",""))=4,LEN(SUBSTITUTE(SUBSTITUTE(SUBSTITUTE(SUBSTITUTE(CLEAN(I91&amp;"")," ",""),".","")," ",""),"-",""))=6,LEN(SUBSTITUTE(SUBSTITUTE(SUBSTITUTE(SUBSTITUTE(CLEAN(I91&amp;"")," ",""),".","")," ",""),"-",""))=8,LEN(SUBSTITUTE(SUBSTITUTE(SUBSTITUTE(SUBSTITUTE(CLEAN(I91&amp;"")," ",""),".","")," ",""),"-",""))=10),IFERROR(TEXT(VALUE(SUBSTITUTE(SUBSTITUTE(SUBSTITUTE(SUBSTITUTE(CLEAN(I91&amp;"")," ",""),".","")," ",""),"-","")),REPT("0",LEN(SUBSTITUTE(SUBSTITUTE(SUBSTITUTE(SUBSTITUTE(CLEAN(I91&amp;"")," ",""),".","")," ",""),"-",""))))=SUBSTITUTE(SUBSTITUTE(SUBSTITUTE(SUBSTITUTE(CLEAN(I91&amp;"")," ",""),".","")," ",""),"-",""),FALSE)),SUBSTITUTE(SUBSTITUTE(SUBSTITUTE(SUBSTITUTE(CLEAN(I91&amp;"")," ",""),".","")," ",""),"-",""),"CHECK: not 2, 4, 6, 8 or 10 digits"))</f>
        <v/>
      </c>
      <c r="K91" s="11" t="n"/>
      <c r="P91" s="8" t="n"/>
      <c r="Q91" s="8" t="n"/>
      <c r="R91" s="8" t="n"/>
      <c r="S91" s="12" t="n"/>
      <c r="T91" s="11" t="n"/>
      <c r="U91" s="11" t="n"/>
      <c r="V91" s="10">
        <f>IF(TRIM(CLEAN(SUBSTITUTE(P91&amp;""," "," ")))="","",UPPER(TRIM(CLEAN(SUBSTITUTE(P91&amp;""," "," "))))&amp;"/"&amp;UPPER(TRIM(CLEAN(SUBSTITUTE(Q91&amp;""," "," ")))))</f>
        <v/>
      </c>
      <c r="W91" s="10">
        <f>IF(V91="","",IF(UPPER(TRIM(CLEAN(SUBSTITUTE(Q91&amp;""," "," "))))&lt;&gt;UPPER(TRIM(CLEAN(SUBSTITUTE(act_Country&amp;""," "," ")))),"CHECK: import country must match B7",IF(COUNTIF(det_Key,V91)&gt;1,"CHECK: listed twice",IF(AND(UPPER(TRIM(CLEAN(SUBSTITUTE(R91&amp;""," "," "))))&lt;&gt;"",UPPER(TRIM(CLEAN(SUBSTITUTE(R91&amp;""," "," "))))&lt;&gt;"IN",UPPER(TRIM(CLEAN(SUBSTITUTE(R91&amp;""," "," "))))&lt;&gt;"OUT"),"CHECK: determination must be IN, OUT or blank",IF(AND(S91&amp;""&lt;&gt;"",NOT(ISNUMBER(S91))),"CHECK: displaced rate must be a percentage",IF(AND(UPPER(TRIM(CLEAN(SUBSTITUTE(R91&amp;""," "," "))))="",NOT(ISNUMBER(S91))),"CHECK: enter IN, OUT or a displaced rate",IF(SUMPRODUCT(--(Calc!$AL$5:$AL$254&lt;&gt;""))=0,"WAIT: Items not loaded yet",IF(COUNTIF(Calc!$AL$5:$AL$254,V91)=0,"CHECK: no Items row for this item and import country","OK"))))))))</f>
        <v/>
      </c>
    </row>
    <row r="92">
      <c r="E92" s="8" t="n"/>
      <c r="F92" s="10">
        <f>IF(SUBSTITUTE(SUBSTITUTE(SUBSTITUTE(SUBSTITUTE(CLEAN(E92&amp;"")," ",""),".","")," ",""),"-","")="","",IF(AND(OR(LEN(SUBSTITUTE(SUBSTITUTE(SUBSTITUTE(SUBSTITUTE(CLEAN(E92&amp;"")," ",""),".","")," ",""),"-",""))=2,LEN(SUBSTITUTE(SUBSTITUTE(SUBSTITUTE(SUBSTITUTE(CLEAN(E92&amp;"")," ",""),".","")," ",""),"-",""))=4,LEN(SUBSTITUTE(SUBSTITUTE(SUBSTITUTE(SUBSTITUTE(CLEAN(E92&amp;"")," ",""),".","")," ",""),"-",""))=6,LEN(SUBSTITUTE(SUBSTITUTE(SUBSTITUTE(SUBSTITUTE(CLEAN(E92&amp;"")," ",""),".","")," ",""),"-",""))=8,LEN(SUBSTITUTE(SUBSTITUTE(SUBSTITUTE(SUBSTITUTE(CLEAN(E92&amp;"")," ",""),".","")," ",""),"-",""))=10),IFERROR(TEXT(VALUE(SUBSTITUTE(SUBSTITUTE(SUBSTITUTE(SUBSTITUTE(CLEAN(E92&amp;"")," ",""),".","")," ",""),"-","")),REPT("0",LEN(SUBSTITUTE(SUBSTITUTE(SUBSTITUTE(SUBSTITUTE(CLEAN(E92&amp;"")," ",""),".","")," ",""),"-",""))))=SUBSTITUTE(SUBSTITUTE(SUBSTITUTE(SUBSTITUTE(CLEAN(E92&amp;"")," ",""),".","")," ",""),"-",""),FALSE)),SUBSTITUTE(SUBSTITUTE(SUBSTITUTE(SUBSTITUTE(CLEAN(E92&amp;"")," ",""),".","")," ",""),"-",""),"CHECK: not 2, 4, 6, 8 or 10 digits"))</f>
        <v/>
      </c>
      <c r="G92" s="11" t="n"/>
      <c r="H92" s="8" t="n"/>
      <c r="I92" s="8" t="n"/>
      <c r="J92" s="10">
        <f>IF(SUBSTITUTE(SUBSTITUTE(SUBSTITUTE(SUBSTITUTE(CLEAN(I92&amp;"")," ",""),".","")," ",""),"-","")="","",IF(AND(OR(LEN(SUBSTITUTE(SUBSTITUTE(SUBSTITUTE(SUBSTITUTE(CLEAN(I92&amp;"")," ",""),".","")," ",""),"-",""))=2,LEN(SUBSTITUTE(SUBSTITUTE(SUBSTITUTE(SUBSTITUTE(CLEAN(I92&amp;"")," ",""),".","")," ",""),"-",""))=4,LEN(SUBSTITUTE(SUBSTITUTE(SUBSTITUTE(SUBSTITUTE(CLEAN(I92&amp;"")," ",""),".","")," ",""),"-",""))=6,LEN(SUBSTITUTE(SUBSTITUTE(SUBSTITUTE(SUBSTITUTE(CLEAN(I92&amp;"")," ",""),".","")," ",""),"-",""))=8,LEN(SUBSTITUTE(SUBSTITUTE(SUBSTITUTE(SUBSTITUTE(CLEAN(I92&amp;"")," ",""),".","")," ",""),"-",""))=10),IFERROR(TEXT(VALUE(SUBSTITUTE(SUBSTITUTE(SUBSTITUTE(SUBSTITUTE(CLEAN(I92&amp;"")," ",""),".","")," ",""),"-","")),REPT("0",LEN(SUBSTITUTE(SUBSTITUTE(SUBSTITUTE(SUBSTITUTE(CLEAN(I92&amp;"")," ",""),".","")," ",""),"-",""))))=SUBSTITUTE(SUBSTITUTE(SUBSTITUTE(SUBSTITUTE(CLEAN(I92&amp;"")," ",""),".","")," ",""),"-",""),FALSE)),SUBSTITUTE(SUBSTITUTE(SUBSTITUTE(SUBSTITUTE(CLEAN(I92&amp;"")," ",""),".","")," ",""),"-",""),"CHECK: not 2, 4, 6, 8 or 10 digits"))</f>
        <v/>
      </c>
      <c r="K92" s="11" t="n"/>
      <c r="P92" s="8" t="n"/>
      <c r="Q92" s="8" t="n"/>
      <c r="R92" s="8" t="n"/>
      <c r="S92" s="12" t="n"/>
      <c r="T92" s="11" t="n"/>
      <c r="U92" s="11" t="n"/>
      <c r="V92" s="10">
        <f>IF(TRIM(CLEAN(SUBSTITUTE(P92&amp;""," "," ")))="","",UPPER(TRIM(CLEAN(SUBSTITUTE(P92&amp;""," "," "))))&amp;"/"&amp;UPPER(TRIM(CLEAN(SUBSTITUTE(Q92&amp;""," "," ")))))</f>
        <v/>
      </c>
      <c r="W92" s="10">
        <f>IF(V92="","",IF(UPPER(TRIM(CLEAN(SUBSTITUTE(Q92&amp;""," "," "))))&lt;&gt;UPPER(TRIM(CLEAN(SUBSTITUTE(act_Country&amp;""," "," ")))),"CHECK: import country must match B7",IF(COUNTIF(det_Key,V92)&gt;1,"CHECK: listed twice",IF(AND(UPPER(TRIM(CLEAN(SUBSTITUTE(R92&amp;""," "," "))))&lt;&gt;"",UPPER(TRIM(CLEAN(SUBSTITUTE(R92&amp;""," "," "))))&lt;&gt;"IN",UPPER(TRIM(CLEAN(SUBSTITUTE(R92&amp;""," "," "))))&lt;&gt;"OUT"),"CHECK: determination must be IN, OUT or blank",IF(AND(S92&amp;""&lt;&gt;"",NOT(ISNUMBER(S92))),"CHECK: displaced rate must be a percentage",IF(AND(UPPER(TRIM(CLEAN(SUBSTITUTE(R92&amp;""," "," "))))="",NOT(ISNUMBER(S92))),"CHECK: enter IN, OUT or a displaced rate",IF(SUMPRODUCT(--(Calc!$AL$5:$AL$254&lt;&gt;""))=0,"WAIT: Items not loaded yet",IF(COUNTIF(Calc!$AL$5:$AL$254,V92)=0,"CHECK: no Items row for this item and import country","OK"))))))))</f>
        <v/>
      </c>
    </row>
    <row r="93">
      <c r="E93" s="8" t="n"/>
      <c r="F93" s="10">
        <f>IF(SUBSTITUTE(SUBSTITUTE(SUBSTITUTE(SUBSTITUTE(CLEAN(E93&amp;"")," ",""),".","")," ",""),"-","")="","",IF(AND(OR(LEN(SUBSTITUTE(SUBSTITUTE(SUBSTITUTE(SUBSTITUTE(CLEAN(E93&amp;"")," ",""),".","")," ",""),"-",""))=2,LEN(SUBSTITUTE(SUBSTITUTE(SUBSTITUTE(SUBSTITUTE(CLEAN(E93&amp;"")," ",""),".","")," ",""),"-",""))=4,LEN(SUBSTITUTE(SUBSTITUTE(SUBSTITUTE(SUBSTITUTE(CLEAN(E93&amp;"")," ",""),".","")," ",""),"-",""))=6,LEN(SUBSTITUTE(SUBSTITUTE(SUBSTITUTE(SUBSTITUTE(CLEAN(E93&amp;"")," ",""),".","")," ",""),"-",""))=8,LEN(SUBSTITUTE(SUBSTITUTE(SUBSTITUTE(SUBSTITUTE(CLEAN(E93&amp;"")," ",""),".","")," ",""),"-",""))=10),IFERROR(TEXT(VALUE(SUBSTITUTE(SUBSTITUTE(SUBSTITUTE(SUBSTITUTE(CLEAN(E93&amp;"")," ",""),".","")," ",""),"-","")),REPT("0",LEN(SUBSTITUTE(SUBSTITUTE(SUBSTITUTE(SUBSTITUTE(CLEAN(E93&amp;"")," ",""),".","")," ",""),"-",""))))=SUBSTITUTE(SUBSTITUTE(SUBSTITUTE(SUBSTITUTE(CLEAN(E93&amp;"")," ",""),".","")," ",""),"-",""),FALSE)),SUBSTITUTE(SUBSTITUTE(SUBSTITUTE(SUBSTITUTE(CLEAN(E93&amp;"")," ",""),".","")," ",""),"-",""),"CHECK: not 2, 4, 6, 8 or 10 digits"))</f>
        <v/>
      </c>
      <c r="G93" s="11" t="n"/>
      <c r="H93" s="8" t="n"/>
      <c r="I93" s="8" t="n"/>
      <c r="J93" s="10">
        <f>IF(SUBSTITUTE(SUBSTITUTE(SUBSTITUTE(SUBSTITUTE(CLEAN(I93&amp;"")," ",""),".","")," ",""),"-","")="","",IF(AND(OR(LEN(SUBSTITUTE(SUBSTITUTE(SUBSTITUTE(SUBSTITUTE(CLEAN(I93&amp;"")," ",""),".","")," ",""),"-",""))=2,LEN(SUBSTITUTE(SUBSTITUTE(SUBSTITUTE(SUBSTITUTE(CLEAN(I93&amp;"")," ",""),".","")," ",""),"-",""))=4,LEN(SUBSTITUTE(SUBSTITUTE(SUBSTITUTE(SUBSTITUTE(CLEAN(I93&amp;"")," ",""),".","")," ",""),"-",""))=6,LEN(SUBSTITUTE(SUBSTITUTE(SUBSTITUTE(SUBSTITUTE(CLEAN(I93&amp;"")," ",""),".","")," ",""),"-",""))=8,LEN(SUBSTITUTE(SUBSTITUTE(SUBSTITUTE(SUBSTITUTE(CLEAN(I93&amp;"")," ",""),".","")," ",""),"-",""))=10),IFERROR(TEXT(VALUE(SUBSTITUTE(SUBSTITUTE(SUBSTITUTE(SUBSTITUTE(CLEAN(I93&amp;"")," ",""),".","")," ",""),"-","")),REPT("0",LEN(SUBSTITUTE(SUBSTITUTE(SUBSTITUTE(SUBSTITUTE(CLEAN(I93&amp;"")," ",""),".","")," ",""),"-",""))))=SUBSTITUTE(SUBSTITUTE(SUBSTITUTE(SUBSTITUTE(CLEAN(I93&amp;"")," ",""),".","")," ",""),"-",""),FALSE)),SUBSTITUTE(SUBSTITUTE(SUBSTITUTE(SUBSTITUTE(CLEAN(I93&amp;"")," ",""),".","")," ",""),"-",""),"CHECK: not 2, 4, 6, 8 or 10 digits"))</f>
        <v/>
      </c>
      <c r="K93" s="11" t="n"/>
      <c r="P93" s="8" t="n"/>
      <c r="Q93" s="8" t="n"/>
      <c r="R93" s="8" t="n"/>
      <c r="S93" s="12" t="n"/>
      <c r="T93" s="11" t="n"/>
      <c r="U93" s="11" t="n"/>
      <c r="V93" s="10">
        <f>IF(TRIM(CLEAN(SUBSTITUTE(P93&amp;""," "," ")))="","",UPPER(TRIM(CLEAN(SUBSTITUTE(P93&amp;""," "," "))))&amp;"/"&amp;UPPER(TRIM(CLEAN(SUBSTITUTE(Q93&amp;""," "," ")))))</f>
        <v/>
      </c>
      <c r="W93" s="10">
        <f>IF(V93="","",IF(UPPER(TRIM(CLEAN(SUBSTITUTE(Q93&amp;""," "," "))))&lt;&gt;UPPER(TRIM(CLEAN(SUBSTITUTE(act_Country&amp;""," "," ")))),"CHECK: import country must match B7",IF(COUNTIF(det_Key,V93)&gt;1,"CHECK: listed twice",IF(AND(UPPER(TRIM(CLEAN(SUBSTITUTE(R93&amp;""," "," "))))&lt;&gt;"",UPPER(TRIM(CLEAN(SUBSTITUTE(R93&amp;""," "," "))))&lt;&gt;"IN",UPPER(TRIM(CLEAN(SUBSTITUTE(R93&amp;""," "," "))))&lt;&gt;"OUT"),"CHECK: determination must be IN, OUT or blank",IF(AND(S93&amp;""&lt;&gt;"",NOT(ISNUMBER(S93))),"CHECK: displaced rate must be a percentage",IF(AND(UPPER(TRIM(CLEAN(SUBSTITUTE(R93&amp;""," "," "))))="",NOT(ISNUMBER(S93))),"CHECK: enter IN, OUT or a displaced rate",IF(SUMPRODUCT(--(Calc!$AL$5:$AL$254&lt;&gt;""))=0,"WAIT: Items not loaded yet",IF(COUNTIF(Calc!$AL$5:$AL$254,V93)=0,"CHECK: no Items row for this item and import country","OK"))))))))</f>
        <v/>
      </c>
    </row>
    <row r="94">
      <c r="E94" s="8" t="n"/>
      <c r="F94" s="10">
        <f>IF(SUBSTITUTE(SUBSTITUTE(SUBSTITUTE(SUBSTITUTE(CLEAN(E94&amp;"")," ",""),".","")," ",""),"-","")="","",IF(AND(OR(LEN(SUBSTITUTE(SUBSTITUTE(SUBSTITUTE(SUBSTITUTE(CLEAN(E94&amp;"")," ",""),".","")," ",""),"-",""))=2,LEN(SUBSTITUTE(SUBSTITUTE(SUBSTITUTE(SUBSTITUTE(CLEAN(E94&amp;"")," ",""),".","")," ",""),"-",""))=4,LEN(SUBSTITUTE(SUBSTITUTE(SUBSTITUTE(SUBSTITUTE(CLEAN(E94&amp;"")," ",""),".","")," ",""),"-",""))=6,LEN(SUBSTITUTE(SUBSTITUTE(SUBSTITUTE(SUBSTITUTE(CLEAN(E94&amp;"")," ",""),".","")," ",""),"-",""))=8,LEN(SUBSTITUTE(SUBSTITUTE(SUBSTITUTE(SUBSTITUTE(CLEAN(E94&amp;"")," ",""),".","")," ",""),"-",""))=10),IFERROR(TEXT(VALUE(SUBSTITUTE(SUBSTITUTE(SUBSTITUTE(SUBSTITUTE(CLEAN(E94&amp;"")," ",""),".","")," ",""),"-","")),REPT("0",LEN(SUBSTITUTE(SUBSTITUTE(SUBSTITUTE(SUBSTITUTE(CLEAN(E94&amp;"")," ",""),".","")," ",""),"-",""))))=SUBSTITUTE(SUBSTITUTE(SUBSTITUTE(SUBSTITUTE(CLEAN(E94&amp;"")," ",""),".","")," ",""),"-",""),FALSE)),SUBSTITUTE(SUBSTITUTE(SUBSTITUTE(SUBSTITUTE(CLEAN(E94&amp;"")," ",""),".","")," ",""),"-",""),"CHECK: not 2, 4, 6, 8 or 10 digits"))</f>
        <v/>
      </c>
      <c r="G94" s="11" t="n"/>
      <c r="H94" s="8" t="n"/>
      <c r="I94" s="8" t="n"/>
      <c r="J94" s="10">
        <f>IF(SUBSTITUTE(SUBSTITUTE(SUBSTITUTE(SUBSTITUTE(CLEAN(I94&amp;"")," ",""),".","")," ",""),"-","")="","",IF(AND(OR(LEN(SUBSTITUTE(SUBSTITUTE(SUBSTITUTE(SUBSTITUTE(CLEAN(I94&amp;"")," ",""),".","")," ",""),"-",""))=2,LEN(SUBSTITUTE(SUBSTITUTE(SUBSTITUTE(SUBSTITUTE(CLEAN(I94&amp;"")," ",""),".","")," ",""),"-",""))=4,LEN(SUBSTITUTE(SUBSTITUTE(SUBSTITUTE(SUBSTITUTE(CLEAN(I94&amp;"")," ",""),".","")," ",""),"-",""))=6,LEN(SUBSTITUTE(SUBSTITUTE(SUBSTITUTE(SUBSTITUTE(CLEAN(I94&amp;"")," ",""),".","")," ",""),"-",""))=8,LEN(SUBSTITUTE(SUBSTITUTE(SUBSTITUTE(SUBSTITUTE(CLEAN(I94&amp;"")," ",""),".","")," ",""),"-",""))=10),IFERROR(TEXT(VALUE(SUBSTITUTE(SUBSTITUTE(SUBSTITUTE(SUBSTITUTE(CLEAN(I94&amp;"")," ",""),".","")," ",""),"-","")),REPT("0",LEN(SUBSTITUTE(SUBSTITUTE(SUBSTITUTE(SUBSTITUTE(CLEAN(I94&amp;"")," ",""),".","")," ",""),"-",""))))=SUBSTITUTE(SUBSTITUTE(SUBSTITUTE(SUBSTITUTE(CLEAN(I94&amp;"")," ",""),".","")," ",""),"-",""),FALSE)),SUBSTITUTE(SUBSTITUTE(SUBSTITUTE(SUBSTITUTE(CLEAN(I94&amp;"")," ",""),".","")," ",""),"-",""),"CHECK: not 2, 4, 6, 8 or 10 digits"))</f>
        <v/>
      </c>
      <c r="K94" s="11" t="n"/>
      <c r="P94" s="8" t="n"/>
      <c r="Q94" s="8" t="n"/>
      <c r="R94" s="8" t="n"/>
      <c r="S94" s="12" t="n"/>
      <c r="T94" s="11" t="n"/>
      <c r="U94" s="11" t="n"/>
      <c r="V94" s="10">
        <f>IF(TRIM(CLEAN(SUBSTITUTE(P94&amp;""," "," ")))="","",UPPER(TRIM(CLEAN(SUBSTITUTE(P94&amp;""," "," "))))&amp;"/"&amp;UPPER(TRIM(CLEAN(SUBSTITUTE(Q94&amp;""," "," ")))))</f>
        <v/>
      </c>
      <c r="W94" s="10">
        <f>IF(V94="","",IF(UPPER(TRIM(CLEAN(SUBSTITUTE(Q94&amp;""," "," "))))&lt;&gt;UPPER(TRIM(CLEAN(SUBSTITUTE(act_Country&amp;""," "," ")))),"CHECK: import country must match B7",IF(COUNTIF(det_Key,V94)&gt;1,"CHECK: listed twice",IF(AND(UPPER(TRIM(CLEAN(SUBSTITUTE(R94&amp;""," "," "))))&lt;&gt;"",UPPER(TRIM(CLEAN(SUBSTITUTE(R94&amp;""," "," "))))&lt;&gt;"IN",UPPER(TRIM(CLEAN(SUBSTITUTE(R94&amp;""," "," "))))&lt;&gt;"OUT"),"CHECK: determination must be IN, OUT or blank",IF(AND(S94&amp;""&lt;&gt;"",NOT(ISNUMBER(S94))),"CHECK: displaced rate must be a percentage",IF(AND(UPPER(TRIM(CLEAN(SUBSTITUTE(R94&amp;""," "," "))))="",NOT(ISNUMBER(S94))),"CHECK: enter IN, OUT or a displaced rate",IF(SUMPRODUCT(--(Calc!$AL$5:$AL$254&lt;&gt;""))=0,"WAIT: Items not loaded yet",IF(COUNTIF(Calc!$AL$5:$AL$254,V94)=0,"CHECK: no Items row for this item and import country","OK"))))))))</f>
        <v/>
      </c>
    </row>
    <row r="95">
      <c r="E95" s="8" t="n"/>
      <c r="F95" s="10">
        <f>IF(SUBSTITUTE(SUBSTITUTE(SUBSTITUTE(SUBSTITUTE(CLEAN(E95&amp;"")," ",""),".","")," ",""),"-","")="","",IF(AND(OR(LEN(SUBSTITUTE(SUBSTITUTE(SUBSTITUTE(SUBSTITUTE(CLEAN(E95&amp;"")," ",""),".","")," ",""),"-",""))=2,LEN(SUBSTITUTE(SUBSTITUTE(SUBSTITUTE(SUBSTITUTE(CLEAN(E95&amp;"")," ",""),".","")," ",""),"-",""))=4,LEN(SUBSTITUTE(SUBSTITUTE(SUBSTITUTE(SUBSTITUTE(CLEAN(E95&amp;"")," ",""),".","")," ",""),"-",""))=6,LEN(SUBSTITUTE(SUBSTITUTE(SUBSTITUTE(SUBSTITUTE(CLEAN(E95&amp;"")," ",""),".","")," ",""),"-",""))=8,LEN(SUBSTITUTE(SUBSTITUTE(SUBSTITUTE(SUBSTITUTE(CLEAN(E95&amp;"")," ",""),".","")," ",""),"-",""))=10),IFERROR(TEXT(VALUE(SUBSTITUTE(SUBSTITUTE(SUBSTITUTE(SUBSTITUTE(CLEAN(E95&amp;"")," ",""),".","")," ",""),"-","")),REPT("0",LEN(SUBSTITUTE(SUBSTITUTE(SUBSTITUTE(SUBSTITUTE(CLEAN(E95&amp;"")," ",""),".","")," ",""),"-",""))))=SUBSTITUTE(SUBSTITUTE(SUBSTITUTE(SUBSTITUTE(CLEAN(E95&amp;"")," ",""),".","")," ",""),"-",""),FALSE)),SUBSTITUTE(SUBSTITUTE(SUBSTITUTE(SUBSTITUTE(CLEAN(E95&amp;"")," ",""),".","")," ",""),"-",""),"CHECK: not 2, 4, 6, 8 or 10 digits"))</f>
        <v/>
      </c>
      <c r="G95" s="11" t="n"/>
      <c r="H95" s="8" t="n"/>
      <c r="I95" s="8" t="n"/>
      <c r="J95" s="10">
        <f>IF(SUBSTITUTE(SUBSTITUTE(SUBSTITUTE(SUBSTITUTE(CLEAN(I95&amp;"")," ",""),".","")," ",""),"-","")="","",IF(AND(OR(LEN(SUBSTITUTE(SUBSTITUTE(SUBSTITUTE(SUBSTITUTE(CLEAN(I95&amp;"")," ",""),".","")," ",""),"-",""))=2,LEN(SUBSTITUTE(SUBSTITUTE(SUBSTITUTE(SUBSTITUTE(CLEAN(I95&amp;"")," ",""),".","")," ",""),"-",""))=4,LEN(SUBSTITUTE(SUBSTITUTE(SUBSTITUTE(SUBSTITUTE(CLEAN(I95&amp;"")," ",""),".","")," ",""),"-",""))=6,LEN(SUBSTITUTE(SUBSTITUTE(SUBSTITUTE(SUBSTITUTE(CLEAN(I95&amp;"")," ",""),".","")," ",""),"-",""))=8,LEN(SUBSTITUTE(SUBSTITUTE(SUBSTITUTE(SUBSTITUTE(CLEAN(I95&amp;"")," ",""),".","")," ",""),"-",""))=10),IFERROR(TEXT(VALUE(SUBSTITUTE(SUBSTITUTE(SUBSTITUTE(SUBSTITUTE(CLEAN(I95&amp;"")," ",""),".","")," ",""),"-","")),REPT("0",LEN(SUBSTITUTE(SUBSTITUTE(SUBSTITUTE(SUBSTITUTE(CLEAN(I95&amp;"")," ",""),".","")," ",""),"-",""))))=SUBSTITUTE(SUBSTITUTE(SUBSTITUTE(SUBSTITUTE(CLEAN(I95&amp;"")," ",""),".","")," ",""),"-",""),FALSE)),SUBSTITUTE(SUBSTITUTE(SUBSTITUTE(SUBSTITUTE(CLEAN(I95&amp;"")," ",""),".","")," ",""),"-",""),"CHECK: not 2, 4, 6, 8 or 10 digits"))</f>
        <v/>
      </c>
      <c r="K95" s="11" t="n"/>
      <c r="P95" s="8" t="n"/>
      <c r="Q95" s="8" t="n"/>
      <c r="R95" s="8" t="n"/>
      <c r="S95" s="12" t="n"/>
      <c r="T95" s="11" t="n"/>
      <c r="U95" s="11" t="n"/>
      <c r="V95" s="10">
        <f>IF(TRIM(CLEAN(SUBSTITUTE(P95&amp;""," "," ")))="","",UPPER(TRIM(CLEAN(SUBSTITUTE(P95&amp;""," "," "))))&amp;"/"&amp;UPPER(TRIM(CLEAN(SUBSTITUTE(Q95&amp;""," "," ")))))</f>
        <v/>
      </c>
      <c r="W95" s="10">
        <f>IF(V95="","",IF(UPPER(TRIM(CLEAN(SUBSTITUTE(Q95&amp;""," "," "))))&lt;&gt;UPPER(TRIM(CLEAN(SUBSTITUTE(act_Country&amp;""," "," ")))),"CHECK: import country must match B7",IF(COUNTIF(det_Key,V95)&gt;1,"CHECK: listed twice",IF(AND(UPPER(TRIM(CLEAN(SUBSTITUTE(R95&amp;""," "," "))))&lt;&gt;"",UPPER(TRIM(CLEAN(SUBSTITUTE(R95&amp;""," "," "))))&lt;&gt;"IN",UPPER(TRIM(CLEAN(SUBSTITUTE(R95&amp;""," "," "))))&lt;&gt;"OUT"),"CHECK: determination must be IN, OUT or blank",IF(AND(S95&amp;""&lt;&gt;"",NOT(ISNUMBER(S95))),"CHECK: displaced rate must be a percentage",IF(AND(UPPER(TRIM(CLEAN(SUBSTITUTE(R95&amp;""," "," "))))="",NOT(ISNUMBER(S95))),"CHECK: enter IN, OUT or a displaced rate",IF(SUMPRODUCT(--(Calc!$AL$5:$AL$254&lt;&gt;""))=0,"WAIT: Items not loaded yet",IF(COUNTIF(Calc!$AL$5:$AL$254,V95)=0,"CHECK: no Items row for this item and import country","OK"))))))))</f>
        <v/>
      </c>
    </row>
    <row r="96">
      <c r="E96" s="8" t="n"/>
      <c r="F96" s="10">
        <f>IF(SUBSTITUTE(SUBSTITUTE(SUBSTITUTE(SUBSTITUTE(CLEAN(E96&amp;"")," ",""),".","")," ",""),"-","")="","",IF(AND(OR(LEN(SUBSTITUTE(SUBSTITUTE(SUBSTITUTE(SUBSTITUTE(CLEAN(E96&amp;"")," ",""),".","")," ",""),"-",""))=2,LEN(SUBSTITUTE(SUBSTITUTE(SUBSTITUTE(SUBSTITUTE(CLEAN(E96&amp;"")," ",""),".","")," ",""),"-",""))=4,LEN(SUBSTITUTE(SUBSTITUTE(SUBSTITUTE(SUBSTITUTE(CLEAN(E96&amp;"")," ",""),".","")," ",""),"-",""))=6,LEN(SUBSTITUTE(SUBSTITUTE(SUBSTITUTE(SUBSTITUTE(CLEAN(E96&amp;"")," ",""),".","")," ",""),"-",""))=8,LEN(SUBSTITUTE(SUBSTITUTE(SUBSTITUTE(SUBSTITUTE(CLEAN(E96&amp;"")," ",""),".","")," ",""),"-",""))=10),IFERROR(TEXT(VALUE(SUBSTITUTE(SUBSTITUTE(SUBSTITUTE(SUBSTITUTE(CLEAN(E96&amp;"")," ",""),".","")," ",""),"-","")),REPT("0",LEN(SUBSTITUTE(SUBSTITUTE(SUBSTITUTE(SUBSTITUTE(CLEAN(E96&amp;"")," ",""),".","")," ",""),"-",""))))=SUBSTITUTE(SUBSTITUTE(SUBSTITUTE(SUBSTITUTE(CLEAN(E96&amp;"")," ",""),".","")," ",""),"-",""),FALSE)),SUBSTITUTE(SUBSTITUTE(SUBSTITUTE(SUBSTITUTE(CLEAN(E96&amp;"")," ",""),".","")," ",""),"-",""),"CHECK: not 2, 4, 6, 8 or 10 digits"))</f>
        <v/>
      </c>
      <c r="G96" s="11" t="n"/>
      <c r="H96" s="8" t="n"/>
      <c r="I96" s="8" t="n"/>
      <c r="J96" s="10">
        <f>IF(SUBSTITUTE(SUBSTITUTE(SUBSTITUTE(SUBSTITUTE(CLEAN(I96&amp;"")," ",""),".","")," ",""),"-","")="","",IF(AND(OR(LEN(SUBSTITUTE(SUBSTITUTE(SUBSTITUTE(SUBSTITUTE(CLEAN(I96&amp;"")," ",""),".","")," ",""),"-",""))=2,LEN(SUBSTITUTE(SUBSTITUTE(SUBSTITUTE(SUBSTITUTE(CLEAN(I96&amp;"")," ",""),".","")," ",""),"-",""))=4,LEN(SUBSTITUTE(SUBSTITUTE(SUBSTITUTE(SUBSTITUTE(CLEAN(I96&amp;"")," ",""),".","")," ",""),"-",""))=6,LEN(SUBSTITUTE(SUBSTITUTE(SUBSTITUTE(SUBSTITUTE(CLEAN(I96&amp;"")," ",""),".","")," ",""),"-",""))=8,LEN(SUBSTITUTE(SUBSTITUTE(SUBSTITUTE(SUBSTITUTE(CLEAN(I96&amp;"")," ",""),".","")," ",""),"-",""))=10),IFERROR(TEXT(VALUE(SUBSTITUTE(SUBSTITUTE(SUBSTITUTE(SUBSTITUTE(CLEAN(I96&amp;"")," ",""),".","")," ",""),"-","")),REPT("0",LEN(SUBSTITUTE(SUBSTITUTE(SUBSTITUTE(SUBSTITUTE(CLEAN(I96&amp;"")," ",""),".","")," ",""),"-",""))))=SUBSTITUTE(SUBSTITUTE(SUBSTITUTE(SUBSTITUTE(CLEAN(I96&amp;"")," ",""),".","")," ",""),"-",""),FALSE)),SUBSTITUTE(SUBSTITUTE(SUBSTITUTE(SUBSTITUTE(CLEAN(I96&amp;"")," ",""),".","")," ",""),"-",""),"CHECK: not 2, 4, 6, 8 or 10 digits"))</f>
        <v/>
      </c>
      <c r="K96" s="11" t="n"/>
      <c r="P96" s="8" t="n"/>
      <c r="Q96" s="8" t="n"/>
      <c r="R96" s="8" t="n"/>
      <c r="S96" s="12" t="n"/>
      <c r="T96" s="11" t="n"/>
      <c r="U96" s="11" t="n"/>
      <c r="V96" s="10">
        <f>IF(TRIM(CLEAN(SUBSTITUTE(P96&amp;""," "," ")))="","",UPPER(TRIM(CLEAN(SUBSTITUTE(P96&amp;""," "," "))))&amp;"/"&amp;UPPER(TRIM(CLEAN(SUBSTITUTE(Q96&amp;""," "," ")))))</f>
        <v/>
      </c>
      <c r="W96" s="10">
        <f>IF(V96="","",IF(UPPER(TRIM(CLEAN(SUBSTITUTE(Q96&amp;""," "," "))))&lt;&gt;UPPER(TRIM(CLEAN(SUBSTITUTE(act_Country&amp;""," "," ")))),"CHECK: import country must match B7",IF(COUNTIF(det_Key,V96)&gt;1,"CHECK: listed twice",IF(AND(UPPER(TRIM(CLEAN(SUBSTITUTE(R96&amp;""," "," "))))&lt;&gt;"",UPPER(TRIM(CLEAN(SUBSTITUTE(R96&amp;""," "," "))))&lt;&gt;"IN",UPPER(TRIM(CLEAN(SUBSTITUTE(R96&amp;""," "," "))))&lt;&gt;"OUT"),"CHECK: determination must be IN, OUT or blank",IF(AND(S96&amp;""&lt;&gt;"",NOT(ISNUMBER(S96))),"CHECK: displaced rate must be a percentage",IF(AND(UPPER(TRIM(CLEAN(SUBSTITUTE(R96&amp;""," "," "))))="",NOT(ISNUMBER(S96))),"CHECK: enter IN, OUT or a displaced rate",IF(SUMPRODUCT(--(Calc!$AL$5:$AL$254&lt;&gt;""))=0,"WAIT: Items not loaded yet",IF(COUNTIF(Calc!$AL$5:$AL$254,V96)=0,"CHECK: no Items row for this item and import country","OK"))))))))</f>
        <v/>
      </c>
    </row>
    <row r="97">
      <c r="E97" s="8" t="n"/>
      <c r="F97" s="10">
        <f>IF(SUBSTITUTE(SUBSTITUTE(SUBSTITUTE(SUBSTITUTE(CLEAN(E97&amp;"")," ",""),".","")," ",""),"-","")="","",IF(AND(OR(LEN(SUBSTITUTE(SUBSTITUTE(SUBSTITUTE(SUBSTITUTE(CLEAN(E97&amp;"")," ",""),".","")," ",""),"-",""))=2,LEN(SUBSTITUTE(SUBSTITUTE(SUBSTITUTE(SUBSTITUTE(CLEAN(E97&amp;"")," ",""),".","")," ",""),"-",""))=4,LEN(SUBSTITUTE(SUBSTITUTE(SUBSTITUTE(SUBSTITUTE(CLEAN(E97&amp;"")," ",""),".","")," ",""),"-",""))=6,LEN(SUBSTITUTE(SUBSTITUTE(SUBSTITUTE(SUBSTITUTE(CLEAN(E97&amp;"")," ",""),".","")," ",""),"-",""))=8,LEN(SUBSTITUTE(SUBSTITUTE(SUBSTITUTE(SUBSTITUTE(CLEAN(E97&amp;"")," ",""),".","")," ",""),"-",""))=10),IFERROR(TEXT(VALUE(SUBSTITUTE(SUBSTITUTE(SUBSTITUTE(SUBSTITUTE(CLEAN(E97&amp;"")," ",""),".","")," ",""),"-","")),REPT("0",LEN(SUBSTITUTE(SUBSTITUTE(SUBSTITUTE(SUBSTITUTE(CLEAN(E97&amp;"")," ",""),".","")," ",""),"-",""))))=SUBSTITUTE(SUBSTITUTE(SUBSTITUTE(SUBSTITUTE(CLEAN(E97&amp;"")," ",""),".","")," ",""),"-",""),FALSE)),SUBSTITUTE(SUBSTITUTE(SUBSTITUTE(SUBSTITUTE(CLEAN(E97&amp;"")," ",""),".","")," ",""),"-",""),"CHECK: not 2, 4, 6, 8 or 10 digits"))</f>
        <v/>
      </c>
      <c r="G97" s="11" t="n"/>
      <c r="H97" s="8" t="n"/>
      <c r="I97" s="8" t="n"/>
      <c r="J97" s="10">
        <f>IF(SUBSTITUTE(SUBSTITUTE(SUBSTITUTE(SUBSTITUTE(CLEAN(I97&amp;"")," ",""),".","")," ",""),"-","")="","",IF(AND(OR(LEN(SUBSTITUTE(SUBSTITUTE(SUBSTITUTE(SUBSTITUTE(CLEAN(I97&amp;"")," ",""),".","")," ",""),"-",""))=2,LEN(SUBSTITUTE(SUBSTITUTE(SUBSTITUTE(SUBSTITUTE(CLEAN(I97&amp;"")," ",""),".","")," ",""),"-",""))=4,LEN(SUBSTITUTE(SUBSTITUTE(SUBSTITUTE(SUBSTITUTE(CLEAN(I97&amp;"")," ",""),".","")," ",""),"-",""))=6,LEN(SUBSTITUTE(SUBSTITUTE(SUBSTITUTE(SUBSTITUTE(CLEAN(I97&amp;"")," ",""),".","")," ",""),"-",""))=8,LEN(SUBSTITUTE(SUBSTITUTE(SUBSTITUTE(SUBSTITUTE(CLEAN(I97&amp;"")," ",""),".","")," ",""),"-",""))=10),IFERROR(TEXT(VALUE(SUBSTITUTE(SUBSTITUTE(SUBSTITUTE(SUBSTITUTE(CLEAN(I97&amp;"")," ",""),".","")," ",""),"-","")),REPT("0",LEN(SUBSTITUTE(SUBSTITUTE(SUBSTITUTE(SUBSTITUTE(CLEAN(I97&amp;"")," ",""),".","")," ",""),"-",""))))=SUBSTITUTE(SUBSTITUTE(SUBSTITUTE(SUBSTITUTE(CLEAN(I97&amp;"")," ",""),".","")," ",""),"-",""),FALSE)),SUBSTITUTE(SUBSTITUTE(SUBSTITUTE(SUBSTITUTE(CLEAN(I97&amp;"")," ",""),".","")," ",""),"-",""),"CHECK: not 2, 4, 6, 8 or 10 digits"))</f>
        <v/>
      </c>
      <c r="K97" s="11" t="n"/>
      <c r="P97" s="8" t="n"/>
      <c r="Q97" s="8" t="n"/>
      <c r="R97" s="8" t="n"/>
      <c r="S97" s="12" t="n"/>
      <c r="T97" s="11" t="n"/>
      <c r="U97" s="11" t="n"/>
      <c r="V97" s="10">
        <f>IF(TRIM(CLEAN(SUBSTITUTE(P97&amp;""," "," ")))="","",UPPER(TRIM(CLEAN(SUBSTITUTE(P97&amp;""," "," "))))&amp;"/"&amp;UPPER(TRIM(CLEAN(SUBSTITUTE(Q97&amp;""," "," ")))))</f>
        <v/>
      </c>
      <c r="W97" s="10">
        <f>IF(V97="","",IF(UPPER(TRIM(CLEAN(SUBSTITUTE(Q97&amp;""," "," "))))&lt;&gt;UPPER(TRIM(CLEAN(SUBSTITUTE(act_Country&amp;""," "," ")))),"CHECK: import country must match B7",IF(COUNTIF(det_Key,V97)&gt;1,"CHECK: listed twice",IF(AND(UPPER(TRIM(CLEAN(SUBSTITUTE(R97&amp;""," "," "))))&lt;&gt;"",UPPER(TRIM(CLEAN(SUBSTITUTE(R97&amp;""," "," "))))&lt;&gt;"IN",UPPER(TRIM(CLEAN(SUBSTITUTE(R97&amp;""," "," "))))&lt;&gt;"OUT"),"CHECK: determination must be IN, OUT or blank",IF(AND(S97&amp;""&lt;&gt;"",NOT(ISNUMBER(S97))),"CHECK: displaced rate must be a percentage",IF(AND(UPPER(TRIM(CLEAN(SUBSTITUTE(R97&amp;""," "," "))))="",NOT(ISNUMBER(S97))),"CHECK: enter IN, OUT or a displaced rate",IF(SUMPRODUCT(--(Calc!$AL$5:$AL$254&lt;&gt;""))=0,"WAIT: Items not loaded yet",IF(COUNTIF(Calc!$AL$5:$AL$254,V97)=0,"CHECK: no Items row for this item and import country","OK"))))))))</f>
        <v/>
      </c>
    </row>
    <row r="98">
      <c r="E98" s="8" t="n"/>
      <c r="F98" s="10">
        <f>IF(SUBSTITUTE(SUBSTITUTE(SUBSTITUTE(SUBSTITUTE(CLEAN(E98&amp;"")," ",""),".","")," ",""),"-","")="","",IF(AND(OR(LEN(SUBSTITUTE(SUBSTITUTE(SUBSTITUTE(SUBSTITUTE(CLEAN(E98&amp;"")," ",""),".","")," ",""),"-",""))=2,LEN(SUBSTITUTE(SUBSTITUTE(SUBSTITUTE(SUBSTITUTE(CLEAN(E98&amp;"")," ",""),".","")," ",""),"-",""))=4,LEN(SUBSTITUTE(SUBSTITUTE(SUBSTITUTE(SUBSTITUTE(CLEAN(E98&amp;"")," ",""),".","")," ",""),"-",""))=6,LEN(SUBSTITUTE(SUBSTITUTE(SUBSTITUTE(SUBSTITUTE(CLEAN(E98&amp;"")," ",""),".","")," ",""),"-",""))=8,LEN(SUBSTITUTE(SUBSTITUTE(SUBSTITUTE(SUBSTITUTE(CLEAN(E98&amp;"")," ",""),".","")," ",""),"-",""))=10),IFERROR(TEXT(VALUE(SUBSTITUTE(SUBSTITUTE(SUBSTITUTE(SUBSTITUTE(CLEAN(E98&amp;"")," ",""),".","")," ",""),"-","")),REPT("0",LEN(SUBSTITUTE(SUBSTITUTE(SUBSTITUTE(SUBSTITUTE(CLEAN(E98&amp;"")," ",""),".","")," ",""),"-",""))))=SUBSTITUTE(SUBSTITUTE(SUBSTITUTE(SUBSTITUTE(CLEAN(E98&amp;"")," ",""),".","")," ",""),"-",""),FALSE)),SUBSTITUTE(SUBSTITUTE(SUBSTITUTE(SUBSTITUTE(CLEAN(E98&amp;"")," ",""),".","")," ",""),"-",""),"CHECK: not 2, 4, 6, 8 or 10 digits"))</f>
        <v/>
      </c>
      <c r="G98" s="11" t="n"/>
      <c r="H98" s="8" t="n"/>
      <c r="I98" s="8" t="n"/>
      <c r="J98" s="10">
        <f>IF(SUBSTITUTE(SUBSTITUTE(SUBSTITUTE(SUBSTITUTE(CLEAN(I98&amp;"")," ",""),".","")," ",""),"-","")="","",IF(AND(OR(LEN(SUBSTITUTE(SUBSTITUTE(SUBSTITUTE(SUBSTITUTE(CLEAN(I98&amp;"")," ",""),".","")," ",""),"-",""))=2,LEN(SUBSTITUTE(SUBSTITUTE(SUBSTITUTE(SUBSTITUTE(CLEAN(I98&amp;"")," ",""),".","")," ",""),"-",""))=4,LEN(SUBSTITUTE(SUBSTITUTE(SUBSTITUTE(SUBSTITUTE(CLEAN(I98&amp;"")," ",""),".","")," ",""),"-",""))=6,LEN(SUBSTITUTE(SUBSTITUTE(SUBSTITUTE(SUBSTITUTE(CLEAN(I98&amp;"")," ",""),".","")," ",""),"-",""))=8,LEN(SUBSTITUTE(SUBSTITUTE(SUBSTITUTE(SUBSTITUTE(CLEAN(I98&amp;"")," ",""),".","")," ",""),"-",""))=10),IFERROR(TEXT(VALUE(SUBSTITUTE(SUBSTITUTE(SUBSTITUTE(SUBSTITUTE(CLEAN(I98&amp;"")," ",""),".","")," ",""),"-","")),REPT("0",LEN(SUBSTITUTE(SUBSTITUTE(SUBSTITUTE(SUBSTITUTE(CLEAN(I98&amp;"")," ",""),".","")," ",""),"-",""))))=SUBSTITUTE(SUBSTITUTE(SUBSTITUTE(SUBSTITUTE(CLEAN(I98&amp;"")," ",""),".","")," ",""),"-",""),FALSE)),SUBSTITUTE(SUBSTITUTE(SUBSTITUTE(SUBSTITUTE(CLEAN(I98&amp;"")," ",""),".","")," ",""),"-",""),"CHECK: not 2, 4, 6, 8 or 10 digits"))</f>
        <v/>
      </c>
      <c r="K98" s="11" t="n"/>
      <c r="P98" s="8" t="n"/>
      <c r="Q98" s="8" t="n"/>
      <c r="R98" s="8" t="n"/>
      <c r="S98" s="12" t="n"/>
      <c r="T98" s="11" t="n"/>
      <c r="U98" s="11" t="n"/>
      <c r="V98" s="10">
        <f>IF(TRIM(CLEAN(SUBSTITUTE(P98&amp;""," "," ")))="","",UPPER(TRIM(CLEAN(SUBSTITUTE(P98&amp;""," "," "))))&amp;"/"&amp;UPPER(TRIM(CLEAN(SUBSTITUTE(Q98&amp;""," "," ")))))</f>
        <v/>
      </c>
      <c r="W98" s="10">
        <f>IF(V98="","",IF(UPPER(TRIM(CLEAN(SUBSTITUTE(Q98&amp;""," "," "))))&lt;&gt;UPPER(TRIM(CLEAN(SUBSTITUTE(act_Country&amp;""," "," ")))),"CHECK: import country must match B7",IF(COUNTIF(det_Key,V98)&gt;1,"CHECK: listed twice",IF(AND(UPPER(TRIM(CLEAN(SUBSTITUTE(R98&amp;""," "," "))))&lt;&gt;"",UPPER(TRIM(CLEAN(SUBSTITUTE(R98&amp;""," "," "))))&lt;&gt;"IN",UPPER(TRIM(CLEAN(SUBSTITUTE(R98&amp;""," "," "))))&lt;&gt;"OUT"),"CHECK: determination must be IN, OUT or blank",IF(AND(S98&amp;""&lt;&gt;"",NOT(ISNUMBER(S98))),"CHECK: displaced rate must be a percentage",IF(AND(UPPER(TRIM(CLEAN(SUBSTITUTE(R98&amp;""," "," "))))="",NOT(ISNUMBER(S98))),"CHECK: enter IN, OUT or a displaced rate",IF(SUMPRODUCT(--(Calc!$AL$5:$AL$254&lt;&gt;""))=0,"WAIT: Items not loaded yet",IF(COUNTIF(Calc!$AL$5:$AL$254,V98)=0,"CHECK: no Items row for this item and import country","OK"))))))))</f>
        <v/>
      </c>
    </row>
    <row r="99">
      <c r="E99" s="8" t="n"/>
      <c r="F99" s="10">
        <f>IF(SUBSTITUTE(SUBSTITUTE(SUBSTITUTE(SUBSTITUTE(CLEAN(E99&amp;"")," ",""),".","")," ",""),"-","")="","",IF(AND(OR(LEN(SUBSTITUTE(SUBSTITUTE(SUBSTITUTE(SUBSTITUTE(CLEAN(E99&amp;"")," ",""),".","")," ",""),"-",""))=2,LEN(SUBSTITUTE(SUBSTITUTE(SUBSTITUTE(SUBSTITUTE(CLEAN(E99&amp;"")," ",""),".","")," ",""),"-",""))=4,LEN(SUBSTITUTE(SUBSTITUTE(SUBSTITUTE(SUBSTITUTE(CLEAN(E99&amp;"")," ",""),".","")," ",""),"-",""))=6,LEN(SUBSTITUTE(SUBSTITUTE(SUBSTITUTE(SUBSTITUTE(CLEAN(E99&amp;"")," ",""),".","")," ",""),"-",""))=8,LEN(SUBSTITUTE(SUBSTITUTE(SUBSTITUTE(SUBSTITUTE(CLEAN(E99&amp;"")," ",""),".","")," ",""),"-",""))=10),IFERROR(TEXT(VALUE(SUBSTITUTE(SUBSTITUTE(SUBSTITUTE(SUBSTITUTE(CLEAN(E99&amp;"")," ",""),".","")," ",""),"-","")),REPT("0",LEN(SUBSTITUTE(SUBSTITUTE(SUBSTITUTE(SUBSTITUTE(CLEAN(E99&amp;"")," ",""),".","")," ",""),"-",""))))=SUBSTITUTE(SUBSTITUTE(SUBSTITUTE(SUBSTITUTE(CLEAN(E99&amp;"")," ",""),".","")," ",""),"-",""),FALSE)),SUBSTITUTE(SUBSTITUTE(SUBSTITUTE(SUBSTITUTE(CLEAN(E99&amp;"")," ",""),".","")," ",""),"-",""),"CHECK: not 2, 4, 6, 8 or 10 digits"))</f>
        <v/>
      </c>
      <c r="G99" s="11" t="n"/>
      <c r="H99" s="8" t="n"/>
      <c r="I99" s="8" t="n"/>
      <c r="J99" s="10">
        <f>IF(SUBSTITUTE(SUBSTITUTE(SUBSTITUTE(SUBSTITUTE(CLEAN(I99&amp;"")," ",""),".","")," ",""),"-","")="","",IF(AND(OR(LEN(SUBSTITUTE(SUBSTITUTE(SUBSTITUTE(SUBSTITUTE(CLEAN(I99&amp;"")," ",""),".","")," ",""),"-",""))=2,LEN(SUBSTITUTE(SUBSTITUTE(SUBSTITUTE(SUBSTITUTE(CLEAN(I99&amp;"")," ",""),".","")," ",""),"-",""))=4,LEN(SUBSTITUTE(SUBSTITUTE(SUBSTITUTE(SUBSTITUTE(CLEAN(I99&amp;"")," ",""),".","")," ",""),"-",""))=6,LEN(SUBSTITUTE(SUBSTITUTE(SUBSTITUTE(SUBSTITUTE(CLEAN(I99&amp;"")," ",""),".","")," ",""),"-",""))=8,LEN(SUBSTITUTE(SUBSTITUTE(SUBSTITUTE(SUBSTITUTE(CLEAN(I99&amp;"")," ",""),".","")," ",""),"-",""))=10),IFERROR(TEXT(VALUE(SUBSTITUTE(SUBSTITUTE(SUBSTITUTE(SUBSTITUTE(CLEAN(I99&amp;"")," ",""),".","")," ",""),"-","")),REPT("0",LEN(SUBSTITUTE(SUBSTITUTE(SUBSTITUTE(SUBSTITUTE(CLEAN(I99&amp;"")," ",""),".","")," ",""),"-",""))))=SUBSTITUTE(SUBSTITUTE(SUBSTITUTE(SUBSTITUTE(CLEAN(I99&amp;"")," ",""),".","")," ",""),"-",""),FALSE)),SUBSTITUTE(SUBSTITUTE(SUBSTITUTE(SUBSTITUTE(CLEAN(I99&amp;"")," ",""),".","")," ",""),"-",""),"CHECK: not 2, 4, 6, 8 or 10 digits"))</f>
        <v/>
      </c>
      <c r="K99" s="11" t="n"/>
      <c r="P99" s="8" t="n"/>
      <c r="Q99" s="8" t="n"/>
      <c r="R99" s="8" t="n"/>
      <c r="S99" s="12" t="n"/>
      <c r="T99" s="11" t="n"/>
      <c r="U99" s="11" t="n"/>
      <c r="V99" s="10">
        <f>IF(TRIM(CLEAN(SUBSTITUTE(P99&amp;""," "," ")))="","",UPPER(TRIM(CLEAN(SUBSTITUTE(P99&amp;""," "," "))))&amp;"/"&amp;UPPER(TRIM(CLEAN(SUBSTITUTE(Q99&amp;""," "," ")))))</f>
        <v/>
      </c>
      <c r="W99" s="10">
        <f>IF(V99="","",IF(UPPER(TRIM(CLEAN(SUBSTITUTE(Q99&amp;""," "," "))))&lt;&gt;UPPER(TRIM(CLEAN(SUBSTITUTE(act_Country&amp;""," "," ")))),"CHECK: import country must match B7",IF(COUNTIF(det_Key,V99)&gt;1,"CHECK: listed twice",IF(AND(UPPER(TRIM(CLEAN(SUBSTITUTE(R99&amp;""," "," "))))&lt;&gt;"",UPPER(TRIM(CLEAN(SUBSTITUTE(R99&amp;""," "," "))))&lt;&gt;"IN",UPPER(TRIM(CLEAN(SUBSTITUTE(R99&amp;""," "," "))))&lt;&gt;"OUT"),"CHECK: determination must be IN, OUT or blank",IF(AND(S99&amp;""&lt;&gt;"",NOT(ISNUMBER(S99))),"CHECK: displaced rate must be a percentage",IF(AND(UPPER(TRIM(CLEAN(SUBSTITUTE(R99&amp;""," "," "))))="",NOT(ISNUMBER(S99))),"CHECK: enter IN, OUT or a displaced rate",IF(SUMPRODUCT(--(Calc!$AL$5:$AL$254&lt;&gt;""))=0,"WAIT: Items not loaded yet",IF(COUNTIF(Calc!$AL$5:$AL$254,V99)=0,"CHECK: no Items row for this item and import country","OK"))))))))</f>
        <v/>
      </c>
    </row>
    <row r="100">
      <c r="E100" s="8" t="n"/>
      <c r="F100" s="10">
        <f>IF(SUBSTITUTE(SUBSTITUTE(SUBSTITUTE(SUBSTITUTE(CLEAN(E100&amp;"")," ",""),".","")," ",""),"-","")="","",IF(AND(OR(LEN(SUBSTITUTE(SUBSTITUTE(SUBSTITUTE(SUBSTITUTE(CLEAN(E100&amp;"")," ",""),".","")," ",""),"-",""))=2,LEN(SUBSTITUTE(SUBSTITUTE(SUBSTITUTE(SUBSTITUTE(CLEAN(E100&amp;"")," ",""),".","")," ",""),"-",""))=4,LEN(SUBSTITUTE(SUBSTITUTE(SUBSTITUTE(SUBSTITUTE(CLEAN(E100&amp;"")," ",""),".","")," ",""),"-",""))=6,LEN(SUBSTITUTE(SUBSTITUTE(SUBSTITUTE(SUBSTITUTE(CLEAN(E100&amp;"")," ",""),".","")," ",""),"-",""))=8,LEN(SUBSTITUTE(SUBSTITUTE(SUBSTITUTE(SUBSTITUTE(CLEAN(E100&amp;"")," ",""),".","")," ",""),"-",""))=10),IFERROR(TEXT(VALUE(SUBSTITUTE(SUBSTITUTE(SUBSTITUTE(SUBSTITUTE(CLEAN(E100&amp;"")," ",""),".","")," ",""),"-","")),REPT("0",LEN(SUBSTITUTE(SUBSTITUTE(SUBSTITUTE(SUBSTITUTE(CLEAN(E100&amp;"")," ",""),".","")," ",""),"-",""))))=SUBSTITUTE(SUBSTITUTE(SUBSTITUTE(SUBSTITUTE(CLEAN(E100&amp;"")," ",""),".","")," ",""),"-",""),FALSE)),SUBSTITUTE(SUBSTITUTE(SUBSTITUTE(SUBSTITUTE(CLEAN(E100&amp;"")," ",""),".","")," ",""),"-",""),"CHECK: not 2, 4, 6, 8 or 10 digits"))</f>
        <v/>
      </c>
      <c r="G100" s="11" t="n"/>
      <c r="H100" s="8" t="n"/>
      <c r="I100" s="8" t="n"/>
      <c r="J100" s="10">
        <f>IF(SUBSTITUTE(SUBSTITUTE(SUBSTITUTE(SUBSTITUTE(CLEAN(I100&amp;"")," ",""),".","")," ",""),"-","")="","",IF(AND(OR(LEN(SUBSTITUTE(SUBSTITUTE(SUBSTITUTE(SUBSTITUTE(CLEAN(I100&amp;"")," ",""),".","")," ",""),"-",""))=2,LEN(SUBSTITUTE(SUBSTITUTE(SUBSTITUTE(SUBSTITUTE(CLEAN(I100&amp;"")," ",""),".","")," ",""),"-",""))=4,LEN(SUBSTITUTE(SUBSTITUTE(SUBSTITUTE(SUBSTITUTE(CLEAN(I100&amp;"")," ",""),".","")," ",""),"-",""))=6,LEN(SUBSTITUTE(SUBSTITUTE(SUBSTITUTE(SUBSTITUTE(CLEAN(I100&amp;"")," ",""),".","")," ",""),"-",""))=8,LEN(SUBSTITUTE(SUBSTITUTE(SUBSTITUTE(SUBSTITUTE(CLEAN(I100&amp;"")," ",""),".","")," ",""),"-",""))=10),IFERROR(TEXT(VALUE(SUBSTITUTE(SUBSTITUTE(SUBSTITUTE(SUBSTITUTE(CLEAN(I100&amp;"")," ",""),".","")," ",""),"-","")),REPT("0",LEN(SUBSTITUTE(SUBSTITUTE(SUBSTITUTE(SUBSTITUTE(CLEAN(I100&amp;"")," ",""),".","")," ",""),"-",""))))=SUBSTITUTE(SUBSTITUTE(SUBSTITUTE(SUBSTITUTE(CLEAN(I100&amp;"")," ",""),".","")," ",""),"-",""),FALSE)),SUBSTITUTE(SUBSTITUTE(SUBSTITUTE(SUBSTITUTE(CLEAN(I100&amp;"")," ",""),".","")," ",""),"-",""),"CHECK: not 2, 4, 6, 8 or 10 digits"))</f>
        <v/>
      </c>
      <c r="K100" s="11" t="n"/>
      <c r="P100" s="8" t="n"/>
      <c r="Q100" s="8" t="n"/>
      <c r="R100" s="8" t="n"/>
      <c r="S100" s="12" t="n"/>
      <c r="T100" s="11" t="n"/>
      <c r="U100" s="11" t="n"/>
      <c r="V100" s="10">
        <f>IF(TRIM(CLEAN(SUBSTITUTE(P100&amp;""," "," ")))="","",UPPER(TRIM(CLEAN(SUBSTITUTE(P100&amp;""," "," "))))&amp;"/"&amp;UPPER(TRIM(CLEAN(SUBSTITUTE(Q100&amp;""," "," ")))))</f>
        <v/>
      </c>
      <c r="W100" s="10">
        <f>IF(V100="","",IF(UPPER(TRIM(CLEAN(SUBSTITUTE(Q100&amp;""," "," "))))&lt;&gt;UPPER(TRIM(CLEAN(SUBSTITUTE(act_Country&amp;""," "," ")))),"CHECK: import country must match B7",IF(COUNTIF(det_Key,V100)&gt;1,"CHECK: listed twice",IF(AND(UPPER(TRIM(CLEAN(SUBSTITUTE(R100&amp;""," "," "))))&lt;&gt;"",UPPER(TRIM(CLEAN(SUBSTITUTE(R100&amp;""," "," "))))&lt;&gt;"IN",UPPER(TRIM(CLEAN(SUBSTITUTE(R100&amp;""," "," "))))&lt;&gt;"OUT"),"CHECK: determination must be IN, OUT or blank",IF(AND(S100&amp;""&lt;&gt;"",NOT(ISNUMBER(S100))),"CHECK: displaced rate must be a percentage",IF(AND(UPPER(TRIM(CLEAN(SUBSTITUTE(R100&amp;""," "," "))))="",NOT(ISNUMBER(S100))),"CHECK: enter IN, OUT or a displaced rate",IF(SUMPRODUCT(--(Calc!$AL$5:$AL$254&lt;&gt;""))=0,"WAIT: Items not loaded yet",IF(COUNTIF(Calc!$AL$5:$AL$254,V100)=0,"CHECK: no Items row for this item and import country","OK"))))))))</f>
        <v/>
      </c>
    </row>
    <row r="101">
      <c r="E101" s="8" t="n"/>
      <c r="F101" s="10">
        <f>IF(SUBSTITUTE(SUBSTITUTE(SUBSTITUTE(SUBSTITUTE(CLEAN(E101&amp;"")," ",""),".","")," ",""),"-","")="","",IF(AND(OR(LEN(SUBSTITUTE(SUBSTITUTE(SUBSTITUTE(SUBSTITUTE(CLEAN(E101&amp;"")," ",""),".","")," ",""),"-",""))=2,LEN(SUBSTITUTE(SUBSTITUTE(SUBSTITUTE(SUBSTITUTE(CLEAN(E101&amp;"")," ",""),".","")," ",""),"-",""))=4,LEN(SUBSTITUTE(SUBSTITUTE(SUBSTITUTE(SUBSTITUTE(CLEAN(E101&amp;"")," ",""),".","")," ",""),"-",""))=6,LEN(SUBSTITUTE(SUBSTITUTE(SUBSTITUTE(SUBSTITUTE(CLEAN(E101&amp;"")," ",""),".","")," ",""),"-",""))=8,LEN(SUBSTITUTE(SUBSTITUTE(SUBSTITUTE(SUBSTITUTE(CLEAN(E101&amp;"")," ",""),".","")," ",""),"-",""))=10),IFERROR(TEXT(VALUE(SUBSTITUTE(SUBSTITUTE(SUBSTITUTE(SUBSTITUTE(CLEAN(E101&amp;"")," ",""),".","")," ",""),"-","")),REPT("0",LEN(SUBSTITUTE(SUBSTITUTE(SUBSTITUTE(SUBSTITUTE(CLEAN(E101&amp;"")," ",""),".","")," ",""),"-",""))))=SUBSTITUTE(SUBSTITUTE(SUBSTITUTE(SUBSTITUTE(CLEAN(E101&amp;"")," ",""),".","")," ",""),"-",""),FALSE)),SUBSTITUTE(SUBSTITUTE(SUBSTITUTE(SUBSTITUTE(CLEAN(E101&amp;"")," ",""),".","")," ",""),"-",""),"CHECK: not 2, 4, 6, 8 or 10 digits"))</f>
        <v/>
      </c>
      <c r="G101" s="11" t="n"/>
      <c r="H101" s="8" t="n"/>
      <c r="I101" s="8" t="n"/>
      <c r="J101" s="10">
        <f>IF(SUBSTITUTE(SUBSTITUTE(SUBSTITUTE(SUBSTITUTE(CLEAN(I101&amp;"")," ",""),".","")," ",""),"-","")="","",IF(AND(OR(LEN(SUBSTITUTE(SUBSTITUTE(SUBSTITUTE(SUBSTITUTE(CLEAN(I101&amp;"")," ",""),".","")," ",""),"-",""))=2,LEN(SUBSTITUTE(SUBSTITUTE(SUBSTITUTE(SUBSTITUTE(CLEAN(I101&amp;"")," ",""),".","")," ",""),"-",""))=4,LEN(SUBSTITUTE(SUBSTITUTE(SUBSTITUTE(SUBSTITUTE(CLEAN(I101&amp;"")," ",""),".","")," ",""),"-",""))=6,LEN(SUBSTITUTE(SUBSTITUTE(SUBSTITUTE(SUBSTITUTE(CLEAN(I101&amp;"")," ",""),".","")," ",""),"-",""))=8,LEN(SUBSTITUTE(SUBSTITUTE(SUBSTITUTE(SUBSTITUTE(CLEAN(I101&amp;"")," ",""),".","")," ",""),"-",""))=10),IFERROR(TEXT(VALUE(SUBSTITUTE(SUBSTITUTE(SUBSTITUTE(SUBSTITUTE(CLEAN(I101&amp;"")," ",""),".","")," ",""),"-","")),REPT("0",LEN(SUBSTITUTE(SUBSTITUTE(SUBSTITUTE(SUBSTITUTE(CLEAN(I101&amp;"")," ",""),".","")," ",""),"-",""))))=SUBSTITUTE(SUBSTITUTE(SUBSTITUTE(SUBSTITUTE(CLEAN(I101&amp;"")," ",""),".","")," ",""),"-",""),FALSE)),SUBSTITUTE(SUBSTITUTE(SUBSTITUTE(SUBSTITUTE(CLEAN(I101&amp;"")," ",""),".","")," ",""),"-",""),"CHECK: not 2, 4, 6, 8 or 10 digits"))</f>
        <v/>
      </c>
      <c r="K101" s="11" t="n"/>
      <c r="P101" s="8" t="n"/>
      <c r="Q101" s="8" t="n"/>
      <c r="R101" s="8" t="n"/>
      <c r="S101" s="12" t="n"/>
      <c r="T101" s="11" t="n"/>
      <c r="U101" s="11" t="n"/>
      <c r="V101" s="10">
        <f>IF(TRIM(CLEAN(SUBSTITUTE(P101&amp;""," "," ")))="","",UPPER(TRIM(CLEAN(SUBSTITUTE(P101&amp;""," "," "))))&amp;"/"&amp;UPPER(TRIM(CLEAN(SUBSTITUTE(Q101&amp;""," "," ")))))</f>
        <v/>
      </c>
      <c r="W101" s="10">
        <f>IF(V101="","",IF(UPPER(TRIM(CLEAN(SUBSTITUTE(Q101&amp;""," "," "))))&lt;&gt;UPPER(TRIM(CLEAN(SUBSTITUTE(act_Country&amp;""," "," ")))),"CHECK: import country must match B7",IF(COUNTIF(det_Key,V101)&gt;1,"CHECK: listed twice",IF(AND(UPPER(TRIM(CLEAN(SUBSTITUTE(R101&amp;""," "," "))))&lt;&gt;"",UPPER(TRIM(CLEAN(SUBSTITUTE(R101&amp;""," "," "))))&lt;&gt;"IN",UPPER(TRIM(CLEAN(SUBSTITUTE(R101&amp;""," "," "))))&lt;&gt;"OUT"),"CHECK: determination must be IN, OUT or blank",IF(AND(S101&amp;""&lt;&gt;"",NOT(ISNUMBER(S101))),"CHECK: displaced rate must be a percentage",IF(AND(UPPER(TRIM(CLEAN(SUBSTITUTE(R101&amp;""," "," "))))="",NOT(ISNUMBER(S101))),"CHECK: enter IN, OUT or a displaced rate",IF(SUMPRODUCT(--(Calc!$AL$5:$AL$254&lt;&gt;""))=0,"WAIT: Items not loaded yet",IF(COUNTIF(Calc!$AL$5:$AL$254,V101)=0,"CHECK: no Items row for this item and import country","OK"))))))))</f>
        <v/>
      </c>
    </row>
    <row r="102">
      <c r="E102" s="8" t="n"/>
      <c r="F102" s="10">
        <f>IF(SUBSTITUTE(SUBSTITUTE(SUBSTITUTE(SUBSTITUTE(CLEAN(E102&amp;"")," ",""),".","")," ",""),"-","")="","",IF(AND(OR(LEN(SUBSTITUTE(SUBSTITUTE(SUBSTITUTE(SUBSTITUTE(CLEAN(E102&amp;"")," ",""),".","")," ",""),"-",""))=2,LEN(SUBSTITUTE(SUBSTITUTE(SUBSTITUTE(SUBSTITUTE(CLEAN(E102&amp;"")," ",""),".","")," ",""),"-",""))=4,LEN(SUBSTITUTE(SUBSTITUTE(SUBSTITUTE(SUBSTITUTE(CLEAN(E102&amp;"")," ",""),".","")," ",""),"-",""))=6,LEN(SUBSTITUTE(SUBSTITUTE(SUBSTITUTE(SUBSTITUTE(CLEAN(E102&amp;"")," ",""),".","")," ",""),"-",""))=8,LEN(SUBSTITUTE(SUBSTITUTE(SUBSTITUTE(SUBSTITUTE(CLEAN(E102&amp;"")," ",""),".","")," ",""),"-",""))=10),IFERROR(TEXT(VALUE(SUBSTITUTE(SUBSTITUTE(SUBSTITUTE(SUBSTITUTE(CLEAN(E102&amp;"")," ",""),".","")," ",""),"-","")),REPT("0",LEN(SUBSTITUTE(SUBSTITUTE(SUBSTITUTE(SUBSTITUTE(CLEAN(E102&amp;"")," ",""),".","")," ",""),"-",""))))=SUBSTITUTE(SUBSTITUTE(SUBSTITUTE(SUBSTITUTE(CLEAN(E102&amp;"")," ",""),".","")," ",""),"-",""),FALSE)),SUBSTITUTE(SUBSTITUTE(SUBSTITUTE(SUBSTITUTE(CLEAN(E102&amp;"")," ",""),".","")," ",""),"-",""),"CHECK: not 2, 4, 6, 8 or 10 digits"))</f>
        <v/>
      </c>
      <c r="G102" s="11" t="n"/>
      <c r="H102" s="8" t="n"/>
      <c r="I102" s="8" t="n"/>
      <c r="J102" s="10">
        <f>IF(SUBSTITUTE(SUBSTITUTE(SUBSTITUTE(SUBSTITUTE(CLEAN(I102&amp;"")," ",""),".","")," ",""),"-","")="","",IF(AND(OR(LEN(SUBSTITUTE(SUBSTITUTE(SUBSTITUTE(SUBSTITUTE(CLEAN(I102&amp;"")," ",""),".","")," ",""),"-",""))=2,LEN(SUBSTITUTE(SUBSTITUTE(SUBSTITUTE(SUBSTITUTE(CLEAN(I102&amp;"")," ",""),".","")," ",""),"-",""))=4,LEN(SUBSTITUTE(SUBSTITUTE(SUBSTITUTE(SUBSTITUTE(CLEAN(I102&amp;"")," ",""),".","")," ",""),"-",""))=6,LEN(SUBSTITUTE(SUBSTITUTE(SUBSTITUTE(SUBSTITUTE(CLEAN(I102&amp;"")," ",""),".","")," ",""),"-",""))=8,LEN(SUBSTITUTE(SUBSTITUTE(SUBSTITUTE(SUBSTITUTE(CLEAN(I102&amp;"")," ",""),".","")," ",""),"-",""))=10),IFERROR(TEXT(VALUE(SUBSTITUTE(SUBSTITUTE(SUBSTITUTE(SUBSTITUTE(CLEAN(I102&amp;"")," ",""),".","")," ",""),"-","")),REPT("0",LEN(SUBSTITUTE(SUBSTITUTE(SUBSTITUTE(SUBSTITUTE(CLEAN(I102&amp;"")," ",""),".","")," ",""),"-",""))))=SUBSTITUTE(SUBSTITUTE(SUBSTITUTE(SUBSTITUTE(CLEAN(I102&amp;"")," ",""),".","")," ",""),"-",""),FALSE)),SUBSTITUTE(SUBSTITUTE(SUBSTITUTE(SUBSTITUTE(CLEAN(I102&amp;"")," ",""),".","")," ",""),"-",""),"CHECK: not 2, 4, 6, 8 or 10 digits"))</f>
        <v/>
      </c>
      <c r="K102" s="11" t="n"/>
      <c r="P102" s="8" t="n"/>
      <c r="Q102" s="8" t="n"/>
      <c r="R102" s="8" t="n"/>
      <c r="S102" s="12" t="n"/>
      <c r="T102" s="11" t="n"/>
      <c r="U102" s="11" t="n"/>
      <c r="V102" s="10">
        <f>IF(TRIM(CLEAN(SUBSTITUTE(P102&amp;""," "," ")))="","",UPPER(TRIM(CLEAN(SUBSTITUTE(P102&amp;""," "," "))))&amp;"/"&amp;UPPER(TRIM(CLEAN(SUBSTITUTE(Q102&amp;""," "," ")))))</f>
        <v/>
      </c>
      <c r="W102" s="10">
        <f>IF(V102="","",IF(UPPER(TRIM(CLEAN(SUBSTITUTE(Q102&amp;""," "," "))))&lt;&gt;UPPER(TRIM(CLEAN(SUBSTITUTE(act_Country&amp;""," "," ")))),"CHECK: import country must match B7",IF(COUNTIF(det_Key,V102)&gt;1,"CHECK: listed twice",IF(AND(UPPER(TRIM(CLEAN(SUBSTITUTE(R102&amp;""," "," "))))&lt;&gt;"",UPPER(TRIM(CLEAN(SUBSTITUTE(R102&amp;""," "," "))))&lt;&gt;"IN",UPPER(TRIM(CLEAN(SUBSTITUTE(R102&amp;""," "," "))))&lt;&gt;"OUT"),"CHECK: determination must be IN, OUT or blank",IF(AND(S102&amp;""&lt;&gt;"",NOT(ISNUMBER(S102))),"CHECK: displaced rate must be a percentage",IF(AND(UPPER(TRIM(CLEAN(SUBSTITUTE(R102&amp;""," "," "))))="",NOT(ISNUMBER(S102))),"CHECK: enter IN, OUT or a displaced rate",IF(SUMPRODUCT(--(Calc!$AL$5:$AL$254&lt;&gt;""))=0,"WAIT: Items not loaded yet",IF(COUNTIF(Calc!$AL$5:$AL$254,V102)=0,"CHECK: no Items row for this item and import country","OK"))))))))</f>
        <v/>
      </c>
    </row>
    <row r="103">
      <c r="E103" s="8" t="n"/>
      <c r="F103" s="10">
        <f>IF(SUBSTITUTE(SUBSTITUTE(SUBSTITUTE(SUBSTITUTE(CLEAN(E103&amp;"")," ",""),".","")," ",""),"-","")="","",IF(AND(OR(LEN(SUBSTITUTE(SUBSTITUTE(SUBSTITUTE(SUBSTITUTE(CLEAN(E103&amp;"")," ",""),".","")," ",""),"-",""))=2,LEN(SUBSTITUTE(SUBSTITUTE(SUBSTITUTE(SUBSTITUTE(CLEAN(E103&amp;"")," ",""),".","")," ",""),"-",""))=4,LEN(SUBSTITUTE(SUBSTITUTE(SUBSTITUTE(SUBSTITUTE(CLEAN(E103&amp;"")," ",""),".","")," ",""),"-",""))=6,LEN(SUBSTITUTE(SUBSTITUTE(SUBSTITUTE(SUBSTITUTE(CLEAN(E103&amp;"")," ",""),".","")," ",""),"-",""))=8,LEN(SUBSTITUTE(SUBSTITUTE(SUBSTITUTE(SUBSTITUTE(CLEAN(E103&amp;"")," ",""),".","")," ",""),"-",""))=10),IFERROR(TEXT(VALUE(SUBSTITUTE(SUBSTITUTE(SUBSTITUTE(SUBSTITUTE(CLEAN(E103&amp;"")," ",""),".","")," ",""),"-","")),REPT("0",LEN(SUBSTITUTE(SUBSTITUTE(SUBSTITUTE(SUBSTITUTE(CLEAN(E103&amp;"")," ",""),".","")," ",""),"-",""))))=SUBSTITUTE(SUBSTITUTE(SUBSTITUTE(SUBSTITUTE(CLEAN(E103&amp;"")," ",""),".","")," ",""),"-",""),FALSE)),SUBSTITUTE(SUBSTITUTE(SUBSTITUTE(SUBSTITUTE(CLEAN(E103&amp;"")," ",""),".","")," ",""),"-",""),"CHECK: not 2, 4, 6, 8 or 10 digits"))</f>
        <v/>
      </c>
      <c r="G103" s="11" t="n"/>
      <c r="H103" s="8" t="n"/>
      <c r="I103" s="8" t="n"/>
      <c r="J103" s="10">
        <f>IF(SUBSTITUTE(SUBSTITUTE(SUBSTITUTE(SUBSTITUTE(CLEAN(I103&amp;"")," ",""),".","")," ",""),"-","")="","",IF(AND(OR(LEN(SUBSTITUTE(SUBSTITUTE(SUBSTITUTE(SUBSTITUTE(CLEAN(I103&amp;"")," ",""),".","")," ",""),"-",""))=2,LEN(SUBSTITUTE(SUBSTITUTE(SUBSTITUTE(SUBSTITUTE(CLEAN(I103&amp;"")," ",""),".","")," ",""),"-",""))=4,LEN(SUBSTITUTE(SUBSTITUTE(SUBSTITUTE(SUBSTITUTE(CLEAN(I103&amp;"")," ",""),".","")," ",""),"-",""))=6,LEN(SUBSTITUTE(SUBSTITUTE(SUBSTITUTE(SUBSTITUTE(CLEAN(I103&amp;"")," ",""),".","")," ",""),"-",""))=8,LEN(SUBSTITUTE(SUBSTITUTE(SUBSTITUTE(SUBSTITUTE(CLEAN(I103&amp;"")," ",""),".","")," ",""),"-",""))=10),IFERROR(TEXT(VALUE(SUBSTITUTE(SUBSTITUTE(SUBSTITUTE(SUBSTITUTE(CLEAN(I103&amp;"")," ",""),".","")," ",""),"-","")),REPT("0",LEN(SUBSTITUTE(SUBSTITUTE(SUBSTITUTE(SUBSTITUTE(CLEAN(I103&amp;"")," ",""),".","")," ",""),"-",""))))=SUBSTITUTE(SUBSTITUTE(SUBSTITUTE(SUBSTITUTE(CLEAN(I103&amp;"")," ",""),".","")," ",""),"-",""),FALSE)),SUBSTITUTE(SUBSTITUTE(SUBSTITUTE(SUBSTITUTE(CLEAN(I103&amp;"")," ",""),".","")," ",""),"-",""),"CHECK: not 2, 4, 6, 8 or 10 digits"))</f>
        <v/>
      </c>
      <c r="K103" s="11" t="n"/>
      <c r="P103" s="8" t="n"/>
      <c r="Q103" s="8" t="n"/>
      <c r="R103" s="8" t="n"/>
      <c r="S103" s="12" t="n"/>
      <c r="T103" s="11" t="n"/>
      <c r="U103" s="11" t="n"/>
      <c r="V103" s="10">
        <f>IF(TRIM(CLEAN(SUBSTITUTE(P103&amp;""," "," ")))="","",UPPER(TRIM(CLEAN(SUBSTITUTE(P103&amp;""," "," "))))&amp;"/"&amp;UPPER(TRIM(CLEAN(SUBSTITUTE(Q103&amp;""," "," ")))))</f>
        <v/>
      </c>
      <c r="W103" s="10">
        <f>IF(V103="","",IF(UPPER(TRIM(CLEAN(SUBSTITUTE(Q103&amp;""," "," "))))&lt;&gt;UPPER(TRIM(CLEAN(SUBSTITUTE(act_Country&amp;""," "," ")))),"CHECK: import country must match B7",IF(COUNTIF(det_Key,V103)&gt;1,"CHECK: listed twice",IF(AND(UPPER(TRIM(CLEAN(SUBSTITUTE(R103&amp;""," "," "))))&lt;&gt;"",UPPER(TRIM(CLEAN(SUBSTITUTE(R103&amp;""," "," "))))&lt;&gt;"IN",UPPER(TRIM(CLEAN(SUBSTITUTE(R103&amp;""," "," "))))&lt;&gt;"OUT"),"CHECK: determination must be IN, OUT or blank",IF(AND(S103&amp;""&lt;&gt;"",NOT(ISNUMBER(S103))),"CHECK: displaced rate must be a percentage",IF(AND(UPPER(TRIM(CLEAN(SUBSTITUTE(R103&amp;""," "," "))))="",NOT(ISNUMBER(S103))),"CHECK: enter IN, OUT or a displaced rate",IF(SUMPRODUCT(--(Calc!$AL$5:$AL$254&lt;&gt;""))=0,"WAIT: Items not loaded yet",IF(COUNTIF(Calc!$AL$5:$AL$254,V103)=0,"CHECK: no Items row for this item and import country","OK"))))))))</f>
        <v/>
      </c>
    </row>
    <row r="104">
      <c r="E104" s="8" t="n"/>
      <c r="F104" s="10">
        <f>IF(SUBSTITUTE(SUBSTITUTE(SUBSTITUTE(SUBSTITUTE(CLEAN(E104&amp;"")," ",""),".","")," ",""),"-","")="","",IF(AND(OR(LEN(SUBSTITUTE(SUBSTITUTE(SUBSTITUTE(SUBSTITUTE(CLEAN(E104&amp;"")," ",""),".","")," ",""),"-",""))=2,LEN(SUBSTITUTE(SUBSTITUTE(SUBSTITUTE(SUBSTITUTE(CLEAN(E104&amp;"")," ",""),".","")," ",""),"-",""))=4,LEN(SUBSTITUTE(SUBSTITUTE(SUBSTITUTE(SUBSTITUTE(CLEAN(E104&amp;"")," ",""),".","")," ",""),"-",""))=6,LEN(SUBSTITUTE(SUBSTITUTE(SUBSTITUTE(SUBSTITUTE(CLEAN(E104&amp;"")," ",""),".","")," ",""),"-",""))=8,LEN(SUBSTITUTE(SUBSTITUTE(SUBSTITUTE(SUBSTITUTE(CLEAN(E104&amp;"")," ",""),".","")," ",""),"-",""))=10),IFERROR(TEXT(VALUE(SUBSTITUTE(SUBSTITUTE(SUBSTITUTE(SUBSTITUTE(CLEAN(E104&amp;"")," ",""),".","")," ",""),"-","")),REPT("0",LEN(SUBSTITUTE(SUBSTITUTE(SUBSTITUTE(SUBSTITUTE(CLEAN(E104&amp;"")," ",""),".","")," ",""),"-",""))))=SUBSTITUTE(SUBSTITUTE(SUBSTITUTE(SUBSTITUTE(CLEAN(E104&amp;"")," ",""),".","")," ",""),"-",""),FALSE)),SUBSTITUTE(SUBSTITUTE(SUBSTITUTE(SUBSTITUTE(CLEAN(E104&amp;"")," ",""),".","")," ",""),"-",""),"CHECK: not 2, 4, 6, 8 or 10 digits"))</f>
        <v/>
      </c>
      <c r="G104" s="11" t="n"/>
      <c r="H104" s="8" t="n"/>
      <c r="I104" s="8" t="n"/>
      <c r="J104" s="10">
        <f>IF(SUBSTITUTE(SUBSTITUTE(SUBSTITUTE(SUBSTITUTE(CLEAN(I104&amp;"")," ",""),".","")," ",""),"-","")="","",IF(AND(OR(LEN(SUBSTITUTE(SUBSTITUTE(SUBSTITUTE(SUBSTITUTE(CLEAN(I104&amp;"")," ",""),".","")," ",""),"-",""))=2,LEN(SUBSTITUTE(SUBSTITUTE(SUBSTITUTE(SUBSTITUTE(CLEAN(I104&amp;"")," ",""),".","")," ",""),"-",""))=4,LEN(SUBSTITUTE(SUBSTITUTE(SUBSTITUTE(SUBSTITUTE(CLEAN(I104&amp;"")," ",""),".","")," ",""),"-",""))=6,LEN(SUBSTITUTE(SUBSTITUTE(SUBSTITUTE(SUBSTITUTE(CLEAN(I104&amp;"")," ",""),".","")," ",""),"-",""))=8,LEN(SUBSTITUTE(SUBSTITUTE(SUBSTITUTE(SUBSTITUTE(CLEAN(I104&amp;"")," ",""),".","")," ",""),"-",""))=10),IFERROR(TEXT(VALUE(SUBSTITUTE(SUBSTITUTE(SUBSTITUTE(SUBSTITUTE(CLEAN(I104&amp;"")," ",""),".","")," ",""),"-","")),REPT("0",LEN(SUBSTITUTE(SUBSTITUTE(SUBSTITUTE(SUBSTITUTE(CLEAN(I104&amp;"")," ",""),".","")," ",""),"-",""))))=SUBSTITUTE(SUBSTITUTE(SUBSTITUTE(SUBSTITUTE(CLEAN(I104&amp;"")," ",""),".","")," ",""),"-",""),FALSE)),SUBSTITUTE(SUBSTITUTE(SUBSTITUTE(SUBSTITUTE(CLEAN(I104&amp;"")," ",""),".","")," ",""),"-",""),"CHECK: not 2, 4, 6, 8 or 10 digits"))</f>
        <v/>
      </c>
      <c r="K104" s="11" t="n"/>
      <c r="P104" s="8" t="n"/>
      <c r="Q104" s="8" t="n"/>
      <c r="R104" s="8" t="n"/>
      <c r="S104" s="12" t="n"/>
      <c r="T104" s="11" t="n"/>
      <c r="U104" s="11" t="n"/>
      <c r="V104" s="10">
        <f>IF(TRIM(CLEAN(SUBSTITUTE(P104&amp;""," "," ")))="","",UPPER(TRIM(CLEAN(SUBSTITUTE(P104&amp;""," "," "))))&amp;"/"&amp;UPPER(TRIM(CLEAN(SUBSTITUTE(Q104&amp;""," "," ")))))</f>
        <v/>
      </c>
      <c r="W104" s="10">
        <f>IF(V104="","",IF(UPPER(TRIM(CLEAN(SUBSTITUTE(Q104&amp;""," "," "))))&lt;&gt;UPPER(TRIM(CLEAN(SUBSTITUTE(act_Country&amp;""," "," ")))),"CHECK: import country must match B7",IF(COUNTIF(det_Key,V104)&gt;1,"CHECK: listed twice",IF(AND(UPPER(TRIM(CLEAN(SUBSTITUTE(R104&amp;""," "," "))))&lt;&gt;"",UPPER(TRIM(CLEAN(SUBSTITUTE(R104&amp;""," "," "))))&lt;&gt;"IN",UPPER(TRIM(CLEAN(SUBSTITUTE(R104&amp;""," "," "))))&lt;&gt;"OUT"),"CHECK: determination must be IN, OUT or blank",IF(AND(S104&amp;""&lt;&gt;"",NOT(ISNUMBER(S104))),"CHECK: displaced rate must be a percentage",IF(AND(UPPER(TRIM(CLEAN(SUBSTITUTE(R104&amp;""," "," "))))="",NOT(ISNUMBER(S104))),"CHECK: enter IN, OUT or a displaced rate",IF(SUMPRODUCT(--(Calc!$AL$5:$AL$254&lt;&gt;""))=0,"WAIT: Items not loaded yet",IF(COUNTIF(Calc!$AL$5:$AL$254,V104)=0,"CHECK: no Items row for this item and import country","OK"))))))))</f>
        <v/>
      </c>
    </row>
    <row r="105">
      <c r="E105" s="8" t="n"/>
      <c r="F105" s="10">
        <f>IF(SUBSTITUTE(SUBSTITUTE(SUBSTITUTE(SUBSTITUTE(CLEAN(E105&amp;"")," ",""),".","")," ",""),"-","")="","",IF(AND(OR(LEN(SUBSTITUTE(SUBSTITUTE(SUBSTITUTE(SUBSTITUTE(CLEAN(E105&amp;"")," ",""),".","")," ",""),"-",""))=2,LEN(SUBSTITUTE(SUBSTITUTE(SUBSTITUTE(SUBSTITUTE(CLEAN(E105&amp;"")," ",""),".","")," ",""),"-",""))=4,LEN(SUBSTITUTE(SUBSTITUTE(SUBSTITUTE(SUBSTITUTE(CLEAN(E105&amp;"")," ",""),".","")," ",""),"-",""))=6,LEN(SUBSTITUTE(SUBSTITUTE(SUBSTITUTE(SUBSTITUTE(CLEAN(E105&amp;"")," ",""),".","")," ",""),"-",""))=8,LEN(SUBSTITUTE(SUBSTITUTE(SUBSTITUTE(SUBSTITUTE(CLEAN(E105&amp;"")," ",""),".","")," ",""),"-",""))=10),IFERROR(TEXT(VALUE(SUBSTITUTE(SUBSTITUTE(SUBSTITUTE(SUBSTITUTE(CLEAN(E105&amp;"")," ",""),".","")," ",""),"-","")),REPT("0",LEN(SUBSTITUTE(SUBSTITUTE(SUBSTITUTE(SUBSTITUTE(CLEAN(E105&amp;"")," ",""),".","")," ",""),"-",""))))=SUBSTITUTE(SUBSTITUTE(SUBSTITUTE(SUBSTITUTE(CLEAN(E105&amp;"")," ",""),".","")," ",""),"-",""),FALSE)),SUBSTITUTE(SUBSTITUTE(SUBSTITUTE(SUBSTITUTE(CLEAN(E105&amp;"")," ",""),".","")," ",""),"-",""),"CHECK: not 2, 4, 6, 8 or 10 digits"))</f>
        <v/>
      </c>
      <c r="G105" s="11" t="n"/>
      <c r="H105" s="8" t="n"/>
      <c r="I105" s="8" t="n"/>
      <c r="J105" s="10">
        <f>IF(SUBSTITUTE(SUBSTITUTE(SUBSTITUTE(SUBSTITUTE(CLEAN(I105&amp;"")," ",""),".","")," ",""),"-","")="","",IF(AND(OR(LEN(SUBSTITUTE(SUBSTITUTE(SUBSTITUTE(SUBSTITUTE(CLEAN(I105&amp;"")," ",""),".","")," ",""),"-",""))=2,LEN(SUBSTITUTE(SUBSTITUTE(SUBSTITUTE(SUBSTITUTE(CLEAN(I105&amp;"")," ",""),".","")," ",""),"-",""))=4,LEN(SUBSTITUTE(SUBSTITUTE(SUBSTITUTE(SUBSTITUTE(CLEAN(I105&amp;"")," ",""),".","")," ",""),"-",""))=6,LEN(SUBSTITUTE(SUBSTITUTE(SUBSTITUTE(SUBSTITUTE(CLEAN(I105&amp;"")," ",""),".","")," ",""),"-",""))=8,LEN(SUBSTITUTE(SUBSTITUTE(SUBSTITUTE(SUBSTITUTE(CLEAN(I105&amp;"")," ",""),".","")," ",""),"-",""))=10),IFERROR(TEXT(VALUE(SUBSTITUTE(SUBSTITUTE(SUBSTITUTE(SUBSTITUTE(CLEAN(I105&amp;"")," ",""),".","")," ",""),"-","")),REPT("0",LEN(SUBSTITUTE(SUBSTITUTE(SUBSTITUTE(SUBSTITUTE(CLEAN(I105&amp;"")," ",""),".","")," ",""),"-",""))))=SUBSTITUTE(SUBSTITUTE(SUBSTITUTE(SUBSTITUTE(CLEAN(I105&amp;"")," ",""),".","")," ",""),"-",""),FALSE)),SUBSTITUTE(SUBSTITUTE(SUBSTITUTE(SUBSTITUTE(CLEAN(I105&amp;"")," ",""),".","")," ",""),"-",""),"CHECK: not 2, 4, 6, 8 or 10 digits"))</f>
        <v/>
      </c>
      <c r="K105" s="11" t="n"/>
    </row>
    <row r="106">
      <c r="E106" s="8" t="n"/>
      <c r="F106" s="10">
        <f>IF(SUBSTITUTE(SUBSTITUTE(SUBSTITUTE(SUBSTITUTE(CLEAN(E106&amp;"")," ",""),".","")," ",""),"-","")="","",IF(AND(OR(LEN(SUBSTITUTE(SUBSTITUTE(SUBSTITUTE(SUBSTITUTE(CLEAN(E106&amp;"")," ",""),".","")," ",""),"-",""))=2,LEN(SUBSTITUTE(SUBSTITUTE(SUBSTITUTE(SUBSTITUTE(CLEAN(E106&amp;"")," ",""),".","")," ",""),"-",""))=4,LEN(SUBSTITUTE(SUBSTITUTE(SUBSTITUTE(SUBSTITUTE(CLEAN(E106&amp;"")," ",""),".","")," ",""),"-",""))=6,LEN(SUBSTITUTE(SUBSTITUTE(SUBSTITUTE(SUBSTITUTE(CLEAN(E106&amp;"")," ",""),".","")," ",""),"-",""))=8,LEN(SUBSTITUTE(SUBSTITUTE(SUBSTITUTE(SUBSTITUTE(CLEAN(E106&amp;"")," ",""),".","")," ",""),"-",""))=10),IFERROR(TEXT(VALUE(SUBSTITUTE(SUBSTITUTE(SUBSTITUTE(SUBSTITUTE(CLEAN(E106&amp;"")," ",""),".","")," ",""),"-","")),REPT("0",LEN(SUBSTITUTE(SUBSTITUTE(SUBSTITUTE(SUBSTITUTE(CLEAN(E106&amp;"")," ",""),".","")," ",""),"-",""))))=SUBSTITUTE(SUBSTITUTE(SUBSTITUTE(SUBSTITUTE(CLEAN(E106&amp;"")," ",""),".","")," ",""),"-",""),FALSE)),SUBSTITUTE(SUBSTITUTE(SUBSTITUTE(SUBSTITUTE(CLEAN(E106&amp;"")," ",""),".","")," ",""),"-",""),"CHECK: not 2, 4, 6, 8 or 10 digits"))</f>
        <v/>
      </c>
      <c r="G106" s="11" t="n"/>
      <c r="H106" s="8" t="n"/>
      <c r="I106" s="8" t="n"/>
      <c r="J106" s="10">
        <f>IF(SUBSTITUTE(SUBSTITUTE(SUBSTITUTE(SUBSTITUTE(CLEAN(I106&amp;"")," ",""),".","")," ",""),"-","")="","",IF(AND(OR(LEN(SUBSTITUTE(SUBSTITUTE(SUBSTITUTE(SUBSTITUTE(CLEAN(I106&amp;"")," ",""),".","")," ",""),"-",""))=2,LEN(SUBSTITUTE(SUBSTITUTE(SUBSTITUTE(SUBSTITUTE(CLEAN(I106&amp;"")," ",""),".","")," ",""),"-",""))=4,LEN(SUBSTITUTE(SUBSTITUTE(SUBSTITUTE(SUBSTITUTE(CLEAN(I106&amp;"")," ",""),".","")," ",""),"-",""))=6,LEN(SUBSTITUTE(SUBSTITUTE(SUBSTITUTE(SUBSTITUTE(CLEAN(I106&amp;"")," ",""),".","")," ",""),"-",""))=8,LEN(SUBSTITUTE(SUBSTITUTE(SUBSTITUTE(SUBSTITUTE(CLEAN(I106&amp;"")," ",""),".","")," ",""),"-",""))=10),IFERROR(TEXT(VALUE(SUBSTITUTE(SUBSTITUTE(SUBSTITUTE(SUBSTITUTE(CLEAN(I106&amp;"")," ",""),".","")," ",""),"-","")),REPT("0",LEN(SUBSTITUTE(SUBSTITUTE(SUBSTITUTE(SUBSTITUTE(CLEAN(I106&amp;"")," ",""),".","")," ",""),"-",""))))=SUBSTITUTE(SUBSTITUTE(SUBSTITUTE(SUBSTITUTE(CLEAN(I106&amp;"")," ",""),".","")," ",""),"-",""),FALSE)),SUBSTITUTE(SUBSTITUTE(SUBSTITUTE(SUBSTITUTE(CLEAN(I106&amp;"")," ",""),".","")," ",""),"-",""),"CHECK: not 2, 4, 6, 8 or 10 digits"))</f>
        <v/>
      </c>
      <c r="K106" s="11" t="n"/>
    </row>
    <row r="107">
      <c r="E107" s="8" t="n"/>
      <c r="F107" s="10">
        <f>IF(SUBSTITUTE(SUBSTITUTE(SUBSTITUTE(SUBSTITUTE(CLEAN(E107&amp;"")," ",""),".","")," ",""),"-","")="","",IF(AND(OR(LEN(SUBSTITUTE(SUBSTITUTE(SUBSTITUTE(SUBSTITUTE(CLEAN(E107&amp;"")," ",""),".","")," ",""),"-",""))=2,LEN(SUBSTITUTE(SUBSTITUTE(SUBSTITUTE(SUBSTITUTE(CLEAN(E107&amp;"")," ",""),".","")," ",""),"-",""))=4,LEN(SUBSTITUTE(SUBSTITUTE(SUBSTITUTE(SUBSTITUTE(CLEAN(E107&amp;"")," ",""),".","")," ",""),"-",""))=6,LEN(SUBSTITUTE(SUBSTITUTE(SUBSTITUTE(SUBSTITUTE(CLEAN(E107&amp;"")," ",""),".","")," ",""),"-",""))=8,LEN(SUBSTITUTE(SUBSTITUTE(SUBSTITUTE(SUBSTITUTE(CLEAN(E107&amp;"")," ",""),".","")," ",""),"-",""))=10),IFERROR(TEXT(VALUE(SUBSTITUTE(SUBSTITUTE(SUBSTITUTE(SUBSTITUTE(CLEAN(E107&amp;"")," ",""),".","")," ",""),"-","")),REPT("0",LEN(SUBSTITUTE(SUBSTITUTE(SUBSTITUTE(SUBSTITUTE(CLEAN(E107&amp;"")," ",""),".","")," ",""),"-",""))))=SUBSTITUTE(SUBSTITUTE(SUBSTITUTE(SUBSTITUTE(CLEAN(E107&amp;"")," ",""),".","")," ",""),"-",""),FALSE)),SUBSTITUTE(SUBSTITUTE(SUBSTITUTE(SUBSTITUTE(CLEAN(E107&amp;"")," ",""),".","")," ",""),"-",""),"CHECK: not 2, 4, 6, 8 or 10 digits"))</f>
        <v/>
      </c>
      <c r="G107" s="11" t="n"/>
      <c r="H107" s="8" t="n"/>
      <c r="I107" s="8" t="n"/>
      <c r="J107" s="10">
        <f>IF(SUBSTITUTE(SUBSTITUTE(SUBSTITUTE(SUBSTITUTE(CLEAN(I107&amp;"")," ",""),".","")," ",""),"-","")="","",IF(AND(OR(LEN(SUBSTITUTE(SUBSTITUTE(SUBSTITUTE(SUBSTITUTE(CLEAN(I107&amp;"")," ",""),".","")," ",""),"-",""))=2,LEN(SUBSTITUTE(SUBSTITUTE(SUBSTITUTE(SUBSTITUTE(CLEAN(I107&amp;"")," ",""),".","")," ",""),"-",""))=4,LEN(SUBSTITUTE(SUBSTITUTE(SUBSTITUTE(SUBSTITUTE(CLEAN(I107&amp;"")," ",""),".","")," ",""),"-",""))=6,LEN(SUBSTITUTE(SUBSTITUTE(SUBSTITUTE(SUBSTITUTE(CLEAN(I107&amp;"")," ",""),".","")," ",""),"-",""))=8,LEN(SUBSTITUTE(SUBSTITUTE(SUBSTITUTE(SUBSTITUTE(CLEAN(I107&amp;"")," ",""),".","")," ",""),"-",""))=10),IFERROR(TEXT(VALUE(SUBSTITUTE(SUBSTITUTE(SUBSTITUTE(SUBSTITUTE(CLEAN(I107&amp;"")," ",""),".","")," ",""),"-","")),REPT("0",LEN(SUBSTITUTE(SUBSTITUTE(SUBSTITUTE(SUBSTITUTE(CLEAN(I107&amp;"")," ",""),".","")," ",""),"-",""))))=SUBSTITUTE(SUBSTITUTE(SUBSTITUTE(SUBSTITUTE(CLEAN(I107&amp;"")," ",""),".","")," ",""),"-",""),FALSE)),SUBSTITUTE(SUBSTITUTE(SUBSTITUTE(SUBSTITUTE(CLEAN(I107&amp;"")," ",""),".","")," ",""),"-",""),"CHECK: not 2, 4, 6, 8 or 10 digits"))</f>
        <v/>
      </c>
      <c r="K107" s="11" t="n"/>
    </row>
    <row r="108">
      <c r="E108" s="8" t="n"/>
      <c r="F108" s="10">
        <f>IF(SUBSTITUTE(SUBSTITUTE(SUBSTITUTE(SUBSTITUTE(CLEAN(E108&amp;"")," ",""),".","")," ",""),"-","")="","",IF(AND(OR(LEN(SUBSTITUTE(SUBSTITUTE(SUBSTITUTE(SUBSTITUTE(CLEAN(E108&amp;"")," ",""),".","")," ",""),"-",""))=2,LEN(SUBSTITUTE(SUBSTITUTE(SUBSTITUTE(SUBSTITUTE(CLEAN(E108&amp;"")," ",""),".","")," ",""),"-",""))=4,LEN(SUBSTITUTE(SUBSTITUTE(SUBSTITUTE(SUBSTITUTE(CLEAN(E108&amp;"")," ",""),".","")," ",""),"-",""))=6,LEN(SUBSTITUTE(SUBSTITUTE(SUBSTITUTE(SUBSTITUTE(CLEAN(E108&amp;"")," ",""),".","")," ",""),"-",""))=8,LEN(SUBSTITUTE(SUBSTITUTE(SUBSTITUTE(SUBSTITUTE(CLEAN(E108&amp;"")," ",""),".","")," ",""),"-",""))=10),IFERROR(TEXT(VALUE(SUBSTITUTE(SUBSTITUTE(SUBSTITUTE(SUBSTITUTE(CLEAN(E108&amp;"")," ",""),".","")," ",""),"-","")),REPT("0",LEN(SUBSTITUTE(SUBSTITUTE(SUBSTITUTE(SUBSTITUTE(CLEAN(E108&amp;"")," ",""),".","")," ",""),"-",""))))=SUBSTITUTE(SUBSTITUTE(SUBSTITUTE(SUBSTITUTE(CLEAN(E108&amp;"")," ",""),".","")," ",""),"-",""),FALSE)),SUBSTITUTE(SUBSTITUTE(SUBSTITUTE(SUBSTITUTE(CLEAN(E108&amp;"")," ",""),".","")," ",""),"-",""),"CHECK: not 2, 4, 6, 8 or 10 digits"))</f>
        <v/>
      </c>
      <c r="G108" s="11" t="n"/>
      <c r="H108" s="8" t="n"/>
      <c r="I108" s="8" t="n"/>
      <c r="J108" s="10">
        <f>IF(SUBSTITUTE(SUBSTITUTE(SUBSTITUTE(SUBSTITUTE(CLEAN(I108&amp;"")," ",""),".","")," ",""),"-","")="","",IF(AND(OR(LEN(SUBSTITUTE(SUBSTITUTE(SUBSTITUTE(SUBSTITUTE(CLEAN(I108&amp;"")," ",""),".","")," ",""),"-",""))=2,LEN(SUBSTITUTE(SUBSTITUTE(SUBSTITUTE(SUBSTITUTE(CLEAN(I108&amp;"")," ",""),".","")," ",""),"-",""))=4,LEN(SUBSTITUTE(SUBSTITUTE(SUBSTITUTE(SUBSTITUTE(CLEAN(I108&amp;"")," ",""),".","")," ",""),"-",""))=6,LEN(SUBSTITUTE(SUBSTITUTE(SUBSTITUTE(SUBSTITUTE(CLEAN(I108&amp;"")," ",""),".","")," ",""),"-",""))=8,LEN(SUBSTITUTE(SUBSTITUTE(SUBSTITUTE(SUBSTITUTE(CLEAN(I108&amp;"")," ",""),".","")," ",""),"-",""))=10),IFERROR(TEXT(VALUE(SUBSTITUTE(SUBSTITUTE(SUBSTITUTE(SUBSTITUTE(CLEAN(I108&amp;"")," ",""),".","")," ",""),"-","")),REPT("0",LEN(SUBSTITUTE(SUBSTITUTE(SUBSTITUTE(SUBSTITUTE(CLEAN(I108&amp;"")," ",""),".","")," ",""),"-",""))))=SUBSTITUTE(SUBSTITUTE(SUBSTITUTE(SUBSTITUTE(CLEAN(I108&amp;"")," ",""),".","")," ",""),"-",""),FALSE)),SUBSTITUTE(SUBSTITUTE(SUBSTITUTE(SUBSTITUTE(CLEAN(I108&amp;"")," ",""),".","")," ",""),"-",""),"CHECK: not 2, 4, 6, 8 or 10 digits"))</f>
        <v/>
      </c>
      <c r="K108" s="11" t="n"/>
    </row>
    <row r="109">
      <c r="E109" s="8" t="n"/>
      <c r="F109" s="10">
        <f>IF(SUBSTITUTE(SUBSTITUTE(SUBSTITUTE(SUBSTITUTE(CLEAN(E109&amp;"")," ",""),".","")," ",""),"-","")="","",IF(AND(OR(LEN(SUBSTITUTE(SUBSTITUTE(SUBSTITUTE(SUBSTITUTE(CLEAN(E109&amp;"")," ",""),".","")," ",""),"-",""))=2,LEN(SUBSTITUTE(SUBSTITUTE(SUBSTITUTE(SUBSTITUTE(CLEAN(E109&amp;"")," ",""),".","")," ",""),"-",""))=4,LEN(SUBSTITUTE(SUBSTITUTE(SUBSTITUTE(SUBSTITUTE(CLEAN(E109&amp;"")," ",""),".","")," ",""),"-",""))=6,LEN(SUBSTITUTE(SUBSTITUTE(SUBSTITUTE(SUBSTITUTE(CLEAN(E109&amp;"")," ",""),".","")," ",""),"-",""))=8,LEN(SUBSTITUTE(SUBSTITUTE(SUBSTITUTE(SUBSTITUTE(CLEAN(E109&amp;"")," ",""),".","")," ",""),"-",""))=10),IFERROR(TEXT(VALUE(SUBSTITUTE(SUBSTITUTE(SUBSTITUTE(SUBSTITUTE(CLEAN(E109&amp;"")," ",""),".","")," ",""),"-","")),REPT("0",LEN(SUBSTITUTE(SUBSTITUTE(SUBSTITUTE(SUBSTITUTE(CLEAN(E109&amp;"")," ",""),".","")," ",""),"-",""))))=SUBSTITUTE(SUBSTITUTE(SUBSTITUTE(SUBSTITUTE(CLEAN(E109&amp;"")," ",""),".","")," ",""),"-",""),FALSE)),SUBSTITUTE(SUBSTITUTE(SUBSTITUTE(SUBSTITUTE(CLEAN(E109&amp;"")," ",""),".","")," ",""),"-",""),"CHECK: not 2, 4, 6, 8 or 10 digits"))</f>
        <v/>
      </c>
      <c r="G109" s="11" t="n"/>
      <c r="H109" s="8" t="n"/>
      <c r="I109" s="8" t="n"/>
      <c r="J109" s="10">
        <f>IF(SUBSTITUTE(SUBSTITUTE(SUBSTITUTE(SUBSTITUTE(CLEAN(I109&amp;"")," ",""),".","")," ",""),"-","")="","",IF(AND(OR(LEN(SUBSTITUTE(SUBSTITUTE(SUBSTITUTE(SUBSTITUTE(CLEAN(I109&amp;"")," ",""),".","")," ",""),"-",""))=2,LEN(SUBSTITUTE(SUBSTITUTE(SUBSTITUTE(SUBSTITUTE(CLEAN(I109&amp;"")," ",""),".","")," ",""),"-",""))=4,LEN(SUBSTITUTE(SUBSTITUTE(SUBSTITUTE(SUBSTITUTE(CLEAN(I109&amp;"")," ",""),".","")," ",""),"-",""))=6,LEN(SUBSTITUTE(SUBSTITUTE(SUBSTITUTE(SUBSTITUTE(CLEAN(I109&amp;"")," ",""),".","")," ",""),"-",""))=8,LEN(SUBSTITUTE(SUBSTITUTE(SUBSTITUTE(SUBSTITUTE(CLEAN(I109&amp;"")," ",""),".","")," ",""),"-",""))=10),IFERROR(TEXT(VALUE(SUBSTITUTE(SUBSTITUTE(SUBSTITUTE(SUBSTITUTE(CLEAN(I109&amp;"")," ",""),".","")," ",""),"-","")),REPT("0",LEN(SUBSTITUTE(SUBSTITUTE(SUBSTITUTE(SUBSTITUTE(CLEAN(I109&amp;"")," ",""),".","")," ",""),"-",""))))=SUBSTITUTE(SUBSTITUTE(SUBSTITUTE(SUBSTITUTE(CLEAN(I109&amp;"")," ",""),".","")," ",""),"-",""),FALSE)),SUBSTITUTE(SUBSTITUTE(SUBSTITUTE(SUBSTITUTE(CLEAN(I109&amp;"")," ",""),".","")," ",""),"-",""),"CHECK: not 2, 4, 6, 8 or 10 digits"))</f>
        <v/>
      </c>
      <c r="K109" s="11" t="n"/>
    </row>
    <row r="110">
      <c r="E110" s="8" t="n"/>
      <c r="F110" s="10">
        <f>IF(SUBSTITUTE(SUBSTITUTE(SUBSTITUTE(SUBSTITUTE(CLEAN(E110&amp;"")," ",""),".","")," ",""),"-","")="","",IF(AND(OR(LEN(SUBSTITUTE(SUBSTITUTE(SUBSTITUTE(SUBSTITUTE(CLEAN(E110&amp;"")," ",""),".","")," ",""),"-",""))=2,LEN(SUBSTITUTE(SUBSTITUTE(SUBSTITUTE(SUBSTITUTE(CLEAN(E110&amp;"")," ",""),".","")," ",""),"-",""))=4,LEN(SUBSTITUTE(SUBSTITUTE(SUBSTITUTE(SUBSTITUTE(CLEAN(E110&amp;"")," ",""),".","")," ",""),"-",""))=6,LEN(SUBSTITUTE(SUBSTITUTE(SUBSTITUTE(SUBSTITUTE(CLEAN(E110&amp;"")," ",""),".","")," ",""),"-",""))=8,LEN(SUBSTITUTE(SUBSTITUTE(SUBSTITUTE(SUBSTITUTE(CLEAN(E110&amp;"")," ",""),".","")," ",""),"-",""))=10),IFERROR(TEXT(VALUE(SUBSTITUTE(SUBSTITUTE(SUBSTITUTE(SUBSTITUTE(CLEAN(E110&amp;"")," ",""),".","")," ",""),"-","")),REPT("0",LEN(SUBSTITUTE(SUBSTITUTE(SUBSTITUTE(SUBSTITUTE(CLEAN(E110&amp;"")," ",""),".","")," ",""),"-",""))))=SUBSTITUTE(SUBSTITUTE(SUBSTITUTE(SUBSTITUTE(CLEAN(E110&amp;"")," ",""),".","")," ",""),"-",""),FALSE)),SUBSTITUTE(SUBSTITUTE(SUBSTITUTE(SUBSTITUTE(CLEAN(E110&amp;"")," ",""),".","")," ",""),"-",""),"CHECK: not 2, 4, 6, 8 or 10 digits"))</f>
        <v/>
      </c>
      <c r="G110" s="11" t="n"/>
      <c r="H110" s="8" t="n"/>
      <c r="I110" s="8" t="n"/>
      <c r="J110" s="10">
        <f>IF(SUBSTITUTE(SUBSTITUTE(SUBSTITUTE(SUBSTITUTE(CLEAN(I110&amp;"")," ",""),".","")," ",""),"-","")="","",IF(AND(OR(LEN(SUBSTITUTE(SUBSTITUTE(SUBSTITUTE(SUBSTITUTE(CLEAN(I110&amp;"")," ",""),".","")," ",""),"-",""))=2,LEN(SUBSTITUTE(SUBSTITUTE(SUBSTITUTE(SUBSTITUTE(CLEAN(I110&amp;"")," ",""),".","")," ",""),"-",""))=4,LEN(SUBSTITUTE(SUBSTITUTE(SUBSTITUTE(SUBSTITUTE(CLEAN(I110&amp;"")," ",""),".","")," ",""),"-",""))=6,LEN(SUBSTITUTE(SUBSTITUTE(SUBSTITUTE(SUBSTITUTE(CLEAN(I110&amp;"")," ",""),".","")," ",""),"-",""))=8,LEN(SUBSTITUTE(SUBSTITUTE(SUBSTITUTE(SUBSTITUTE(CLEAN(I110&amp;"")," ",""),".","")," ",""),"-",""))=10),IFERROR(TEXT(VALUE(SUBSTITUTE(SUBSTITUTE(SUBSTITUTE(SUBSTITUTE(CLEAN(I110&amp;"")," ",""),".","")," ",""),"-","")),REPT("0",LEN(SUBSTITUTE(SUBSTITUTE(SUBSTITUTE(SUBSTITUTE(CLEAN(I110&amp;"")," ",""),".","")," ",""),"-",""))))=SUBSTITUTE(SUBSTITUTE(SUBSTITUTE(SUBSTITUTE(CLEAN(I110&amp;"")," ",""),".","")," ",""),"-",""),FALSE)),SUBSTITUTE(SUBSTITUTE(SUBSTITUTE(SUBSTITUTE(CLEAN(I110&amp;"")," ",""),".","")," ",""),"-",""),"CHECK: not 2, 4, 6, 8 or 10 digits"))</f>
        <v/>
      </c>
      <c r="K110" s="11" t="n"/>
    </row>
    <row r="111">
      <c r="E111" s="8" t="n"/>
      <c r="F111" s="10">
        <f>IF(SUBSTITUTE(SUBSTITUTE(SUBSTITUTE(SUBSTITUTE(CLEAN(E111&amp;"")," ",""),".","")," ",""),"-","")="","",IF(AND(OR(LEN(SUBSTITUTE(SUBSTITUTE(SUBSTITUTE(SUBSTITUTE(CLEAN(E111&amp;"")," ",""),".","")," ",""),"-",""))=2,LEN(SUBSTITUTE(SUBSTITUTE(SUBSTITUTE(SUBSTITUTE(CLEAN(E111&amp;"")," ",""),".","")," ",""),"-",""))=4,LEN(SUBSTITUTE(SUBSTITUTE(SUBSTITUTE(SUBSTITUTE(CLEAN(E111&amp;"")," ",""),".","")," ",""),"-",""))=6,LEN(SUBSTITUTE(SUBSTITUTE(SUBSTITUTE(SUBSTITUTE(CLEAN(E111&amp;"")," ",""),".","")," ",""),"-",""))=8,LEN(SUBSTITUTE(SUBSTITUTE(SUBSTITUTE(SUBSTITUTE(CLEAN(E111&amp;"")," ",""),".","")," ",""),"-",""))=10),IFERROR(TEXT(VALUE(SUBSTITUTE(SUBSTITUTE(SUBSTITUTE(SUBSTITUTE(CLEAN(E111&amp;"")," ",""),".","")," ",""),"-","")),REPT("0",LEN(SUBSTITUTE(SUBSTITUTE(SUBSTITUTE(SUBSTITUTE(CLEAN(E111&amp;"")," ",""),".","")," ",""),"-",""))))=SUBSTITUTE(SUBSTITUTE(SUBSTITUTE(SUBSTITUTE(CLEAN(E111&amp;"")," ",""),".","")," ",""),"-",""),FALSE)),SUBSTITUTE(SUBSTITUTE(SUBSTITUTE(SUBSTITUTE(CLEAN(E111&amp;"")," ",""),".","")," ",""),"-",""),"CHECK: not 2, 4, 6, 8 or 10 digits"))</f>
        <v/>
      </c>
      <c r="G111" s="11" t="n"/>
      <c r="H111" s="8" t="n"/>
      <c r="I111" s="8" t="n"/>
      <c r="J111" s="10">
        <f>IF(SUBSTITUTE(SUBSTITUTE(SUBSTITUTE(SUBSTITUTE(CLEAN(I111&amp;"")," ",""),".","")," ",""),"-","")="","",IF(AND(OR(LEN(SUBSTITUTE(SUBSTITUTE(SUBSTITUTE(SUBSTITUTE(CLEAN(I111&amp;"")," ",""),".","")," ",""),"-",""))=2,LEN(SUBSTITUTE(SUBSTITUTE(SUBSTITUTE(SUBSTITUTE(CLEAN(I111&amp;"")," ",""),".","")," ",""),"-",""))=4,LEN(SUBSTITUTE(SUBSTITUTE(SUBSTITUTE(SUBSTITUTE(CLEAN(I111&amp;"")," ",""),".","")," ",""),"-",""))=6,LEN(SUBSTITUTE(SUBSTITUTE(SUBSTITUTE(SUBSTITUTE(CLEAN(I111&amp;"")," ",""),".","")," ",""),"-",""))=8,LEN(SUBSTITUTE(SUBSTITUTE(SUBSTITUTE(SUBSTITUTE(CLEAN(I111&amp;"")," ",""),".","")," ",""),"-",""))=10),IFERROR(TEXT(VALUE(SUBSTITUTE(SUBSTITUTE(SUBSTITUTE(SUBSTITUTE(CLEAN(I111&amp;"")," ",""),".","")," ",""),"-","")),REPT("0",LEN(SUBSTITUTE(SUBSTITUTE(SUBSTITUTE(SUBSTITUTE(CLEAN(I111&amp;"")," ",""),".","")," ",""),"-",""))))=SUBSTITUTE(SUBSTITUTE(SUBSTITUTE(SUBSTITUTE(CLEAN(I111&amp;"")," ",""),".","")," ",""),"-",""),FALSE)),SUBSTITUTE(SUBSTITUTE(SUBSTITUTE(SUBSTITUTE(CLEAN(I111&amp;"")," ",""),".","")," ",""),"-",""),"CHECK: not 2, 4, 6, 8 or 10 digits"))</f>
        <v/>
      </c>
      <c r="K111" s="11" t="n"/>
    </row>
    <row r="112">
      <c r="E112" s="8" t="n"/>
      <c r="F112" s="10">
        <f>IF(SUBSTITUTE(SUBSTITUTE(SUBSTITUTE(SUBSTITUTE(CLEAN(E112&amp;"")," ",""),".","")," ",""),"-","")="","",IF(AND(OR(LEN(SUBSTITUTE(SUBSTITUTE(SUBSTITUTE(SUBSTITUTE(CLEAN(E112&amp;"")," ",""),".","")," ",""),"-",""))=2,LEN(SUBSTITUTE(SUBSTITUTE(SUBSTITUTE(SUBSTITUTE(CLEAN(E112&amp;"")," ",""),".","")," ",""),"-",""))=4,LEN(SUBSTITUTE(SUBSTITUTE(SUBSTITUTE(SUBSTITUTE(CLEAN(E112&amp;"")," ",""),".","")," ",""),"-",""))=6,LEN(SUBSTITUTE(SUBSTITUTE(SUBSTITUTE(SUBSTITUTE(CLEAN(E112&amp;"")," ",""),".","")," ",""),"-",""))=8,LEN(SUBSTITUTE(SUBSTITUTE(SUBSTITUTE(SUBSTITUTE(CLEAN(E112&amp;"")," ",""),".","")," ",""),"-",""))=10),IFERROR(TEXT(VALUE(SUBSTITUTE(SUBSTITUTE(SUBSTITUTE(SUBSTITUTE(CLEAN(E112&amp;"")," ",""),".","")," ",""),"-","")),REPT("0",LEN(SUBSTITUTE(SUBSTITUTE(SUBSTITUTE(SUBSTITUTE(CLEAN(E112&amp;"")," ",""),".","")," ",""),"-",""))))=SUBSTITUTE(SUBSTITUTE(SUBSTITUTE(SUBSTITUTE(CLEAN(E112&amp;"")," ",""),".","")," ",""),"-",""),FALSE)),SUBSTITUTE(SUBSTITUTE(SUBSTITUTE(SUBSTITUTE(CLEAN(E112&amp;"")," ",""),".","")," ",""),"-",""),"CHECK: not 2, 4, 6, 8 or 10 digits"))</f>
        <v/>
      </c>
      <c r="G112" s="11" t="n"/>
      <c r="H112" s="8" t="n"/>
      <c r="I112" s="8" t="n"/>
      <c r="J112" s="10">
        <f>IF(SUBSTITUTE(SUBSTITUTE(SUBSTITUTE(SUBSTITUTE(CLEAN(I112&amp;"")," ",""),".","")," ",""),"-","")="","",IF(AND(OR(LEN(SUBSTITUTE(SUBSTITUTE(SUBSTITUTE(SUBSTITUTE(CLEAN(I112&amp;"")," ",""),".","")," ",""),"-",""))=2,LEN(SUBSTITUTE(SUBSTITUTE(SUBSTITUTE(SUBSTITUTE(CLEAN(I112&amp;"")," ",""),".","")," ",""),"-",""))=4,LEN(SUBSTITUTE(SUBSTITUTE(SUBSTITUTE(SUBSTITUTE(CLEAN(I112&amp;"")," ",""),".","")," ",""),"-",""))=6,LEN(SUBSTITUTE(SUBSTITUTE(SUBSTITUTE(SUBSTITUTE(CLEAN(I112&amp;"")," ",""),".","")," ",""),"-",""))=8,LEN(SUBSTITUTE(SUBSTITUTE(SUBSTITUTE(SUBSTITUTE(CLEAN(I112&amp;"")," ",""),".","")," ",""),"-",""))=10),IFERROR(TEXT(VALUE(SUBSTITUTE(SUBSTITUTE(SUBSTITUTE(SUBSTITUTE(CLEAN(I112&amp;"")," ",""),".","")," ",""),"-","")),REPT("0",LEN(SUBSTITUTE(SUBSTITUTE(SUBSTITUTE(SUBSTITUTE(CLEAN(I112&amp;"")," ",""),".","")," ",""),"-",""))))=SUBSTITUTE(SUBSTITUTE(SUBSTITUTE(SUBSTITUTE(CLEAN(I112&amp;"")," ",""),".","")," ",""),"-",""),FALSE)),SUBSTITUTE(SUBSTITUTE(SUBSTITUTE(SUBSTITUTE(CLEAN(I112&amp;"")," ",""),".","")," ",""),"-",""),"CHECK: not 2, 4, 6, 8 or 10 digits"))</f>
        <v/>
      </c>
      <c r="K112" s="11" t="n"/>
    </row>
    <row r="113">
      <c r="E113" s="8" t="n"/>
      <c r="F113" s="10">
        <f>IF(SUBSTITUTE(SUBSTITUTE(SUBSTITUTE(SUBSTITUTE(CLEAN(E113&amp;"")," ",""),".","")," ",""),"-","")="","",IF(AND(OR(LEN(SUBSTITUTE(SUBSTITUTE(SUBSTITUTE(SUBSTITUTE(CLEAN(E113&amp;"")," ",""),".","")," ",""),"-",""))=2,LEN(SUBSTITUTE(SUBSTITUTE(SUBSTITUTE(SUBSTITUTE(CLEAN(E113&amp;"")," ",""),".","")," ",""),"-",""))=4,LEN(SUBSTITUTE(SUBSTITUTE(SUBSTITUTE(SUBSTITUTE(CLEAN(E113&amp;"")," ",""),".","")," ",""),"-",""))=6,LEN(SUBSTITUTE(SUBSTITUTE(SUBSTITUTE(SUBSTITUTE(CLEAN(E113&amp;"")," ",""),".","")," ",""),"-",""))=8,LEN(SUBSTITUTE(SUBSTITUTE(SUBSTITUTE(SUBSTITUTE(CLEAN(E113&amp;"")," ",""),".","")," ",""),"-",""))=10),IFERROR(TEXT(VALUE(SUBSTITUTE(SUBSTITUTE(SUBSTITUTE(SUBSTITUTE(CLEAN(E113&amp;"")," ",""),".","")," ",""),"-","")),REPT("0",LEN(SUBSTITUTE(SUBSTITUTE(SUBSTITUTE(SUBSTITUTE(CLEAN(E113&amp;"")," ",""),".","")," ",""),"-",""))))=SUBSTITUTE(SUBSTITUTE(SUBSTITUTE(SUBSTITUTE(CLEAN(E113&amp;"")," ",""),".","")," ",""),"-",""),FALSE)),SUBSTITUTE(SUBSTITUTE(SUBSTITUTE(SUBSTITUTE(CLEAN(E113&amp;"")," ",""),".","")," ",""),"-",""),"CHECK: not 2, 4, 6, 8 or 10 digits"))</f>
        <v/>
      </c>
      <c r="G113" s="11" t="n"/>
      <c r="H113" s="8" t="n"/>
      <c r="I113" s="8" t="n"/>
      <c r="J113" s="10">
        <f>IF(SUBSTITUTE(SUBSTITUTE(SUBSTITUTE(SUBSTITUTE(CLEAN(I113&amp;"")," ",""),".","")," ",""),"-","")="","",IF(AND(OR(LEN(SUBSTITUTE(SUBSTITUTE(SUBSTITUTE(SUBSTITUTE(CLEAN(I113&amp;"")," ",""),".","")," ",""),"-",""))=2,LEN(SUBSTITUTE(SUBSTITUTE(SUBSTITUTE(SUBSTITUTE(CLEAN(I113&amp;"")," ",""),".","")," ",""),"-",""))=4,LEN(SUBSTITUTE(SUBSTITUTE(SUBSTITUTE(SUBSTITUTE(CLEAN(I113&amp;"")," ",""),".","")," ",""),"-",""))=6,LEN(SUBSTITUTE(SUBSTITUTE(SUBSTITUTE(SUBSTITUTE(CLEAN(I113&amp;"")," ",""),".","")," ",""),"-",""))=8,LEN(SUBSTITUTE(SUBSTITUTE(SUBSTITUTE(SUBSTITUTE(CLEAN(I113&amp;"")," ",""),".","")," ",""),"-",""))=10),IFERROR(TEXT(VALUE(SUBSTITUTE(SUBSTITUTE(SUBSTITUTE(SUBSTITUTE(CLEAN(I113&amp;"")," ",""),".","")," ",""),"-","")),REPT("0",LEN(SUBSTITUTE(SUBSTITUTE(SUBSTITUTE(SUBSTITUTE(CLEAN(I113&amp;"")," ",""),".","")," ",""),"-",""))))=SUBSTITUTE(SUBSTITUTE(SUBSTITUTE(SUBSTITUTE(CLEAN(I113&amp;"")," ",""),".","")," ",""),"-",""),FALSE)),SUBSTITUTE(SUBSTITUTE(SUBSTITUTE(SUBSTITUTE(CLEAN(I113&amp;"")," ",""),".","")," ",""),"-",""),"CHECK: not 2, 4, 6, 8 or 10 digits"))</f>
        <v/>
      </c>
      <c r="K113" s="11" t="n"/>
    </row>
    <row r="114">
      <c r="E114" s="8" t="n"/>
      <c r="F114" s="10">
        <f>IF(SUBSTITUTE(SUBSTITUTE(SUBSTITUTE(SUBSTITUTE(CLEAN(E114&amp;"")," ",""),".","")," ",""),"-","")="","",IF(AND(OR(LEN(SUBSTITUTE(SUBSTITUTE(SUBSTITUTE(SUBSTITUTE(CLEAN(E114&amp;"")," ",""),".","")," ",""),"-",""))=2,LEN(SUBSTITUTE(SUBSTITUTE(SUBSTITUTE(SUBSTITUTE(CLEAN(E114&amp;"")," ",""),".","")," ",""),"-",""))=4,LEN(SUBSTITUTE(SUBSTITUTE(SUBSTITUTE(SUBSTITUTE(CLEAN(E114&amp;"")," ",""),".","")," ",""),"-",""))=6,LEN(SUBSTITUTE(SUBSTITUTE(SUBSTITUTE(SUBSTITUTE(CLEAN(E114&amp;"")," ",""),".","")," ",""),"-",""))=8,LEN(SUBSTITUTE(SUBSTITUTE(SUBSTITUTE(SUBSTITUTE(CLEAN(E114&amp;"")," ",""),".","")," ",""),"-",""))=10),IFERROR(TEXT(VALUE(SUBSTITUTE(SUBSTITUTE(SUBSTITUTE(SUBSTITUTE(CLEAN(E114&amp;"")," ",""),".","")," ",""),"-","")),REPT("0",LEN(SUBSTITUTE(SUBSTITUTE(SUBSTITUTE(SUBSTITUTE(CLEAN(E114&amp;"")," ",""),".","")," ",""),"-",""))))=SUBSTITUTE(SUBSTITUTE(SUBSTITUTE(SUBSTITUTE(CLEAN(E114&amp;"")," ",""),".","")," ",""),"-",""),FALSE)),SUBSTITUTE(SUBSTITUTE(SUBSTITUTE(SUBSTITUTE(CLEAN(E114&amp;"")," ",""),".","")," ",""),"-",""),"CHECK: not 2, 4, 6, 8 or 10 digits"))</f>
        <v/>
      </c>
      <c r="G114" s="11" t="n"/>
      <c r="H114" s="8" t="n"/>
      <c r="I114" s="8" t="n"/>
      <c r="J114" s="10">
        <f>IF(SUBSTITUTE(SUBSTITUTE(SUBSTITUTE(SUBSTITUTE(CLEAN(I114&amp;"")," ",""),".","")," ",""),"-","")="","",IF(AND(OR(LEN(SUBSTITUTE(SUBSTITUTE(SUBSTITUTE(SUBSTITUTE(CLEAN(I114&amp;"")," ",""),".","")," ",""),"-",""))=2,LEN(SUBSTITUTE(SUBSTITUTE(SUBSTITUTE(SUBSTITUTE(CLEAN(I114&amp;"")," ",""),".","")," ",""),"-",""))=4,LEN(SUBSTITUTE(SUBSTITUTE(SUBSTITUTE(SUBSTITUTE(CLEAN(I114&amp;"")," ",""),".","")," ",""),"-",""))=6,LEN(SUBSTITUTE(SUBSTITUTE(SUBSTITUTE(SUBSTITUTE(CLEAN(I114&amp;"")," ",""),".","")," ",""),"-",""))=8,LEN(SUBSTITUTE(SUBSTITUTE(SUBSTITUTE(SUBSTITUTE(CLEAN(I114&amp;"")," ",""),".","")," ",""),"-",""))=10),IFERROR(TEXT(VALUE(SUBSTITUTE(SUBSTITUTE(SUBSTITUTE(SUBSTITUTE(CLEAN(I114&amp;"")," ",""),".","")," ",""),"-","")),REPT("0",LEN(SUBSTITUTE(SUBSTITUTE(SUBSTITUTE(SUBSTITUTE(CLEAN(I114&amp;"")," ",""),".","")," ",""),"-",""))))=SUBSTITUTE(SUBSTITUTE(SUBSTITUTE(SUBSTITUTE(CLEAN(I114&amp;"")," ",""),".","")," ",""),"-",""),FALSE)),SUBSTITUTE(SUBSTITUTE(SUBSTITUTE(SUBSTITUTE(CLEAN(I114&amp;"")," ",""),".","")," ",""),"-",""),"CHECK: not 2, 4, 6, 8 or 10 digits"))</f>
        <v/>
      </c>
      <c r="K114" s="11" t="n"/>
    </row>
    <row r="115">
      <c r="E115" s="8" t="n"/>
      <c r="F115" s="10">
        <f>IF(SUBSTITUTE(SUBSTITUTE(SUBSTITUTE(SUBSTITUTE(CLEAN(E115&amp;"")," ",""),".","")," ",""),"-","")="","",IF(AND(OR(LEN(SUBSTITUTE(SUBSTITUTE(SUBSTITUTE(SUBSTITUTE(CLEAN(E115&amp;"")," ",""),".","")," ",""),"-",""))=2,LEN(SUBSTITUTE(SUBSTITUTE(SUBSTITUTE(SUBSTITUTE(CLEAN(E115&amp;"")," ",""),".","")," ",""),"-",""))=4,LEN(SUBSTITUTE(SUBSTITUTE(SUBSTITUTE(SUBSTITUTE(CLEAN(E115&amp;"")," ",""),".","")," ",""),"-",""))=6,LEN(SUBSTITUTE(SUBSTITUTE(SUBSTITUTE(SUBSTITUTE(CLEAN(E115&amp;"")," ",""),".","")," ",""),"-",""))=8,LEN(SUBSTITUTE(SUBSTITUTE(SUBSTITUTE(SUBSTITUTE(CLEAN(E115&amp;"")," ",""),".","")," ",""),"-",""))=10),IFERROR(TEXT(VALUE(SUBSTITUTE(SUBSTITUTE(SUBSTITUTE(SUBSTITUTE(CLEAN(E115&amp;"")," ",""),".","")," ",""),"-","")),REPT("0",LEN(SUBSTITUTE(SUBSTITUTE(SUBSTITUTE(SUBSTITUTE(CLEAN(E115&amp;"")," ",""),".","")," ",""),"-",""))))=SUBSTITUTE(SUBSTITUTE(SUBSTITUTE(SUBSTITUTE(CLEAN(E115&amp;"")," ",""),".","")," ",""),"-",""),FALSE)),SUBSTITUTE(SUBSTITUTE(SUBSTITUTE(SUBSTITUTE(CLEAN(E115&amp;"")," ",""),".","")," ",""),"-",""),"CHECK: not 2, 4, 6, 8 or 10 digits"))</f>
        <v/>
      </c>
      <c r="G115" s="11" t="n"/>
      <c r="H115" s="8" t="n"/>
      <c r="I115" s="8" t="n"/>
      <c r="J115" s="10">
        <f>IF(SUBSTITUTE(SUBSTITUTE(SUBSTITUTE(SUBSTITUTE(CLEAN(I115&amp;"")," ",""),".","")," ",""),"-","")="","",IF(AND(OR(LEN(SUBSTITUTE(SUBSTITUTE(SUBSTITUTE(SUBSTITUTE(CLEAN(I115&amp;"")," ",""),".","")," ",""),"-",""))=2,LEN(SUBSTITUTE(SUBSTITUTE(SUBSTITUTE(SUBSTITUTE(CLEAN(I115&amp;"")," ",""),".","")," ",""),"-",""))=4,LEN(SUBSTITUTE(SUBSTITUTE(SUBSTITUTE(SUBSTITUTE(CLEAN(I115&amp;"")," ",""),".","")," ",""),"-",""))=6,LEN(SUBSTITUTE(SUBSTITUTE(SUBSTITUTE(SUBSTITUTE(CLEAN(I115&amp;"")," ",""),".","")," ",""),"-",""))=8,LEN(SUBSTITUTE(SUBSTITUTE(SUBSTITUTE(SUBSTITUTE(CLEAN(I115&amp;"")," ",""),".","")," ",""),"-",""))=10),IFERROR(TEXT(VALUE(SUBSTITUTE(SUBSTITUTE(SUBSTITUTE(SUBSTITUTE(CLEAN(I115&amp;"")," ",""),".","")," ",""),"-","")),REPT("0",LEN(SUBSTITUTE(SUBSTITUTE(SUBSTITUTE(SUBSTITUTE(CLEAN(I115&amp;"")," ",""),".","")," ",""),"-",""))))=SUBSTITUTE(SUBSTITUTE(SUBSTITUTE(SUBSTITUTE(CLEAN(I115&amp;"")," ",""),".","")," ",""),"-",""),FALSE)),SUBSTITUTE(SUBSTITUTE(SUBSTITUTE(SUBSTITUTE(CLEAN(I115&amp;"")," ",""),".","")," ",""),"-",""),"CHECK: not 2, 4, 6, 8 or 10 digits"))</f>
        <v/>
      </c>
      <c r="K115" s="11" t="n"/>
    </row>
    <row r="116">
      <c r="E116" s="8" t="n"/>
      <c r="F116" s="10">
        <f>IF(SUBSTITUTE(SUBSTITUTE(SUBSTITUTE(SUBSTITUTE(CLEAN(E116&amp;"")," ",""),".","")," ",""),"-","")="","",IF(AND(OR(LEN(SUBSTITUTE(SUBSTITUTE(SUBSTITUTE(SUBSTITUTE(CLEAN(E116&amp;"")," ",""),".","")," ",""),"-",""))=2,LEN(SUBSTITUTE(SUBSTITUTE(SUBSTITUTE(SUBSTITUTE(CLEAN(E116&amp;"")," ",""),".","")," ",""),"-",""))=4,LEN(SUBSTITUTE(SUBSTITUTE(SUBSTITUTE(SUBSTITUTE(CLEAN(E116&amp;"")," ",""),".","")," ",""),"-",""))=6,LEN(SUBSTITUTE(SUBSTITUTE(SUBSTITUTE(SUBSTITUTE(CLEAN(E116&amp;"")," ",""),".","")," ",""),"-",""))=8,LEN(SUBSTITUTE(SUBSTITUTE(SUBSTITUTE(SUBSTITUTE(CLEAN(E116&amp;"")," ",""),".","")," ",""),"-",""))=10),IFERROR(TEXT(VALUE(SUBSTITUTE(SUBSTITUTE(SUBSTITUTE(SUBSTITUTE(CLEAN(E116&amp;"")," ",""),".","")," ",""),"-","")),REPT("0",LEN(SUBSTITUTE(SUBSTITUTE(SUBSTITUTE(SUBSTITUTE(CLEAN(E116&amp;"")," ",""),".","")," ",""),"-",""))))=SUBSTITUTE(SUBSTITUTE(SUBSTITUTE(SUBSTITUTE(CLEAN(E116&amp;"")," ",""),".","")," ",""),"-",""),FALSE)),SUBSTITUTE(SUBSTITUTE(SUBSTITUTE(SUBSTITUTE(CLEAN(E116&amp;"")," ",""),".","")," ",""),"-",""),"CHECK: not 2, 4, 6, 8 or 10 digits"))</f>
        <v/>
      </c>
      <c r="G116" s="11" t="n"/>
      <c r="H116" s="8" t="n"/>
      <c r="I116" s="8" t="n"/>
      <c r="J116" s="10">
        <f>IF(SUBSTITUTE(SUBSTITUTE(SUBSTITUTE(SUBSTITUTE(CLEAN(I116&amp;"")," ",""),".","")," ",""),"-","")="","",IF(AND(OR(LEN(SUBSTITUTE(SUBSTITUTE(SUBSTITUTE(SUBSTITUTE(CLEAN(I116&amp;"")," ",""),".","")," ",""),"-",""))=2,LEN(SUBSTITUTE(SUBSTITUTE(SUBSTITUTE(SUBSTITUTE(CLEAN(I116&amp;"")," ",""),".","")," ",""),"-",""))=4,LEN(SUBSTITUTE(SUBSTITUTE(SUBSTITUTE(SUBSTITUTE(CLEAN(I116&amp;"")," ",""),".","")," ",""),"-",""))=6,LEN(SUBSTITUTE(SUBSTITUTE(SUBSTITUTE(SUBSTITUTE(CLEAN(I116&amp;"")," ",""),".","")," ",""),"-",""))=8,LEN(SUBSTITUTE(SUBSTITUTE(SUBSTITUTE(SUBSTITUTE(CLEAN(I116&amp;"")," ",""),".","")," ",""),"-",""))=10),IFERROR(TEXT(VALUE(SUBSTITUTE(SUBSTITUTE(SUBSTITUTE(SUBSTITUTE(CLEAN(I116&amp;"")," ",""),".","")," ",""),"-","")),REPT("0",LEN(SUBSTITUTE(SUBSTITUTE(SUBSTITUTE(SUBSTITUTE(CLEAN(I116&amp;"")," ",""),".","")," ",""),"-",""))))=SUBSTITUTE(SUBSTITUTE(SUBSTITUTE(SUBSTITUTE(CLEAN(I116&amp;"")," ",""),".","")," ",""),"-",""),FALSE)),SUBSTITUTE(SUBSTITUTE(SUBSTITUTE(SUBSTITUTE(CLEAN(I116&amp;"")," ",""),".","")," ",""),"-",""),"CHECK: not 2, 4, 6, 8 or 10 digits"))</f>
        <v/>
      </c>
      <c r="K116" s="11" t="n"/>
    </row>
    <row r="117">
      <c r="E117" s="8" t="n"/>
      <c r="F117" s="10">
        <f>IF(SUBSTITUTE(SUBSTITUTE(SUBSTITUTE(SUBSTITUTE(CLEAN(E117&amp;"")," ",""),".","")," ",""),"-","")="","",IF(AND(OR(LEN(SUBSTITUTE(SUBSTITUTE(SUBSTITUTE(SUBSTITUTE(CLEAN(E117&amp;"")," ",""),".","")," ",""),"-",""))=2,LEN(SUBSTITUTE(SUBSTITUTE(SUBSTITUTE(SUBSTITUTE(CLEAN(E117&amp;"")," ",""),".","")," ",""),"-",""))=4,LEN(SUBSTITUTE(SUBSTITUTE(SUBSTITUTE(SUBSTITUTE(CLEAN(E117&amp;"")," ",""),".","")," ",""),"-",""))=6,LEN(SUBSTITUTE(SUBSTITUTE(SUBSTITUTE(SUBSTITUTE(CLEAN(E117&amp;"")," ",""),".","")," ",""),"-",""))=8,LEN(SUBSTITUTE(SUBSTITUTE(SUBSTITUTE(SUBSTITUTE(CLEAN(E117&amp;"")," ",""),".","")," ",""),"-",""))=10),IFERROR(TEXT(VALUE(SUBSTITUTE(SUBSTITUTE(SUBSTITUTE(SUBSTITUTE(CLEAN(E117&amp;"")," ",""),".","")," ",""),"-","")),REPT("0",LEN(SUBSTITUTE(SUBSTITUTE(SUBSTITUTE(SUBSTITUTE(CLEAN(E117&amp;"")," ",""),".","")," ",""),"-",""))))=SUBSTITUTE(SUBSTITUTE(SUBSTITUTE(SUBSTITUTE(CLEAN(E117&amp;"")," ",""),".","")," ",""),"-",""),FALSE)),SUBSTITUTE(SUBSTITUTE(SUBSTITUTE(SUBSTITUTE(CLEAN(E117&amp;"")," ",""),".","")," ",""),"-",""),"CHECK: not 2, 4, 6, 8 or 10 digits"))</f>
        <v/>
      </c>
      <c r="G117" s="11" t="n"/>
      <c r="H117" s="8" t="n"/>
      <c r="I117" s="8" t="n"/>
      <c r="J117" s="10">
        <f>IF(SUBSTITUTE(SUBSTITUTE(SUBSTITUTE(SUBSTITUTE(CLEAN(I117&amp;"")," ",""),".","")," ",""),"-","")="","",IF(AND(OR(LEN(SUBSTITUTE(SUBSTITUTE(SUBSTITUTE(SUBSTITUTE(CLEAN(I117&amp;"")," ",""),".","")," ",""),"-",""))=2,LEN(SUBSTITUTE(SUBSTITUTE(SUBSTITUTE(SUBSTITUTE(CLEAN(I117&amp;"")," ",""),".","")," ",""),"-",""))=4,LEN(SUBSTITUTE(SUBSTITUTE(SUBSTITUTE(SUBSTITUTE(CLEAN(I117&amp;"")," ",""),".","")," ",""),"-",""))=6,LEN(SUBSTITUTE(SUBSTITUTE(SUBSTITUTE(SUBSTITUTE(CLEAN(I117&amp;"")," ",""),".","")," ",""),"-",""))=8,LEN(SUBSTITUTE(SUBSTITUTE(SUBSTITUTE(SUBSTITUTE(CLEAN(I117&amp;"")," ",""),".","")," ",""),"-",""))=10),IFERROR(TEXT(VALUE(SUBSTITUTE(SUBSTITUTE(SUBSTITUTE(SUBSTITUTE(CLEAN(I117&amp;"")," ",""),".","")," ",""),"-","")),REPT("0",LEN(SUBSTITUTE(SUBSTITUTE(SUBSTITUTE(SUBSTITUTE(CLEAN(I117&amp;"")," ",""),".","")," ",""),"-",""))))=SUBSTITUTE(SUBSTITUTE(SUBSTITUTE(SUBSTITUTE(CLEAN(I117&amp;"")," ",""),".","")," ",""),"-",""),FALSE)),SUBSTITUTE(SUBSTITUTE(SUBSTITUTE(SUBSTITUTE(CLEAN(I117&amp;"")," ",""),".","")," ",""),"-",""),"CHECK: not 2, 4, 6, 8 or 10 digits"))</f>
        <v/>
      </c>
      <c r="K117" s="11" t="n"/>
    </row>
    <row r="118">
      <c r="E118" s="8" t="n"/>
      <c r="F118" s="10">
        <f>IF(SUBSTITUTE(SUBSTITUTE(SUBSTITUTE(SUBSTITUTE(CLEAN(E118&amp;"")," ",""),".","")," ",""),"-","")="","",IF(AND(OR(LEN(SUBSTITUTE(SUBSTITUTE(SUBSTITUTE(SUBSTITUTE(CLEAN(E118&amp;"")," ",""),".","")," ",""),"-",""))=2,LEN(SUBSTITUTE(SUBSTITUTE(SUBSTITUTE(SUBSTITUTE(CLEAN(E118&amp;"")," ",""),".","")," ",""),"-",""))=4,LEN(SUBSTITUTE(SUBSTITUTE(SUBSTITUTE(SUBSTITUTE(CLEAN(E118&amp;"")," ",""),".","")," ",""),"-",""))=6,LEN(SUBSTITUTE(SUBSTITUTE(SUBSTITUTE(SUBSTITUTE(CLEAN(E118&amp;"")," ",""),".","")," ",""),"-",""))=8,LEN(SUBSTITUTE(SUBSTITUTE(SUBSTITUTE(SUBSTITUTE(CLEAN(E118&amp;"")," ",""),".","")," ",""),"-",""))=10),IFERROR(TEXT(VALUE(SUBSTITUTE(SUBSTITUTE(SUBSTITUTE(SUBSTITUTE(CLEAN(E118&amp;"")," ",""),".","")," ",""),"-","")),REPT("0",LEN(SUBSTITUTE(SUBSTITUTE(SUBSTITUTE(SUBSTITUTE(CLEAN(E118&amp;"")," ",""),".","")," ",""),"-",""))))=SUBSTITUTE(SUBSTITUTE(SUBSTITUTE(SUBSTITUTE(CLEAN(E118&amp;"")," ",""),".","")," ",""),"-",""),FALSE)),SUBSTITUTE(SUBSTITUTE(SUBSTITUTE(SUBSTITUTE(CLEAN(E118&amp;"")," ",""),".","")," ",""),"-",""),"CHECK: not 2, 4, 6, 8 or 10 digits"))</f>
        <v/>
      </c>
      <c r="G118" s="11" t="n"/>
      <c r="H118" s="8" t="n"/>
      <c r="I118" s="8" t="n"/>
      <c r="J118" s="10">
        <f>IF(SUBSTITUTE(SUBSTITUTE(SUBSTITUTE(SUBSTITUTE(CLEAN(I118&amp;"")," ",""),".","")," ",""),"-","")="","",IF(AND(OR(LEN(SUBSTITUTE(SUBSTITUTE(SUBSTITUTE(SUBSTITUTE(CLEAN(I118&amp;"")," ",""),".","")," ",""),"-",""))=2,LEN(SUBSTITUTE(SUBSTITUTE(SUBSTITUTE(SUBSTITUTE(CLEAN(I118&amp;"")," ",""),".","")," ",""),"-",""))=4,LEN(SUBSTITUTE(SUBSTITUTE(SUBSTITUTE(SUBSTITUTE(CLEAN(I118&amp;"")," ",""),".","")," ",""),"-",""))=6,LEN(SUBSTITUTE(SUBSTITUTE(SUBSTITUTE(SUBSTITUTE(CLEAN(I118&amp;"")," ",""),".","")," ",""),"-",""))=8,LEN(SUBSTITUTE(SUBSTITUTE(SUBSTITUTE(SUBSTITUTE(CLEAN(I118&amp;"")," ",""),".","")," ",""),"-",""))=10),IFERROR(TEXT(VALUE(SUBSTITUTE(SUBSTITUTE(SUBSTITUTE(SUBSTITUTE(CLEAN(I118&amp;"")," ",""),".","")," ",""),"-","")),REPT("0",LEN(SUBSTITUTE(SUBSTITUTE(SUBSTITUTE(SUBSTITUTE(CLEAN(I118&amp;"")," ",""),".","")," ",""),"-",""))))=SUBSTITUTE(SUBSTITUTE(SUBSTITUTE(SUBSTITUTE(CLEAN(I118&amp;"")," ",""),".","")," ",""),"-",""),FALSE)),SUBSTITUTE(SUBSTITUTE(SUBSTITUTE(SUBSTITUTE(CLEAN(I118&amp;"")," ",""),".","")," ",""),"-",""),"CHECK: not 2, 4, 6, 8 or 10 digits"))</f>
        <v/>
      </c>
      <c r="K118" s="11" t="n"/>
    </row>
    <row r="119">
      <c r="E119" s="8" t="n"/>
      <c r="F119" s="10">
        <f>IF(SUBSTITUTE(SUBSTITUTE(SUBSTITUTE(SUBSTITUTE(CLEAN(E119&amp;"")," ",""),".","")," ",""),"-","")="","",IF(AND(OR(LEN(SUBSTITUTE(SUBSTITUTE(SUBSTITUTE(SUBSTITUTE(CLEAN(E119&amp;"")," ",""),".","")," ",""),"-",""))=2,LEN(SUBSTITUTE(SUBSTITUTE(SUBSTITUTE(SUBSTITUTE(CLEAN(E119&amp;"")," ",""),".","")," ",""),"-",""))=4,LEN(SUBSTITUTE(SUBSTITUTE(SUBSTITUTE(SUBSTITUTE(CLEAN(E119&amp;"")," ",""),".","")," ",""),"-",""))=6,LEN(SUBSTITUTE(SUBSTITUTE(SUBSTITUTE(SUBSTITUTE(CLEAN(E119&amp;"")," ",""),".","")," ",""),"-",""))=8,LEN(SUBSTITUTE(SUBSTITUTE(SUBSTITUTE(SUBSTITUTE(CLEAN(E119&amp;"")," ",""),".","")," ",""),"-",""))=10),IFERROR(TEXT(VALUE(SUBSTITUTE(SUBSTITUTE(SUBSTITUTE(SUBSTITUTE(CLEAN(E119&amp;"")," ",""),".","")," ",""),"-","")),REPT("0",LEN(SUBSTITUTE(SUBSTITUTE(SUBSTITUTE(SUBSTITUTE(CLEAN(E119&amp;"")," ",""),".","")," ",""),"-",""))))=SUBSTITUTE(SUBSTITUTE(SUBSTITUTE(SUBSTITUTE(CLEAN(E119&amp;"")," ",""),".","")," ",""),"-",""),FALSE)),SUBSTITUTE(SUBSTITUTE(SUBSTITUTE(SUBSTITUTE(CLEAN(E119&amp;"")," ",""),".","")," ",""),"-",""),"CHECK: not 2, 4, 6, 8 or 10 digits"))</f>
        <v/>
      </c>
      <c r="G119" s="11" t="n"/>
      <c r="H119" s="8" t="n"/>
      <c r="I119" s="8" t="n"/>
      <c r="J119" s="10">
        <f>IF(SUBSTITUTE(SUBSTITUTE(SUBSTITUTE(SUBSTITUTE(CLEAN(I119&amp;"")," ",""),".","")," ",""),"-","")="","",IF(AND(OR(LEN(SUBSTITUTE(SUBSTITUTE(SUBSTITUTE(SUBSTITUTE(CLEAN(I119&amp;"")," ",""),".","")," ",""),"-",""))=2,LEN(SUBSTITUTE(SUBSTITUTE(SUBSTITUTE(SUBSTITUTE(CLEAN(I119&amp;"")," ",""),".","")," ",""),"-",""))=4,LEN(SUBSTITUTE(SUBSTITUTE(SUBSTITUTE(SUBSTITUTE(CLEAN(I119&amp;"")," ",""),".","")," ",""),"-",""))=6,LEN(SUBSTITUTE(SUBSTITUTE(SUBSTITUTE(SUBSTITUTE(CLEAN(I119&amp;"")," ",""),".","")," ",""),"-",""))=8,LEN(SUBSTITUTE(SUBSTITUTE(SUBSTITUTE(SUBSTITUTE(CLEAN(I119&amp;"")," ",""),".","")," ",""),"-",""))=10),IFERROR(TEXT(VALUE(SUBSTITUTE(SUBSTITUTE(SUBSTITUTE(SUBSTITUTE(CLEAN(I119&amp;"")," ",""),".","")," ",""),"-","")),REPT("0",LEN(SUBSTITUTE(SUBSTITUTE(SUBSTITUTE(SUBSTITUTE(CLEAN(I119&amp;"")," ",""),".","")," ",""),"-",""))))=SUBSTITUTE(SUBSTITUTE(SUBSTITUTE(SUBSTITUTE(CLEAN(I119&amp;"")," ",""),".","")," ",""),"-",""),FALSE)),SUBSTITUTE(SUBSTITUTE(SUBSTITUTE(SUBSTITUTE(CLEAN(I119&amp;"")," ",""),".","")," ",""),"-",""),"CHECK: not 2, 4, 6, 8 or 10 digits"))</f>
        <v/>
      </c>
      <c r="K119" s="11" t="n"/>
    </row>
    <row r="120">
      <c r="E120" s="8" t="n"/>
      <c r="F120" s="10">
        <f>IF(SUBSTITUTE(SUBSTITUTE(SUBSTITUTE(SUBSTITUTE(CLEAN(E120&amp;"")," ",""),".","")," ",""),"-","")="","",IF(AND(OR(LEN(SUBSTITUTE(SUBSTITUTE(SUBSTITUTE(SUBSTITUTE(CLEAN(E120&amp;"")," ",""),".","")," ",""),"-",""))=2,LEN(SUBSTITUTE(SUBSTITUTE(SUBSTITUTE(SUBSTITUTE(CLEAN(E120&amp;"")," ",""),".","")," ",""),"-",""))=4,LEN(SUBSTITUTE(SUBSTITUTE(SUBSTITUTE(SUBSTITUTE(CLEAN(E120&amp;"")," ",""),".","")," ",""),"-",""))=6,LEN(SUBSTITUTE(SUBSTITUTE(SUBSTITUTE(SUBSTITUTE(CLEAN(E120&amp;"")," ",""),".","")," ",""),"-",""))=8,LEN(SUBSTITUTE(SUBSTITUTE(SUBSTITUTE(SUBSTITUTE(CLEAN(E120&amp;"")," ",""),".","")," ",""),"-",""))=10),IFERROR(TEXT(VALUE(SUBSTITUTE(SUBSTITUTE(SUBSTITUTE(SUBSTITUTE(CLEAN(E120&amp;"")," ",""),".","")," ",""),"-","")),REPT("0",LEN(SUBSTITUTE(SUBSTITUTE(SUBSTITUTE(SUBSTITUTE(CLEAN(E120&amp;"")," ",""),".","")," ",""),"-",""))))=SUBSTITUTE(SUBSTITUTE(SUBSTITUTE(SUBSTITUTE(CLEAN(E120&amp;"")," ",""),".","")," ",""),"-",""),FALSE)),SUBSTITUTE(SUBSTITUTE(SUBSTITUTE(SUBSTITUTE(CLEAN(E120&amp;"")," ",""),".","")," ",""),"-",""),"CHECK: not 2, 4, 6, 8 or 10 digits"))</f>
        <v/>
      </c>
      <c r="G120" s="11" t="n"/>
      <c r="H120" s="8" t="n"/>
      <c r="I120" s="8" t="n"/>
      <c r="J120" s="10">
        <f>IF(SUBSTITUTE(SUBSTITUTE(SUBSTITUTE(SUBSTITUTE(CLEAN(I120&amp;"")," ",""),".","")," ",""),"-","")="","",IF(AND(OR(LEN(SUBSTITUTE(SUBSTITUTE(SUBSTITUTE(SUBSTITUTE(CLEAN(I120&amp;"")," ",""),".","")," ",""),"-",""))=2,LEN(SUBSTITUTE(SUBSTITUTE(SUBSTITUTE(SUBSTITUTE(CLEAN(I120&amp;"")," ",""),".","")," ",""),"-",""))=4,LEN(SUBSTITUTE(SUBSTITUTE(SUBSTITUTE(SUBSTITUTE(CLEAN(I120&amp;"")," ",""),".","")," ",""),"-",""))=6,LEN(SUBSTITUTE(SUBSTITUTE(SUBSTITUTE(SUBSTITUTE(CLEAN(I120&amp;"")," ",""),".","")," ",""),"-",""))=8,LEN(SUBSTITUTE(SUBSTITUTE(SUBSTITUTE(SUBSTITUTE(CLEAN(I120&amp;"")," ",""),".","")," ",""),"-",""))=10),IFERROR(TEXT(VALUE(SUBSTITUTE(SUBSTITUTE(SUBSTITUTE(SUBSTITUTE(CLEAN(I120&amp;"")," ",""),".","")," ",""),"-","")),REPT("0",LEN(SUBSTITUTE(SUBSTITUTE(SUBSTITUTE(SUBSTITUTE(CLEAN(I120&amp;"")," ",""),".","")," ",""),"-",""))))=SUBSTITUTE(SUBSTITUTE(SUBSTITUTE(SUBSTITUTE(CLEAN(I120&amp;"")," ",""),".","")," ",""),"-",""),FALSE)),SUBSTITUTE(SUBSTITUTE(SUBSTITUTE(SUBSTITUTE(CLEAN(I120&amp;"")," ",""),".","")," ",""),"-",""),"CHECK: not 2, 4, 6, 8 or 10 digits"))</f>
        <v/>
      </c>
      <c r="K120" s="11" t="n"/>
    </row>
    <row r="121">
      <c r="E121" s="8" t="n"/>
      <c r="F121" s="10">
        <f>IF(SUBSTITUTE(SUBSTITUTE(SUBSTITUTE(SUBSTITUTE(CLEAN(E121&amp;"")," ",""),".","")," ",""),"-","")="","",IF(AND(OR(LEN(SUBSTITUTE(SUBSTITUTE(SUBSTITUTE(SUBSTITUTE(CLEAN(E121&amp;"")," ",""),".","")," ",""),"-",""))=2,LEN(SUBSTITUTE(SUBSTITUTE(SUBSTITUTE(SUBSTITUTE(CLEAN(E121&amp;"")," ",""),".","")," ",""),"-",""))=4,LEN(SUBSTITUTE(SUBSTITUTE(SUBSTITUTE(SUBSTITUTE(CLEAN(E121&amp;"")," ",""),".","")," ",""),"-",""))=6,LEN(SUBSTITUTE(SUBSTITUTE(SUBSTITUTE(SUBSTITUTE(CLEAN(E121&amp;"")," ",""),".","")," ",""),"-",""))=8,LEN(SUBSTITUTE(SUBSTITUTE(SUBSTITUTE(SUBSTITUTE(CLEAN(E121&amp;"")," ",""),".","")," ",""),"-",""))=10),IFERROR(TEXT(VALUE(SUBSTITUTE(SUBSTITUTE(SUBSTITUTE(SUBSTITUTE(CLEAN(E121&amp;"")," ",""),".","")," ",""),"-","")),REPT("0",LEN(SUBSTITUTE(SUBSTITUTE(SUBSTITUTE(SUBSTITUTE(CLEAN(E121&amp;"")," ",""),".","")," ",""),"-",""))))=SUBSTITUTE(SUBSTITUTE(SUBSTITUTE(SUBSTITUTE(CLEAN(E121&amp;"")," ",""),".","")," ",""),"-",""),FALSE)),SUBSTITUTE(SUBSTITUTE(SUBSTITUTE(SUBSTITUTE(CLEAN(E121&amp;"")," ",""),".","")," ",""),"-",""),"CHECK: not 2, 4, 6, 8 or 10 digits"))</f>
        <v/>
      </c>
      <c r="G121" s="11" t="n"/>
      <c r="H121" s="8" t="n"/>
      <c r="I121" s="8" t="n"/>
      <c r="J121" s="10">
        <f>IF(SUBSTITUTE(SUBSTITUTE(SUBSTITUTE(SUBSTITUTE(CLEAN(I121&amp;"")," ",""),".","")," ",""),"-","")="","",IF(AND(OR(LEN(SUBSTITUTE(SUBSTITUTE(SUBSTITUTE(SUBSTITUTE(CLEAN(I121&amp;"")," ",""),".","")," ",""),"-",""))=2,LEN(SUBSTITUTE(SUBSTITUTE(SUBSTITUTE(SUBSTITUTE(CLEAN(I121&amp;"")," ",""),".","")," ",""),"-",""))=4,LEN(SUBSTITUTE(SUBSTITUTE(SUBSTITUTE(SUBSTITUTE(CLEAN(I121&amp;"")," ",""),".","")," ",""),"-",""))=6,LEN(SUBSTITUTE(SUBSTITUTE(SUBSTITUTE(SUBSTITUTE(CLEAN(I121&amp;"")," ",""),".","")," ",""),"-",""))=8,LEN(SUBSTITUTE(SUBSTITUTE(SUBSTITUTE(SUBSTITUTE(CLEAN(I121&amp;"")," ",""),".","")," ",""),"-",""))=10),IFERROR(TEXT(VALUE(SUBSTITUTE(SUBSTITUTE(SUBSTITUTE(SUBSTITUTE(CLEAN(I121&amp;"")," ",""),".","")," ",""),"-","")),REPT("0",LEN(SUBSTITUTE(SUBSTITUTE(SUBSTITUTE(SUBSTITUTE(CLEAN(I121&amp;"")," ",""),".","")," ",""),"-",""))))=SUBSTITUTE(SUBSTITUTE(SUBSTITUTE(SUBSTITUTE(CLEAN(I121&amp;"")," ",""),".","")," ",""),"-",""),FALSE)),SUBSTITUTE(SUBSTITUTE(SUBSTITUTE(SUBSTITUTE(CLEAN(I121&amp;"")," ",""),".","")," ",""),"-",""),"CHECK: not 2, 4, 6, 8 or 10 digits"))</f>
        <v/>
      </c>
      <c r="K121" s="11" t="n"/>
    </row>
    <row r="122">
      <c r="E122" s="8" t="n"/>
      <c r="F122" s="10">
        <f>IF(SUBSTITUTE(SUBSTITUTE(SUBSTITUTE(SUBSTITUTE(CLEAN(E122&amp;"")," ",""),".","")," ",""),"-","")="","",IF(AND(OR(LEN(SUBSTITUTE(SUBSTITUTE(SUBSTITUTE(SUBSTITUTE(CLEAN(E122&amp;"")," ",""),".","")," ",""),"-",""))=2,LEN(SUBSTITUTE(SUBSTITUTE(SUBSTITUTE(SUBSTITUTE(CLEAN(E122&amp;"")," ",""),".","")," ",""),"-",""))=4,LEN(SUBSTITUTE(SUBSTITUTE(SUBSTITUTE(SUBSTITUTE(CLEAN(E122&amp;"")," ",""),".","")," ",""),"-",""))=6,LEN(SUBSTITUTE(SUBSTITUTE(SUBSTITUTE(SUBSTITUTE(CLEAN(E122&amp;"")," ",""),".","")," ",""),"-",""))=8,LEN(SUBSTITUTE(SUBSTITUTE(SUBSTITUTE(SUBSTITUTE(CLEAN(E122&amp;"")," ",""),".","")," ",""),"-",""))=10),IFERROR(TEXT(VALUE(SUBSTITUTE(SUBSTITUTE(SUBSTITUTE(SUBSTITUTE(CLEAN(E122&amp;"")," ",""),".","")," ",""),"-","")),REPT("0",LEN(SUBSTITUTE(SUBSTITUTE(SUBSTITUTE(SUBSTITUTE(CLEAN(E122&amp;"")," ",""),".","")," ",""),"-",""))))=SUBSTITUTE(SUBSTITUTE(SUBSTITUTE(SUBSTITUTE(CLEAN(E122&amp;"")," ",""),".","")," ",""),"-",""),FALSE)),SUBSTITUTE(SUBSTITUTE(SUBSTITUTE(SUBSTITUTE(CLEAN(E122&amp;"")," ",""),".","")," ",""),"-",""),"CHECK: not 2, 4, 6, 8 or 10 digits"))</f>
        <v/>
      </c>
      <c r="G122" s="11" t="n"/>
      <c r="H122" s="8" t="n"/>
      <c r="I122" s="8" t="n"/>
      <c r="J122" s="10">
        <f>IF(SUBSTITUTE(SUBSTITUTE(SUBSTITUTE(SUBSTITUTE(CLEAN(I122&amp;"")," ",""),".","")," ",""),"-","")="","",IF(AND(OR(LEN(SUBSTITUTE(SUBSTITUTE(SUBSTITUTE(SUBSTITUTE(CLEAN(I122&amp;"")," ",""),".","")," ",""),"-",""))=2,LEN(SUBSTITUTE(SUBSTITUTE(SUBSTITUTE(SUBSTITUTE(CLEAN(I122&amp;"")," ",""),".","")," ",""),"-",""))=4,LEN(SUBSTITUTE(SUBSTITUTE(SUBSTITUTE(SUBSTITUTE(CLEAN(I122&amp;"")," ",""),".","")," ",""),"-",""))=6,LEN(SUBSTITUTE(SUBSTITUTE(SUBSTITUTE(SUBSTITUTE(CLEAN(I122&amp;"")," ",""),".","")," ",""),"-",""))=8,LEN(SUBSTITUTE(SUBSTITUTE(SUBSTITUTE(SUBSTITUTE(CLEAN(I122&amp;"")," ",""),".","")," ",""),"-",""))=10),IFERROR(TEXT(VALUE(SUBSTITUTE(SUBSTITUTE(SUBSTITUTE(SUBSTITUTE(CLEAN(I122&amp;"")," ",""),".","")," ",""),"-","")),REPT("0",LEN(SUBSTITUTE(SUBSTITUTE(SUBSTITUTE(SUBSTITUTE(CLEAN(I122&amp;"")," ",""),".","")," ",""),"-",""))))=SUBSTITUTE(SUBSTITUTE(SUBSTITUTE(SUBSTITUTE(CLEAN(I122&amp;"")," ",""),".","")," ",""),"-",""),FALSE)),SUBSTITUTE(SUBSTITUTE(SUBSTITUTE(SUBSTITUTE(CLEAN(I122&amp;"")," ",""),".","")," ",""),"-",""),"CHECK: not 2, 4, 6, 8 or 10 digits"))</f>
        <v/>
      </c>
      <c r="K122" s="11" t="n"/>
    </row>
    <row r="123">
      <c r="E123" s="8" t="n"/>
      <c r="F123" s="10">
        <f>IF(SUBSTITUTE(SUBSTITUTE(SUBSTITUTE(SUBSTITUTE(CLEAN(E123&amp;"")," ",""),".","")," ",""),"-","")="","",IF(AND(OR(LEN(SUBSTITUTE(SUBSTITUTE(SUBSTITUTE(SUBSTITUTE(CLEAN(E123&amp;"")," ",""),".","")," ",""),"-",""))=2,LEN(SUBSTITUTE(SUBSTITUTE(SUBSTITUTE(SUBSTITUTE(CLEAN(E123&amp;"")," ",""),".","")," ",""),"-",""))=4,LEN(SUBSTITUTE(SUBSTITUTE(SUBSTITUTE(SUBSTITUTE(CLEAN(E123&amp;"")," ",""),".","")," ",""),"-",""))=6,LEN(SUBSTITUTE(SUBSTITUTE(SUBSTITUTE(SUBSTITUTE(CLEAN(E123&amp;"")," ",""),".","")," ",""),"-",""))=8,LEN(SUBSTITUTE(SUBSTITUTE(SUBSTITUTE(SUBSTITUTE(CLEAN(E123&amp;"")," ",""),".","")," ",""),"-",""))=10),IFERROR(TEXT(VALUE(SUBSTITUTE(SUBSTITUTE(SUBSTITUTE(SUBSTITUTE(CLEAN(E123&amp;"")," ",""),".","")," ",""),"-","")),REPT("0",LEN(SUBSTITUTE(SUBSTITUTE(SUBSTITUTE(SUBSTITUTE(CLEAN(E123&amp;"")," ",""),".","")," ",""),"-",""))))=SUBSTITUTE(SUBSTITUTE(SUBSTITUTE(SUBSTITUTE(CLEAN(E123&amp;"")," ",""),".","")," ",""),"-",""),FALSE)),SUBSTITUTE(SUBSTITUTE(SUBSTITUTE(SUBSTITUTE(CLEAN(E123&amp;"")," ",""),".","")," ",""),"-",""),"CHECK: not 2, 4, 6, 8 or 10 digits"))</f>
        <v/>
      </c>
      <c r="G123" s="11" t="n"/>
      <c r="H123" s="8" t="n"/>
      <c r="I123" s="8" t="n"/>
      <c r="J123" s="10">
        <f>IF(SUBSTITUTE(SUBSTITUTE(SUBSTITUTE(SUBSTITUTE(CLEAN(I123&amp;"")," ",""),".","")," ",""),"-","")="","",IF(AND(OR(LEN(SUBSTITUTE(SUBSTITUTE(SUBSTITUTE(SUBSTITUTE(CLEAN(I123&amp;"")," ",""),".","")," ",""),"-",""))=2,LEN(SUBSTITUTE(SUBSTITUTE(SUBSTITUTE(SUBSTITUTE(CLEAN(I123&amp;"")," ",""),".","")," ",""),"-",""))=4,LEN(SUBSTITUTE(SUBSTITUTE(SUBSTITUTE(SUBSTITUTE(CLEAN(I123&amp;"")," ",""),".","")," ",""),"-",""))=6,LEN(SUBSTITUTE(SUBSTITUTE(SUBSTITUTE(SUBSTITUTE(CLEAN(I123&amp;"")," ",""),".","")," ",""),"-",""))=8,LEN(SUBSTITUTE(SUBSTITUTE(SUBSTITUTE(SUBSTITUTE(CLEAN(I123&amp;"")," ",""),".","")," ",""),"-",""))=10),IFERROR(TEXT(VALUE(SUBSTITUTE(SUBSTITUTE(SUBSTITUTE(SUBSTITUTE(CLEAN(I123&amp;"")," ",""),".","")," ",""),"-","")),REPT("0",LEN(SUBSTITUTE(SUBSTITUTE(SUBSTITUTE(SUBSTITUTE(CLEAN(I123&amp;"")," ",""),".","")," ",""),"-",""))))=SUBSTITUTE(SUBSTITUTE(SUBSTITUTE(SUBSTITUTE(CLEAN(I123&amp;"")," ",""),".","")," ",""),"-",""),FALSE)),SUBSTITUTE(SUBSTITUTE(SUBSTITUTE(SUBSTITUTE(CLEAN(I123&amp;"")," ",""),".","")," ",""),"-",""),"CHECK: not 2, 4, 6, 8 or 10 digits"))</f>
        <v/>
      </c>
      <c r="K123" s="11" t="n"/>
    </row>
    <row r="124">
      <c r="E124" s="8" t="n"/>
      <c r="F124" s="10">
        <f>IF(SUBSTITUTE(SUBSTITUTE(SUBSTITUTE(SUBSTITUTE(CLEAN(E124&amp;"")," ",""),".","")," ",""),"-","")="","",IF(AND(OR(LEN(SUBSTITUTE(SUBSTITUTE(SUBSTITUTE(SUBSTITUTE(CLEAN(E124&amp;"")," ",""),".","")," ",""),"-",""))=2,LEN(SUBSTITUTE(SUBSTITUTE(SUBSTITUTE(SUBSTITUTE(CLEAN(E124&amp;"")," ",""),".","")," ",""),"-",""))=4,LEN(SUBSTITUTE(SUBSTITUTE(SUBSTITUTE(SUBSTITUTE(CLEAN(E124&amp;"")," ",""),".","")," ",""),"-",""))=6,LEN(SUBSTITUTE(SUBSTITUTE(SUBSTITUTE(SUBSTITUTE(CLEAN(E124&amp;"")," ",""),".","")," ",""),"-",""))=8,LEN(SUBSTITUTE(SUBSTITUTE(SUBSTITUTE(SUBSTITUTE(CLEAN(E124&amp;"")," ",""),".","")," ",""),"-",""))=10),IFERROR(TEXT(VALUE(SUBSTITUTE(SUBSTITUTE(SUBSTITUTE(SUBSTITUTE(CLEAN(E124&amp;"")," ",""),".","")," ",""),"-","")),REPT("0",LEN(SUBSTITUTE(SUBSTITUTE(SUBSTITUTE(SUBSTITUTE(CLEAN(E124&amp;"")," ",""),".","")," ",""),"-",""))))=SUBSTITUTE(SUBSTITUTE(SUBSTITUTE(SUBSTITUTE(CLEAN(E124&amp;"")," ",""),".","")," ",""),"-",""),FALSE)),SUBSTITUTE(SUBSTITUTE(SUBSTITUTE(SUBSTITUTE(CLEAN(E124&amp;"")," ",""),".","")," ",""),"-",""),"CHECK: not 2, 4, 6, 8 or 10 digits"))</f>
        <v/>
      </c>
      <c r="G124" s="11" t="n"/>
      <c r="H124" s="8" t="n"/>
      <c r="I124" s="8" t="n"/>
      <c r="J124" s="10">
        <f>IF(SUBSTITUTE(SUBSTITUTE(SUBSTITUTE(SUBSTITUTE(CLEAN(I124&amp;"")," ",""),".","")," ",""),"-","")="","",IF(AND(OR(LEN(SUBSTITUTE(SUBSTITUTE(SUBSTITUTE(SUBSTITUTE(CLEAN(I124&amp;"")," ",""),".","")," ",""),"-",""))=2,LEN(SUBSTITUTE(SUBSTITUTE(SUBSTITUTE(SUBSTITUTE(CLEAN(I124&amp;"")," ",""),".","")," ",""),"-",""))=4,LEN(SUBSTITUTE(SUBSTITUTE(SUBSTITUTE(SUBSTITUTE(CLEAN(I124&amp;"")," ",""),".","")," ",""),"-",""))=6,LEN(SUBSTITUTE(SUBSTITUTE(SUBSTITUTE(SUBSTITUTE(CLEAN(I124&amp;"")," ",""),".","")," ",""),"-",""))=8,LEN(SUBSTITUTE(SUBSTITUTE(SUBSTITUTE(SUBSTITUTE(CLEAN(I124&amp;"")," ",""),".","")," ",""),"-",""))=10),IFERROR(TEXT(VALUE(SUBSTITUTE(SUBSTITUTE(SUBSTITUTE(SUBSTITUTE(CLEAN(I124&amp;"")," ",""),".","")," ",""),"-","")),REPT("0",LEN(SUBSTITUTE(SUBSTITUTE(SUBSTITUTE(SUBSTITUTE(CLEAN(I124&amp;"")," ",""),".","")," ",""),"-",""))))=SUBSTITUTE(SUBSTITUTE(SUBSTITUTE(SUBSTITUTE(CLEAN(I124&amp;"")," ",""),".","")," ",""),"-",""),FALSE)),SUBSTITUTE(SUBSTITUTE(SUBSTITUTE(SUBSTITUTE(CLEAN(I124&amp;"")," ",""),".","")," ",""),"-",""),"CHECK: not 2, 4, 6, 8 or 10 digits"))</f>
        <v/>
      </c>
      <c r="K124" s="11" t="n"/>
    </row>
    <row r="125">
      <c r="E125" s="8" t="n"/>
      <c r="F125" s="10">
        <f>IF(SUBSTITUTE(SUBSTITUTE(SUBSTITUTE(SUBSTITUTE(CLEAN(E125&amp;"")," ",""),".","")," ",""),"-","")="","",IF(AND(OR(LEN(SUBSTITUTE(SUBSTITUTE(SUBSTITUTE(SUBSTITUTE(CLEAN(E125&amp;"")," ",""),".","")," ",""),"-",""))=2,LEN(SUBSTITUTE(SUBSTITUTE(SUBSTITUTE(SUBSTITUTE(CLEAN(E125&amp;"")," ",""),".","")," ",""),"-",""))=4,LEN(SUBSTITUTE(SUBSTITUTE(SUBSTITUTE(SUBSTITUTE(CLEAN(E125&amp;"")," ",""),".","")," ",""),"-",""))=6,LEN(SUBSTITUTE(SUBSTITUTE(SUBSTITUTE(SUBSTITUTE(CLEAN(E125&amp;"")," ",""),".","")," ",""),"-",""))=8,LEN(SUBSTITUTE(SUBSTITUTE(SUBSTITUTE(SUBSTITUTE(CLEAN(E125&amp;"")," ",""),".","")," ",""),"-",""))=10),IFERROR(TEXT(VALUE(SUBSTITUTE(SUBSTITUTE(SUBSTITUTE(SUBSTITUTE(CLEAN(E125&amp;"")," ",""),".","")," ",""),"-","")),REPT("0",LEN(SUBSTITUTE(SUBSTITUTE(SUBSTITUTE(SUBSTITUTE(CLEAN(E125&amp;"")," ",""),".","")," ",""),"-",""))))=SUBSTITUTE(SUBSTITUTE(SUBSTITUTE(SUBSTITUTE(CLEAN(E125&amp;"")," ",""),".","")," ",""),"-",""),FALSE)),SUBSTITUTE(SUBSTITUTE(SUBSTITUTE(SUBSTITUTE(CLEAN(E125&amp;"")," ",""),".","")," ",""),"-",""),"CHECK: not 2, 4, 6, 8 or 10 digits"))</f>
        <v/>
      </c>
      <c r="G125" s="11" t="n"/>
      <c r="H125" s="8" t="n"/>
      <c r="I125" s="8" t="n"/>
      <c r="J125" s="10">
        <f>IF(SUBSTITUTE(SUBSTITUTE(SUBSTITUTE(SUBSTITUTE(CLEAN(I125&amp;"")," ",""),".","")," ",""),"-","")="","",IF(AND(OR(LEN(SUBSTITUTE(SUBSTITUTE(SUBSTITUTE(SUBSTITUTE(CLEAN(I125&amp;"")," ",""),".","")," ",""),"-",""))=2,LEN(SUBSTITUTE(SUBSTITUTE(SUBSTITUTE(SUBSTITUTE(CLEAN(I125&amp;"")," ",""),".","")," ",""),"-",""))=4,LEN(SUBSTITUTE(SUBSTITUTE(SUBSTITUTE(SUBSTITUTE(CLEAN(I125&amp;"")," ",""),".","")," ",""),"-",""))=6,LEN(SUBSTITUTE(SUBSTITUTE(SUBSTITUTE(SUBSTITUTE(CLEAN(I125&amp;"")," ",""),".","")," ",""),"-",""))=8,LEN(SUBSTITUTE(SUBSTITUTE(SUBSTITUTE(SUBSTITUTE(CLEAN(I125&amp;"")," ",""),".","")," ",""),"-",""))=10),IFERROR(TEXT(VALUE(SUBSTITUTE(SUBSTITUTE(SUBSTITUTE(SUBSTITUTE(CLEAN(I125&amp;"")," ",""),".","")," ",""),"-","")),REPT("0",LEN(SUBSTITUTE(SUBSTITUTE(SUBSTITUTE(SUBSTITUTE(CLEAN(I125&amp;"")," ",""),".","")," ",""),"-",""))))=SUBSTITUTE(SUBSTITUTE(SUBSTITUTE(SUBSTITUTE(CLEAN(I125&amp;"")," ",""),".","")," ",""),"-",""),FALSE)),SUBSTITUTE(SUBSTITUTE(SUBSTITUTE(SUBSTITUTE(CLEAN(I125&amp;"")," ",""),".","")," ",""),"-",""),"CHECK: not 2, 4, 6, 8 or 10 digits"))</f>
        <v/>
      </c>
      <c r="K125" s="11" t="n"/>
    </row>
    <row r="126">
      <c r="E126" s="8" t="n"/>
      <c r="F126" s="10">
        <f>IF(SUBSTITUTE(SUBSTITUTE(SUBSTITUTE(SUBSTITUTE(CLEAN(E126&amp;"")," ",""),".","")," ",""),"-","")="","",IF(AND(OR(LEN(SUBSTITUTE(SUBSTITUTE(SUBSTITUTE(SUBSTITUTE(CLEAN(E126&amp;"")," ",""),".","")," ",""),"-",""))=2,LEN(SUBSTITUTE(SUBSTITUTE(SUBSTITUTE(SUBSTITUTE(CLEAN(E126&amp;"")," ",""),".","")," ",""),"-",""))=4,LEN(SUBSTITUTE(SUBSTITUTE(SUBSTITUTE(SUBSTITUTE(CLEAN(E126&amp;"")," ",""),".","")," ",""),"-",""))=6,LEN(SUBSTITUTE(SUBSTITUTE(SUBSTITUTE(SUBSTITUTE(CLEAN(E126&amp;"")," ",""),".","")," ",""),"-",""))=8,LEN(SUBSTITUTE(SUBSTITUTE(SUBSTITUTE(SUBSTITUTE(CLEAN(E126&amp;"")," ",""),".","")," ",""),"-",""))=10),IFERROR(TEXT(VALUE(SUBSTITUTE(SUBSTITUTE(SUBSTITUTE(SUBSTITUTE(CLEAN(E126&amp;"")," ",""),".","")," ",""),"-","")),REPT("0",LEN(SUBSTITUTE(SUBSTITUTE(SUBSTITUTE(SUBSTITUTE(CLEAN(E126&amp;"")," ",""),".","")," ",""),"-",""))))=SUBSTITUTE(SUBSTITUTE(SUBSTITUTE(SUBSTITUTE(CLEAN(E126&amp;"")," ",""),".","")," ",""),"-",""),FALSE)),SUBSTITUTE(SUBSTITUTE(SUBSTITUTE(SUBSTITUTE(CLEAN(E126&amp;"")," ",""),".","")," ",""),"-",""),"CHECK: not 2, 4, 6, 8 or 10 digits"))</f>
        <v/>
      </c>
      <c r="G126" s="11" t="n"/>
      <c r="H126" s="8" t="n"/>
      <c r="I126" s="8" t="n"/>
      <c r="J126" s="10">
        <f>IF(SUBSTITUTE(SUBSTITUTE(SUBSTITUTE(SUBSTITUTE(CLEAN(I126&amp;"")," ",""),".","")," ",""),"-","")="","",IF(AND(OR(LEN(SUBSTITUTE(SUBSTITUTE(SUBSTITUTE(SUBSTITUTE(CLEAN(I126&amp;"")," ",""),".","")," ",""),"-",""))=2,LEN(SUBSTITUTE(SUBSTITUTE(SUBSTITUTE(SUBSTITUTE(CLEAN(I126&amp;"")," ",""),".","")," ",""),"-",""))=4,LEN(SUBSTITUTE(SUBSTITUTE(SUBSTITUTE(SUBSTITUTE(CLEAN(I126&amp;"")," ",""),".","")," ",""),"-",""))=6,LEN(SUBSTITUTE(SUBSTITUTE(SUBSTITUTE(SUBSTITUTE(CLEAN(I126&amp;"")," ",""),".","")," ",""),"-",""))=8,LEN(SUBSTITUTE(SUBSTITUTE(SUBSTITUTE(SUBSTITUTE(CLEAN(I126&amp;"")," ",""),".","")," ",""),"-",""))=10),IFERROR(TEXT(VALUE(SUBSTITUTE(SUBSTITUTE(SUBSTITUTE(SUBSTITUTE(CLEAN(I126&amp;"")," ",""),".","")," ",""),"-","")),REPT("0",LEN(SUBSTITUTE(SUBSTITUTE(SUBSTITUTE(SUBSTITUTE(CLEAN(I126&amp;"")," ",""),".","")," ",""),"-",""))))=SUBSTITUTE(SUBSTITUTE(SUBSTITUTE(SUBSTITUTE(CLEAN(I126&amp;"")," ",""),".","")," ",""),"-",""),FALSE)),SUBSTITUTE(SUBSTITUTE(SUBSTITUTE(SUBSTITUTE(CLEAN(I126&amp;"")," ",""),".","")," ",""),"-",""),"CHECK: not 2, 4, 6, 8 or 10 digits"))</f>
        <v/>
      </c>
      <c r="K126" s="11" t="n"/>
    </row>
    <row r="127">
      <c r="E127" s="8" t="n"/>
      <c r="F127" s="10">
        <f>IF(SUBSTITUTE(SUBSTITUTE(SUBSTITUTE(SUBSTITUTE(CLEAN(E127&amp;"")," ",""),".","")," ",""),"-","")="","",IF(AND(OR(LEN(SUBSTITUTE(SUBSTITUTE(SUBSTITUTE(SUBSTITUTE(CLEAN(E127&amp;"")," ",""),".","")," ",""),"-",""))=2,LEN(SUBSTITUTE(SUBSTITUTE(SUBSTITUTE(SUBSTITUTE(CLEAN(E127&amp;"")," ",""),".","")," ",""),"-",""))=4,LEN(SUBSTITUTE(SUBSTITUTE(SUBSTITUTE(SUBSTITUTE(CLEAN(E127&amp;"")," ",""),".","")," ",""),"-",""))=6,LEN(SUBSTITUTE(SUBSTITUTE(SUBSTITUTE(SUBSTITUTE(CLEAN(E127&amp;"")," ",""),".","")," ",""),"-",""))=8,LEN(SUBSTITUTE(SUBSTITUTE(SUBSTITUTE(SUBSTITUTE(CLEAN(E127&amp;"")," ",""),".","")," ",""),"-",""))=10),IFERROR(TEXT(VALUE(SUBSTITUTE(SUBSTITUTE(SUBSTITUTE(SUBSTITUTE(CLEAN(E127&amp;"")," ",""),".","")," ",""),"-","")),REPT("0",LEN(SUBSTITUTE(SUBSTITUTE(SUBSTITUTE(SUBSTITUTE(CLEAN(E127&amp;"")," ",""),".","")," ",""),"-",""))))=SUBSTITUTE(SUBSTITUTE(SUBSTITUTE(SUBSTITUTE(CLEAN(E127&amp;"")," ",""),".","")," ",""),"-",""),FALSE)),SUBSTITUTE(SUBSTITUTE(SUBSTITUTE(SUBSTITUTE(CLEAN(E127&amp;"")," ",""),".","")," ",""),"-",""),"CHECK: not 2, 4, 6, 8 or 10 digits"))</f>
        <v/>
      </c>
      <c r="G127" s="11" t="n"/>
      <c r="H127" s="8" t="n"/>
      <c r="I127" s="8" t="n"/>
      <c r="J127" s="10">
        <f>IF(SUBSTITUTE(SUBSTITUTE(SUBSTITUTE(SUBSTITUTE(CLEAN(I127&amp;"")," ",""),".","")," ",""),"-","")="","",IF(AND(OR(LEN(SUBSTITUTE(SUBSTITUTE(SUBSTITUTE(SUBSTITUTE(CLEAN(I127&amp;"")," ",""),".","")," ",""),"-",""))=2,LEN(SUBSTITUTE(SUBSTITUTE(SUBSTITUTE(SUBSTITUTE(CLEAN(I127&amp;"")," ",""),".","")," ",""),"-",""))=4,LEN(SUBSTITUTE(SUBSTITUTE(SUBSTITUTE(SUBSTITUTE(CLEAN(I127&amp;"")," ",""),".","")," ",""),"-",""))=6,LEN(SUBSTITUTE(SUBSTITUTE(SUBSTITUTE(SUBSTITUTE(CLEAN(I127&amp;"")," ",""),".","")," ",""),"-",""))=8,LEN(SUBSTITUTE(SUBSTITUTE(SUBSTITUTE(SUBSTITUTE(CLEAN(I127&amp;"")," ",""),".","")," ",""),"-",""))=10),IFERROR(TEXT(VALUE(SUBSTITUTE(SUBSTITUTE(SUBSTITUTE(SUBSTITUTE(CLEAN(I127&amp;"")," ",""),".","")," ",""),"-","")),REPT("0",LEN(SUBSTITUTE(SUBSTITUTE(SUBSTITUTE(SUBSTITUTE(CLEAN(I127&amp;"")," ",""),".","")," ",""),"-",""))))=SUBSTITUTE(SUBSTITUTE(SUBSTITUTE(SUBSTITUTE(CLEAN(I127&amp;"")," ",""),".","")," ",""),"-",""),FALSE)),SUBSTITUTE(SUBSTITUTE(SUBSTITUTE(SUBSTITUTE(CLEAN(I127&amp;"")," ",""),".","")," ",""),"-",""),"CHECK: not 2, 4, 6, 8 or 10 digits"))</f>
        <v/>
      </c>
      <c r="K127" s="11" t="n"/>
    </row>
    <row r="128">
      <c r="E128" s="8" t="n"/>
      <c r="F128" s="10">
        <f>IF(SUBSTITUTE(SUBSTITUTE(SUBSTITUTE(SUBSTITUTE(CLEAN(E128&amp;"")," ",""),".","")," ",""),"-","")="","",IF(AND(OR(LEN(SUBSTITUTE(SUBSTITUTE(SUBSTITUTE(SUBSTITUTE(CLEAN(E128&amp;"")," ",""),".","")," ",""),"-",""))=2,LEN(SUBSTITUTE(SUBSTITUTE(SUBSTITUTE(SUBSTITUTE(CLEAN(E128&amp;"")," ",""),".","")," ",""),"-",""))=4,LEN(SUBSTITUTE(SUBSTITUTE(SUBSTITUTE(SUBSTITUTE(CLEAN(E128&amp;"")," ",""),".","")," ",""),"-",""))=6,LEN(SUBSTITUTE(SUBSTITUTE(SUBSTITUTE(SUBSTITUTE(CLEAN(E128&amp;"")," ",""),".","")," ",""),"-",""))=8,LEN(SUBSTITUTE(SUBSTITUTE(SUBSTITUTE(SUBSTITUTE(CLEAN(E128&amp;"")," ",""),".","")," ",""),"-",""))=10),IFERROR(TEXT(VALUE(SUBSTITUTE(SUBSTITUTE(SUBSTITUTE(SUBSTITUTE(CLEAN(E128&amp;"")," ",""),".","")," ",""),"-","")),REPT("0",LEN(SUBSTITUTE(SUBSTITUTE(SUBSTITUTE(SUBSTITUTE(CLEAN(E128&amp;"")," ",""),".","")," ",""),"-",""))))=SUBSTITUTE(SUBSTITUTE(SUBSTITUTE(SUBSTITUTE(CLEAN(E128&amp;"")," ",""),".","")," ",""),"-",""),FALSE)),SUBSTITUTE(SUBSTITUTE(SUBSTITUTE(SUBSTITUTE(CLEAN(E128&amp;"")," ",""),".","")," ",""),"-",""),"CHECK: not 2, 4, 6, 8 or 10 digits"))</f>
        <v/>
      </c>
      <c r="G128" s="11" t="n"/>
      <c r="H128" s="8" t="n"/>
      <c r="I128" s="8" t="n"/>
      <c r="J128" s="10">
        <f>IF(SUBSTITUTE(SUBSTITUTE(SUBSTITUTE(SUBSTITUTE(CLEAN(I128&amp;"")," ",""),".","")," ",""),"-","")="","",IF(AND(OR(LEN(SUBSTITUTE(SUBSTITUTE(SUBSTITUTE(SUBSTITUTE(CLEAN(I128&amp;"")," ",""),".","")," ",""),"-",""))=2,LEN(SUBSTITUTE(SUBSTITUTE(SUBSTITUTE(SUBSTITUTE(CLEAN(I128&amp;"")," ",""),".","")," ",""),"-",""))=4,LEN(SUBSTITUTE(SUBSTITUTE(SUBSTITUTE(SUBSTITUTE(CLEAN(I128&amp;"")," ",""),".","")," ",""),"-",""))=6,LEN(SUBSTITUTE(SUBSTITUTE(SUBSTITUTE(SUBSTITUTE(CLEAN(I128&amp;"")," ",""),".","")," ",""),"-",""))=8,LEN(SUBSTITUTE(SUBSTITUTE(SUBSTITUTE(SUBSTITUTE(CLEAN(I128&amp;"")," ",""),".","")," ",""),"-",""))=10),IFERROR(TEXT(VALUE(SUBSTITUTE(SUBSTITUTE(SUBSTITUTE(SUBSTITUTE(CLEAN(I128&amp;"")," ",""),".","")," ",""),"-","")),REPT("0",LEN(SUBSTITUTE(SUBSTITUTE(SUBSTITUTE(SUBSTITUTE(CLEAN(I128&amp;"")," ",""),".","")," ",""),"-",""))))=SUBSTITUTE(SUBSTITUTE(SUBSTITUTE(SUBSTITUTE(CLEAN(I128&amp;"")," ",""),".","")," ",""),"-",""),FALSE)),SUBSTITUTE(SUBSTITUTE(SUBSTITUTE(SUBSTITUTE(CLEAN(I128&amp;"")," ",""),".","")," ",""),"-",""),"CHECK: not 2, 4, 6, 8 or 10 digits"))</f>
        <v/>
      </c>
      <c r="K128" s="11" t="n"/>
    </row>
    <row r="129">
      <c r="E129" s="8" t="n"/>
      <c r="F129" s="10">
        <f>IF(SUBSTITUTE(SUBSTITUTE(SUBSTITUTE(SUBSTITUTE(CLEAN(E129&amp;"")," ",""),".","")," ",""),"-","")="","",IF(AND(OR(LEN(SUBSTITUTE(SUBSTITUTE(SUBSTITUTE(SUBSTITUTE(CLEAN(E129&amp;"")," ",""),".","")," ",""),"-",""))=2,LEN(SUBSTITUTE(SUBSTITUTE(SUBSTITUTE(SUBSTITUTE(CLEAN(E129&amp;"")," ",""),".","")," ",""),"-",""))=4,LEN(SUBSTITUTE(SUBSTITUTE(SUBSTITUTE(SUBSTITUTE(CLEAN(E129&amp;"")," ",""),".","")," ",""),"-",""))=6,LEN(SUBSTITUTE(SUBSTITUTE(SUBSTITUTE(SUBSTITUTE(CLEAN(E129&amp;"")," ",""),".","")," ",""),"-",""))=8,LEN(SUBSTITUTE(SUBSTITUTE(SUBSTITUTE(SUBSTITUTE(CLEAN(E129&amp;"")," ",""),".","")," ",""),"-",""))=10),IFERROR(TEXT(VALUE(SUBSTITUTE(SUBSTITUTE(SUBSTITUTE(SUBSTITUTE(CLEAN(E129&amp;"")," ",""),".","")," ",""),"-","")),REPT("0",LEN(SUBSTITUTE(SUBSTITUTE(SUBSTITUTE(SUBSTITUTE(CLEAN(E129&amp;"")," ",""),".","")," ",""),"-",""))))=SUBSTITUTE(SUBSTITUTE(SUBSTITUTE(SUBSTITUTE(CLEAN(E129&amp;"")," ",""),".","")," ",""),"-",""),FALSE)),SUBSTITUTE(SUBSTITUTE(SUBSTITUTE(SUBSTITUTE(CLEAN(E129&amp;"")," ",""),".","")," ",""),"-",""),"CHECK: not 2, 4, 6, 8 or 10 digits"))</f>
        <v/>
      </c>
      <c r="G129" s="11" t="n"/>
      <c r="H129" s="8" t="n"/>
      <c r="I129" s="8" t="n"/>
      <c r="J129" s="10">
        <f>IF(SUBSTITUTE(SUBSTITUTE(SUBSTITUTE(SUBSTITUTE(CLEAN(I129&amp;"")," ",""),".","")," ",""),"-","")="","",IF(AND(OR(LEN(SUBSTITUTE(SUBSTITUTE(SUBSTITUTE(SUBSTITUTE(CLEAN(I129&amp;"")," ",""),".","")," ",""),"-",""))=2,LEN(SUBSTITUTE(SUBSTITUTE(SUBSTITUTE(SUBSTITUTE(CLEAN(I129&amp;"")," ",""),".","")," ",""),"-",""))=4,LEN(SUBSTITUTE(SUBSTITUTE(SUBSTITUTE(SUBSTITUTE(CLEAN(I129&amp;"")," ",""),".","")," ",""),"-",""))=6,LEN(SUBSTITUTE(SUBSTITUTE(SUBSTITUTE(SUBSTITUTE(CLEAN(I129&amp;"")," ",""),".","")," ",""),"-",""))=8,LEN(SUBSTITUTE(SUBSTITUTE(SUBSTITUTE(SUBSTITUTE(CLEAN(I129&amp;"")," ",""),".","")," ",""),"-",""))=10),IFERROR(TEXT(VALUE(SUBSTITUTE(SUBSTITUTE(SUBSTITUTE(SUBSTITUTE(CLEAN(I129&amp;"")," ",""),".","")," ",""),"-","")),REPT("0",LEN(SUBSTITUTE(SUBSTITUTE(SUBSTITUTE(SUBSTITUTE(CLEAN(I129&amp;"")," ",""),".","")," ",""),"-",""))))=SUBSTITUTE(SUBSTITUTE(SUBSTITUTE(SUBSTITUTE(CLEAN(I129&amp;"")," ",""),".","")," ",""),"-",""),FALSE)),SUBSTITUTE(SUBSTITUTE(SUBSTITUTE(SUBSTITUTE(CLEAN(I129&amp;"")," ",""),".","")," ",""),"-",""),"CHECK: not 2, 4, 6, 8 or 10 digits"))</f>
        <v/>
      </c>
      <c r="K129" s="11" t="n"/>
    </row>
    <row r="130">
      <c r="E130" s="8" t="n"/>
      <c r="F130" s="10">
        <f>IF(SUBSTITUTE(SUBSTITUTE(SUBSTITUTE(SUBSTITUTE(CLEAN(E130&amp;"")," ",""),".","")," ",""),"-","")="","",IF(AND(OR(LEN(SUBSTITUTE(SUBSTITUTE(SUBSTITUTE(SUBSTITUTE(CLEAN(E130&amp;"")," ",""),".","")," ",""),"-",""))=2,LEN(SUBSTITUTE(SUBSTITUTE(SUBSTITUTE(SUBSTITUTE(CLEAN(E130&amp;"")," ",""),".","")," ",""),"-",""))=4,LEN(SUBSTITUTE(SUBSTITUTE(SUBSTITUTE(SUBSTITUTE(CLEAN(E130&amp;"")," ",""),".","")," ",""),"-",""))=6,LEN(SUBSTITUTE(SUBSTITUTE(SUBSTITUTE(SUBSTITUTE(CLEAN(E130&amp;"")," ",""),".","")," ",""),"-",""))=8,LEN(SUBSTITUTE(SUBSTITUTE(SUBSTITUTE(SUBSTITUTE(CLEAN(E130&amp;"")," ",""),".","")," ",""),"-",""))=10),IFERROR(TEXT(VALUE(SUBSTITUTE(SUBSTITUTE(SUBSTITUTE(SUBSTITUTE(CLEAN(E130&amp;"")," ",""),".","")," ",""),"-","")),REPT("0",LEN(SUBSTITUTE(SUBSTITUTE(SUBSTITUTE(SUBSTITUTE(CLEAN(E130&amp;"")," ",""),".","")," ",""),"-",""))))=SUBSTITUTE(SUBSTITUTE(SUBSTITUTE(SUBSTITUTE(CLEAN(E130&amp;"")," ",""),".","")," ",""),"-",""),FALSE)),SUBSTITUTE(SUBSTITUTE(SUBSTITUTE(SUBSTITUTE(CLEAN(E130&amp;"")," ",""),".","")," ",""),"-",""),"CHECK: not 2, 4, 6, 8 or 10 digits"))</f>
        <v/>
      </c>
      <c r="G130" s="11" t="n"/>
      <c r="H130" s="8" t="n"/>
      <c r="I130" s="8" t="n"/>
      <c r="J130" s="10">
        <f>IF(SUBSTITUTE(SUBSTITUTE(SUBSTITUTE(SUBSTITUTE(CLEAN(I130&amp;"")," ",""),".","")," ",""),"-","")="","",IF(AND(OR(LEN(SUBSTITUTE(SUBSTITUTE(SUBSTITUTE(SUBSTITUTE(CLEAN(I130&amp;"")," ",""),".","")," ",""),"-",""))=2,LEN(SUBSTITUTE(SUBSTITUTE(SUBSTITUTE(SUBSTITUTE(CLEAN(I130&amp;"")," ",""),".","")," ",""),"-",""))=4,LEN(SUBSTITUTE(SUBSTITUTE(SUBSTITUTE(SUBSTITUTE(CLEAN(I130&amp;"")," ",""),".","")," ",""),"-",""))=6,LEN(SUBSTITUTE(SUBSTITUTE(SUBSTITUTE(SUBSTITUTE(CLEAN(I130&amp;"")," ",""),".","")," ",""),"-",""))=8,LEN(SUBSTITUTE(SUBSTITUTE(SUBSTITUTE(SUBSTITUTE(CLEAN(I130&amp;"")," ",""),".","")," ",""),"-",""))=10),IFERROR(TEXT(VALUE(SUBSTITUTE(SUBSTITUTE(SUBSTITUTE(SUBSTITUTE(CLEAN(I130&amp;"")," ",""),".","")," ",""),"-","")),REPT("0",LEN(SUBSTITUTE(SUBSTITUTE(SUBSTITUTE(SUBSTITUTE(CLEAN(I130&amp;"")," ",""),".","")," ",""),"-",""))))=SUBSTITUTE(SUBSTITUTE(SUBSTITUTE(SUBSTITUTE(CLEAN(I130&amp;"")," ",""),".","")," ",""),"-",""),FALSE)),SUBSTITUTE(SUBSTITUTE(SUBSTITUTE(SUBSTITUTE(CLEAN(I130&amp;"")," ",""),".","")," ",""),"-",""),"CHECK: not 2, 4, 6, 8 or 10 digits"))</f>
        <v/>
      </c>
      <c r="K130" s="11" t="n"/>
    </row>
    <row r="131">
      <c r="E131" s="8" t="n"/>
      <c r="F131" s="10">
        <f>IF(SUBSTITUTE(SUBSTITUTE(SUBSTITUTE(SUBSTITUTE(CLEAN(E131&amp;"")," ",""),".","")," ",""),"-","")="","",IF(AND(OR(LEN(SUBSTITUTE(SUBSTITUTE(SUBSTITUTE(SUBSTITUTE(CLEAN(E131&amp;"")," ",""),".","")," ",""),"-",""))=2,LEN(SUBSTITUTE(SUBSTITUTE(SUBSTITUTE(SUBSTITUTE(CLEAN(E131&amp;"")," ",""),".","")," ",""),"-",""))=4,LEN(SUBSTITUTE(SUBSTITUTE(SUBSTITUTE(SUBSTITUTE(CLEAN(E131&amp;"")," ",""),".","")," ",""),"-",""))=6,LEN(SUBSTITUTE(SUBSTITUTE(SUBSTITUTE(SUBSTITUTE(CLEAN(E131&amp;"")," ",""),".","")," ",""),"-",""))=8,LEN(SUBSTITUTE(SUBSTITUTE(SUBSTITUTE(SUBSTITUTE(CLEAN(E131&amp;"")," ",""),".","")," ",""),"-",""))=10),IFERROR(TEXT(VALUE(SUBSTITUTE(SUBSTITUTE(SUBSTITUTE(SUBSTITUTE(CLEAN(E131&amp;"")," ",""),".","")," ",""),"-","")),REPT("0",LEN(SUBSTITUTE(SUBSTITUTE(SUBSTITUTE(SUBSTITUTE(CLEAN(E131&amp;"")," ",""),".","")," ",""),"-",""))))=SUBSTITUTE(SUBSTITUTE(SUBSTITUTE(SUBSTITUTE(CLEAN(E131&amp;"")," ",""),".","")," ",""),"-",""),FALSE)),SUBSTITUTE(SUBSTITUTE(SUBSTITUTE(SUBSTITUTE(CLEAN(E131&amp;"")," ",""),".","")," ",""),"-",""),"CHECK: not 2, 4, 6, 8 or 10 digits"))</f>
        <v/>
      </c>
      <c r="G131" s="11" t="n"/>
      <c r="H131" s="8" t="n"/>
      <c r="I131" s="8" t="n"/>
      <c r="J131" s="10">
        <f>IF(SUBSTITUTE(SUBSTITUTE(SUBSTITUTE(SUBSTITUTE(CLEAN(I131&amp;"")," ",""),".","")," ",""),"-","")="","",IF(AND(OR(LEN(SUBSTITUTE(SUBSTITUTE(SUBSTITUTE(SUBSTITUTE(CLEAN(I131&amp;"")," ",""),".","")," ",""),"-",""))=2,LEN(SUBSTITUTE(SUBSTITUTE(SUBSTITUTE(SUBSTITUTE(CLEAN(I131&amp;"")," ",""),".","")," ",""),"-",""))=4,LEN(SUBSTITUTE(SUBSTITUTE(SUBSTITUTE(SUBSTITUTE(CLEAN(I131&amp;"")," ",""),".","")," ",""),"-",""))=6,LEN(SUBSTITUTE(SUBSTITUTE(SUBSTITUTE(SUBSTITUTE(CLEAN(I131&amp;"")," ",""),".","")," ",""),"-",""))=8,LEN(SUBSTITUTE(SUBSTITUTE(SUBSTITUTE(SUBSTITUTE(CLEAN(I131&amp;"")," ",""),".","")," ",""),"-",""))=10),IFERROR(TEXT(VALUE(SUBSTITUTE(SUBSTITUTE(SUBSTITUTE(SUBSTITUTE(CLEAN(I131&amp;"")," ",""),".","")," ",""),"-","")),REPT("0",LEN(SUBSTITUTE(SUBSTITUTE(SUBSTITUTE(SUBSTITUTE(CLEAN(I131&amp;"")," ",""),".","")," ",""),"-",""))))=SUBSTITUTE(SUBSTITUTE(SUBSTITUTE(SUBSTITUTE(CLEAN(I131&amp;"")," ",""),".","")," ",""),"-",""),FALSE)),SUBSTITUTE(SUBSTITUTE(SUBSTITUTE(SUBSTITUTE(CLEAN(I131&amp;"")," ",""),".","")," ",""),"-",""),"CHECK: not 2, 4, 6, 8 or 10 digits"))</f>
        <v/>
      </c>
      <c r="K131" s="11" t="n"/>
    </row>
    <row r="132">
      <c r="E132" s="8" t="n"/>
      <c r="F132" s="10">
        <f>IF(SUBSTITUTE(SUBSTITUTE(SUBSTITUTE(SUBSTITUTE(CLEAN(E132&amp;"")," ",""),".","")," ",""),"-","")="","",IF(AND(OR(LEN(SUBSTITUTE(SUBSTITUTE(SUBSTITUTE(SUBSTITUTE(CLEAN(E132&amp;"")," ",""),".","")," ",""),"-",""))=2,LEN(SUBSTITUTE(SUBSTITUTE(SUBSTITUTE(SUBSTITUTE(CLEAN(E132&amp;"")," ",""),".","")," ",""),"-",""))=4,LEN(SUBSTITUTE(SUBSTITUTE(SUBSTITUTE(SUBSTITUTE(CLEAN(E132&amp;"")," ",""),".","")," ",""),"-",""))=6,LEN(SUBSTITUTE(SUBSTITUTE(SUBSTITUTE(SUBSTITUTE(CLEAN(E132&amp;"")," ",""),".","")," ",""),"-",""))=8,LEN(SUBSTITUTE(SUBSTITUTE(SUBSTITUTE(SUBSTITUTE(CLEAN(E132&amp;"")," ",""),".","")," ",""),"-",""))=10),IFERROR(TEXT(VALUE(SUBSTITUTE(SUBSTITUTE(SUBSTITUTE(SUBSTITUTE(CLEAN(E132&amp;"")," ",""),".","")," ",""),"-","")),REPT("0",LEN(SUBSTITUTE(SUBSTITUTE(SUBSTITUTE(SUBSTITUTE(CLEAN(E132&amp;"")," ",""),".","")," ",""),"-",""))))=SUBSTITUTE(SUBSTITUTE(SUBSTITUTE(SUBSTITUTE(CLEAN(E132&amp;"")," ",""),".","")," ",""),"-",""),FALSE)),SUBSTITUTE(SUBSTITUTE(SUBSTITUTE(SUBSTITUTE(CLEAN(E132&amp;"")," ",""),".","")," ",""),"-",""),"CHECK: not 2, 4, 6, 8 or 10 digits"))</f>
        <v/>
      </c>
      <c r="G132" s="11" t="n"/>
      <c r="H132" s="8" t="n"/>
      <c r="I132" s="8" t="n"/>
      <c r="J132" s="10">
        <f>IF(SUBSTITUTE(SUBSTITUTE(SUBSTITUTE(SUBSTITUTE(CLEAN(I132&amp;"")," ",""),".","")," ",""),"-","")="","",IF(AND(OR(LEN(SUBSTITUTE(SUBSTITUTE(SUBSTITUTE(SUBSTITUTE(CLEAN(I132&amp;"")," ",""),".","")," ",""),"-",""))=2,LEN(SUBSTITUTE(SUBSTITUTE(SUBSTITUTE(SUBSTITUTE(CLEAN(I132&amp;"")," ",""),".","")," ",""),"-",""))=4,LEN(SUBSTITUTE(SUBSTITUTE(SUBSTITUTE(SUBSTITUTE(CLEAN(I132&amp;"")," ",""),".","")," ",""),"-",""))=6,LEN(SUBSTITUTE(SUBSTITUTE(SUBSTITUTE(SUBSTITUTE(CLEAN(I132&amp;"")," ",""),".","")," ",""),"-",""))=8,LEN(SUBSTITUTE(SUBSTITUTE(SUBSTITUTE(SUBSTITUTE(CLEAN(I132&amp;"")," ",""),".","")," ",""),"-",""))=10),IFERROR(TEXT(VALUE(SUBSTITUTE(SUBSTITUTE(SUBSTITUTE(SUBSTITUTE(CLEAN(I132&amp;"")," ",""),".","")," ",""),"-","")),REPT("0",LEN(SUBSTITUTE(SUBSTITUTE(SUBSTITUTE(SUBSTITUTE(CLEAN(I132&amp;"")," ",""),".","")," ",""),"-",""))))=SUBSTITUTE(SUBSTITUTE(SUBSTITUTE(SUBSTITUTE(CLEAN(I132&amp;"")," ",""),".","")," ",""),"-",""),FALSE)),SUBSTITUTE(SUBSTITUTE(SUBSTITUTE(SUBSTITUTE(CLEAN(I132&amp;"")," ",""),".","")," ",""),"-",""),"CHECK: not 2, 4, 6, 8 or 10 digits"))</f>
        <v/>
      </c>
      <c r="K132" s="11" t="n"/>
    </row>
    <row r="133">
      <c r="E133" s="8" t="n"/>
      <c r="F133" s="10">
        <f>IF(SUBSTITUTE(SUBSTITUTE(SUBSTITUTE(SUBSTITUTE(CLEAN(E133&amp;"")," ",""),".","")," ",""),"-","")="","",IF(AND(OR(LEN(SUBSTITUTE(SUBSTITUTE(SUBSTITUTE(SUBSTITUTE(CLEAN(E133&amp;"")," ",""),".","")," ",""),"-",""))=2,LEN(SUBSTITUTE(SUBSTITUTE(SUBSTITUTE(SUBSTITUTE(CLEAN(E133&amp;"")," ",""),".","")," ",""),"-",""))=4,LEN(SUBSTITUTE(SUBSTITUTE(SUBSTITUTE(SUBSTITUTE(CLEAN(E133&amp;"")," ",""),".","")," ",""),"-",""))=6,LEN(SUBSTITUTE(SUBSTITUTE(SUBSTITUTE(SUBSTITUTE(CLEAN(E133&amp;"")," ",""),".","")," ",""),"-",""))=8,LEN(SUBSTITUTE(SUBSTITUTE(SUBSTITUTE(SUBSTITUTE(CLEAN(E133&amp;"")," ",""),".","")," ",""),"-",""))=10),IFERROR(TEXT(VALUE(SUBSTITUTE(SUBSTITUTE(SUBSTITUTE(SUBSTITUTE(CLEAN(E133&amp;"")," ",""),".","")," ",""),"-","")),REPT("0",LEN(SUBSTITUTE(SUBSTITUTE(SUBSTITUTE(SUBSTITUTE(CLEAN(E133&amp;"")," ",""),".","")," ",""),"-",""))))=SUBSTITUTE(SUBSTITUTE(SUBSTITUTE(SUBSTITUTE(CLEAN(E133&amp;"")," ",""),".","")," ",""),"-",""),FALSE)),SUBSTITUTE(SUBSTITUTE(SUBSTITUTE(SUBSTITUTE(CLEAN(E133&amp;"")," ",""),".","")," ",""),"-",""),"CHECK: not 2, 4, 6, 8 or 10 digits"))</f>
        <v/>
      </c>
      <c r="G133" s="11" t="n"/>
      <c r="H133" s="8" t="n"/>
      <c r="I133" s="8" t="n"/>
      <c r="J133" s="10">
        <f>IF(SUBSTITUTE(SUBSTITUTE(SUBSTITUTE(SUBSTITUTE(CLEAN(I133&amp;"")," ",""),".","")," ",""),"-","")="","",IF(AND(OR(LEN(SUBSTITUTE(SUBSTITUTE(SUBSTITUTE(SUBSTITUTE(CLEAN(I133&amp;"")," ",""),".","")," ",""),"-",""))=2,LEN(SUBSTITUTE(SUBSTITUTE(SUBSTITUTE(SUBSTITUTE(CLEAN(I133&amp;"")," ",""),".","")," ",""),"-",""))=4,LEN(SUBSTITUTE(SUBSTITUTE(SUBSTITUTE(SUBSTITUTE(CLEAN(I133&amp;"")," ",""),".","")," ",""),"-",""))=6,LEN(SUBSTITUTE(SUBSTITUTE(SUBSTITUTE(SUBSTITUTE(CLEAN(I133&amp;"")," ",""),".","")," ",""),"-",""))=8,LEN(SUBSTITUTE(SUBSTITUTE(SUBSTITUTE(SUBSTITUTE(CLEAN(I133&amp;"")," ",""),".","")," ",""),"-",""))=10),IFERROR(TEXT(VALUE(SUBSTITUTE(SUBSTITUTE(SUBSTITUTE(SUBSTITUTE(CLEAN(I133&amp;"")," ",""),".","")," ",""),"-","")),REPT("0",LEN(SUBSTITUTE(SUBSTITUTE(SUBSTITUTE(SUBSTITUTE(CLEAN(I133&amp;"")," ",""),".","")," ",""),"-",""))))=SUBSTITUTE(SUBSTITUTE(SUBSTITUTE(SUBSTITUTE(CLEAN(I133&amp;"")," ",""),".","")," ",""),"-",""),FALSE)),SUBSTITUTE(SUBSTITUTE(SUBSTITUTE(SUBSTITUTE(CLEAN(I133&amp;"")," ",""),".","")," ",""),"-",""),"CHECK: not 2, 4, 6, 8 or 10 digits"))</f>
        <v/>
      </c>
      <c r="K133" s="11" t="n"/>
    </row>
    <row r="134">
      <c r="E134" s="8" t="n"/>
      <c r="F134" s="10">
        <f>IF(SUBSTITUTE(SUBSTITUTE(SUBSTITUTE(SUBSTITUTE(CLEAN(E134&amp;"")," ",""),".","")," ",""),"-","")="","",IF(AND(OR(LEN(SUBSTITUTE(SUBSTITUTE(SUBSTITUTE(SUBSTITUTE(CLEAN(E134&amp;"")," ",""),".","")," ",""),"-",""))=2,LEN(SUBSTITUTE(SUBSTITUTE(SUBSTITUTE(SUBSTITUTE(CLEAN(E134&amp;"")," ",""),".","")," ",""),"-",""))=4,LEN(SUBSTITUTE(SUBSTITUTE(SUBSTITUTE(SUBSTITUTE(CLEAN(E134&amp;"")," ",""),".","")," ",""),"-",""))=6,LEN(SUBSTITUTE(SUBSTITUTE(SUBSTITUTE(SUBSTITUTE(CLEAN(E134&amp;"")," ",""),".","")," ",""),"-",""))=8,LEN(SUBSTITUTE(SUBSTITUTE(SUBSTITUTE(SUBSTITUTE(CLEAN(E134&amp;"")," ",""),".","")," ",""),"-",""))=10),IFERROR(TEXT(VALUE(SUBSTITUTE(SUBSTITUTE(SUBSTITUTE(SUBSTITUTE(CLEAN(E134&amp;"")," ",""),".","")," ",""),"-","")),REPT("0",LEN(SUBSTITUTE(SUBSTITUTE(SUBSTITUTE(SUBSTITUTE(CLEAN(E134&amp;"")," ",""),".","")," ",""),"-",""))))=SUBSTITUTE(SUBSTITUTE(SUBSTITUTE(SUBSTITUTE(CLEAN(E134&amp;"")," ",""),".","")," ",""),"-",""),FALSE)),SUBSTITUTE(SUBSTITUTE(SUBSTITUTE(SUBSTITUTE(CLEAN(E134&amp;"")," ",""),".","")," ",""),"-",""),"CHECK: not 2, 4, 6, 8 or 10 digits"))</f>
        <v/>
      </c>
      <c r="G134" s="11" t="n"/>
      <c r="H134" s="8" t="n"/>
      <c r="I134" s="8" t="n"/>
      <c r="J134" s="10">
        <f>IF(SUBSTITUTE(SUBSTITUTE(SUBSTITUTE(SUBSTITUTE(CLEAN(I134&amp;"")," ",""),".","")," ",""),"-","")="","",IF(AND(OR(LEN(SUBSTITUTE(SUBSTITUTE(SUBSTITUTE(SUBSTITUTE(CLEAN(I134&amp;"")," ",""),".","")," ",""),"-",""))=2,LEN(SUBSTITUTE(SUBSTITUTE(SUBSTITUTE(SUBSTITUTE(CLEAN(I134&amp;"")," ",""),".","")," ",""),"-",""))=4,LEN(SUBSTITUTE(SUBSTITUTE(SUBSTITUTE(SUBSTITUTE(CLEAN(I134&amp;"")," ",""),".","")," ",""),"-",""))=6,LEN(SUBSTITUTE(SUBSTITUTE(SUBSTITUTE(SUBSTITUTE(CLEAN(I134&amp;"")," ",""),".","")," ",""),"-",""))=8,LEN(SUBSTITUTE(SUBSTITUTE(SUBSTITUTE(SUBSTITUTE(CLEAN(I134&amp;"")," ",""),".","")," ",""),"-",""))=10),IFERROR(TEXT(VALUE(SUBSTITUTE(SUBSTITUTE(SUBSTITUTE(SUBSTITUTE(CLEAN(I134&amp;"")," ",""),".","")," ",""),"-","")),REPT("0",LEN(SUBSTITUTE(SUBSTITUTE(SUBSTITUTE(SUBSTITUTE(CLEAN(I134&amp;"")," ",""),".","")," ",""),"-",""))))=SUBSTITUTE(SUBSTITUTE(SUBSTITUTE(SUBSTITUTE(CLEAN(I134&amp;"")," ",""),".","")," ",""),"-",""),FALSE)),SUBSTITUTE(SUBSTITUTE(SUBSTITUTE(SUBSTITUTE(CLEAN(I134&amp;"")," ",""),".","")," ",""),"-",""),"CHECK: not 2, 4, 6, 8 or 10 digits"))</f>
        <v/>
      </c>
      <c r="K134" s="11" t="n"/>
    </row>
    <row r="135">
      <c r="E135" s="8" t="n"/>
      <c r="F135" s="10">
        <f>IF(SUBSTITUTE(SUBSTITUTE(SUBSTITUTE(SUBSTITUTE(CLEAN(E135&amp;"")," ",""),".","")," ",""),"-","")="","",IF(AND(OR(LEN(SUBSTITUTE(SUBSTITUTE(SUBSTITUTE(SUBSTITUTE(CLEAN(E135&amp;"")," ",""),".","")," ",""),"-",""))=2,LEN(SUBSTITUTE(SUBSTITUTE(SUBSTITUTE(SUBSTITUTE(CLEAN(E135&amp;"")," ",""),".","")," ",""),"-",""))=4,LEN(SUBSTITUTE(SUBSTITUTE(SUBSTITUTE(SUBSTITUTE(CLEAN(E135&amp;"")," ",""),".","")," ",""),"-",""))=6,LEN(SUBSTITUTE(SUBSTITUTE(SUBSTITUTE(SUBSTITUTE(CLEAN(E135&amp;"")," ",""),".","")," ",""),"-",""))=8,LEN(SUBSTITUTE(SUBSTITUTE(SUBSTITUTE(SUBSTITUTE(CLEAN(E135&amp;"")," ",""),".","")," ",""),"-",""))=10),IFERROR(TEXT(VALUE(SUBSTITUTE(SUBSTITUTE(SUBSTITUTE(SUBSTITUTE(CLEAN(E135&amp;"")," ",""),".","")," ",""),"-","")),REPT("0",LEN(SUBSTITUTE(SUBSTITUTE(SUBSTITUTE(SUBSTITUTE(CLEAN(E135&amp;"")," ",""),".","")," ",""),"-",""))))=SUBSTITUTE(SUBSTITUTE(SUBSTITUTE(SUBSTITUTE(CLEAN(E135&amp;"")," ",""),".","")," ",""),"-",""),FALSE)),SUBSTITUTE(SUBSTITUTE(SUBSTITUTE(SUBSTITUTE(CLEAN(E135&amp;"")," ",""),".","")," ",""),"-",""),"CHECK: not 2, 4, 6, 8 or 10 digits"))</f>
        <v/>
      </c>
      <c r="G135" s="11" t="n"/>
      <c r="H135" s="8" t="n"/>
      <c r="I135" s="8" t="n"/>
      <c r="J135" s="10">
        <f>IF(SUBSTITUTE(SUBSTITUTE(SUBSTITUTE(SUBSTITUTE(CLEAN(I135&amp;"")," ",""),".","")," ",""),"-","")="","",IF(AND(OR(LEN(SUBSTITUTE(SUBSTITUTE(SUBSTITUTE(SUBSTITUTE(CLEAN(I135&amp;"")," ",""),".","")," ",""),"-",""))=2,LEN(SUBSTITUTE(SUBSTITUTE(SUBSTITUTE(SUBSTITUTE(CLEAN(I135&amp;"")," ",""),".","")," ",""),"-",""))=4,LEN(SUBSTITUTE(SUBSTITUTE(SUBSTITUTE(SUBSTITUTE(CLEAN(I135&amp;"")," ",""),".","")," ",""),"-",""))=6,LEN(SUBSTITUTE(SUBSTITUTE(SUBSTITUTE(SUBSTITUTE(CLEAN(I135&amp;"")," ",""),".","")," ",""),"-",""))=8,LEN(SUBSTITUTE(SUBSTITUTE(SUBSTITUTE(SUBSTITUTE(CLEAN(I135&amp;"")," ",""),".","")," ",""),"-",""))=10),IFERROR(TEXT(VALUE(SUBSTITUTE(SUBSTITUTE(SUBSTITUTE(SUBSTITUTE(CLEAN(I135&amp;"")," ",""),".","")," ",""),"-","")),REPT("0",LEN(SUBSTITUTE(SUBSTITUTE(SUBSTITUTE(SUBSTITUTE(CLEAN(I135&amp;"")," ",""),".","")," ",""),"-",""))))=SUBSTITUTE(SUBSTITUTE(SUBSTITUTE(SUBSTITUTE(CLEAN(I135&amp;"")," ",""),".","")," ",""),"-",""),FALSE)),SUBSTITUTE(SUBSTITUTE(SUBSTITUTE(SUBSTITUTE(CLEAN(I135&amp;"")," ",""),".","")," ",""),"-",""),"CHECK: not 2, 4, 6, 8 or 10 digits"))</f>
        <v/>
      </c>
      <c r="K135" s="11" t="n"/>
    </row>
    <row r="136">
      <c r="E136" s="8" t="n"/>
      <c r="F136" s="10">
        <f>IF(SUBSTITUTE(SUBSTITUTE(SUBSTITUTE(SUBSTITUTE(CLEAN(E136&amp;"")," ",""),".","")," ",""),"-","")="","",IF(AND(OR(LEN(SUBSTITUTE(SUBSTITUTE(SUBSTITUTE(SUBSTITUTE(CLEAN(E136&amp;"")," ",""),".","")," ",""),"-",""))=2,LEN(SUBSTITUTE(SUBSTITUTE(SUBSTITUTE(SUBSTITUTE(CLEAN(E136&amp;"")," ",""),".","")," ",""),"-",""))=4,LEN(SUBSTITUTE(SUBSTITUTE(SUBSTITUTE(SUBSTITUTE(CLEAN(E136&amp;"")," ",""),".","")," ",""),"-",""))=6,LEN(SUBSTITUTE(SUBSTITUTE(SUBSTITUTE(SUBSTITUTE(CLEAN(E136&amp;"")," ",""),".","")," ",""),"-",""))=8,LEN(SUBSTITUTE(SUBSTITUTE(SUBSTITUTE(SUBSTITUTE(CLEAN(E136&amp;"")," ",""),".","")," ",""),"-",""))=10),IFERROR(TEXT(VALUE(SUBSTITUTE(SUBSTITUTE(SUBSTITUTE(SUBSTITUTE(CLEAN(E136&amp;"")," ",""),".","")," ",""),"-","")),REPT("0",LEN(SUBSTITUTE(SUBSTITUTE(SUBSTITUTE(SUBSTITUTE(CLEAN(E136&amp;"")," ",""),".","")," ",""),"-",""))))=SUBSTITUTE(SUBSTITUTE(SUBSTITUTE(SUBSTITUTE(CLEAN(E136&amp;"")," ",""),".","")," ",""),"-",""),FALSE)),SUBSTITUTE(SUBSTITUTE(SUBSTITUTE(SUBSTITUTE(CLEAN(E136&amp;"")," ",""),".","")," ",""),"-",""),"CHECK: not 2, 4, 6, 8 or 10 digits"))</f>
        <v/>
      </c>
      <c r="G136" s="11" t="n"/>
      <c r="H136" s="8" t="n"/>
      <c r="I136" s="8" t="n"/>
      <c r="J136" s="10">
        <f>IF(SUBSTITUTE(SUBSTITUTE(SUBSTITUTE(SUBSTITUTE(CLEAN(I136&amp;"")," ",""),".","")," ",""),"-","")="","",IF(AND(OR(LEN(SUBSTITUTE(SUBSTITUTE(SUBSTITUTE(SUBSTITUTE(CLEAN(I136&amp;"")," ",""),".","")," ",""),"-",""))=2,LEN(SUBSTITUTE(SUBSTITUTE(SUBSTITUTE(SUBSTITUTE(CLEAN(I136&amp;"")," ",""),".","")," ",""),"-",""))=4,LEN(SUBSTITUTE(SUBSTITUTE(SUBSTITUTE(SUBSTITUTE(CLEAN(I136&amp;"")," ",""),".","")," ",""),"-",""))=6,LEN(SUBSTITUTE(SUBSTITUTE(SUBSTITUTE(SUBSTITUTE(CLEAN(I136&amp;"")," ",""),".","")," ",""),"-",""))=8,LEN(SUBSTITUTE(SUBSTITUTE(SUBSTITUTE(SUBSTITUTE(CLEAN(I136&amp;"")," ",""),".","")," ",""),"-",""))=10),IFERROR(TEXT(VALUE(SUBSTITUTE(SUBSTITUTE(SUBSTITUTE(SUBSTITUTE(CLEAN(I136&amp;"")," ",""),".","")," ",""),"-","")),REPT("0",LEN(SUBSTITUTE(SUBSTITUTE(SUBSTITUTE(SUBSTITUTE(CLEAN(I136&amp;"")," ",""),".","")," ",""),"-",""))))=SUBSTITUTE(SUBSTITUTE(SUBSTITUTE(SUBSTITUTE(CLEAN(I136&amp;"")," ",""),".","")," ",""),"-",""),FALSE)),SUBSTITUTE(SUBSTITUTE(SUBSTITUTE(SUBSTITUTE(CLEAN(I136&amp;"")," ",""),".","")," ",""),"-",""),"CHECK: not 2, 4, 6, 8 or 10 digits"))</f>
        <v/>
      </c>
      <c r="K136" s="11" t="n"/>
    </row>
    <row r="137">
      <c r="E137" s="8" t="n"/>
      <c r="F137" s="10">
        <f>IF(SUBSTITUTE(SUBSTITUTE(SUBSTITUTE(SUBSTITUTE(CLEAN(E137&amp;"")," ",""),".","")," ",""),"-","")="","",IF(AND(OR(LEN(SUBSTITUTE(SUBSTITUTE(SUBSTITUTE(SUBSTITUTE(CLEAN(E137&amp;"")," ",""),".","")," ",""),"-",""))=2,LEN(SUBSTITUTE(SUBSTITUTE(SUBSTITUTE(SUBSTITUTE(CLEAN(E137&amp;"")," ",""),".","")," ",""),"-",""))=4,LEN(SUBSTITUTE(SUBSTITUTE(SUBSTITUTE(SUBSTITUTE(CLEAN(E137&amp;"")," ",""),".","")," ",""),"-",""))=6,LEN(SUBSTITUTE(SUBSTITUTE(SUBSTITUTE(SUBSTITUTE(CLEAN(E137&amp;"")," ",""),".","")," ",""),"-",""))=8,LEN(SUBSTITUTE(SUBSTITUTE(SUBSTITUTE(SUBSTITUTE(CLEAN(E137&amp;"")," ",""),".","")," ",""),"-",""))=10),IFERROR(TEXT(VALUE(SUBSTITUTE(SUBSTITUTE(SUBSTITUTE(SUBSTITUTE(CLEAN(E137&amp;"")," ",""),".","")," ",""),"-","")),REPT("0",LEN(SUBSTITUTE(SUBSTITUTE(SUBSTITUTE(SUBSTITUTE(CLEAN(E137&amp;"")," ",""),".","")," ",""),"-",""))))=SUBSTITUTE(SUBSTITUTE(SUBSTITUTE(SUBSTITUTE(CLEAN(E137&amp;"")," ",""),".","")," ",""),"-",""),FALSE)),SUBSTITUTE(SUBSTITUTE(SUBSTITUTE(SUBSTITUTE(CLEAN(E137&amp;"")," ",""),".","")," ",""),"-",""),"CHECK: not 2, 4, 6, 8 or 10 digits"))</f>
        <v/>
      </c>
      <c r="G137" s="11" t="n"/>
      <c r="H137" s="8" t="n"/>
      <c r="I137" s="8" t="n"/>
      <c r="J137" s="10">
        <f>IF(SUBSTITUTE(SUBSTITUTE(SUBSTITUTE(SUBSTITUTE(CLEAN(I137&amp;"")," ",""),".","")," ",""),"-","")="","",IF(AND(OR(LEN(SUBSTITUTE(SUBSTITUTE(SUBSTITUTE(SUBSTITUTE(CLEAN(I137&amp;"")," ",""),".","")," ",""),"-",""))=2,LEN(SUBSTITUTE(SUBSTITUTE(SUBSTITUTE(SUBSTITUTE(CLEAN(I137&amp;"")," ",""),".","")," ",""),"-",""))=4,LEN(SUBSTITUTE(SUBSTITUTE(SUBSTITUTE(SUBSTITUTE(CLEAN(I137&amp;"")," ",""),".","")," ",""),"-",""))=6,LEN(SUBSTITUTE(SUBSTITUTE(SUBSTITUTE(SUBSTITUTE(CLEAN(I137&amp;"")," ",""),".","")," ",""),"-",""))=8,LEN(SUBSTITUTE(SUBSTITUTE(SUBSTITUTE(SUBSTITUTE(CLEAN(I137&amp;"")," ",""),".","")," ",""),"-",""))=10),IFERROR(TEXT(VALUE(SUBSTITUTE(SUBSTITUTE(SUBSTITUTE(SUBSTITUTE(CLEAN(I137&amp;"")," ",""),".","")," ",""),"-","")),REPT("0",LEN(SUBSTITUTE(SUBSTITUTE(SUBSTITUTE(SUBSTITUTE(CLEAN(I137&amp;"")," ",""),".","")," ",""),"-",""))))=SUBSTITUTE(SUBSTITUTE(SUBSTITUTE(SUBSTITUTE(CLEAN(I137&amp;"")," ",""),".","")," ",""),"-",""),FALSE)),SUBSTITUTE(SUBSTITUTE(SUBSTITUTE(SUBSTITUTE(CLEAN(I137&amp;"")," ",""),".","")," ",""),"-",""),"CHECK: not 2, 4, 6, 8 or 10 digits"))</f>
        <v/>
      </c>
      <c r="K137" s="11" t="n"/>
    </row>
    <row r="138">
      <c r="E138" s="8" t="n"/>
      <c r="F138" s="10">
        <f>IF(SUBSTITUTE(SUBSTITUTE(SUBSTITUTE(SUBSTITUTE(CLEAN(E138&amp;"")," ",""),".","")," ",""),"-","")="","",IF(AND(OR(LEN(SUBSTITUTE(SUBSTITUTE(SUBSTITUTE(SUBSTITUTE(CLEAN(E138&amp;"")," ",""),".","")," ",""),"-",""))=2,LEN(SUBSTITUTE(SUBSTITUTE(SUBSTITUTE(SUBSTITUTE(CLEAN(E138&amp;"")," ",""),".","")," ",""),"-",""))=4,LEN(SUBSTITUTE(SUBSTITUTE(SUBSTITUTE(SUBSTITUTE(CLEAN(E138&amp;"")," ",""),".","")," ",""),"-",""))=6,LEN(SUBSTITUTE(SUBSTITUTE(SUBSTITUTE(SUBSTITUTE(CLEAN(E138&amp;"")," ",""),".","")," ",""),"-",""))=8,LEN(SUBSTITUTE(SUBSTITUTE(SUBSTITUTE(SUBSTITUTE(CLEAN(E138&amp;"")," ",""),".","")," ",""),"-",""))=10),IFERROR(TEXT(VALUE(SUBSTITUTE(SUBSTITUTE(SUBSTITUTE(SUBSTITUTE(CLEAN(E138&amp;"")," ",""),".","")," ",""),"-","")),REPT("0",LEN(SUBSTITUTE(SUBSTITUTE(SUBSTITUTE(SUBSTITUTE(CLEAN(E138&amp;"")," ",""),".","")," ",""),"-",""))))=SUBSTITUTE(SUBSTITUTE(SUBSTITUTE(SUBSTITUTE(CLEAN(E138&amp;"")," ",""),".","")," ",""),"-",""),FALSE)),SUBSTITUTE(SUBSTITUTE(SUBSTITUTE(SUBSTITUTE(CLEAN(E138&amp;"")," ",""),".","")," ",""),"-",""),"CHECK: not 2, 4, 6, 8 or 10 digits"))</f>
        <v/>
      </c>
      <c r="G138" s="11" t="n"/>
      <c r="H138" s="8" t="n"/>
      <c r="I138" s="8" t="n"/>
      <c r="J138" s="10">
        <f>IF(SUBSTITUTE(SUBSTITUTE(SUBSTITUTE(SUBSTITUTE(CLEAN(I138&amp;"")," ",""),".","")," ",""),"-","")="","",IF(AND(OR(LEN(SUBSTITUTE(SUBSTITUTE(SUBSTITUTE(SUBSTITUTE(CLEAN(I138&amp;"")," ",""),".","")," ",""),"-",""))=2,LEN(SUBSTITUTE(SUBSTITUTE(SUBSTITUTE(SUBSTITUTE(CLEAN(I138&amp;"")," ",""),".","")," ",""),"-",""))=4,LEN(SUBSTITUTE(SUBSTITUTE(SUBSTITUTE(SUBSTITUTE(CLEAN(I138&amp;"")," ",""),".","")," ",""),"-",""))=6,LEN(SUBSTITUTE(SUBSTITUTE(SUBSTITUTE(SUBSTITUTE(CLEAN(I138&amp;"")," ",""),".","")," ",""),"-",""))=8,LEN(SUBSTITUTE(SUBSTITUTE(SUBSTITUTE(SUBSTITUTE(CLEAN(I138&amp;"")," ",""),".","")," ",""),"-",""))=10),IFERROR(TEXT(VALUE(SUBSTITUTE(SUBSTITUTE(SUBSTITUTE(SUBSTITUTE(CLEAN(I138&amp;"")," ",""),".","")," ",""),"-","")),REPT("0",LEN(SUBSTITUTE(SUBSTITUTE(SUBSTITUTE(SUBSTITUTE(CLEAN(I138&amp;"")," ",""),".","")," ",""),"-",""))))=SUBSTITUTE(SUBSTITUTE(SUBSTITUTE(SUBSTITUTE(CLEAN(I138&amp;"")," ",""),".","")," ",""),"-",""),FALSE)),SUBSTITUTE(SUBSTITUTE(SUBSTITUTE(SUBSTITUTE(CLEAN(I138&amp;"")," ",""),".","")," ",""),"-",""),"CHECK: not 2, 4, 6, 8 or 10 digits"))</f>
        <v/>
      </c>
      <c r="K138" s="11" t="n"/>
    </row>
    <row r="139">
      <c r="E139" s="8" t="n"/>
      <c r="F139" s="10">
        <f>IF(SUBSTITUTE(SUBSTITUTE(SUBSTITUTE(SUBSTITUTE(CLEAN(E139&amp;"")," ",""),".","")," ",""),"-","")="","",IF(AND(OR(LEN(SUBSTITUTE(SUBSTITUTE(SUBSTITUTE(SUBSTITUTE(CLEAN(E139&amp;"")," ",""),".","")," ",""),"-",""))=2,LEN(SUBSTITUTE(SUBSTITUTE(SUBSTITUTE(SUBSTITUTE(CLEAN(E139&amp;"")," ",""),".","")," ",""),"-",""))=4,LEN(SUBSTITUTE(SUBSTITUTE(SUBSTITUTE(SUBSTITUTE(CLEAN(E139&amp;"")," ",""),".","")," ",""),"-",""))=6,LEN(SUBSTITUTE(SUBSTITUTE(SUBSTITUTE(SUBSTITUTE(CLEAN(E139&amp;"")," ",""),".","")," ",""),"-",""))=8,LEN(SUBSTITUTE(SUBSTITUTE(SUBSTITUTE(SUBSTITUTE(CLEAN(E139&amp;"")," ",""),".","")," ",""),"-",""))=10),IFERROR(TEXT(VALUE(SUBSTITUTE(SUBSTITUTE(SUBSTITUTE(SUBSTITUTE(CLEAN(E139&amp;"")," ",""),".","")," ",""),"-","")),REPT("0",LEN(SUBSTITUTE(SUBSTITUTE(SUBSTITUTE(SUBSTITUTE(CLEAN(E139&amp;"")," ",""),".","")," ",""),"-",""))))=SUBSTITUTE(SUBSTITUTE(SUBSTITUTE(SUBSTITUTE(CLEAN(E139&amp;"")," ",""),".","")," ",""),"-",""),FALSE)),SUBSTITUTE(SUBSTITUTE(SUBSTITUTE(SUBSTITUTE(CLEAN(E139&amp;"")," ",""),".","")," ",""),"-",""),"CHECK: not 2, 4, 6, 8 or 10 digits"))</f>
        <v/>
      </c>
      <c r="G139" s="11" t="n"/>
      <c r="H139" s="8" t="n"/>
      <c r="I139" s="8" t="n"/>
      <c r="J139" s="10">
        <f>IF(SUBSTITUTE(SUBSTITUTE(SUBSTITUTE(SUBSTITUTE(CLEAN(I139&amp;"")," ",""),".","")," ",""),"-","")="","",IF(AND(OR(LEN(SUBSTITUTE(SUBSTITUTE(SUBSTITUTE(SUBSTITUTE(CLEAN(I139&amp;"")," ",""),".","")," ",""),"-",""))=2,LEN(SUBSTITUTE(SUBSTITUTE(SUBSTITUTE(SUBSTITUTE(CLEAN(I139&amp;"")," ",""),".","")," ",""),"-",""))=4,LEN(SUBSTITUTE(SUBSTITUTE(SUBSTITUTE(SUBSTITUTE(CLEAN(I139&amp;"")," ",""),".","")," ",""),"-",""))=6,LEN(SUBSTITUTE(SUBSTITUTE(SUBSTITUTE(SUBSTITUTE(CLEAN(I139&amp;"")," ",""),".","")," ",""),"-",""))=8,LEN(SUBSTITUTE(SUBSTITUTE(SUBSTITUTE(SUBSTITUTE(CLEAN(I139&amp;"")," ",""),".","")," ",""),"-",""))=10),IFERROR(TEXT(VALUE(SUBSTITUTE(SUBSTITUTE(SUBSTITUTE(SUBSTITUTE(CLEAN(I139&amp;"")," ",""),".","")," ",""),"-","")),REPT("0",LEN(SUBSTITUTE(SUBSTITUTE(SUBSTITUTE(SUBSTITUTE(CLEAN(I139&amp;"")," ",""),".","")," ",""),"-",""))))=SUBSTITUTE(SUBSTITUTE(SUBSTITUTE(SUBSTITUTE(CLEAN(I139&amp;"")," ",""),".","")," ",""),"-",""),FALSE)),SUBSTITUTE(SUBSTITUTE(SUBSTITUTE(SUBSTITUTE(CLEAN(I139&amp;"")," ",""),".","")," ",""),"-",""),"CHECK: not 2, 4, 6, 8 or 10 digits"))</f>
        <v/>
      </c>
      <c r="K139" s="11" t="n"/>
    </row>
    <row r="140">
      <c r="E140" s="8" t="n"/>
      <c r="F140" s="10">
        <f>IF(SUBSTITUTE(SUBSTITUTE(SUBSTITUTE(SUBSTITUTE(CLEAN(E140&amp;"")," ",""),".","")," ",""),"-","")="","",IF(AND(OR(LEN(SUBSTITUTE(SUBSTITUTE(SUBSTITUTE(SUBSTITUTE(CLEAN(E140&amp;"")," ",""),".","")," ",""),"-",""))=2,LEN(SUBSTITUTE(SUBSTITUTE(SUBSTITUTE(SUBSTITUTE(CLEAN(E140&amp;"")," ",""),".","")," ",""),"-",""))=4,LEN(SUBSTITUTE(SUBSTITUTE(SUBSTITUTE(SUBSTITUTE(CLEAN(E140&amp;"")," ",""),".","")," ",""),"-",""))=6,LEN(SUBSTITUTE(SUBSTITUTE(SUBSTITUTE(SUBSTITUTE(CLEAN(E140&amp;"")," ",""),".","")," ",""),"-",""))=8,LEN(SUBSTITUTE(SUBSTITUTE(SUBSTITUTE(SUBSTITUTE(CLEAN(E140&amp;"")," ",""),".","")," ",""),"-",""))=10),IFERROR(TEXT(VALUE(SUBSTITUTE(SUBSTITUTE(SUBSTITUTE(SUBSTITUTE(CLEAN(E140&amp;"")," ",""),".","")," ",""),"-","")),REPT("0",LEN(SUBSTITUTE(SUBSTITUTE(SUBSTITUTE(SUBSTITUTE(CLEAN(E140&amp;"")," ",""),".","")," ",""),"-",""))))=SUBSTITUTE(SUBSTITUTE(SUBSTITUTE(SUBSTITUTE(CLEAN(E140&amp;"")," ",""),".","")," ",""),"-",""),FALSE)),SUBSTITUTE(SUBSTITUTE(SUBSTITUTE(SUBSTITUTE(CLEAN(E140&amp;"")," ",""),".","")," ",""),"-",""),"CHECK: not 2, 4, 6, 8 or 10 digits"))</f>
        <v/>
      </c>
      <c r="G140" s="11" t="n"/>
      <c r="H140" s="8" t="n"/>
      <c r="I140" s="8" t="n"/>
      <c r="J140" s="10">
        <f>IF(SUBSTITUTE(SUBSTITUTE(SUBSTITUTE(SUBSTITUTE(CLEAN(I140&amp;"")," ",""),".","")," ",""),"-","")="","",IF(AND(OR(LEN(SUBSTITUTE(SUBSTITUTE(SUBSTITUTE(SUBSTITUTE(CLEAN(I140&amp;"")," ",""),".","")," ",""),"-",""))=2,LEN(SUBSTITUTE(SUBSTITUTE(SUBSTITUTE(SUBSTITUTE(CLEAN(I140&amp;"")," ",""),".","")," ",""),"-",""))=4,LEN(SUBSTITUTE(SUBSTITUTE(SUBSTITUTE(SUBSTITUTE(CLEAN(I140&amp;"")," ",""),".","")," ",""),"-",""))=6,LEN(SUBSTITUTE(SUBSTITUTE(SUBSTITUTE(SUBSTITUTE(CLEAN(I140&amp;"")," ",""),".","")," ",""),"-",""))=8,LEN(SUBSTITUTE(SUBSTITUTE(SUBSTITUTE(SUBSTITUTE(CLEAN(I140&amp;"")," ",""),".","")," ",""),"-",""))=10),IFERROR(TEXT(VALUE(SUBSTITUTE(SUBSTITUTE(SUBSTITUTE(SUBSTITUTE(CLEAN(I140&amp;"")," ",""),".","")," ",""),"-","")),REPT("0",LEN(SUBSTITUTE(SUBSTITUTE(SUBSTITUTE(SUBSTITUTE(CLEAN(I140&amp;"")," ",""),".","")," ",""),"-",""))))=SUBSTITUTE(SUBSTITUTE(SUBSTITUTE(SUBSTITUTE(CLEAN(I140&amp;"")," ",""),".","")," ",""),"-",""),FALSE)),SUBSTITUTE(SUBSTITUTE(SUBSTITUTE(SUBSTITUTE(CLEAN(I140&amp;"")," ",""),".","")," ",""),"-",""),"CHECK: not 2, 4, 6, 8 or 10 digits"))</f>
        <v/>
      </c>
      <c r="K140" s="11" t="n"/>
    </row>
    <row r="141">
      <c r="E141" s="8" t="n"/>
      <c r="F141" s="10">
        <f>IF(SUBSTITUTE(SUBSTITUTE(SUBSTITUTE(SUBSTITUTE(CLEAN(E141&amp;"")," ",""),".","")," ",""),"-","")="","",IF(AND(OR(LEN(SUBSTITUTE(SUBSTITUTE(SUBSTITUTE(SUBSTITUTE(CLEAN(E141&amp;"")," ",""),".","")," ",""),"-",""))=2,LEN(SUBSTITUTE(SUBSTITUTE(SUBSTITUTE(SUBSTITUTE(CLEAN(E141&amp;"")," ",""),".","")," ",""),"-",""))=4,LEN(SUBSTITUTE(SUBSTITUTE(SUBSTITUTE(SUBSTITUTE(CLEAN(E141&amp;"")," ",""),".","")," ",""),"-",""))=6,LEN(SUBSTITUTE(SUBSTITUTE(SUBSTITUTE(SUBSTITUTE(CLEAN(E141&amp;"")," ",""),".","")," ",""),"-",""))=8,LEN(SUBSTITUTE(SUBSTITUTE(SUBSTITUTE(SUBSTITUTE(CLEAN(E141&amp;"")," ",""),".","")," ",""),"-",""))=10),IFERROR(TEXT(VALUE(SUBSTITUTE(SUBSTITUTE(SUBSTITUTE(SUBSTITUTE(CLEAN(E141&amp;"")," ",""),".","")," ",""),"-","")),REPT("0",LEN(SUBSTITUTE(SUBSTITUTE(SUBSTITUTE(SUBSTITUTE(CLEAN(E141&amp;"")," ",""),".","")," ",""),"-",""))))=SUBSTITUTE(SUBSTITUTE(SUBSTITUTE(SUBSTITUTE(CLEAN(E141&amp;"")," ",""),".","")," ",""),"-",""),FALSE)),SUBSTITUTE(SUBSTITUTE(SUBSTITUTE(SUBSTITUTE(CLEAN(E141&amp;"")," ",""),".","")," ",""),"-",""),"CHECK: not 2, 4, 6, 8 or 10 digits"))</f>
        <v/>
      </c>
      <c r="G141" s="11" t="n"/>
      <c r="H141" s="8" t="n"/>
      <c r="I141" s="8" t="n"/>
      <c r="J141" s="10">
        <f>IF(SUBSTITUTE(SUBSTITUTE(SUBSTITUTE(SUBSTITUTE(CLEAN(I141&amp;"")," ",""),".","")," ",""),"-","")="","",IF(AND(OR(LEN(SUBSTITUTE(SUBSTITUTE(SUBSTITUTE(SUBSTITUTE(CLEAN(I141&amp;"")," ",""),".","")," ",""),"-",""))=2,LEN(SUBSTITUTE(SUBSTITUTE(SUBSTITUTE(SUBSTITUTE(CLEAN(I141&amp;"")," ",""),".","")," ",""),"-",""))=4,LEN(SUBSTITUTE(SUBSTITUTE(SUBSTITUTE(SUBSTITUTE(CLEAN(I141&amp;"")," ",""),".","")," ",""),"-",""))=6,LEN(SUBSTITUTE(SUBSTITUTE(SUBSTITUTE(SUBSTITUTE(CLEAN(I141&amp;"")," ",""),".","")," ",""),"-",""))=8,LEN(SUBSTITUTE(SUBSTITUTE(SUBSTITUTE(SUBSTITUTE(CLEAN(I141&amp;"")," ",""),".","")," ",""),"-",""))=10),IFERROR(TEXT(VALUE(SUBSTITUTE(SUBSTITUTE(SUBSTITUTE(SUBSTITUTE(CLEAN(I141&amp;"")," ",""),".","")," ",""),"-","")),REPT("0",LEN(SUBSTITUTE(SUBSTITUTE(SUBSTITUTE(SUBSTITUTE(CLEAN(I141&amp;"")," ",""),".","")," ",""),"-",""))))=SUBSTITUTE(SUBSTITUTE(SUBSTITUTE(SUBSTITUTE(CLEAN(I141&amp;"")," ",""),".","")," ",""),"-",""),FALSE)),SUBSTITUTE(SUBSTITUTE(SUBSTITUTE(SUBSTITUTE(CLEAN(I141&amp;"")," ",""),".","")," ",""),"-",""),"CHECK: not 2, 4, 6, 8 or 10 digits"))</f>
        <v/>
      </c>
      <c r="K141" s="11" t="n"/>
    </row>
    <row r="142">
      <c r="E142" s="8" t="n"/>
      <c r="F142" s="10">
        <f>IF(SUBSTITUTE(SUBSTITUTE(SUBSTITUTE(SUBSTITUTE(CLEAN(E142&amp;"")," ",""),".","")," ",""),"-","")="","",IF(AND(OR(LEN(SUBSTITUTE(SUBSTITUTE(SUBSTITUTE(SUBSTITUTE(CLEAN(E142&amp;"")," ",""),".","")," ",""),"-",""))=2,LEN(SUBSTITUTE(SUBSTITUTE(SUBSTITUTE(SUBSTITUTE(CLEAN(E142&amp;"")," ",""),".","")," ",""),"-",""))=4,LEN(SUBSTITUTE(SUBSTITUTE(SUBSTITUTE(SUBSTITUTE(CLEAN(E142&amp;"")," ",""),".","")," ",""),"-",""))=6,LEN(SUBSTITUTE(SUBSTITUTE(SUBSTITUTE(SUBSTITUTE(CLEAN(E142&amp;"")," ",""),".","")," ",""),"-",""))=8,LEN(SUBSTITUTE(SUBSTITUTE(SUBSTITUTE(SUBSTITUTE(CLEAN(E142&amp;"")," ",""),".","")," ",""),"-",""))=10),IFERROR(TEXT(VALUE(SUBSTITUTE(SUBSTITUTE(SUBSTITUTE(SUBSTITUTE(CLEAN(E142&amp;"")," ",""),".","")," ",""),"-","")),REPT("0",LEN(SUBSTITUTE(SUBSTITUTE(SUBSTITUTE(SUBSTITUTE(CLEAN(E142&amp;"")," ",""),".","")," ",""),"-",""))))=SUBSTITUTE(SUBSTITUTE(SUBSTITUTE(SUBSTITUTE(CLEAN(E142&amp;"")," ",""),".","")," ",""),"-",""),FALSE)),SUBSTITUTE(SUBSTITUTE(SUBSTITUTE(SUBSTITUTE(CLEAN(E142&amp;"")," ",""),".","")," ",""),"-",""),"CHECK: not 2, 4, 6, 8 or 10 digits"))</f>
        <v/>
      </c>
      <c r="G142" s="11" t="n"/>
      <c r="H142" s="8" t="n"/>
      <c r="I142" s="8" t="n"/>
      <c r="J142" s="10">
        <f>IF(SUBSTITUTE(SUBSTITUTE(SUBSTITUTE(SUBSTITUTE(CLEAN(I142&amp;"")," ",""),".","")," ",""),"-","")="","",IF(AND(OR(LEN(SUBSTITUTE(SUBSTITUTE(SUBSTITUTE(SUBSTITUTE(CLEAN(I142&amp;"")," ",""),".","")," ",""),"-",""))=2,LEN(SUBSTITUTE(SUBSTITUTE(SUBSTITUTE(SUBSTITUTE(CLEAN(I142&amp;"")," ",""),".","")," ",""),"-",""))=4,LEN(SUBSTITUTE(SUBSTITUTE(SUBSTITUTE(SUBSTITUTE(CLEAN(I142&amp;"")," ",""),".","")," ",""),"-",""))=6,LEN(SUBSTITUTE(SUBSTITUTE(SUBSTITUTE(SUBSTITUTE(CLEAN(I142&amp;"")," ",""),".","")," ",""),"-",""))=8,LEN(SUBSTITUTE(SUBSTITUTE(SUBSTITUTE(SUBSTITUTE(CLEAN(I142&amp;"")," ",""),".","")," ",""),"-",""))=10),IFERROR(TEXT(VALUE(SUBSTITUTE(SUBSTITUTE(SUBSTITUTE(SUBSTITUTE(CLEAN(I142&amp;"")," ",""),".","")," ",""),"-","")),REPT("0",LEN(SUBSTITUTE(SUBSTITUTE(SUBSTITUTE(SUBSTITUTE(CLEAN(I142&amp;"")," ",""),".","")," ",""),"-",""))))=SUBSTITUTE(SUBSTITUTE(SUBSTITUTE(SUBSTITUTE(CLEAN(I142&amp;"")," ",""),".","")," ",""),"-",""),FALSE)),SUBSTITUTE(SUBSTITUTE(SUBSTITUTE(SUBSTITUTE(CLEAN(I142&amp;"")," ",""),".","")," ",""),"-",""),"CHECK: not 2, 4, 6, 8 or 10 digits"))</f>
        <v/>
      </c>
      <c r="K142" s="11" t="n"/>
    </row>
    <row r="143">
      <c r="E143" s="8" t="n"/>
      <c r="F143" s="10">
        <f>IF(SUBSTITUTE(SUBSTITUTE(SUBSTITUTE(SUBSTITUTE(CLEAN(E143&amp;"")," ",""),".","")," ",""),"-","")="","",IF(AND(OR(LEN(SUBSTITUTE(SUBSTITUTE(SUBSTITUTE(SUBSTITUTE(CLEAN(E143&amp;"")," ",""),".","")," ",""),"-",""))=2,LEN(SUBSTITUTE(SUBSTITUTE(SUBSTITUTE(SUBSTITUTE(CLEAN(E143&amp;"")," ",""),".","")," ",""),"-",""))=4,LEN(SUBSTITUTE(SUBSTITUTE(SUBSTITUTE(SUBSTITUTE(CLEAN(E143&amp;"")," ",""),".","")," ",""),"-",""))=6,LEN(SUBSTITUTE(SUBSTITUTE(SUBSTITUTE(SUBSTITUTE(CLEAN(E143&amp;"")," ",""),".","")," ",""),"-",""))=8,LEN(SUBSTITUTE(SUBSTITUTE(SUBSTITUTE(SUBSTITUTE(CLEAN(E143&amp;"")," ",""),".","")," ",""),"-",""))=10),IFERROR(TEXT(VALUE(SUBSTITUTE(SUBSTITUTE(SUBSTITUTE(SUBSTITUTE(CLEAN(E143&amp;"")," ",""),".","")," ",""),"-","")),REPT("0",LEN(SUBSTITUTE(SUBSTITUTE(SUBSTITUTE(SUBSTITUTE(CLEAN(E143&amp;"")," ",""),".","")," ",""),"-",""))))=SUBSTITUTE(SUBSTITUTE(SUBSTITUTE(SUBSTITUTE(CLEAN(E143&amp;"")," ",""),".","")," ",""),"-",""),FALSE)),SUBSTITUTE(SUBSTITUTE(SUBSTITUTE(SUBSTITUTE(CLEAN(E143&amp;"")," ",""),".","")," ",""),"-",""),"CHECK: not 2, 4, 6, 8 or 10 digits"))</f>
        <v/>
      </c>
      <c r="G143" s="11" t="n"/>
      <c r="H143" s="8" t="n"/>
      <c r="I143" s="8" t="n"/>
      <c r="J143" s="10">
        <f>IF(SUBSTITUTE(SUBSTITUTE(SUBSTITUTE(SUBSTITUTE(CLEAN(I143&amp;"")," ",""),".","")," ",""),"-","")="","",IF(AND(OR(LEN(SUBSTITUTE(SUBSTITUTE(SUBSTITUTE(SUBSTITUTE(CLEAN(I143&amp;"")," ",""),".","")," ",""),"-",""))=2,LEN(SUBSTITUTE(SUBSTITUTE(SUBSTITUTE(SUBSTITUTE(CLEAN(I143&amp;"")," ",""),".","")," ",""),"-",""))=4,LEN(SUBSTITUTE(SUBSTITUTE(SUBSTITUTE(SUBSTITUTE(CLEAN(I143&amp;"")," ",""),".","")," ",""),"-",""))=6,LEN(SUBSTITUTE(SUBSTITUTE(SUBSTITUTE(SUBSTITUTE(CLEAN(I143&amp;"")," ",""),".","")," ",""),"-",""))=8,LEN(SUBSTITUTE(SUBSTITUTE(SUBSTITUTE(SUBSTITUTE(CLEAN(I143&amp;"")," ",""),".","")," ",""),"-",""))=10),IFERROR(TEXT(VALUE(SUBSTITUTE(SUBSTITUTE(SUBSTITUTE(SUBSTITUTE(CLEAN(I143&amp;"")," ",""),".","")," ",""),"-","")),REPT("0",LEN(SUBSTITUTE(SUBSTITUTE(SUBSTITUTE(SUBSTITUTE(CLEAN(I143&amp;"")," ",""),".","")," ",""),"-",""))))=SUBSTITUTE(SUBSTITUTE(SUBSTITUTE(SUBSTITUTE(CLEAN(I143&amp;"")," ",""),".","")," ",""),"-",""),FALSE)),SUBSTITUTE(SUBSTITUTE(SUBSTITUTE(SUBSTITUTE(CLEAN(I143&amp;"")," ",""),".","")," ",""),"-",""),"CHECK: not 2, 4, 6, 8 or 10 digits"))</f>
        <v/>
      </c>
      <c r="K143" s="11" t="n"/>
    </row>
    <row r="144">
      <c r="E144" s="8" t="n"/>
      <c r="F144" s="10">
        <f>IF(SUBSTITUTE(SUBSTITUTE(SUBSTITUTE(SUBSTITUTE(CLEAN(E144&amp;"")," ",""),".","")," ",""),"-","")="","",IF(AND(OR(LEN(SUBSTITUTE(SUBSTITUTE(SUBSTITUTE(SUBSTITUTE(CLEAN(E144&amp;"")," ",""),".","")," ",""),"-",""))=2,LEN(SUBSTITUTE(SUBSTITUTE(SUBSTITUTE(SUBSTITUTE(CLEAN(E144&amp;"")," ",""),".","")," ",""),"-",""))=4,LEN(SUBSTITUTE(SUBSTITUTE(SUBSTITUTE(SUBSTITUTE(CLEAN(E144&amp;"")," ",""),".","")," ",""),"-",""))=6,LEN(SUBSTITUTE(SUBSTITUTE(SUBSTITUTE(SUBSTITUTE(CLEAN(E144&amp;"")," ",""),".","")," ",""),"-",""))=8,LEN(SUBSTITUTE(SUBSTITUTE(SUBSTITUTE(SUBSTITUTE(CLEAN(E144&amp;"")," ",""),".","")," ",""),"-",""))=10),IFERROR(TEXT(VALUE(SUBSTITUTE(SUBSTITUTE(SUBSTITUTE(SUBSTITUTE(CLEAN(E144&amp;"")," ",""),".","")," ",""),"-","")),REPT("0",LEN(SUBSTITUTE(SUBSTITUTE(SUBSTITUTE(SUBSTITUTE(CLEAN(E144&amp;"")," ",""),".","")," ",""),"-",""))))=SUBSTITUTE(SUBSTITUTE(SUBSTITUTE(SUBSTITUTE(CLEAN(E144&amp;"")," ",""),".","")," ",""),"-",""),FALSE)),SUBSTITUTE(SUBSTITUTE(SUBSTITUTE(SUBSTITUTE(CLEAN(E144&amp;"")," ",""),".","")," ",""),"-",""),"CHECK: not 2, 4, 6, 8 or 10 digits"))</f>
        <v/>
      </c>
      <c r="G144" s="11" t="n"/>
      <c r="H144" s="8" t="n"/>
      <c r="I144" s="8" t="n"/>
      <c r="J144" s="10">
        <f>IF(SUBSTITUTE(SUBSTITUTE(SUBSTITUTE(SUBSTITUTE(CLEAN(I144&amp;"")," ",""),".","")," ",""),"-","")="","",IF(AND(OR(LEN(SUBSTITUTE(SUBSTITUTE(SUBSTITUTE(SUBSTITUTE(CLEAN(I144&amp;"")," ",""),".","")," ",""),"-",""))=2,LEN(SUBSTITUTE(SUBSTITUTE(SUBSTITUTE(SUBSTITUTE(CLEAN(I144&amp;"")," ",""),".","")," ",""),"-",""))=4,LEN(SUBSTITUTE(SUBSTITUTE(SUBSTITUTE(SUBSTITUTE(CLEAN(I144&amp;"")," ",""),".","")," ",""),"-",""))=6,LEN(SUBSTITUTE(SUBSTITUTE(SUBSTITUTE(SUBSTITUTE(CLEAN(I144&amp;"")," ",""),".","")," ",""),"-",""))=8,LEN(SUBSTITUTE(SUBSTITUTE(SUBSTITUTE(SUBSTITUTE(CLEAN(I144&amp;"")," ",""),".","")," ",""),"-",""))=10),IFERROR(TEXT(VALUE(SUBSTITUTE(SUBSTITUTE(SUBSTITUTE(SUBSTITUTE(CLEAN(I144&amp;"")," ",""),".","")," ",""),"-","")),REPT("0",LEN(SUBSTITUTE(SUBSTITUTE(SUBSTITUTE(SUBSTITUTE(CLEAN(I144&amp;"")," ",""),".","")," ",""),"-",""))))=SUBSTITUTE(SUBSTITUTE(SUBSTITUTE(SUBSTITUTE(CLEAN(I144&amp;"")," ",""),".","")," ",""),"-",""),FALSE)),SUBSTITUTE(SUBSTITUTE(SUBSTITUTE(SUBSTITUTE(CLEAN(I144&amp;"")," ",""),".","")," ",""),"-",""),"CHECK: not 2, 4, 6, 8 or 10 digits"))</f>
        <v/>
      </c>
      <c r="K144" s="11" t="n"/>
    </row>
    <row r="145">
      <c r="E145" s="8" t="n"/>
      <c r="F145" s="10">
        <f>IF(SUBSTITUTE(SUBSTITUTE(SUBSTITUTE(SUBSTITUTE(CLEAN(E145&amp;"")," ",""),".","")," ",""),"-","")="","",IF(AND(OR(LEN(SUBSTITUTE(SUBSTITUTE(SUBSTITUTE(SUBSTITUTE(CLEAN(E145&amp;"")," ",""),".","")," ",""),"-",""))=2,LEN(SUBSTITUTE(SUBSTITUTE(SUBSTITUTE(SUBSTITUTE(CLEAN(E145&amp;"")," ",""),".","")," ",""),"-",""))=4,LEN(SUBSTITUTE(SUBSTITUTE(SUBSTITUTE(SUBSTITUTE(CLEAN(E145&amp;"")," ",""),".","")," ",""),"-",""))=6,LEN(SUBSTITUTE(SUBSTITUTE(SUBSTITUTE(SUBSTITUTE(CLEAN(E145&amp;"")," ",""),".","")," ",""),"-",""))=8,LEN(SUBSTITUTE(SUBSTITUTE(SUBSTITUTE(SUBSTITUTE(CLEAN(E145&amp;"")," ",""),".","")," ",""),"-",""))=10),IFERROR(TEXT(VALUE(SUBSTITUTE(SUBSTITUTE(SUBSTITUTE(SUBSTITUTE(CLEAN(E145&amp;"")," ",""),".","")," ",""),"-","")),REPT("0",LEN(SUBSTITUTE(SUBSTITUTE(SUBSTITUTE(SUBSTITUTE(CLEAN(E145&amp;"")," ",""),".","")," ",""),"-",""))))=SUBSTITUTE(SUBSTITUTE(SUBSTITUTE(SUBSTITUTE(CLEAN(E145&amp;"")," ",""),".","")," ",""),"-",""),FALSE)),SUBSTITUTE(SUBSTITUTE(SUBSTITUTE(SUBSTITUTE(CLEAN(E145&amp;"")," ",""),".","")," ",""),"-",""),"CHECK: not 2, 4, 6, 8 or 10 digits"))</f>
        <v/>
      </c>
      <c r="G145" s="11" t="n"/>
      <c r="H145" s="8" t="n"/>
      <c r="I145" s="8" t="n"/>
      <c r="J145" s="10">
        <f>IF(SUBSTITUTE(SUBSTITUTE(SUBSTITUTE(SUBSTITUTE(CLEAN(I145&amp;"")," ",""),".","")," ",""),"-","")="","",IF(AND(OR(LEN(SUBSTITUTE(SUBSTITUTE(SUBSTITUTE(SUBSTITUTE(CLEAN(I145&amp;"")," ",""),".","")," ",""),"-",""))=2,LEN(SUBSTITUTE(SUBSTITUTE(SUBSTITUTE(SUBSTITUTE(CLEAN(I145&amp;"")," ",""),".","")," ",""),"-",""))=4,LEN(SUBSTITUTE(SUBSTITUTE(SUBSTITUTE(SUBSTITUTE(CLEAN(I145&amp;"")," ",""),".","")," ",""),"-",""))=6,LEN(SUBSTITUTE(SUBSTITUTE(SUBSTITUTE(SUBSTITUTE(CLEAN(I145&amp;"")," ",""),".","")," ",""),"-",""))=8,LEN(SUBSTITUTE(SUBSTITUTE(SUBSTITUTE(SUBSTITUTE(CLEAN(I145&amp;"")," ",""),".","")," ",""),"-",""))=10),IFERROR(TEXT(VALUE(SUBSTITUTE(SUBSTITUTE(SUBSTITUTE(SUBSTITUTE(CLEAN(I145&amp;"")," ",""),".","")," ",""),"-","")),REPT("0",LEN(SUBSTITUTE(SUBSTITUTE(SUBSTITUTE(SUBSTITUTE(CLEAN(I145&amp;"")," ",""),".","")," ",""),"-",""))))=SUBSTITUTE(SUBSTITUTE(SUBSTITUTE(SUBSTITUTE(CLEAN(I145&amp;"")," ",""),".","")," ",""),"-",""),FALSE)),SUBSTITUTE(SUBSTITUTE(SUBSTITUTE(SUBSTITUTE(CLEAN(I145&amp;"")," ",""),".","")," ",""),"-",""),"CHECK: not 2, 4, 6, 8 or 10 digits"))</f>
        <v/>
      </c>
      <c r="K145" s="11" t="n"/>
    </row>
    <row r="146">
      <c r="E146" s="8" t="n"/>
      <c r="F146" s="10">
        <f>IF(SUBSTITUTE(SUBSTITUTE(SUBSTITUTE(SUBSTITUTE(CLEAN(E146&amp;"")," ",""),".","")," ",""),"-","")="","",IF(AND(OR(LEN(SUBSTITUTE(SUBSTITUTE(SUBSTITUTE(SUBSTITUTE(CLEAN(E146&amp;"")," ",""),".","")," ",""),"-",""))=2,LEN(SUBSTITUTE(SUBSTITUTE(SUBSTITUTE(SUBSTITUTE(CLEAN(E146&amp;"")," ",""),".","")," ",""),"-",""))=4,LEN(SUBSTITUTE(SUBSTITUTE(SUBSTITUTE(SUBSTITUTE(CLEAN(E146&amp;"")," ",""),".","")," ",""),"-",""))=6,LEN(SUBSTITUTE(SUBSTITUTE(SUBSTITUTE(SUBSTITUTE(CLEAN(E146&amp;"")," ",""),".","")," ",""),"-",""))=8,LEN(SUBSTITUTE(SUBSTITUTE(SUBSTITUTE(SUBSTITUTE(CLEAN(E146&amp;"")," ",""),".","")," ",""),"-",""))=10),IFERROR(TEXT(VALUE(SUBSTITUTE(SUBSTITUTE(SUBSTITUTE(SUBSTITUTE(CLEAN(E146&amp;"")," ",""),".","")," ",""),"-","")),REPT("0",LEN(SUBSTITUTE(SUBSTITUTE(SUBSTITUTE(SUBSTITUTE(CLEAN(E146&amp;"")," ",""),".","")," ",""),"-",""))))=SUBSTITUTE(SUBSTITUTE(SUBSTITUTE(SUBSTITUTE(CLEAN(E146&amp;"")," ",""),".","")," ",""),"-",""),FALSE)),SUBSTITUTE(SUBSTITUTE(SUBSTITUTE(SUBSTITUTE(CLEAN(E146&amp;"")," ",""),".","")," ",""),"-",""),"CHECK: not 2, 4, 6, 8 or 10 digits"))</f>
        <v/>
      </c>
      <c r="G146" s="11" t="n"/>
      <c r="H146" s="8" t="n"/>
      <c r="I146" s="8" t="n"/>
      <c r="J146" s="10">
        <f>IF(SUBSTITUTE(SUBSTITUTE(SUBSTITUTE(SUBSTITUTE(CLEAN(I146&amp;"")," ",""),".","")," ",""),"-","")="","",IF(AND(OR(LEN(SUBSTITUTE(SUBSTITUTE(SUBSTITUTE(SUBSTITUTE(CLEAN(I146&amp;"")," ",""),".","")," ",""),"-",""))=2,LEN(SUBSTITUTE(SUBSTITUTE(SUBSTITUTE(SUBSTITUTE(CLEAN(I146&amp;"")," ",""),".","")," ",""),"-",""))=4,LEN(SUBSTITUTE(SUBSTITUTE(SUBSTITUTE(SUBSTITUTE(CLEAN(I146&amp;"")," ",""),".","")," ",""),"-",""))=6,LEN(SUBSTITUTE(SUBSTITUTE(SUBSTITUTE(SUBSTITUTE(CLEAN(I146&amp;"")," ",""),".","")," ",""),"-",""))=8,LEN(SUBSTITUTE(SUBSTITUTE(SUBSTITUTE(SUBSTITUTE(CLEAN(I146&amp;"")," ",""),".","")," ",""),"-",""))=10),IFERROR(TEXT(VALUE(SUBSTITUTE(SUBSTITUTE(SUBSTITUTE(SUBSTITUTE(CLEAN(I146&amp;"")," ",""),".","")," ",""),"-","")),REPT("0",LEN(SUBSTITUTE(SUBSTITUTE(SUBSTITUTE(SUBSTITUTE(CLEAN(I146&amp;"")," ",""),".","")," ",""),"-",""))))=SUBSTITUTE(SUBSTITUTE(SUBSTITUTE(SUBSTITUTE(CLEAN(I146&amp;"")," ",""),".","")," ",""),"-",""),FALSE)),SUBSTITUTE(SUBSTITUTE(SUBSTITUTE(SUBSTITUTE(CLEAN(I146&amp;"")," ",""),".","")," ",""),"-",""),"CHECK: not 2, 4, 6, 8 or 10 digits"))</f>
        <v/>
      </c>
      <c r="K146" s="11" t="n"/>
    </row>
    <row r="147">
      <c r="E147" s="8" t="n"/>
      <c r="F147" s="10">
        <f>IF(SUBSTITUTE(SUBSTITUTE(SUBSTITUTE(SUBSTITUTE(CLEAN(E147&amp;"")," ",""),".","")," ",""),"-","")="","",IF(AND(OR(LEN(SUBSTITUTE(SUBSTITUTE(SUBSTITUTE(SUBSTITUTE(CLEAN(E147&amp;"")," ",""),".","")," ",""),"-",""))=2,LEN(SUBSTITUTE(SUBSTITUTE(SUBSTITUTE(SUBSTITUTE(CLEAN(E147&amp;"")," ",""),".","")," ",""),"-",""))=4,LEN(SUBSTITUTE(SUBSTITUTE(SUBSTITUTE(SUBSTITUTE(CLEAN(E147&amp;"")," ",""),".","")," ",""),"-",""))=6,LEN(SUBSTITUTE(SUBSTITUTE(SUBSTITUTE(SUBSTITUTE(CLEAN(E147&amp;"")," ",""),".","")," ",""),"-",""))=8,LEN(SUBSTITUTE(SUBSTITUTE(SUBSTITUTE(SUBSTITUTE(CLEAN(E147&amp;"")," ",""),".","")," ",""),"-",""))=10),IFERROR(TEXT(VALUE(SUBSTITUTE(SUBSTITUTE(SUBSTITUTE(SUBSTITUTE(CLEAN(E147&amp;"")," ",""),".","")," ",""),"-","")),REPT("0",LEN(SUBSTITUTE(SUBSTITUTE(SUBSTITUTE(SUBSTITUTE(CLEAN(E147&amp;"")," ",""),".","")," ",""),"-",""))))=SUBSTITUTE(SUBSTITUTE(SUBSTITUTE(SUBSTITUTE(CLEAN(E147&amp;"")," ",""),".","")," ",""),"-",""),FALSE)),SUBSTITUTE(SUBSTITUTE(SUBSTITUTE(SUBSTITUTE(CLEAN(E147&amp;"")," ",""),".","")," ",""),"-",""),"CHECK: not 2, 4, 6, 8 or 10 digits"))</f>
        <v/>
      </c>
      <c r="G147" s="11" t="n"/>
      <c r="H147" s="8" t="n"/>
      <c r="I147" s="8" t="n"/>
      <c r="J147" s="10">
        <f>IF(SUBSTITUTE(SUBSTITUTE(SUBSTITUTE(SUBSTITUTE(CLEAN(I147&amp;"")," ",""),".","")," ",""),"-","")="","",IF(AND(OR(LEN(SUBSTITUTE(SUBSTITUTE(SUBSTITUTE(SUBSTITUTE(CLEAN(I147&amp;"")," ",""),".","")," ",""),"-",""))=2,LEN(SUBSTITUTE(SUBSTITUTE(SUBSTITUTE(SUBSTITUTE(CLEAN(I147&amp;"")," ",""),".","")," ",""),"-",""))=4,LEN(SUBSTITUTE(SUBSTITUTE(SUBSTITUTE(SUBSTITUTE(CLEAN(I147&amp;"")," ",""),".","")," ",""),"-",""))=6,LEN(SUBSTITUTE(SUBSTITUTE(SUBSTITUTE(SUBSTITUTE(CLEAN(I147&amp;"")," ",""),".","")," ",""),"-",""))=8,LEN(SUBSTITUTE(SUBSTITUTE(SUBSTITUTE(SUBSTITUTE(CLEAN(I147&amp;"")," ",""),".","")," ",""),"-",""))=10),IFERROR(TEXT(VALUE(SUBSTITUTE(SUBSTITUTE(SUBSTITUTE(SUBSTITUTE(CLEAN(I147&amp;"")," ",""),".","")," ",""),"-","")),REPT("0",LEN(SUBSTITUTE(SUBSTITUTE(SUBSTITUTE(SUBSTITUTE(CLEAN(I147&amp;"")," ",""),".","")," ",""),"-",""))))=SUBSTITUTE(SUBSTITUTE(SUBSTITUTE(SUBSTITUTE(CLEAN(I147&amp;"")," ",""),".","")," ",""),"-",""),FALSE)),SUBSTITUTE(SUBSTITUTE(SUBSTITUTE(SUBSTITUTE(CLEAN(I147&amp;"")," ",""),".","")," ",""),"-",""),"CHECK: not 2, 4, 6, 8 or 10 digits"))</f>
        <v/>
      </c>
      <c r="K147" s="11" t="n"/>
    </row>
    <row r="148">
      <c r="E148" s="8" t="n"/>
      <c r="F148" s="10">
        <f>IF(SUBSTITUTE(SUBSTITUTE(SUBSTITUTE(SUBSTITUTE(CLEAN(E148&amp;"")," ",""),".","")," ",""),"-","")="","",IF(AND(OR(LEN(SUBSTITUTE(SUBSTITUTE(SUBSTITUTE(SUBSTITUTE(CLEAN(E148&amp;"")," ",""),".","")," ",""),"-",""))=2,LEN(SUBSTITUTE(SUBSTITUTE(SUBSTITUTE(SUBSTITUTE(CLEAN(E148&amp;"")," ",""),".","")," ",""),"-",""))=4,LEN(SUBSTITUTE(SUBSTITUTE(SUBSTITUTE(SUBSTITUTE(CLEAN(E148&amp;"")," ",""),".","")," ",""),"-",""))=6,LEN(SUBSTITUTE(SUBSTITUTE(SUBSTITUTE(SUBSTITUTE(CLEAN(E148&amp;"")," ",""),".","")," ",""),"-",""))=8,LEN(SUBSTITUTE(SUBSTITUTE(SUBSTITUTE(SUBSTITUTE(CLEAN(E148&amp;"")," ",""),".","")," ",""),"-",""))=10),IFERROR(TEXT(VALUE(SUBSTITUTE(SUBSTITUTE(SUBSTITUTE(SUBSTITUTE(CLEAN(E148&amp;"")," ",""),".","")," ",""),"-","")),REPT("0",LEN(SUBSTITUTE(SUBSTITUTE(SUBSTITUTE(SUBSTITUTE(CLEAN(E148&amp;"")," ",""),".","")," ",""),"-",""))))=SUBSTITUTE(SUBSTITUTE(SUBSTITUTE(SUBSTITUTE(CLEAN(E148&amp;"")," ",""),".","")," ",""),"-",""),FALSE)),SUBSTITUTE(SUBSTITUTE(SUBSTITUTE(SUBSTITUTE(CLEAN(E148&amp;"")," ",""),".","")," ",""),"-",""),"CHECK: not 2, 4, 6, 8 or 10 digits"))</f>
        <v/>
      </c>
      <c r="G148" s="11" t="n"/>
      <c r="H148" s="8" t="n"/>
      <c r="I148" s="8" t="n"/>
      <c r="J148" s="10">
        <f>IF(SUBSTITUTE(SUBSTITUTE(SUBSTITUTE(SUBSTITUTE(CLEAN(I148&amp;"")," ",""),".","")," ",""),"-","")="","",IF(AND(OR(LEN(SUBSTITUTE(SUBSTITUTE(SUBSTITUTE(SUBSTITUTE(CLEAN(I148&amp;"")," ",""),".","")," ",""),"-",""))=2,LEN(SUBSTITUTE(SUBSTITUTE(SUBSTITUTE(SUBSTITUTE(CLEAN(I148&amp;"")," ",""),".","")," ",""),"-",""))=4,LEN(SUBSTITUTE(SUBSTITUTE(SUBSTITUTE(SUBSTITUTE(CLEAN(I148&amp;"")," ",""),".","")," ",""),"-",""))=6,LEN(SUBSTITUTE(SUBSTITUTE(SUBSTITUTE(SUBSTITUTE(CLEAN(I148&amp;"")," ",""),".","")," ",""),"-",""))=8,LEN(SUBSTITUTE(SUBSTITUTE(SUBSTITUTE(SUBSTITUTE(CLEAN(I148&amp;"")," ",""),".","")," ",""),"-",""))=10),IFERROR(TEXT(VALUE(SUBSTITUTE(SUBSTITUTE(SUBSTITUTE(SUBSTITUTE(CLEAN(I148&amp;"")," ",""),".","")," ",""),"-","")),REPT("0",LEN(SUBSTITUTE(SUBSTITUTE(SUBSTITUTE(SUBSTITUTE(CLEAN(I148&amp;"")," ",""),".","")," ",""),"-",""))))=SUBSTITUTE(SUBSTITUTE(SUBSTITUTE(SUBSTITUTE(CLEAN(I148&amp;"")," ",""),".","")," ",""),"-",""),FALSE)),SUBSTITUTE(SUBSTITUTE(SUBSTITUTE(SUBSTITUTE(CLEAN(I148&amp;"")," ",""),".","")," ",""),"-",""),"CHECK: not 2, 4, 6, 8 or 10 digits"))</f>
        <v/>
      </c>
      <c r="K148" s="11" t="n"/>
    </row>
    <row r="149">
      <c r="E149" s="8" t="n"/>
      <c r="F149" s="10">
        <f>IF(SUBSTITUTE(SUBSTITUTE(SUBSTITUTE(SUBSTITUTE(CLEAN(E149&amp;"")," ",""),".","")," ",""),"-","")="","",IF(AND(OR(LEN(SUBSTITUTE(SUBSTITUTE(SUBSTITUTE(SUBSTITUTE(CLEAN(E149&amp;"")," ",""),".","")," ",""),"-",""))=2,LEN(SUBSTITUTE(SUBSTITUTE(SUBSTITUTE(SUBSTITUTE(CLEAN(E149&amp;"")," ",""),".","")," ",""),"-",""))=4,LEN(SUBSTITUTE(SUBSTITUTE(SUBSTITUTE(SUBSTITUTE(CLEAN(E149&amp;"")," ",""),".","")," ",""),"-",""))=6,LEN(SUBSTITUTE(SUBSTITUTE(SUBSTITUTE(SUBSTITUTE(CLEAN(E149&amp;"")," ",""),".","")," ",""),"-",""))=8,LEN(SUBSTITUTE(SUBSTITUTE(SUBSTITUTE(SUBSTITUTE(CLEAN(E149&amp;"")," ",""),".","")," ",""),"-",""))=10),IFERROR(TEXT(VALUE(SUBSTITUTE(SUBSTITUTE(SUBSTITUTE(SUBSTITUTE(CLEAN(E149&amp;"")," ",""),".","")," ",""),"-","")),REPT("0",LEN(SUBSTITUTE(SUBSTITUTE(SUBSTITUTE(SUBSTITUTE(CLEAN(E149&amp;"")," ",""),".","")," ",""),"-",""))))=SUBSTITUTE(SUBSTITUTE(SUBSTITUTE(SUBSTITUTE(CLEAN(E149&amp;"")," ",""),".","")," ",""),"-",""),FALSE)),SUBSTITUTE(SUBSTITUTE(SUBSTITUTE(SUBSTITUTE(CLEAN(E149&amp;"")," ",""),".","")," ",""),"-",""),"CHECK: not 2, 4, 6, 8 or 10 digits"))</f>
        <v/>
      </c>
      <c r="G149" s="11" t="n"/>
      <c r="H149" s="8" t="n"/>
      <c r="I149" s="8" t="n"/>
      <c r="J149" s="10">
        <f>IF(SUBSTITUTE(SUBSTITUTE(SUBSTITUTE(SUBSTITUTE(CLEAN(I149&amp;"")," ",""),".","")," ",""),"-","")="","",IF(AND(OR(LEN(SUBSTITUTE(SUBSTITUTE(SUBSTITUTE(SUBSTITUTE(CLEAN(I149&amp;"")," ",""),".","")," ",""),"-",""))=2,LEN(SUBSTITUTE(SUBSTITUTE(SUBSTITUTE(SUBSTITUTE(CLEAN(I149&amp;"")," ",""),".","")," ",""),"-",""))=4,LEN(SUBSTITUTE(SUBSTITUTE(SUBSTITUTE(SUBSTITUTE(CLEAN(I149&amp;"")," ",""),".","")," ",""),"-",""))=6,LEN(SUBSTITUTE(SUBSTITUTE(SUBSTITUTE(SUBSTITUTE(CLEAN(I149&amp;"")," ",""),".","")," ",""),"-",""))=8,LEN(SUBSTITUTE(SUBSTITUTE(SUBSTITUTE(SUBSTITUTE(CLEAN(I149&amp;"")," ",""),".","")," ",""),"-",""))=10),IFERROR(TEXT(VALUE(SUBSTITUTE(SUBSTITUTE(SUBSTITUTE(SUBSTITUTE(CLEAN(I149&amp;"")," ",""),".","")," ",""),"-","")),REPT("0",LEN(SUBSTITUTE(SUBSTITUTE(SUBSTITUTE(SUBSTITUTE(CLEAN(I149&amp;"")," ",""),".","")," ",""),"-",""))))=SUBSTITUTE(SUBSTITUTE(SUBSTITUTE(SUBSTITUTE(CLEAN(I149&amp;"")," ",""),".","")," ",""),"-",""),FALSE)),SUBSTITUTE(SUBSTITUTE(SUBSTITUTE(SUBSTITUTE(CLEAN(I149&amp;"")," ",""),".","")," ",""),"-",""),"CHECK: not 2, 4, 6, 8 or 10 digits"))</f>
        <v/>
      </c>
      <c r="K149" s="11" t="n"/>
    </row>
    <row r="150">
      <c r="E150" s="8" t="n"/>
      <c r="F150" s="10">
        <f>IF(SUBSTITUTE(SUBSTITUTE(SUBSTITUTE(SUBSTITUTE(CLEAN(E150&amp;"")," ",""),".","")," ",""),"-","")="","",IF(AND(OR(LEN(SUBSTITUTE(SUBSTITUTE(SUBSTITUTE(SUBSTITUTE(CLEAN(E150&amp;"")," ",""),".","")," ",""),"-",""))=2,LEN(SUBSTITUTE(SUBSTITUTE(SUBSTITUTE(SUBSTITUTE(CLEAN(E150&amp;"")," ",""),".","")," ",""),"-",""))=4,LEN(SUBSTITUTE(SUBSTITUTE(SUBSTITUTE(SUBSTITUTE(CLEAN(E150&amp;"")," ",""),".","")," ",""),"-",""))=6,LEN(SUBSTITUTE(SUBSTITUTE(SUBSTITUTE(SUBSTITUTE(CLEAN(E150&amp;"")," ",""),".","")," ",""),"-",""))=8,LEN(SUBSTITUTE(SUBSTITUTE(SUBSTITUTE(SUBSTITUTE(CLEAN(E150&amp;"")," ",""),".","")," ",""),"-",""))=10),IFERROR(TEXT(VALUE(SUBSTITUTE(SUBSTITUTE(SUBSTITUTE(SUBSTITUTE(CLEAN(E150&amp;"")," ",""),".","")," ",""),"-","")),REPT("0",LEN(SUBSTITUTE(SUBSTITUTE(SUBSTITUTE(SUBSTITUTE(CLEAN(E150&amp;"")," ",""),".","")," ",""),"-",""))))=SUBSTITUTE(SUBSTITUTE(SUBSTITUTE(SUBSTITUTE(CLEAN(E150&amp;"")," ",""),".","")," ",""),"-",""),FALSE)),SUBSTITUTE(SUBSTITUTE(SUBSTITUTE(SUBSTITUTE(CLEAN(E150&amp;"")," ",""),".","")," ",""),"-",""),"CHECK: not 2, 4, 6, 8 or 10 digits"))</f>
        <v/>
      </c>
      <c r="G150" s="11" t="n"/>
      <c r="H150" s="8" t="n"/>
      <c r="I150" s="8" t="n"/>
      <c r="J150" s="10">
        <f>IF(SUBSTITUTE(SUBSTITUTE(SUBSTITUTE(SUBSTITUTE(CLEAN(I150&amp;"")," ",""),".","")," ",""),"-","")="","",IF(AND(OR(LEN(SUBSTITUTE(SUBSTITUTE(SUBSTITUTE(SUBSTITUTE(CLEAN(I150&amp;"")," ",""),".","")," ",""),"-",""))=2,LEN(SUBSTITUTE(SUBSTITUTE(SUBSTITUTE(SUBSTITUTE(CLEAN(I150&amp;"")," ",""),".","")," ",""),"-",""))=4,LEN(SUBSTITUTE(SUBSTITUTE(SUBSTITUTE(SUBSTITUTE(CLEAN(I150&amp;"")," ",""),".","")," ",""),"-",""))=6,LEN(SUBSTITUTE(SUBSTITUTE(SUBSTITUTE(SUBSTITUTE(CLEAN(I150&amp;"")," ",""),".","")," ",""),"-",""))=8,LEN(SUBSTITUTE(SUBSTITUTE(SUBSTITUTE(SUBSTITUTE(CLEAN(I150&amp;"")," ",""),".","")," ",""),"-",""))=10),IFERROR(TEXT(VALUE(SUBSTITUTE(SUBSTITUTE(SUBSTITUTE(SUBSTITUTE(CLEAN(I150&amp;"")," ",""),".","")," ",""),"-","")),REPT("0",LEN(SUBSTITUTE(SUBSTITUTE(SUBSTITUTE(SUBSTITUTE(CLEAN(I150&amp;"")," ",""),".","")," ",""),"-",""))))=SUBSTITUTE(SUBSTITUTE(SUBSTITUTE(SUBSTITUTE(CLEAN(I150&amp;"")," ",""),".","")," ",""),"-",""),FALSE)),SUBSTITUTE(SUBSTITUTE(SUBSTITUTE(SUBSTITUTE(CLEAN(I150&amp;"")," ",""),".","")," ",""),"-",""),"CHECK: not 2, 4, 6, 8 or 10 digits"))</f>
        <v/>
      </c>
      <c r="K150" s="11" t="n"/>
    </row>
    <row r="151">
      <c r="E151" s="8" t="n"/>
      <c r="F151" s="10">
        <f>IF(SUBSTITUTE(SUBSTITUTE(SUBSTITUTE(SUBSTITUTE(CLEAN(E151&amp;"")," ",""),".","")," ",""),"-","")="","",IF(AND(OR(LEN(SUBSTITUTE(SUBSTITUTE(SUBSTITUTE(SUBSTITUTE(CLEAN(E151&amp;"")," ",""),".","")," ",""),"-",""))=2,LEN(SUBSTITUTE(SUBSTITUTE(SUBSTITUTE(SUBSTITUTE(CLEAN(E151&amp;"")," ",""),".","")," ",""),"-",""))=4,LEN(SUBSTITUTE(SUBSTITUTE(SUBSTITUTE(SUBSTITUTE(CLEAN(E151&amp;"")," ",""),".","")," ",""),"-",""))=6,LEN(SUBSTITUTE(SUBSTITUTE(SUBSTITUTE(SUBSTITUTE(CLEAN(E151&amp;"")," ",""),".","")," ",""),"-",""))=8,LEN(SUBSTITUTE(SUBSTITUTE(SUBSTITUTE(SUBSTITUTE(CLEAN(E151&amp;"")," ",""),".","")," ",""),"-",""))=10),IFERROR(TEXT(VALUE(SUBSTITUTE(SUBSTITUTE(SUBSTITUTE(SUBSTITUTE(CLEAN(E151&amp;"")," ",""),".","")," ",""),"-","")),REPT("0",LEN(SUBSTITUTE(SUBSTITUTE(SUBSTITUTE(SUBSTITUTE(CLEAN(E151&amp;"")," ",""),".","")," ",""),"-",""))))=SUBSTITUTE(SUBSTITUTE(SUBSTITUTE(SUBSTITUTE(CLEAN(E151&amp;"")," ",""),".","")," ",""),"-",""),FALSE)),SUBSTITUTE(SUBSTITUTE(SUBSTITUTE(SUBSTITUTE(CLEAN(E151&amp;"")," ",""),".","")," ",""),"-",""),"CHECK: not 2, 4, 6, 8 or 10 digits"))</f>
        <v/>
      </c>
      <c r="G151" s="11" t="n"/>
      <c r="H151" s="8" t="n"/>
      <c r="I151" s="8" t="n"/>
      <c r="J151" s="10">
        <f>IF(SUBSTITUTE(SUBSTITUTE(SUBSTITUTE(SUBSTITUTE(CLEAN(I151&amp;"")," ",""),".","")," ",""),"-","")="","",IF(AND(OR(LEN(SUBSTITUTE(SUBSTITUTE(SUBSTITUTE(SUBSTITUTE(CLEAN(I151&amp;"")," ",""),".","")," ",""),"-",""))=2,LEN(SUBSTITUTE(SUBSTITUTE(SUBSTITUTE(SUBSTITUTE(CLEAN(I151&amp;"")," ",""),".","")," ",""),"-",""))=4,LEN(SUBSTITUTE(SUBSTITUTE(SUBSTITUTE(SUBSTITUTE(CLEAN(I151&amp;"")," ",""),".","")," ",""),"-",""))=6,LEN(SUBSTITUTE(SUBSTITUTE(SUBSTITUTE(SUBSTITUTE(CLEAN(I151&amp;"")," ",""),".","")," ",""),"-",""))=8,LEN(SUBSTITUTE(SUBSTITUTE(SUBSTITUTE(SUBSTITUTE(CLEAN(I151&amp;"")," ",""),".","")," ",""),"-",""))=10),IFERROR(TEXT(VALUE(SUBSTITUTE(SUBSTITUTE(SUBSTITUTE(SUBSTITUTE(CLEAN(I151&amp;"")," ",""),".","")," ",""),"-","")),REPT("0",LEN(SUBSTITUTE(SUBSTITUTE(SUBSTITUTE(SUBSTITUTE(CLEAN(I151&amp;"")," ",""),".","")," ",""),"-",""))))=SUBSTITUTE(SUBSTITUTE(SUBSTITUTE(SUBSTITUTE(CLEAN(I151&amp;"")," ",""),".","")," ",""),"-",""),FALSE)),SUBSTITUTE(SUBSTITUTE(SUBSTITUTE(SUBSTITUTE(CLEAN(I151&amp;"")," ",""),".","")," ",""),"-",""),"CHECK: not 2, 4, 6, 8 or 10 digits"))</f>
        <v/>
      </c>
      <c r="K151" s="11" t="n"/>
    </row>
    <row r="152">
      <c r="E152" s="8" t="n"/>
      <c r="F152" s="10">
        <f>IF(SUBSTITUTE(SUBSTITUTE(SUBSTITUTE(SUBSTITUTE(CLEAN(E152&amp;"")," ",""),".","")," ",""),"-","")="","",IF(AND(OR(LEN(SUBSTITUTE(SUBSTITUTE(SUBSTITUTE(SUBSTITUTE(CLEAN(E152&amp;"")," ",""),".","")," ",""),"-",""))=2,LEN(SUBSTITUTE(SUBSTITUTE(SUBSTITUTE(SUBSTITUTE(CLEAN(E152&amp;"")," ",""),".","")," ",""),"-",""))=4,LEN(SUBSTITUTE(SUBSTITUTE(SUBSTITUTE(SUBSTITUTE(CLEAN(E152&amp;"")," ",""),".","")," ",""),"-",""))=6,LEN(SUBSTITUTE(SUBSTITUTE(SUBSTITUTE(SUBSTITUTE(CLEAN(E152&amp;"")," ",""),".","")," ",""),"-",""))=8,LEN(SUBSTITUTE(SUBSTITUTE(SUBSTITUTE(SUBSTITUTE(CLEAN(E152&amp;"")," ",""),".","")," ",""),"-",""))=10),IFERROR(TEXT(VALUE(SUBSTITUTE(SUBSTITUTE(SUBSTITUTE(SUBSTITUTE(CLEAN(E152&amp;"")," ",""),".","")," ",""),"-","")),REPT("0",LEN(SUBSTITUTE(SUBSTITUTE(SUBSTITUTE(SUBSTITUTE(CLEAN(E152&amp;"")," ",""),".","")," ",""),"-",""))))=SUBSTITUTE(SUBSTITUTE(SUBSTITUTE(SUBSTITUTE(CLEAN(E152&amp;"")," ",""),".","")," ",""),"-",""),FALSE)),SUBSTITUTE(SUBSTITUTE(SUBSTITUTE(SUBSTITUTE(CLEAN(E152&amp;"")," ",""),".","")," ",""),"-",""),"CHECK: not 2, 4, 6, 8 or 10 digits"))</f>
        <v/>
      </c>
      <c r="G152" s="11" t="n"/>
      <c r="H152" s="8" t="n"/>
      <c r="I152" s="8" t="n"/>
      <c r="J152" s="10">
        <f>IF(SUBSTITUTE(SUBSTITUTE(SUBSTITUTE(SUBSTITUTE(CLEAN(I152&amp;"")," ",""),".","")," ",""),"-","")="","",IF(AND(OR(LEN(SUBSTITUTE(SUBSTITUTE(SUBSTITUTE(SUBSTITUTE(CLEAN(I152&amp;"")," ",""),".","")," ",""),"-",""))=2,LEN(SUBSTITUTE(SUBSTITUTE(SUBSTITUTE(SUBSTITUTE(CLEAN(I152&amp;"")," ",""),".","")," ",""),"-",""))=4,LEN(SUBSTITUTE(SUBSTITUTE(SUBSTITUTE(SUBSTITUTE(CLEAN(I152&amp;"")," ",""),".","")," ",""),"-",""))=6,LEN(SUBSTITUTE(SUBSTITUTE(SUBSTITUTE(SUBSTITUTE(CLEAN(I152&amp;"")," ",""),".","")," ",""),"-",""))=8,LEN(SUBSTITUTE(SUBSTITUTE(SUBSTITUTE(SUBSTITUTE(CLEAN(I152&amp;"")," ",""),".","")," ",""),"-",""))=10),IFERROR(TEXT(VALUE(SUBSTITUTE(SUBSTITUTE(SUBSTITUTE(SUBSTITUTE(CLEAN(I152&amp;"")," ",""),".","")," ",""),"-","")),REPT("0",LEN(SUBSTITUTE(SUBSTITUTE(SUBSTITUTE(SUBSTITUTE(CLEAN(I152&amp;"")," ",""),".","")," ",""),"-",""))))=SUBSTITUTE(SUBSTITUTE(SUBSTITUTE(SUBSTITUTE(CLEAN(I152&amp;"")," ",""),".","")," ",""),"-",""),FALSE)),SUBSTITUTE(SUBSTITUTE(SUBSTITUTE(SUBSTITUTE(CLEAN(I152&amp;"")," ",""),".","")," ",""),"-",""),"CHECK: not 2, 4, 6, 8 or 10 digits"))</f>
        <v/>
      </c>
      <c r="K152" s="11" t="n"/>
    </row>
    <row r="153">
      <c r="E153" s="8" t="n"/>
      <c r="F153" s="10">
        <f>IF(SUBSTITUTE(SUBSTITUTE(SUBSTITUTE(SUBSTITUTE(CLEAN(E153&amp;"")," ",""),".","")," ",""),"-","")="","",IF(AND(OR(LEN(SUBSTITUTE(SUBSTITUTE(SUBSTITUTE(SUBSTITUTE(CLEAN(E153&amp;"")," ",""),".","")," ",""),"-",""))=2,LEN(SUBSTITUTE(SUBSTITUTE(SUBSTITUTE(SUBSTITUTE(CLEAN(E153&amp;"")," ",""),".","")," ",""),"-",""))=4,LEN(SUBSTITUTE(SUBSTITUTE(SUBSTITUTE(SUBSTITUTE(CLEAN(E153&amp;"")," ",""),".","")," ",""),"-",""))=6,LEN(SUBSTITUTE(SUBSTITUTE(SUBSTITUTE(SUBSTITUTE(CLEAN(E153&amp;"")," ",""),".","")," ",""),"-",""))=8,LEN(SUBSTITUTE(SUBSTITUTE(SUBSTITUTE(SUBSTITUTE(CLEAN(E153&amp;"")," ",""),".","")," ",""),"-",""))=10),IFERROR(TEXT(VALUE(SUBSTITUTE(SUBSTITUTE(SUBSTITUTE(SUBSTITUTE(CLEAN(E153&amp;"")," ",""),".","")," ",""),"-","")),REPT("0",LEN(SUBSTITUTE(SUBSTITUTE(SUBSTITUTE(SUBSTITUTE(CLEAN(E153&amp;"")," ",""),".","")," ",""),"-",""))))=SUBSTITUTE(SUBSTITUTE(SUBSTITUTE(SUBSTITUTE(CLEAN(E153&amp;"")," ",""),".","")," ",""),"-",""),FALSE)),SUBSTITUTE(SUBSTITUTE(SUBSTITUTE(SUBSTITUTE(CLEAN(E153&amp;"")," ",""),".","")," ",""),"-",""),"CHECK: not 2, 4, 6, 8 or 10 digits"))</f>
        <v/>
      </c>
      <c r="G153" s="11" t="n"/>
      <c r="H153" s="8" t="n"/>
      <c r="I153" s="8" t="n"/>
      <c r="J153" s="10">
        <f>IF(SUBSTITUTE(SUBSTITUTE(SUBSTITUTE(SUBSTITUTE(CLEAN(I153&amp;"")," ",""),".","")," ",""),"-","")="","",IF(AND(OR(LEN(SUBSTITUTE(SUBSTITUTE(SUBSTITUTE(SUBSTITUTE(CLEAN(I153&amp;"")," ",""),".","")," ",""),"-",""))=2,LEN(SUBSTITUTE(SUBSTITUTE(SUBSTITUTE(SUBSTITUTE(CLEAN(I153&amp;"")," ",""),".","")," ",""),"-",""))=4,LEN(SUBSTITUTE(SUBSTITUTE(SUBSTITUTE(SUBSTITUTE(CLEAN(I153&amp;"")," ",""),".","")," ",""),"-",""))=6,LEN(SUBSTITUTE(SUBSTITUTE(SUBSTITUTE(SUBSTITUTE(CLEAN(I153&amp;"")," ",""),".","")," ",""),"-",""))=8,LEN(SUBSTITUTE(SUBSTITUTE(SUBSTITUTE(SUBSTITUTE(CLEAN(I153&amp;"")," ",""),".","")," ",""),"-",""))=10),IFERROR(TEXT(VALUE(SUBSTITUTE(SUBSTITUTE(SUBSTITUTE(SUBSTITUTE(CLEAN(I153&amp;"")," ",""),".","")," ",""),"-","")),REPT("0",LEN(SUBSTITUTE(SUBSTITUTE(SUBSTITUTE(SUBSTITUTE(CLEAN(I153&amp;"")," ",""),".","")," ",""),"-",""))))=SUBSTITUTE(SUBSTITUTE(SUBSTITUTE(SUBSTITUTE(CLEAN(I153&amp;"")," ",""),".","")," ",""),"-",""),FALSE)),SUBSTITUTE(SUBSTITUTE(SUBSTITUTE(SUBSTITUTE(CLEAN(I153&amp;"")," ",""),".","")," ",""),"-",""),"CHECK: not 2, 4, 6, 8 or 10 digits"))</f>
        <v/>
      </c>
      <c r="K153" s="11" t="n"/>
    </row>
    <row r="154">
      <c r="E154" s="8" t="n"/>
      <c r="F154" s="10">
        <f>IF(SUBSTITUTE(SUBSTITUTE(SUBSTITUTE(SUBSTITUTE(CLEAN(E154&amp;"")," ",""),".","")," ",""),"-","")="","",IF(AND(OR(LEN(SUBSTITUTE(SUBSTITUTE(SUBSTITUTE(SUBSTITUTE(CLEAN(E154&amp;"")," ",""),".","")," ",""),"-",""))=2,LEN(SUBSTITUTE(SUBSTITUTE(SUBSTITUTE(SUBSTITUTE(CLEAN(E154&amp;"")," ",""),".","")," ",""),"-",""))=4,LEN(SUBSTITUTE(SUBSTITUTE(SUBSTITUTE(SUBSTITUTE(CLEAN(E154&amp;"")," ",""),".","")," ",""),"-",""))=6,LEN(SUBSTITUTE(SUBSTITUTE(SUBSTITUTE(SUBSTITUTE(CLEAN(E154&amp;"")," ",""),".","")," ",""),"-",""))=8,LEN(SUBSTITUTE(SUBSTITUTE(SUBSTITUTE(SUBSTITUTE(CLEAN(E154&amp;"")," ",""),".","")," ",""),"-",""))=10),IFERROR(TEXT(VALUE(SUBSTITUTE(SUBSTITUTE(SUBSTITUTE(SUBSTITUTE(CLEAN(E154&amp;"")," ",""),".","")," ",""),"-","")),REPT("0",LEN(SUBSTITUTE(SUBSTITUTE(SUBSTITUTE(SUBSTITUTE(CLEAN(E154&amp;"")," ",""),".","")," ",""),"-",""))))=SUBSTITUTE(SUBSTITUTE(SUBSTITUTE(SUBSTITUTE(CLEAN(E154&amp;"")," ",""),".","")," ",""),"-",""),FALSE)),SUBSTITUTE(SUBSTITUTE(SUBSTITUTE(SUBSTITUTE(CLEAN(E154&amp;"")," ",""),".","")," ",""),"-",""),"CHECK: not 2, 4, 6, 8 or 10 digits"))</f>
        <v/>
      </c>
      <c r="G154" s="11" t="n"/>
      <c r="H154" s="8" t="n"/>
      <c r="I154" s="8" t="n"/>
      <c r="J154" s="10">
        <f>IF(SUBSTITUTE(SUBSTITUTE(SUBSTITUTE(SUBSTITUTE(CLEAN(I154&amp;"")," ",""),".","")," ",""),"-","")="","",IF(AND(OR(LEN(SUBSTITUTE(SUBSTITUTE(SUBSTITUTE(SUBSTITUTE(CLEAN(I154&amp;"")," ",""),".","")," ",""),"-",""))=2,LEN(SUBSTITUTE(SUBSTITUTE(SUBSTITUTE(SUBSTITUTE(CLEAN(I154&amp;"")," ",""),".","")," ",""),"-",""))=4,LEN(SUBSTITUTE(SUBSTITUTE(SUBSTITUTE(SUBSTITUTE(CLEAN(I154&amp;"")," ",""),".","")," ",""),"-",""))=6,LEN(SUBSTITUTE(SUBSTITUTE(SUBSTITUTE(SUBSTITUTE(CLEAN(I154&amp;"")," ",""),".","")," ",""),"-",""))=8,LEN(SUBSTITUTE(SUBSTITUTE(SUBSTITUTE(SUBSTITUTE(CLEAN(I154&amp;"")," ",""),".","")," ",""),"-",""))=10),IFERROR(TEXT(VALUE(SUBSTITUTE(SUBSTITUTE(SUBSTITUTE(SUBSTITUTE(CLEAN(I154&amp;"")," ",""),".","")," ",""),"-","")),REPT("0",LEN(SUBSTITUTE(SUBSTITUTE(SUBSTITUTE(SUBSTITUTE(CLEAN(I154&amp;"")," ",""),".","")," ",""),"-",""))))=SUBSTITUTE(SUBSTITUTE(SUBSTITUTE(SUBSTITUTE(CLEAN(I154&amp;"")," ",""),".","")," ",""),"-",""),FALSE)),SUBSTITUTE(SUBSTITUTE(SUBSTITUTE(SUBSTITUTE(CLEAN(I154&amp;"")," ",""),".","")," ",""),"-",""),"CHECK: not 2, 4, 6, 8 or 10 digits"))</f>
        <v/>
      </c>
      <c r="K154" s="11" t="n"/>
    </row>
    <row r="155">
      <c r="E155" s="8" t="n"/>
      <c r="F155" s="10">
        <f>IF(SUBSTITUTE(SUBSTITUTE(SUBSTITUTE(SUBSTITUTE(CLEAN(E155&amp;"")," ",""),".","")," ",""),"-","")="","",IF(AND(OR(LEN(SUBSTITUTE(SUBSTITUTE(SUBSTITUTE(SUBSTITUTE(CLEAN(E155&amp;"")," ",""),".","")," ",""),"-",""))=2,LEN(SUBSTITUTE(SUBSTITUTE(SUBSTITUTE(SUBSTITUTE(CLEAN(E155&amp;"")," ",""),".","")," ",""),"-",""))=4,LEN(SUBSTITUTE(SUBSTITUTE(SUBSTITUTE(SUBSTITUTE(CLEAN(E155&amp;"")," ",""),".","")," ",""),"-",""))=6,LEN(SUBSTITUTE(SUBSTITUTE(SUBSTITUTE(SUBSTITUTE(CLEAN(E155&amp;"")," ",""),".","")," ",""),"-",""))=8,LEN(SUBSTITUTE(SUBSTITUTE(SUBSTITUTE(SUBSTITUTE(CLEAN(E155&amp;"")," ",""),".","")," ",""),"-",""))=10),IFERROR(TEXT(VALUE(SUBSTITUTE(SUBSTITUTE(SUBSTITUTE(SUBSTITUTE(CLEAN(E155&amp;"")," ",""),".","")," ",""),"-","")),REPT("0",LEN(SUBSTITUTE(SUBSTITUTE(SUBSTITUTE(SUBSTITUTE(CLEAN(E155&amp;"")," ",""),".","")," ",""),"-",""))))=SUBSTITUTE(SUBSTITUTE(SUBSTITUTE(SUBSTITUTE(CLEAN(E155&amp;"")," ",""),".","")," ",""),"-",""),FALSE)),SUBSTITUTE(SUBSTITUTE(SUBSTITUTE(SUBSTITUTE(CLEAN(E155&amp;"")," ",""),".","")," ",""),"-",""),"CHECK: not 2, 4, 6, 8 or 10 digits"))</f>
        <v/>
      </c>
      <c r="G155" s="11" t="n"/>
      <c r="H155" s="8" t="n"/>
      <c r="I155" s="8" t="n"/>
      <c r="J155" s="10">
        <f>IF(SUBSTITUTE(SUBSTITUTE(SUBSTITUTE(SUBSTITUTE(CLEAN(I155&amp;"")," ",""),".","")," ",""),"-","")="","",IF(AND(OR(LEN(SUBSTITUTE(SUBSTITUTE(SUBSTITUTE(SUBSTITUTE(CLEAN(I155&amp;"")," ",""),".","")," ",""),"-",""))=2,LEN(SUBSTITUTE(SUBSTITUTE(SUBSTITUTE(SUBSTITUTE(CLEAN(I155&amp;"")," ",""),".","")," ",""),"-",""))=4,LEN(SUBSTITUTE(SUBSTITUTE(SUBSTITUTE(SUBSTITUTE(CLEAN(I155&amp;"")," ",""),".","")," ",""),"-",""))=6,LEN(SUBSTITUTE(SUBSTITUTE(SUBSTITUTE(SUBSTITUTE(CLEAN(I155&amp;"")," ",""),".","")," ",""),"-",""))=8,LEN(SUBSTITUTE(SUBSTITUTE(SUBSTITUTE(SUBSTITUTE(CLEAN(I155&amp;"")," ",""),".","")," ",""),"-",""))=10),IFERROR(TEXT(VALUE(SUBSTITUTE(SUBSTITUTE(SUBSTITUTE(SUBSTITUTE(CLEAN(I155&amp;"")," ",""),".","")," ",""),"-","")),REPT("0",LEN(SUBSTITUTE(SUBSTITUTE(SUBSTITUTE(SUBSTITUTE(CLEAN(I155&amp;"")," ",""),".","")," ",""),"-",""))))=SUBSTITUTE(SUBSTITUTE(SUBSTITUTE(SUBSTITUTE(CLEAN(I155&amp;"")," ",""),".","")," ",""),"-",""),FALSE)),SUBSTITUTE(SUBSTITUTE(SUBSTITUTE(SUBSTITUTE(CLEAN(I155&amp;"")," ",""),".","")," ",""),"-",""),"CHECK: not 2, 4, 6, 8 or 10 digits"))</f>
        <v/>
      </c>
      <c r="K155" s="11" t="n"/>
    </row>
    <row r="156">
      <c r="E156" s="8" t="n"/>
      <c r="F156" s="10">
        <f>IF(SUBSTITUTE(SUBSTITUTE(SUBSTITUTE(SUBSTITUTE(CLEAN(E156&amp;"")," ",""),".","")," ",""),"-","")="","",IF(AND(OR(LEN(SUBSTITUTE(SUBSTITUTE(SUBSTITUTE(SUBSTITUTE(CLEAN(E156&amp;"")," ",""),".","")," ",""),"-",""))=2,LEN(SUBSTITUTE(SUBSTITUTE(SUBSTITUTE(SUBSTITUTE(CLEAN(E156&amp;"")," ",""),".","")," ",""),"-",""))=4,LEN(SUBSTITUTE(SUBSTITUTE(SUBSTITUTE(SUBSTITUTE(CLEAN(E156&amp;"")," ",""),".","")," ",""),"-",""))=6,LEN(SUBSTITUTE(SUBSTITUTE(SUBSTITUTE(SUBSTITUTE(CLEAN(E156&amp;"")," ",""),".","")," ",""),"-",""))=8,LEN(SUBSTITUTE(SUBSTITUTE(SUBSTITUTE(SUBSTITUTE(CLEAN(E156&amp;"")," ",""),".","")," ",""),"-",""))=10),IFERROR(TEXT(VALUE(SUBSTITUTE(SUBSTITUTE(SUBSTITUTE(SUBSTITUTE(CLEAN(E156&amp;"")," ",""),".","")," ",""),"-","")),REPT("0",LEN(SUBSTITUTE(SUBSTITUTE(SUBSTITUTE(SUBSTITUTE(CLEAN(E156&amp;"")," ",""),".","")," ",""),"-",""))))=SUBSTITUTE(SUBSTITUTE(SUBSTITUTE(SUBSTITUTE(CLEAN(E156&amp;"")," ",""),".","")," ",""),"-",""),FALSE)),SUBSTITUTE(SUBSTITUTE(SUBSTITUTE(SUBSTITUTE(CLEAN(E156&amp;"")," ",""),".","")," ",""),"-",""),"CHECK: not 2, 4, 6, 8 or 10 digits"))</f>
        <v/>
      </c>
      <c r="G156" s="11" t="n"/>
      <c r="H156" s="8" t="n"/>
      <c r="I156" s="8" t="n"/>
      <c r="J156" s="10">
        <f>IF(SUBSTITUTE(SUBSTITUTE(SUBSTITUTE(SUBSTITUTE(CLEAN(I156&amp;"")," ",""),".","")," ",""),"-","")="","",IF(AND(OR(LEN(SUBSTITUTE(SUBSTITUTE(SUBSTITUTE(SUBSTITUTE(CLEAN(I156&amp;"")," ",""),".","")," ",""),"-",""))=2,LEN(SUBSTITUTE(SUBSTITUTE(SUBSTITUTE(SUBSTITUTE(CLEAN(I156&amp;"")," ",""),".","")," ",""),"-",""))=4,LEN(SUBSTITUTE(SUBSTITUTE(SUBSTITUTE(SUBSTITUTE(CLEAN(I156&amp;"")," ",""),".","")," ",""),"-",""))=6,LEN(SUBSTITUTE(SUBSTITUTE(SUBSTITUTE(SUBSTITUTE(CLEAN(I156&amp;"")," ",""),".","")," ",""),"-",""))=8,LEN(SUBSTITUTE(SUBSTITUTE(SUBSTITUTE(SUBSTITUTE(CLEAN(I156&amp;"")," ",""),".","")," ",""),"-",""))=10),IFERROR(TEXT(VALUE(SUBSTITUTE(SUBSTITUTE(SUBSTITUTE(SUBSTITUTE(CLEAN(I156&amp;"")," ",""),".","")," ",""),"-","")),REPT("0",LEN(SUBSTITUTE(SUBSTITUTE(SUBSTITUTE(SUBSTITUTE(CLEAN(I156&amp;"")," ",""),".","")," ",""),"-",""))))=SUBSTITUTE(SUBSTITUTE(SUBSTITUTE(SUBSTITUTE(CLEAN(I156&amp;"")," ",""),".","")," ",""),"-",""),FALSE)),SUBSTITUTE(SUBSTITUTE(SUBSTITUTE(SUBSTITUTE(CLEAN(I156&amp;"")," ",""),".","")," ",""),"-",""),"CHECK: not 2, 4, 6, 8 or 10 digits"))</f>
        <v/>
      </c>
      <c r="K156" s="11" t="n"/>
    </row>
    <row r="157">
      <c r="E157" s="8" t="n"/>
      <c r="F157" s="10">
        <f>IF(SUBSTITUTE(SUBSTITUTE(SUBSTITUTE(SUBSTITUTE(CLEAN(E157&amp;"")," ",""),".","")," ",""),"-","")="","",IF(AND(OR(LEN(SUBSTITUTE(SUBSTITUTE(SUBSTITUTE(SUBSTITUTE(CLEAN(E157&amp;"")," ",""),".","")," ",""),"-",""))=2,LEN(SUBSTITUTE(SUBSTITUTE(SUBSTITUTE(SUBSTITUTE(CLEAN(E157&amp;"")," ",""),".","")," ",""),"-",""))=4,LEN(SUBSTITUTE(SUBSTITUTE(SUBSTITUTE(SUBSTITUTE(CLEAN(E157&amp;"")," ",""),".","")," ",""),"-",""))=6,LEN(SUBSTITUTE(SUBSTITUTE(SUBSTITUTE(SUBSTITUTE(CLEAN(E157&amp;"")," ",""),".","")," ",""),"-",""))=8,LEN(SUBSTITUTE(SUBSTITUTE(SUBSTITUTE(SUBSTITUTE(CLEAN(E157&amp;"")," ",""),".","")," ",""),"-",""))=10),IFERROR(TEXT(VALUE(SUBSTITUTE(SUBSTITUTE(SUBSTITUTE(SUBSTITUTE(CLEAN(E157&amp;"")," ",""),".","")," ",""),"-","")),REPT("0",LEN(SUBSTITUTE(SUBSTITUTE(SUBSTITUTE(SUBSTITUTE(CLEAN(E157&amp;"")," ",""),".","")," ",""),"-",""))))=SUBSTITUTE(SUBSTITUTE(SUBSTITUTE(SUBSTITUTE(CLEAN(E157&amp;"")," ",""),".","")," ",""),"-",""),FALSE)),SUBSTITUTE(SUBSTITUTE(SUBSTITUTE(SUBSTITUTE(CLEAN(E157&amp;"")," ",""),".","")," ",""),"-",""),"CHECK: not 2, 4, 6, 8 or 10 digits"))</f>
        <v/>
      </c>
      <c r="G157" s="11" t="n"/>
      <c r="H157" s="8" t="n"/>
      <c r="I157" s="8" t="n"/>
      <c r="J157" s="10">
        <f>IF(SUBSTITUTE(SUBSTITUTE(SUBSTITUTE(SUBSTITUTE(CLEAN(I157&amp;"")," ",""),".","")," ",""),"-","")="","",IF(AND(OR(LEN(SUBSTITUTE(SUBSTITUTE(SUBSTITUTE(SUBSTITUTE(CLEAN(I157&amp;"")," ",""),".","")," ",""),"-",""))=2,LEN(SUBSTITUTE(SUBSTITUTE(SUBSTITUTE(SUBSTITUTE(CLEAN(I157&amp;"")," ",""),".","")," ",""),"-",""))=4,LEN(SUBSTITUTE(SUBSTITUTE(SUBSTITUTE(SUBSTITUTE(CLEAN(I157&amp;"")," ",""),".","")," ",""),"-",""))=6,LEN(SUBSTITUTE(SUBSTITUTE(SUBSTITUTE(SUBSTITUTE(CLEAN(I157&amp;"")," ",""),".","")," ",""),"-",""))=8,LEN(SUBSTITUTE(SUBSTITUTE(SUBSTITUTE(SUBSTITUTE(CLEAN(I157&amp;"")," ",""),".","")," ",""),"-",""))=10),IFERROR(TEXT(VALUE(SUBSTITUTE(SUBSTITUTE(SUBSTITUTE(SUBSTITUTE(CLEAN(I157&amp;"")," ",""),".","")," ",""),"-","")),REPT("0",LEN(SUBSTITUTE(SUBSTITUTE(SUBSTITUTE(SUBSTITUTE(CLEAN(I157&amp;"")," ",""),".","")," ",""),"-",""))))=SUBSTITUTE(SUBSTITUTE(SUBSTITUTE(SUBSTITUTE(CLEAN(I157&amp;"")," ",""),".","")," ",""),"-",""),FALSE)),SUBSTITUTE(SUBSTITUTE(SUBSTITUTE(SUBSTITUTE(CLEAN(I157&amp;"")," ",""),".","")," ",""),"-",""),"CHECK: not 2, 4, 6, 8 or 10 digits"))</f>
        <v/>
      </c>
      <c r="K157" s="11" t="n"/>
    </row>
    <row r="158">
      <c r="E158" s="8" t="n"/>
      <c r="F158" s="10">
        <f>IF(SUBSTITUTE(SUBSTITUTE(SUBSTITUTE(SUBSTITUTE(CLEAN(E158&amp;"")," ",""),".","")," ",""),"-","")="","",IF(AND(OR(LEN(SUBSTITUTE(SUBSTITUTE(SUBSTITUTE(SUBSTITUTE(CLEAN(E158&amp;"")," ",""),".","")," ",""),"-",""))=2,LEN(SUBSTITUTE(SUBSTITUTE(SUBSTITUTE(SUBSTITUTE(CLEAN(E158&amp;"")," ",""),".","")," ",""),"-",""))=4,LEN(SUBSTITUTE(SUBSTITUTE(SUBSTITUTE(SUBSTITUTE(CLEAN(E158&amp;"")," ",""),".","")," ",""),"-",""))=6,LEN(SUBSTITUTE(SUBSTITUTE(SUBSTITUTE(SUBSTITUTE(CLEAN(E158&amp;"")," ",""),".","")," ",""),"-",""))=8,LEN(SUBSTITUTE(SUBSTITUTE(SUBSTITUTE(SUBSTITUTE(CLEAN(E158&amp;"")," ",""),".","")," ",""),"-",""))=10),IFERROR(TEXT(VALUE(SUBSTITUTE(SUBSTITUTE(SUBSTITUTE(SUBSTITUTE(CLEAN(E158&amp;"")," ",""),".","")," ",""),"-","")),REPT("0",LEN(SUBSTITUTE(SUBSTITUTE(SUBSTITUTE(SUBSTITUTE(CLEAN(E158&amp;"")," ",""),".","")," ",""),"-",""))))=SUBSTITUTE(SUBSTITUTE(SUBSTITUTE(SUBSTITUTE(CLEAN(E158&amp;"")," ",""),".","")," ",""),"-",""),FALSE)),SUBSTITUTE(SUBSTITUTE(SUBSTITUTE(SUBSTITUTE(CLEAN(E158&amp;"")," ",""),".","")," ",""),"-",""),"CHECK: not 2, 4, 6, 8 or 10 digits"))</f>
        <v/>
      </c>
      <c r="G158" s="11" t="n"/>
      <c r="H158" s="8" t="n"/>
      <c r="I158" s="8" t="n"/>
      <c r="J158" s="10">
        <f>IF(SUBSTITUTE(SUBSTITUTE(SUBSTITUTE(SUBSTITUTE(CLEAN(I158&amp;"")," ",""),".","")," ",""),"-","")="","",IF(AND(OR(LEN(SUBSTITUTE(SUBSTITUTE(SUBSTITUTE(SUBSTITUTE(CLEAN(I158&amp;"")," ",""),".","")," ",""),"-",""))=2,LEN(SUBSTITUTE(SUBSTITUTE(SUBSTITUTE(SUBSTITUTE(CLEAN(I158&amp;"")," ",""),".","")," ",""),"-",""))=4,LEN(SUBSTITUTE(SUBSTITUTE(SUBSTITUTE(SUBSTITUTE(CLEAN(I158&amp;"")," ",""),".","")," ",""),"-",""))=6,LEN(SUBSTITUTE(SUBSTITUTE(SUBSTITUTE(SUBSTITUTE(CLEAN(I158&amp;"")," ",""),".","")," ",""),"-",""))=8,LEN(SUBSTITUTE(SUBSTITUTE(SUBSTITUTE(SUBSTITUTE(CLEAN(I158&amp;"")," ",""),".","")," ",""),"-",""))=10),IFERROR(TEXT(VALUE(SUBSTITUTE(SUBSTITUTE(SUBSTITUTE(SUBSTITUTE(CLEAN(I158&amp;"")," ",""),".","")," ",""),"-","")),REPT("0",LEN(SUBSTITUTE(SUBSTITUTE(SUBSTITUTE(SUBSTITUTE(CLEAN(I158&amp;"")," ",""),".","")," ",""),"-",""))))=SUBSTITUTE(SUBSTITUTE(SUBSTITUTE(SUBSTITUTE(CLEAN(I158&amp;"")," ",""),".","")," ",""),"-",""),FALSE)),SUBSTITUTE(SUBSTITUTE(SUBSTITUTE(SUBSTITUTE(CLEAN(I158&amp;"")," ",""),".","")," ",""),"-",""),"CHECK: not 2, 4, 6, 8 or 10 digits"))</f>
        <v/>
      </c>
      <c r="K158" s="11" t="n"/>
    </row>
    <row r="159">
      <c r="E159" s="8" t="n"/>
      <c r="F159" s="10">
        <f>IF(SUBSTITUTE(SUBSTITUTE(SUBSTITUTE(SUBSTITUTE(CLEAN(E159&amp;"")," ",""),".","")," ",""),"-","")="","",IF(AND(OR(LEN(SUBSTITUTE(SUBSTITUTE(SUBSTITUTE(SUBSTITUTE(CLEAN(E159&amp;"")," ",""),".","")," ",""),"-",""))=2,LEN(SUBSTITUTE(SUBSTITUTE(SUBSTITUTE(SUBSTITUTE(CLEAN(E159&amp;"")," ",""),".","")," ",""),"-",""))=4,LEN(SUBSTITUTE(SUBSTITUTE(SUBSTITUTE(SUBSTITUTE(CLEAN(E159&amp;"")," ",""),".","")," ",""),"-",""))=6,LEN(SUBSTITUTE(SUBSTITUTE(SUBSTITUTE(SUBSTITUTE(CLEAN(E159&amp;"")," ",""),".","")," ",""),"-",""))=8,LEN(SUBSTITUTE(SUBSTITUTE(SUBSTITUTE(SUBSTITUTE(CLEAN(E159&amp;"")," ",""),".","")," ",""),"-",""))=10),IFERROR(TEXT(VALUE(SUBSTITUTE(SUBSTITUTE(SUBSTITUTE(SUBSTITUTE(CLEAN(E159&amp;"")," ",""),".","")," ",""),"-","")),REPT("0",LEN(SUBSTITUTE(SUBSTITUTE(SUBSTITUTE(SUBSTITUTE(CLEAN(E159&amp;"")," ",""),".","")," ",""),"-",""))))=SUBSTITUTE(SUBSTITUTE(SUBSTITUTE(SUBSTITUTE(CLEAN(E159&amp;"")," ",""),".","")," ",""),"-",""),FALSE)),SUBSTITUTE(SUBSTITUTE(SUBSTITUTE(SUBSTITUTE(CLEAN(E159&amp;"")," ",""),".","")," ",""),"-",""),"CHECK: not 2, 4, 6, 8 or 10 digits"))</f>
        <v/>
      </c>
      <c r="G159" s="11" t="n"/>
      <c r="H159" s="8" t="n"/>
      <c r="I159" s="8" t="n"/>
      <c r="J159" s="10">
        <f>IF(SUBSTITUTE(SUBSTITUTE(SUBSTITUTE(SUBSTITUTE(CLEAN(I159&amp;"")," ",""),".","")," ",""),"-","")="","",IF(AND(OR(LEN(SUBSTITUTE(SUBSTITUTE(SUBSTITUTE(SUBSTITUTE(CLEAN(I159&amp;"")," ",""),".","")," ",""),"-",""))=2,LEN(SUBSTITUTE(SUBSTITUTE(SUBSTITUTE(SUBSTITUTE(CLEAN(I159&amp;"")," ",""),".","")," ",""),"-",""))=4,LEN(SUBSTITUTE(SUBSTITUTE(SUBSTITUTE(SUBSTITUTE(CLEAN(I159&amp;"")," ",""),".","")," ",""),"-",""))=6,LEN(SUBSTITUTE(SUBSTITUTE(SUBSTITUTE(SUBSTITUTE(CLEAN(I159&amp;"")," ",""),".","")," ",""),"-",""))=8,LEN(SUBSTITUTE(SUBSTITUTE(SUBSTITUTE(SUBSTITUTE(CLEAN(I159&amp;"")," ",""),".","")," ",""),"-",""))=10),IFERROR(TEXT(VALUE(SUBSTITUTE(SUBSTITUTE(SUBSTITUTE(SUBSTITUTE(CLEAN(I159&amp;"")," ",""),".","")," ",""),"-","")),REPT("0",LEN(SUBSTITUTE(SUBSTITUTE(SUBSTITUTE(SUBSTITUTE(CLEAN(I159&amp;"")," ",""),".","")," ",""),"-",""))))=SUBSTITUTE(SUBSTITUTE(SUBSTITUTE(SUBSTITUTE(CLEAN(I159&amp;"")," ",""),".","")," ",""),"-",""),FALSE)),SUBSTITUTE(SUBSTITUTE(SUBSTITUTE(SUBSTITUTE(CLEAN(I159&amp;"")," ",""),".","")," ",""),"-",""),"CHECK: not 2, 4, 6, 8 or 10 digits"))</f>
        <v/>
      </c>
      <c r="K159" s="11" t="n"/>
    </row>
    <row r="160">
      <c r="E160" s="8" t="n"/>
      <c r="F160" s="10">
        <f>IF(SUBSTITUTE(SUBSTITUTE(SUBSTITUTE(SUBSTITUTE(CLEAN(E160&amp;"")," ",""),".","")," ",""),"-","")="","",IF(AND(OR(LEN(SUBSTITUTE(SUBSTITUTE(SUBSTITUTE(SUBSTITUTE(CLEAN(E160&amp;"")," ",""),".","")," ",""),"-",""))=2,LEN(SUBSTITUTE(SUBSTITUTE(SUBSTITUTE(SUBSTITUTE(CLEAN(E160&amp;"")," ",""),".","")," ",""),"-",""))=4,LEN(SUBSTITUTE(SUBSTITUTE(SUBSTITUTE(SUBSTITUTE(CLEAN(E160&amp;"")," ",""),".","")," ",""),"-",""))=6,LEN(SUBSTITUTE(SUBSTITUTE(SUBSTITUTE(SUBSTITUTE(CLEAN(E160&amp;"")," ",""),".","")," ",""),"-",""))=8,LEN(SUBSTITUTE(SUBSTITUTE(SUBSTITUTE(SUBSTITUTE(CLEAN(E160&amp;"")," ",""),".","")," ",""),"-",""))=10),IFERROR(TEXT(VALUE(SUBSTITUTE(SUBSTITUTE(SUBSTITUTE(SUBSTITUTE(CLEAN(E160&amp;"")," ",""),".","")," ",""),"-","")),REPT("0",LEN(SUBSTITUTE(SUBSTITUTE(SUBSTITUTE(SUBSTITUTE(CLEAN(E160&amp;"")," ",""),".","")," ",""),"-",""))))=SUBSTITUTE(SUBSTITUTE(SUBSTITUTE(SUBSTITUTE(CLEAN(E160&amp;"")," ",""),".","")," ",""),"-",""),FALSE)),SUBSTITUTE(SUBSTITUTE(SUBSTITUTE(SUBSTITUTE(CLEAN(E160&amp;"")," ",""),".","")," ",""),"-",""),"CHECK: not 2, 4, 6, 8 or 10 digits"))</f>
        <v/>
      </c>
      <c r="G160" s="11" t="n"/>
      <c r="H160" s="8" t="n"/>
      <c r="I160" s="8" t="n"/>
      <c r="J160" s="10">
        <f>IF(SUBSTITUTE(SUBSTITUTE(SUBSTITUTE(SUBSTITUTE(CLEAN(I160&amp;"")," ",""),".","")," ",""),"-","")="","",IF(AND(OR(LEN(SUBSTITUTE(SUBSTITUTE(SUBSTITUTE(SUBSTITUTE(CLEAN(I160&amp;"")," ",""),".","")," ",""),"-",""))=2,LEN(SUBSTITUTE(SUBSTITUTE(SUBSTITUTE(SUBSTITUTE(CLEAN(I160&amp;"")," ",""),".","")," ",""),"-",""))=4,LEN(SUBSTITUTE(SUBSTITUTE(SUBSTITUTE(SUBSTITUTE(CLEAN(I160&amp;"")," ",""),".","")," ",""),"-",""))=6,LEN(SUBSTITUTE(SUBSTITUTE(SUBSTITUTE(SUBSTITUTE(CLEAN(I160&amp;"")," ",""),".","")," ",""),"-",""))=8,LEN(SUBSTITUTE(SUBSTITUTE(SUBSTITUTE(SUBSTITUTE(CLEAN(I160&amp;"")," ",""),".","")," ",""),"-",""))=10),IFERROR(TEXT(VALUE(SUBSTITUTE(SUBSTITUTE(SUBSTITUTE(SUBSTITUTE(CLEAN(I160&amp;"")," ",""),".","")," ",""),"-","")),REPT("0",LEN(SUBSTITUTE(SUBSTITUTE(SUBSTITUTE(SUBSTITUTE(CLEAN(I160&amp;"")," ",""),".","")," ",""),"-",""))))=SUBSTITUTE(SUBSTITUTE(SUBSTITUTE(SUBSTITUTE(CLEAN(I160&amp;"")," ",""),".","")," ",""),"-",""),FALSE)),SUBSTITUTE(SUBSTITUTE(SUBSTITUTE(SUBSTITUTE(CLEAN(I160&amp;"")," ",""),".","")," ",""),"-",""),"CHECK: not 2, 4, 6, 8 or 10 digits"))</f>
        <v/>
      </c>
      <c r="K160" s="11" t="n"/>
    </row>
    <row r="161">
      <c r="E161" s="8" t="n"/>
      <c r="F161" s="10">
        <f>IF(SUBSTITUTE(SUBSTITUTE(SUBSTITUTE(SUBSTITUTE(CLEAN(E161&amp;"")," ",""),".","")," ",""),"-","")="","",IF(AND(OR(LEN(SUBSTITUTE(SUBSTITUTE(SUBSTITUTE(SUBSTITUTE(CLEAN(E161&amp;"")," ",""),".","")," ",""),"-",""))=2,LEN(SUBSTITUTE(SUBSTITUTE(SUBSTITUTE(SUBSTITUTE(CLEAN(E161&amp;"")," ",""),".","")," ",""),"-",""))=4,LEN(SUBSTITUTE(SUBSTITUTE(SUBSTITUTE(SUBSTITUTE(CLEAN(E161&amp;"")," ",""),".","")," ",""),"-",""))=6,LEN(SUBSTITUTE(SUBSTITUTE(SUBSTITUTE(SUBSTITUTE(CLEAN(E161&amp;"")," ",""),".","")," ",""),"-",""))=8,LEN(SUBSTITUTE(SUBSTITUTE(SUBSTITUTE(SUBSTITUTE(CLEAN(E161&amp;"")," ",""),".","")," ",""),"-",""))=10),IFERROR(TEXT(VALUE(SUBSTITUTE(SUBSTITUTE(SUBSTITUTE(SUBSTITUTE(CLEAN(E161&amp;"")," ",""),".","")," ",""),"-","")),REPT("0",LEN(SUBSTITUTE(SUBSTITUTE(SUBSTITUTE(SUBSTITUTE(CLEAN(E161&amp;"")," ",""),".","")," ",""),"-",""))))=SUBSTITUTE(SUBSTITUTE(SUBSTITUTE(SUBSTITUTE(CLEAN(E161&amp;"")," ",""),".","")," ",""),"-",""),FALSE)),SUBSTITUTE(SUBSTITUTE(SUBSTITUTE(SUBSTITUTE(CLEAN(E161&amp;"")," ",""),".","")," ",""),"-",""),"CHECK: not 2, 4, 6, 8 or 10 digits"))</f>
        <v/>
      </c>
      <c r="G161" s="11" t="n"/>
      <c r="H161" s="8" t="n"/>
      <c r="I161" s="8" t="n"/>
      <c r="J161" s="10">
        <f>IF(SUBSTITUTE(SUBSTITUTE(SUBSTITUTE(SUBSTITUTE(CLEAN(I161&amp;"")," ",""),".","")," ",""),"-","")="","",IF(AND(OR(LEN(SUBSTITUTE(SUBSTITUTE(SUBSTITUTE(SUBSTITUTE(CLEAN(I161&amp;"")," ",""),".","")," ",""),"-",""))=2,LEN(SUBSTITUTE(SUBSTITUTE(SUBSTITUTE(SUBSTITUTE(CLEAN(I161&amp;"")," ",""),".","")," ",""),"-",""))=4,LEN(SUBSTITUTE(SUBSTITUTE(SUBSTITUTE(SUBSTITUTE(CLEAN(I161&amp;"")," ",""),".","")," ",""),"-",""))=6,LEN(SUBSTITUTE(SUBSTITUTE(SUBSTITUTE(SUBSTITUTE(CLEAN(I161&amp;"")," ",""),".","")," ",""),"-",""))=8,LEN(SUBSTITUTE(SUBSTITUTE(SUBSTITUTE(SUBSTITUTE(CLEAN(I161&amp;"")," ",""),".","")," ",""),"-",""))=10),IFERROR(TEXT(VALUE(SUBSTITUTE(SUBSTITUTE(SUBSTITUTE(SUBSTITUTE(CLEAN(I161&amp;"")," ",""),".","")," ",""),"-","")),REPT("0",LEN(SUBSTITUTE(SUBSTITUTE(SUBSTITUTE(SUBSTITUTE(CLEAN(I161&amp;"")," ",""),".","")," ",""),"-",""))))=SUBSTITUTE(SUBSTITUTE(SUBSTITUTE(SUBSTITUTE(CLEAN(I161&amp;"")," ",""),".","")," ",""),"-",""),FALSE)),SUBSTITUTE(SUBSTITUTE(SUBSTITUTE(SUBSTITUTE(CLEAN(I161&amp;"")," ",""),".","")," ",""),"-",""),"CHECK: not 2, 4, 6, 8 or 10 digits"))</f>
        <v/>
      </c>
      <c r="K161" s="11" t="n"/>
    </row>
    <row r="162">
      <c r="E162" s="8" t="n"/>
      <c r="F162" s="10">
        <f>IF(SUBSTITUTE(SUBSTITUTE(SUBSTITUTE(SUBSTITUTE(CLEAN(E162&amp;"")," ",""),".","")," ",""),"-","")="","",IF(AND(OR(LEN(SUBSTITUTE(SUBSTITUTE(SUBSTITUTE(SUBSTITUTE(CLEAN(E162&amp;"")," ",""),".","")," ",""),"-",""))=2,LEN(SUBSTITUTE(SUBSTITUTE(SUBSTITUTE(SUBSTITUTE(CLEAN(E162&amp;"")," ",""),".","")," ",""),"-",""))=4,LEN(SUBSTITUTE(SUBSTITUTE(SUBSTITUTE(SUBSTITUTE(CLEAN(E162&amp;"")," ",""),".","")," ",""),"-",""))=6,LEN(SUBSTITUTE(SUBSTITUTE(SUBSTITUTE(SUBSTITUTE(CLEAN(E162&amp;"")," ",""),".","")," ",""),"-",""))=8,LEN(SUBSTITUTE(SUBSTITUTE(SUBSTITUTE(SUBSTITUTE(CLEAN(E162&amp;"")," ",""),".","")," ",""),"-",""))=10),IFERROR(TEXT(VALUE(SUBSTITUTE(SUBSTITUTE(SUBSTITUTE(SUBSTITUTE(CLEAN(E162&amp;"")," ",""),".","")," ",""),"-","")),REPT("0",LEN(SUBSTITUTE(SUBSTITUTE(SUBSTITUTE(SUBSTITUTE(CLEAN(E162&amp;"")," ",""),".","")," ",""),"-",""))))=SUBSTITUTE(SUBSTITUTE(SUBSTITUTE(SUBSTITUTE(CLEAN(E162&amp;"")," ",""),".","")," ",""),"-",""),FALSE)),SUBSTITUTE(SUBSTITUTE(SUBSTITUTE(SUBSTITUTE(CLEAN(E162&amp;"")," ",""),".","")," ",""),"-",""),"CHECK: not 2, 4, 6, 8 or 10 digits"))</f>
        <v/>
      </c>
      <c r="G162" s="11" t="n"/>
      <c r="H162" s="8" t="n"/>
      <c r="I162" s="8" t="n"/>
      <c r="J162" s="10">
        <f>IF(SUBSTITUTE(SUBSTITUTE(SUBSTITUTE(SUBSTITUTE(CLEAN(I162&amp;"")," ",""),".","")," ",""),"-","")="","",IF(AND(OR(LEN(SUBSTITUTE(SUBSTITUTE(SUBSTITUTE(SUBSTITUTE(CLEAN(I162&amp;"")," ",""),".","")," ",""),"-",""))=2,LEN(SUBSTITUTE(SUBSTITUTE(SUBSTITUTE(SUBSTITUTE(CLEAN(I162&amp;"")," ",""),".","")," ",""),"-",""))=4,LEN(SUBSTITUTE(SUBSTITUTE(SUBSTITUTE(SUBSTITUTE(CLEAN(I162&amp;"")," ",""),".","")," ",""),"-",""))=6,LEN(SUBSTITUTE(SUBSTITUTE(SUBSTITUTE(SUBSTITUTE(CLEAN(I162&amp;"")," ",""),".","")," ",""),"-",""))=8,LEN(SUBSTITUTE(SUBSTITUTE(SUBSTITUTE(SUBSTITUTE(CLEAN(I162&amp;"")," ",""),".","")," ",""),"-",""))=10),IFERROR(TEXT(VALUE(SUBSTITUTE(SUBSTITUTE(SUBSTITUTE(SUBSTITUTE(CLEAN(I162&amp;"")," ",""),".","")," ",""),"-","")),REPT("0",LEN(SUBSTITUTE(SUBSTITUTE(SUBSTITUTE(SUBSTITUTE(CLEAN(I162&amp;"")," ",""),".","")," ",""),"-",""))))=SUBSTITUTE(SUBSTITUTE(SUBSTITUTE(SUBSTITUTE(CLEAN(I162&amp;"")," ",""),".","")," ",""),"-",""),FALSE)),SUBSTITUTE(SUBSTITUTE(SUBSTITUTE(SUBSTITUTE(CLEAN(I162&amp;"")," ",""),".","")," ",""),"-",""),"CHECK: not 2, 4, 6, 8 or 10 digits"))</f>
        <v/>
      </c>
      <c r="K162" s="11" t="n"/>
    </row>
    <row r="163">
      <c r="E163" s="8" t="n"/>
      <c r="F163" s="10">
        <f>IF(SUBSTITUTE(SUBSTITUTE(SUBSTITUTE(SUBSTITUTE(CLEAN(E163&amp;"")," ",""),".","")," ",""),"-","")="","",IF(AND(OR(LEN(SUBSTITUTE(SUBSTITUTE(SUBSTITUTE(SUBSTITUTE(CLEAN(E163&amp;"")," ",""),".","")," ",""),"-",""))=2,LEN(SUBSTITUTE(SUBSTITUTE(SUBSTITUTE(SUBSTITUTE(CLEAN(E163&amp;"")," ",""),".","")," ",""),"-",""))=4,LEN(SUBSTITUTE(SUBSTITUTE(SUBSTITUTE(SUBSTITUTE(CLEAN(E163&amp;"")," ",""),".","")," ",""),"-",""))=6,LEN(SUBSTITUTE(SUBSTITUTE(SUBSTITUTE(SUBSTITUTE(CLEAN(E163&amp;"")," ",""),".","")," ",""),"-",""))=8,LEN(SUBSTITUTE(SUBSTITUTE(SUBSTITUTE(SUBSTITUTE(CLEAN(E163&amp;"")," ",""),".","")," ",""),"-",""))=10),IFERROR(TEXT(VALUE(SUBSTITUTE(SUBSTITUTE(SUBSTITUTE(SUBSTITUTE(CLEAN(E163&amp;"")," ",""),".","")," ",""),"-","")),REPT("0",LEN(SUBSTITUTE(SUBSTITUTE(SUBSTITUTE(SUBSTITUTE(CLEAN(E163&amp;"")," ",""),".","")," ",""),"-",""))))=SUBSTITUTE(SUBSTITUTE(SUBSTITUTE(SUBSTITUTE(CLEAN(E163&amp;"")," ",""),".","")," ",""),"-",""),FALSE)),SUBSTITUTE(SUBSTITUTE(SUBSTITUTE(SUBSTITUTE(CLEAN(E163&amp;"")," ",""),".","")," ",""),"-",""),"CHECK: not 2, 4, 6, 8 or 10 digits"))</f>
        <v/>
      </c>
      <c r="G163" s="11" t="n"/>
      <c r="H163" s="8" t="n"/>
      <c r="I163" s="8" t="n"/>
      <c r="J163" s="10">
        <f>IF(SUBSTITUTE(SUBSTITUTE(SUBSTITUTE(SUBSTITUTE(CLEAN(I163&amp;"")," ",""),".","")," ",""),"-","")="","",IF(AND(OR(LEN(SUBSTITUTE(SUBSTITUTE(SUBSTITUTE(SUBSTITUTE(CLEAN(I163&amp;"")," ",""),".","")," ",""),"-",""))=2,LEN(SUBSTITUTE(SUBSTITUTE(SUBSTITUTE(SUBSTITUTE(CLEAN(I163&amp;"")," ",""),".","")," ",""),"-",""))=4,LEN(SUBSTITUTE(SUBSTITUTE(SUBSTITUTE(SUBSTITUTE(CLEAN(I163&amp;"")," ",""),".","")," ",""),"-",""))=6,LEN(SUBSTITUTE(SUBSTITUTE(SUBSTITUTE(SUBSTITUTE(CLEAN(I163&amp;"")," ",""),".","")," ",""),"-",""))=8,LEN(SUBSTITUTE(SUBSTITUTE(SUBSTITUTE(SUBSTITUTE(CLEAN(I163&amp;"")," ",""),".","")," ",""),"-",""))=10),IFERROR(TEXT(VALUE(SUBSTITUTE(SUBSTITUTE(SUBSTITUTE(SUBSTITUTE(CLEAN(I163&amp;"")," ",""),".","")," ",""),"-","")),REPT("0",LEN(SUBSTITUTE(SUBSTITUTE(SUBSTITUTE(SUBSTITUTE(CLEAN(I163&amp;"")," ",""),".","")," ",""),"-",""))))=SUBSTITUTE(SUBSTITUTE(SUBSTITUTE(SUBSTITUTE(CLEAN(I163&amp;"")," ",""),".","")," ",""),"-",""),FALSE)),SUBSTITUTE(SUBSTITUTE(SUBSTITUTE(SUBSTITUTE(CLEAN(I163&amp;"")," ",""),".","")," ",""),"-",""),"CHECK: not 2, 4, 6, 8 or 10 digits"))</f>
        <v/>
      </c>
      <c r="K163" s="11" t="n"/>
    </row>
    <row r="164">
      <c r="E164" s="8" t="n"/>
      <c r="F164" s="10">
        <f>IF(SUBSTITUTE(SUBSTITUTE(SUBSTITUTE(SUBSTITUTE(CLEAN(E164&amp;"")," ",""),".","")," ",""),"-","")="","",IF(AND(OR(LEN(SUBSTITUTE(SUBSTITUTE(SUBSTITUTE(SUBSTITUTE(CLEAN(E164&amp;"")," ",""),".","")," ",""),"-",""))=2,LEN(SUBSTITUTE(SUBSTITUTE(SUBSTITUTE(SUBSTITUTE(CLEAN(E164&amp;"")," ",""),".","")," ",""),"-",""))=4,LEN(SUBSTITUTE(SUBSTITUTE(SUBSTITUTE(SUBSTITUTE(CLEAN(E164&amp;"")," ",""),".","")," ",""),"-",""))=6,LEN(SUBSTITUTE(SUBSTITUTE(SUBSTITUTE(SUBSTITUTE(CLEAN(E164&amp;"")," ",""),".","")," ",""),"-",""))=8,LEN(SUBSTITUTE(SUBSTITUTE(SUBSTITUTE(SUBSTITUTE(CLEAN(E164&amp;"")," ",""),".","")," ",""),"-",""))=10),IFERROR(TEXT(VALUE(SUBSTITUTE(SUBSTITUTE(SUBSTITUTE(SUBSTITUTE(CLEAN(E164&amp;"")," ",""),".","")," ",""),"-","")),REPT("0",LEN(SUBSTITUTE(SUBSTITUTE(SUBSTITUTE(SUBSTITUTE(CLEAN(E164&amp;"")," ",""),".","")," ",""),"-",""))))=SUBSTITUTE(SUBSTITUTE(SUBSTITUTE(SUBSTITUTE(CLEAN(E164&amp;"")," ",""),".","")," ",""),"-",""),FALSE)),SUBSTITUTE(SUBSTITUTE(SUBSTITUTE(SUBSTITUTE(CLEAN(E164&amp;"")," ",""),".","")," ",""),"-",""),"CHECK: not 2, 4, 6, 8 or 10 digits"))</f>
        <v/>
      </c>
      <c r="G164" s="11" t="n"/>
      <c r="H164" s="8" t="n"/>
      <c r="I164" s="8" t="n"/>
      <c r="J164" s="10">
        <f>IF(SUBSTITUTE(SUBSTITUTE(SUBSTITUTE(SUBSTITUTE(CLEAN(I164&amp;"")," ",""),".","")," ",""),"-","")="","",IF(AND(OR(LEN(SUBSTITUTE(SUBSTITUTE(SUBSTITUTE(SUBSTITUTE(CLEAN(I164&amp;"")," ",""),".","")," ",""),"-",""))=2,LEN(SUBSTITUTE(SUBSTITUTE(SUBSTITUTE(SUBSTITUTE(CLEAN(I164&amp;"")," ",""),".","")," ",""),"-",""))=4,LEN(SUBSTITUTE(SUBSTITUTE(SUBSTITUTE(SUBSTITUTE(CLEAN(I164&amp;"")," ",""),".","")," ",""),"-",""))=6,LEN(SUBSTITUTE(SUBSTITUTE(SUBSTITUTE(SUBSTITUTE(CLEAN(I164&amp;"")," ",""),".","")," ",""),"-",""))=8,LEN(SUBSTITUTE(SUBSTITUTE(SUBSTITUTE(SUBSTITUTE(CLEAN(I164&amp;"")," ",""),".","")," ",""),"-",""))=10),IFERROR(TEXT(VALUE(SUBSTITUTE(SUBSTITUTE(SUBSTITUTE(SUBSTITUTE(CLEAN(I164&amp;"")," ",""),".","")," ",""),"-","")),REPT("0",LEN(SUBSTITUTE(SUBSTITUTE(SUBSTITUTE(SUBSTITUTE(CLEAN(I164&amp;"")," ",""),".","")," ",""),"-",""))))=SUBSTITUTE(SUBSTITUTE(SUBSTITUTE(SUBSTITUTE(CLEAN(I164&amp;"")," ",""),".","")," ",""),"-",""),FALSE)),SUBSTITUTE(SUBSTITUTE(SUBSTITUTE(SUBSTITUTE(CLEAN(I164&amp;"")," ",""),".","")," ",""),"-",""),"CHECK: not 2, 4, 6, 8 or 10 digits"))</f>
        <v/>
      </c>
      <c r="K164" s="11" t="n"/>
    </row>
    <row r="165">
      <c r="E165" s="8" t="n"/>
      <c r="F165" s="10">
        <f>IF(SUBSTITUTE(SUBSTITUTE(SUBSTITUTE(SUBSTITUTE(CLEAN(E165&amp;"")," ",""),".","")," ",""),"-","")="","",IF(AND(OR(LEN(SUBSTITUTE(SUBSTITUTE(SUBSTITUTE(SUBSTITUTE(CLEAN(E165&amp;"")," ",""),".","")," ",""),"-",""))=2,LEN(SUBSTITUTE(SUBSTITUTE(SUBSTITUTE(SUBSTITUTE(CLEAN(E165&amp;"")," ",""),".","")," ",""),"-",""))=4,LEN(SUBSTITUTE(SUBSTITUTE(SUBSTITUTE(SUBSTITUTE(CLEAN(E165&amp;"")," ",""),".","")," ",""),"-",""))=6,LEN(SUBSTITUTE(SUBSTITUTE(SUBSTITUTE(SUBSTITUTE(CLEAN(E165&amp;"")," ",""),".","")," ",""),"-",""))=8,LEN(SUBSTITUTE(SUBSTITUTE(SUBSTITUTE(SUBSTITUTE(CLEAN(E165&amp;"")," ",""),".","")," ",""),"-",""))=10),IFERROR(TEXT(VALUE(SUBSTITUTE(SUBSTITUTE(SUBSTITUTE(SUBSTITUTE(CLEAN(E165&amp;"")," ",""),".","")," ",""),"-","")),REPT("0",LEN(SUBSTITUTE(SUBSTITUTE(SUBSTITUTE(SUBSTITUTE(CLEAN(E165&amp;"")," ",""),".","")," ",""),"-",""))))=SUBSTITUTE(SUBSTITUTE(SUBSTITUTE(SUBSTITUTE(CLEAN(E165&amp;"")," ",""),".","")," ",""),"-",""),FALSE)),SUBSTITUTE(SUBSTITUTE(SUBSTITUTE(SUBSTITUTE(CLEAN(E165&amp;"")," ",""),".","")," ",""),"-",""),"CHECK: not 2, 4, 6, 8 or 10 digits"))</f>
        <v/>
      </c>
      <c r="G165" s="11" t="n"/>
      <c r="H165" s="8" t="n"/>
      <c r="I165" s="8" t="n"/>
      <c r="J165" s="10">
        <f>IF(SUBSTITUTE(SUBSTITUTE(SUBSTITUTE(SUBSTITUTE(CLEAN(I165&amp;"")," ",""),".","")," ",""),"-","")="","",IF(AND(OR(LEN(SUBSTITUTE(SUBSTITUTE(SUBSTITUTE(SUBSTITUTE(CLEAN(I165&amp;"")," ",""),".","")," ",""),"-",""))=2,LEN(SUBSTITUTE(SUBSTITUTE(SUBSTITUTE(SUBSTITUTE(CLEAN(I165&amp;"")," ",""),".","")," ",""),"-",""))=4,LEN(SUBSTITUTE(SUBSTITUTE(SUBSTITUTE(SUBSTITUTE(CLEAN(I165&amp;"")," ",""),".","")," ",""),"-",""))=6,LEN(SUBSTITUTE(SUBSTITUTE(SUBSTITUTE(SUBSTITUTE(CLEAN(I165&amp;"")," ",""),".","")," ",""),"-",""))=8,LEN(SUBSTITUTE(SUBSTITUTE(SUBSTITUTE(SUBSTITUTE(CLEAN(I165&amp;"")," ",""),".","")," ",""),"-",""))=10),IFERROR(TEXT(VALUE(SUBSTITUTE(SUBSTITUTE(SUBSTITUTE(SUBSTITUTE(CLEAN(I165&amp;"")," ",""),".","")," ",""),"-","")),REPT("0",LEN(SUBSTITUTE(SUBSTITUTE(SUBSTITUTE(SUBSTITUTE(CLEAN(I165&amp;"")," ",""),".","")," ",""),"-",""))))=SUBSTITUTE(SUBSTITUTE(SUBSTITUTE(SUBSTITUTE(CLEAN(I165&amp;"")," ",""),".","")," ",""),"-",""),FALSE)),SUBSTITUTE(SUBSTITUTE(SUBSTITUTE(SUBSTITUTE(CLEAN(I165&amp;"")," ",""),".","")," ",""),"-",""),"CHECK: not 2, 4, 6, 8 or 10 digits"))</f>
        <v/>
      </c>
      <c r="K165" s="11" t="n"/>
    </row>
    <row r="166">
      <c r="E166" s="8" t="n"/>
      <c r="F166" s="10">
        <f>IF(SUBSTITUTE(SUBSTITUTE(SUBSTITUTE(SUBSTITUTE(CLEAN(E166&amp;"")," ",""),".","")," ",""),"-","")="","",IF(AND(OR(LEN(SUBSTITUTE(SUBSTITUTE(SUBSTITUTE(SUBSTITUTE(CLEAN(E166&amp;"")," ",""),".","")," ",""),"-",""))=2,LEN(SUBSTITUTE(SUBSTITUTE(SUBSTITUTE(SUBSTITUTE(CLEAN(E166&amp;"")," ",""),".","")," ",""),"-",""))=4,LEN(SUBSTITUTE(SUBSTITUTE(SUBSTITUTE(SUBSTITUTE(CLEAN(E166&amp;"")," ",""),".","")," ",""),"-",""))=6,LEN(SUBSTITUTE(SUBSTITUTE(SUBSTITUTE(SUBSTITUTE(CLEAN(E166&amp;"")," ",""),".","")," ",""),"-",""))=8,LEN(SUBSTITUTE(SUBSTITUTE(SUBSTITUTE(SUBSTITUTE(CLEAN(E166&amp;"")," ",""),".","")," ",""),"-",""))=10),IFERROR(TEXT(VALUE(SUBSTITUTE(SUBSTITUTE(SUBSTITUTE(SUBSTITUTE(CLEAN(E166&amp;"")," ",""),".","")," ",""),"-","")),REPT("0",LEN(SUBSTITUTE(SUBSTITUTE(SUBSTITUTE(SUBSTITUTE(CLEAN(E166&amp;"")," ",""),".","")," ",""),"-",""))))=SUBSTITUTE(SUBSTITUTE(SUBSTITUTE(SUBSTITUTE(CLEAN(E166&amp;"")," ",""),".","")," ",""),"-",""),FALSE)),SUBSTITUTE(SUBSTITUTE(SUBSTITUTE(SUBSTITUTE(CLEAN(E166&amp;"")," ",""),".","")," ",""),"-",""),"CHECK: not 2, 4, 6, 8 or 10 digits"))</f>
        <v/>
      </c>
      <c r="G166" s="11" t="n"/>
      <c r="H166" s="8" t="n"/>
      <c r="I166" s="8" t="n"/>
      <c r="J166" s="10">
        <f>IF(SUBSTITUTE(SUBSTITUTE(SUBSTITUTE(SUBSTITUTE(CLEAN(I166&amp;"")," ",""),".","")," ",""),"-","")="","",IF(AND(OR(LEN(SUBSTITUTE(SUBSTITUTE(SUBSTITUTE(SUBSTITUTE(CLEAN(I166&amp;"")," ",""),".","")," ",""),"-",""))=2,LEN(SUBSTITUTE(SUBSTITUTE(SUBSTITUTE(SUBSTITUTE(CLEAN(I166&amp;"")," ",""),".","")," ",""),"-",""))=4,LEN(SUBSTITUTE(SUBSTITUTE(SUBSTITUTE(SUBSTITUTE(CLEAN(I166&amp;"")," ",""),".","")," ",""),"-",""))=6,LEN(SUBSTITUTE(SUBSTITUTE(SUBSTITUTE(SUBSTITUTE(CLEAN(I166&amp;"")," ",""),".","")," ",""),"-",""))=8,LEN(SUBSTITUTE(SUBSTITUTE(SUBSTITUTE(SUBSTITUTE(CLEAN(I166&amp;"")," ",""),".","")," ",""),"-",""))=10),IFERROR(TEXT(VALUE(SUBSTITUTE(SUBSTITUTE(SUBSTITUTE(SUBSTITUTE(CLEAN(I166&amp;"")," ",""),".","")," ",""),"-","")),REPT("0",LEN(SUBSTITUTE(SUBSTITUTE(SUBSTITUTE(SUBSTITUTE(CLEAN(I166&amp;"")," ",""),".","")," ",""),"-",""))))=SUBSTITUTE(SUBSTITUTE(SUBSTITUTE(SUBSTITUTE(CLEAN(I166&amp;"")," ",""),".","")," ",""),"-",""),FALSE)),SUBSTITUTE(SUBSTITUTE(SUBSTITUTE(SUBSTITUTE(CLEAN(I166&amp;"")," ",""),".","")," ",""),"-",""),"CHECK: not 2, 4, 6, 8 or 10 digits"))</f>
        <v/>
      </c>
      <c r="K166" s="11" t="n"/>
    </row>
    <row r="167">
      <c r="E167" s="8" t="n"/>
      <c r="F167" s="10">
        <f>IF(SUBSTITUTE(SUBSTITUTE(SUBSTITUTE(SUBSTITUTE(CLEAN(E167&amp;"")," ",""),".","")," ",""),"-","")="","",IF(AND(OR(LEN(SUBSTITUTE(SUBSTITUTE(SUBSTITUTE(SUBSTITUTE(CLEAN(E167&amp;"")," ",""),".","")," ",""),"-",""))=2,LEN(SUBSTITUTE(SUBSTITUTE(SUBSTITUTE(SUBSTITUTE(CLEAN(E167&amp;"")," ",""),".","")," ",""),"-",""))=4,LEN(SUBSTITUTE(SUBSTITUTE(SUBSTITUTE(SUBSTITUTE(CLEAN(E167&amp;"")," ",""),".","")," ",""),"-",""))=6,LEN(SUBSTITUTE(SUBSTITUTE(SUBSTITUTE(SUBSTITUTE(CLEAN(E167&amp;"")," ",""),".","")," ",""),"-",""))=8,LEN(SUBSTITUTE(SUBSTITUTE(SUBSTITUTE(SUBSTITUTE(CLEAN(E167&amp;"")," ",""),".","")," ",""),"-",""))=10),IFERROR(TEXT(VALUE(SUBSTITUTE(SUBSTITUTE(SUBSTITUTE(SUBSTITUTE(CLEAN(E167&amp;"")," ",""),".","")," ",""),"-","")),REPT("0",LEN(SUBSTITUTE(SUBSTITUTE(SUBSTITUTE(SUBSTITUTE(CLEAN(E167&amp;"")," ",""),".","")," ",""),"-",""))))=SUBSTITUTE(SUBSTITUTE(SUBSTITUTE(SUBSTITUTE(CLEAN(E167&amp;"")," ",""),".","")," ",""),"-",""),FALSE)),SUBSTITUTE(SUBSTITUTE(SUBSTITUTE(SUBSTITUTE(CLEAN(E167&amp;"")," ",""),".","")," ",""),"-",""),"CHECK: not 2, 4, 6, 8 or 10 digits"))</f>
        <v/>
      </c>
      <c r="G167" s="11" t="n"/>
      <c r="H167" s="8" t="n"/>
      <c r="I167" s="8" t="n"/>
      <c r="J167" s="10">
        <f>IF(SUBSTITUTE(SUBSTITUTE(SUBSTITUTE(SUBSTITUTE(CLEAN(I167&amp;"")," ",""),".","")," ",""),"-","")="","",IF(AND(OR(LEN(SUBSTITUTE(SUBSTITUTE(SUBSTITUTE(SUBSTITUTE(CLEAN(I167&amp;"")," ",""),".","")," ",""),"-",""))=2,LEN(SUBSTITUTE(SUBSTITUTE(SUBSTITUTE(SUBSTITUTE(CLEAN(I167&amp;"")," ",""),".","")," ",""),"-",""))=4,LEN(SUBSTITUTE(SUBSTITUTE(SUBSTITUTE(SUBSTITUTE(CLEAN(I167&amp;"")," ",""),".","")," ",""),"-",""))=6,LEN(SUBSTITUTE(SUBSTITUTE(SUBSTITUTE(SUBSTITUTE(CLEAN(I167&amp;"")," ",""),".","")," ",""),"-",""))=8,LEN(SUBSTITUTE(SUBSTITUTE(SUBSTITUTE(SUBSTITUTE(CLEAN(I167&amp;"")," ",""),".","")," ",""),"-",""))=10),IFERROR(TEXT(VALUE(SUBSTITUTE(SUBSTITUTE(SUBSTITUTE(SUBSTITUTE(CLEAN(I167&amp;"")," ",""),".","")," ",""),"-","")),REPT("0",LEN(SUBSTITUTE(SUBSTITUTE(SUBSTITUTE(SUBSTITUTE(CLEAN(I167&amp;"")," ",""),".","")," ",""),"-",""))))=SUBSTITUTE(SUBSTITUTE(SUBSTITUTE(SUBSTITUTE(CLEAN(I167&amp;"")," ",""),".","")," ",""),"-",""),FALSE)),SUBSTITUTE(SUBSTITUTE(SUBSTITUTE(SUBSTITUTE(CLEAN(I167&amp;"")," ",""),".","")," ",""),"-",""),"CHECK: not 2, 4, 6, 8 or 10 digits"))</f>
        <v/>
      </c>
      <c r="K167" s="11" t="n"/>
    </row>
    <row r="168">
      <c r="E168" s="8" t="n"/>
      <c r="F168" s="10">
        <f>IF(SUBSTITUTE(SUBSTITUTE(SUBSTITUTE(SUBSTITUTE(CLEAN(E168&amp;"")," ",""),".","")," ",""),"-","")="","",IF(AND(OR(LEN(SUBSTITUTE(SUBSTITUTE(SUBSTITUTE(SUBSTITUTE(CLEAN(E168&amp;"")," ",""),".","")," ",""),"-",""))=2,LEN(SUBSTITUTE(SUBSTITUTE(SUBSTITUTE(SUBSTITUTE(CLEAN(E168&amp;"")," ",""),".","")," ",""),"-",""))=4,LEN(SUBSTITUTE(SUBSTITUTE(SUBSTITUTE(SUBSTITUTE(CLEAN(E168&amp;"")," ",""),".","")," ",""),"-",""))=6,LEN(SUBSTITUTE(SUBSTITUTE(SUBSTITUTE(SUBSTITUTE(CLEAN(E168&amp;"")," ",""),".","")," ",""),"-",""))=8,LEN(SUBSTITUTE(SUBSTITUTE(SUBSTITUTE(SUBSTITUTE(CLEAN(E168&amp;"")," ",""),".","")," ",""),"-",""))=10),IFERROR(TEXT(VALUE(SUBSTITUTE(SUBSTITUTE(SUBSTITUTE(SUBSTITUTE(CLEAN(E168&amp;"")," ",""),".","")," ",""),"-","")),REPT("0",LEN(SUBSTITUTE(SUBSTITUTE(SUBSTITUTE(SUBSTITUTE(CLEAN(E168&amp;"")," ",""),".","")," ",""),"-",""))))=SUBSTITUTE(SUBSTITUTE(SUBSTITUTE(SUBSTITUTE(CLEAN(E168&amp;"")," ",""),".","")," ",""),"-",""),FALSE)),SUBSTITUTE(SUBSTITUTE(SUBSTITUTE(SUBSTITUTE(CLEAN(E168&amp;"")," ",""),".","")," ",""),"-",""),"CHECK: not 2, 4, 6, 8 or 10 digits"))</f>
        <v/>
      </c>
      <c r="G168" s="11" t="n"/>
      <c r="H168" s="8" t="n"/>
      <c r="I168" s="8" t="n"/>
      <c r="J168" s="10">
        <f>IF(SUBSTITUTE(SUBSTITUTE(SUBSTITUTE(SUBSTITUTE(CLEAN(I168&amp;"")," ",""),".","")," ",""),"-","")="","",IF(AND(OR(LEN(SUBSTITUTE(SUBSTITUTE(SUBSTITUTE(SUBSTITUTE(CLEAN(I168&amp;"")," ",""),".","")," ",""),"-",""))=2,LEN(SUBSTITUTE(SUBSTITUTE(SUBSTITUTE(SUBSTITUTE(CLEAN(I168&amp;"")," ",""),".","")," ",""),"-",""))=4,LEN(SUBSTITUTE(SUBSTITUTE(SUBSTITUTE(SUBSTITUTE(CLEAN(I168&amp;"")," ",""),".","")," ",""),"-",""))=6,LEN(SUBSTITUTE(SUBSTITUTE(SUBSTITUTE(SUBSTITUTE(CLEAN(I168&amp;"")," ",""),".","")," ",""),"-",""))=8,LEN(SUBSTITUTE(SUBSTITUTE(SUBSTITUTE(SUBSTITUTE(CLEAN(I168&amp;"")," ",""),".","")," ",""),"-",""))=10),IFERROR(TEXT(VALUE(SUBSTITUTE(SUBSTITUTE(SUBSTITUTE(SUBSTITUTE(CLEAN(I168&amp;"")," ",""),".","")," ",""),"-","")),REPT("0",LEN(SUBSTITUTE(SUBSTITUTE(SUBSTITUTE(SUBSTITUTE(CLEAN(I168&amp;"")," ",""),".","")," ",""),"-",""))))=SUBSTITUTE(SUBSTITUTE(SUBSTITUTE(SUBSTITUTE(CLEAN(I168&amp;"")," ",""),".","")," ",""),"-",""),FALSE)),SUBSTITUTE(SUBSTITUTE(SUBSTITUTE(SUBSTITUTE(CLEAN(I168&amp;"")," ",""),".","")," ",""),"-",""),"CHECK: not 2, 4, 6, 8 or 10 digits"))</f>
        <v/>
      </c>
      <c r="K168" s="11" t="n"/>
    </row>
    <row r="169">
      <c r="E169" s="8" t="n"/>
      <c r="F169" s="10">
        <f>IF(SUBSTITUTE(SUBSTITUTE(SUBSTITUTE(SUBSTITUTE(CLEAN(E169&amp;"")," ",""),".","")," ",""),"-","")="","",IF(AND(OR(LEN(SUBSTITUTE(SUBSTITUTE(SUBSTITUTE(SUBSTITUTE(CLEAN(E169&amp;"")," ",""),".","")," ",""),"-",""))=2,LEN(SUBSTITUTE(SUBSTITUTE(SUBSTITUTE(SUBSTITUTE(CLEAN(E169&amp;"")," ",""),".","")," ",""),"-",""))=4,LEN(SUBSTITUTE(SUBSTITUTE(SUBSTITUTE(SUBSTITUTE(CLEAN(E169&amp;"")," ",""),".","")," ",""),"-",""))=6,LEN(SUBSTITUTE(SUBSTITUTE(SUBSTITUTE(SUBSTITUTE(CLEAN(E169&amp;"")," ",""),".","")," ",""),"-",""))=8,LEN(SUBSTITUTE(SUBSTITUTE(SUBSTITUTE(SUBSTITUTE(CLEAN(E169&amp;"")," ",""),".","")," ",""),"-",""))=10),IFERROR(TEXT(VALUE(SUBSTITUTE(SUBSTITUTE(SUBSTITUTE(SUBSTITUTE(CLEAN(E169&amp;"")," ",""),".","")," ",""),"-","")),REPT("0",LEN(SUBSTITUTE(SUBSTITUTE(SUBSTITUTE(SUBSTITUTE(CLEAN(E169&amp;"")," ",""),".","")," ",""),"-",""))))=SUBSTITUTE(SUBSTITUTE(SUBSTITUTE(SUBSTITUTE(CLEAN(E169&amp;"")," ",""),".","")," ",""),"-",""),FALSE)),SUBSTITUTE(SUBSTITUTE(SUBSTITUTE(SUBSTITUTE(CLEAN(E169&amp;"")," ",""),".","")," ",""),"-",""),"CHECK: not 2, 4, 6, 8 or 10 digits"))</f>
        <v/>
      </c>
      <c r="G169" s="11" t="n"/>
      <c r="H169" s="8" t="n"/>
      <c r="I169" s="8" t="n"/>
      <c r="J169" s="10">
        <f>IF(SUBSTITUTE(SUBSTITUTE(SUBSTITUTE(SUBSTITUTE(CLEAN(I169&amp;"")," ",""),".","")," ",""),"-","")="","",IF(AND(OR(LEN(SUBSTITUTE(SUBSTITUTE(SUBSTITUTE(SUBSTITUTE(CLEAN(I169&amp;"")," ",""),".","")," ",""),"-",""))=2,LEN(SUBSTITUTE(SUBSTITUTE(SUBSTITUTE(SUBSTITUTE(CLEAN(I169&amp;"")," ",""),".","")," ",""),"-",""))=4,LEN(SUBSTITUTE(SUBSTITUTE(SUBSTITUTE(SUBSTITUTE(CLEAN(I169&amp;"")," ",""),".","")," ",""),"-",""))=6,LEN(SUBSTITUTE(SUBSTITUTE(SUBSTITUTE(SUBSTITUTE(CLEAN(I169&amp;"")," ",""),".","")," ",""),"-",""))=8,LEN(SUBSTITUTE(SUBSTITUTE(SUBSTITUTE(SUBSTITUTE(CLEAN(I169&amp;"")," ",""),".","")," ",""),"-",""))=10),IFERROR(TEXT(VALUE(SUBSTITUTE(SUBSTITUTE(SUBSTITUTE(SUBSTITUTE(CLEAN(I169&amp;"")," ",""),".","")," ",""),"-","")),REPT("0",LEN(SUBSTITUTE(SUBSTITUTE(SUBSTITUTE(SUBSTITUTE(CLEAN(I169&amp;"")," ",""),".","")," ",""),"-",""))))=SUBSTITUTE(SUBSTITUTE(SUBSTITUTE(SUBSTITUTE(CLEAN(I169&amp;"")," ",""),".","")," ",""),"-",""),FALSE)),SUBSTITUTE(SUBSTITUTE(SUBSTITUTE(SUBSTITUTE(CLEAN(I169&amp;"")," ",""),".","")," ",""),"-",""),"CHECK: not 2, 4, 6, 8 or 10 digits"))</f>
        <v/>
      </c>
      <c r="K169" s="11" t="n"/>
    </row>
    <row r="170">
      <c r="E170" s="8" t="n"/>
      <c r="F170" s="10">
        <f>IF(SUBSTITUTE(SUBSTITUTE(SUBSTITUTE(SUBSTITUTE(CLEAN(E170&amp;"")," ",""),".","")," ",""),"-","")="","",IF(AND(OR(LEN(SUBSTITUTE(SUBSTITUTE(SUBSTITUTE(SUBSTITUTE(CLEAN(E170&amp;"")," ",""),".","")," ",""),"-",""))=2,LEN(SUBSTITUTE(SUBSTITUTE(SUBSTITUTE(SUBSTITUTE(CLEAN(E170&amp;"")," ",""),".","")," ",""),"-",""))=4,LEN(SUBSTITUTE(SUBSTITUTE(SUBSTITUTE(SUBSTITUTE(CLEAN(E170&amp;"")," ",""),".","")," ",""),"-",""))=6,LEN(SUBSTITUTE(SUBSTITUTE(SUBSTITUTE(SUBSTITUTE(CLEAN(E170&amp;"")," ",""),".","")," ",""),"-",""))=8,LEN(SUBSTITUTE(SUBSTITUTE(SUBSTITUTE(SUBSTITUTE(CLEAN(E170&amp;"")," ",""),".","")," ",""),"-",""))=10),IFERROR(TEXT(VALUE(SUBSTITUTE(SUBSTITUTE(SUBSTITUTE(SUBSTITUTE(CLEAN(E170&amp;"")," ",""),".","")," ",""),"-","")),REPT("0",LEN(SUBSTITUTE(SUBSTITUTE(SUBSTITUTE(SUBSTITUTE(CLEAN(E170&amp;"")," ",""),".","")," ",""),"-",""))))=SUBSTITUTE(SUBSTITUTE(SUBSTITUTE(SUBSTITUTE(CLEAN(E170&amp;"")," ",""),".","")," ",""),"-",""),FALSE)),SUBSTITUTE(SUBSTITUTE(SUBSTITUTE(SUBSTITUTE(CLEAN(E170&amp;"")," ",""),".","")," ",""),"-",""),"CHECK: not 2, 4, 6, 8 or 10 digits"))</f>
        <v/>
      </c>
      <c r="G170" s="11" t="n"/>
      <c r="H170" s="8" t="n"/>
      <c r="I170" s="8" t="n"/>
      <c r="J170" s="10">
        <f>IF(SUBSTITUTE(SUBSTITUTE(SUBSTITUTE(SUBSTITUTE(CLEAN(I170&amp;"")," ",""),".","")," ",""),"-","")="","",IF(AND(OR(LEN(SUBSTITUTE(SUBSTITUTE(SUBSTITUTE(SUBSTITUTE(CLEAN(I170&amp;"")," ",""),".","")," ",""),"-",""))=2,LEN(SUBSTITUTE(SUBSTITUTE(SUBSTITUTE(SUBSTITUTE(CLEAN(I170&amp;"")," ",""),".","")," ",""),"-",""))=4,LEN(SUBSTITUTE(SUBSTITUTE(SUBSTITUTE(SUBSTITUTE(CLEAN(I170&amp;"")," ",""),".","")," ",""),"-",""))=6,LEN(SUBSTITUTE(SUBSTITUTE(SUBSTITUTE(SUBSTITUTE(CLEAN(I170&amp;"")," ",""),".","")," ",""),"-",""))=8,LEN(SUBSTITUTE(SUBSTITUTE(SUBSTITUTE(SUBSTITUTE(CLEAN(I170&amp;"")," ",""),".","")," ",""),"-",""))=10),IFERROR(TEXT(VALUE(SUBSTITUTE(SUBSTITUTE(SUBSTITUTE(SUBSTITUTE(CLEAN(I170&amp;"")," ",""),".","")," ",""),"-","")),REPT("0",LEN(SUBSTITUTE(SUBSTITUTE(SUBSTITUTE(SUBSTITUTE(CLEAN(I170&amp;"")," ",""),".","")," ",""),"-",""))))=SUBSTITUTE(SUBSTITUTE(SUBSTITUTE(SUBSTITUTE(CLEAN(I170&amp;"")," ",""),".","")," ",""),"-",""),FALSE)),SUBSTITUTE(SUBSTITUTE(SUBSTITUTE(SUBSTITUTE(CLEAN(I170&amp;"")," ",""),".","")," ",""),"-",""),"CHECK: not 2, 4, 6, 8 or 10 digits"))</f>
        <v/>
      </c>
      <c r="K170" s="11" t="n"/>
    </row>
    <row r="171">
      <c r="E171" s="8" t="n"/>
      <c r="F171" s="10">
        <f>IF(SUBSTITUTE(SUBSTITUTE(SUBSTITUTE(SUBSTITUTE(CLEAN(E171&amp;"")," ",""),".","")," ",""),"-","")="","",IF(AND(OR(LEN(SUBSTITUTE(SUBSTITUTE(SUBSTITUTE(SUBSTITUTE(CLEAN(E171&amp;"")," ",""),".","")," ",""),"-",""))=2,LEN(SUBSTITUTE(SUBSTITUTE(SUBSTITUTE(SUBSTITUTE(CLEAN(E171&amp;"")," ",""),".","")," ",""),"-",""))=4,LEN(SUBSTITUTE(SUBSTITUTE(SUBSTITUTE(SUBSTITUTE(CLEAN(E171&amp;"")," ",""),".","")," ",""),"-",""))=6,LEN(SUBSTITUTE(SUBSTITUTE(SUBSTITUTE(SUBSTITUTE(CLEAN(E171&amp;"")," ",""),".","")," ",""),"-",""))=8,LEN(SUBSTITUTE(SUBSTITUTE(SUBSTITUTE(SUBSTITUTE(CLEAN(E171&amp;"")," ",""),".","")," ",""),"-",""))=10),IFERROR(TEXT(VALUE(SUBSTITUTE(SUBSTITUTE(SUBSTITUTE(SUBSTITUTE(CLEAN(E171&amp;"")," ",""),".","")," ",""),"-","")),REPT("0",LEN(SUBSTITUTE(SUBSTITUTE(SUBSTITUTE(SUBSTITUTE(CLEAN(E171&amp;"")," ",""),".","")," ",""),"-",""))))=SUBSTITUTE(SUBSTITUTE(SUBSTITUTE(SUBSTITUTE(CLEAN(E171&amp;"")," ",""),".","")," ",""),"-",""),FALSE)),SUBSTITUTE(SUBSTITUTE(SUBSTITUTE(SUBSTITUTE(CLEAN(E171&amp;"")," ",""),".","")," ",""),"-",""),"CHECK: not 2, 4, 6, 8 or 10 digits"))</f>
        <v/>
      </c>
      <c r="G171" s="11" t="n"/>
      <c r="H171" s="8" t="n"/>
      <c r="I171" s="8" t="n"/>
      <c r="J171" s="10">
        <f>IF(SUBSTITUTE(SUBSTITUTE(SUBSTITUTE(SUBSTITUTE(CLEAN(I171&amp;"")," ",""),".","")," ",""),"-","")="","",IF(AND(OR(LEN(SUBSTITUTE(SUBSTITUTE(SUBSTITUTE(SUBSTITUTE(CLEAN(I171&amp;"")," ",""),".","")," ",""),"-",""))=2,LEN(SUBSTITUTE(SUBSTITUTE(SUBSTITUTE(SUBSTITUTE(CLEAN(I171&amp;"")," ",""),".","")," ",""),"-",""))=4,LEN(SUBSTITUTE(SUBSTITUTE(SUBSTITUTE(SUBSTITUTE(CLEAN(I171&amp;"")," ",""),".","")," ",""),"-",""))=6,LEN(SUBSTITUTE(SUBSTITUTE(SUBSTITUTE(SUBSTITUTE(CLEAN(I171&amp;"")," ",""),".","")," ",""),"-",""))=8,LEN(SUBSTITUTE(SUBSTITUTE(SUBSTITUTE(SUBSTITUTE(CLEAN(I171&amp;"")," ",""),".","")," ",""),"-",""))=10),IFERROR(TEXT(VALUE(SUBSTITUTE(SUBSTITUTE(SUBSTITUTE(SUBSTITUTE(CLEAN(I171&amp;"")," ",""),".","")," ",""),"-","")),REPT("0",LEN(SUBSTITUTE(SUBSTITUTE(SUBSTITUTE(SUBSTITUTE(CLEAN(I171&amp;"")," ",""),".","")," ",""),"-",""))))=SUBSTITUTE(SUBSTITUTE(SUBSTITUTE(SUBSTITUTE(CLEAN(I171&amp;"")," ",""),".","")," ",""),"-",""),FALSE)),SUBSTITUTE(SUBSTITUTE(SUBSTITUTE(SUBSTITUTE(CLEAN(I171&amp;"")," ",""),".","")," ",""),"-",""),"CHECK: not 2, 4, 6, 8 or 10 digits"))</f>
        <v/>
      </c>
      <c r="K171" s="11" t="n"/>
    </row>
    <row r="172">
      <c r="E172" s="8" t="n"/>
      <c r="F172" s="10">
        <f>IF(SUBSTITUTE(SUBSTITUTE(SUBSTITUTE(SUBSTITUTE(CLEAN(E172&amp;"")," ",""),".","")," ",""),"-","")="","",IF(AND(OR(LEN(SUBSTITUTE(SUBSTITUTE(SUBSTITUTE(SUBSTITUTE(CLEAN(E172&amp;"")," ",""),".","")," ",""),"-",""))=2,LEN(SUBSTITUTE(SUBSTITUTE(SUBSTITUTE(SUBSTITUTE(CLEAN(E172&amp;"")," ",""),".","")," ",""),"-",""))=4,LEN(SUBSTITUTE(SUBSTITUTE(SUBSTITUTE(SUBSTITUTE(CLEAN(E172&amp;"")," ",""),".","")," ",""),"-",""))=6,LEN(SUBSTITUTE(SUBSTITUTE(SUBSTITUTE(SUBSTITUTE(CLEAN(E172&amp;"")," ",""),".","")," ",""),"-",""))=8,LEN(SUBSTITUTE(SUBSTITUTE(SUBSTITUTE(SUBSTITUTE(CLEAN(E172&amp;"")," ",""),".","")," ",""),"-",""))=10),IFERROR(TEXT(VALUE(SUBSTITUTE(SUBSTITUTE(SUBSTITUTE(SUBSTITUTE(CLEAN(E172&amp;"")," ",""),".","")," ",""),"-","")),REPT("0",LEN(SUBSTITUTE(SUBSTITUTE(SUBSTITUTE(SUBSTITUTE(CLEAN(E172&amp;"")," ",""),".","")," ",""),"-",""))))=SUBSTITUTE(SUBSTITUTE(SUBSTITUTE(SUBSTITUTE(CLEAN(E172&amp;"")," ",""),".","")," ",""),"-",""),FALSE)),SUBSTITUTE(SUBSTITUTE(SUBSTITUTE(SUBSTITUTE(CLEAN(E172&amp;"")," ",""),".","")," ",""),"-",""),"CHECK: not 2, 4, 6, 8 or 10 digits"))</f>
        <v/>
      </c>
      <c r="G172" s="11" t="n"/>
      <c r="H172" s="8" t="n"/>
      <c r="I172" s="8" t="n"/>
      <c r="J172" s="10">
        <f>IF(SUBSTITUTE(SUBSTITUTE(SUBSTITUTE(SUBSTITUTE(CLEAN(I172&amp;"")," ",""),".","")," ",""),"-","")="","",IF(AND(OR(LEN(SUBSTITUTE(SUBSTITUTE(SUBSTITUTE(SUBSTITUTE(CLEAN(I172&amp;"")," ",""),".","")," ",""),"-",""))=2,LEN(SUBSTITUTE(SUBSTITUTE(SUBSTITUTE(SUBSTITUTE(CLEAN(I172&amp;"")," ",""),".","")," ",""),"-",""))=4,LEN(SUBSTITUTE(SUBSTITUTE(SUBSTITUTE(SUBSTITUTE(CLEAN(I172&amp;"")," ",""),".","")," ",""),"-",""))=6,LEN(SUBSTITUTE(SUBSTITUTE(SUBSTITUTE(SUBSTITUTE(CLEAN(I172&amp;"")," ",""),".","")," ",""),"-",""))=8,LEN(SUBSTITUTE(SUBSTITUTE(SUBSTITUTE(SUBSTITUTE(CLEAN(I172&amp;"")," ",""),".","")," ",""),"-",""))=10),IFERROR(TEXT(VALUE(SUBSTITUTE(SUBSTITUTE(SUBSTITUTE(SUBSTITUTE(CLEAN(I172&amp;"")," ",""),".","")," ",""),"-","")),REPT("0",LEN(SUBSTITUTE(SUBSTITUTE(SUBSTITUTE(SUBSTITUTE(CLEAN(I172&amp;"")," ",""),".","")," ",""),"-",""))))=SUBSTITUTE(SUBSTITUTE(SUBSTITUTE(SUBSTITUTE(CLEAN(I172&amp;"")," ",""),".","")," ",""),"-",""),FALSE)),SUBSTITUTE(SUBSTITUTE(SUBSTITUTE(SUBSTITUTE(CLEAN(I172&amp;"")," ",""),".","")," ",""),"-",""),"CHECK: not 2, 4, 6, 8 or 10 digits"))</f>
        <v/>
      </c>
      <c r="K172" s="11" t="n"/>
    </row>
    <row r="173">
      <c r="E173" s="8" t="n"/>
      <c r="F173" s="10">
        <f>IF(SUBSTITUTE(SUBSTITUTE(SUBSTITUTE(SUBSTITUTE(CLEAN(E173&amp;"")," ",""),".","")," ",""),"-","")="","",IF(AND(OR(LEN(SUBSTITUTE(SUBSTITUTE(SUBSTITUTE(SUBSTITUTE(CLEAN(E173&amp;"")," ",""),".","")," ",""),"-",""))=2,LEN(SUBSTITUTE(SUBSTITUTE(SUBSTITUTE(SUBSTITUTE(CLEAN(E173&amp;"")," ",""),".","")," ",""),"-",""))=4,LEN(SUBSTITUTE(SUBSTITUTE(SUBSTITUTE(SUBSTITUTE(CLEAN(E173&amp;"")," ",""),".","")," ",""),"-",""))=6,LEN(SUBSTITUTE(SUBSTITUTE(SUBSTITUTE(SUBSTITUTE(CLEAN(E173&amp;"")," ",""),".","")," ",""),"-",""))=8,LEN(SUBSTITUTE(SUBSTITUTE(SUBSTITUTE(SUBSTITUTE(CLEAN(E173&amp;"")," ",""),".","")," ",""),"-",""))=10),IFERROR(TEXT(VALUE(SUBSTITUTE(SUBSTITUTE(SUBSTITUTE(SUBSTITUTE(CLEAN(E173&amp;"")," ",""),".","")," ",""),"-","")),REPT("0",LEN(SUBSTITUTE(SUBSTITUTE(SUBSTITUTE(SUBSTITUTE(CLEAN(E173&amp;"")," ",""),".","")," ",""),"-",""))))=SUBSTITUTE(SUBSTITUTE(SUBSTITUTE(SUBSTITUTE(CLEAN(E173&amp;"")," ",""),".","")," ",""),"-",""),FALSE)),SUBSTITUTE(SUBSTITUTE(SUBSTITUTE(SUBSTITUTE(CLEAN(E173&amp;"")," ",""),".","")," ",""),"-",""),"CHECK: not 2, 4, 6, 8 or 10 digits"))</f>
        <v/>
      </c>
      <c r="G173" s="11" t="n"/>
      <c r="H173" s="8" t="n"/>
      <c r="I173" s="8" t="n"/>
      <c r="J173" s="10">
        <f>IF(SUBSTITUTE(SUBSTITUTE(SUBSTITUTE(SUBSTITUTE(CLEAN(I173&amp;"")," ",""),".","")," ",""),"-","")="","",IF(AND(OR(LEN(SUBSTITUTE(SUBSTITUTE(SUBSTITUTE(SUBSTITUTE(CLEAN(I173&amp;"")," ",""),".","")," ",""),"-",""))=2,LEN(SUBSTITUTE(SUBSTITUTE(SUBSTITUTE(SUBSTITUTE(CLEAN(I173&amp;"")," ",""),".","")," ",""),"-",""))=4,LEN(SUBSTITUTE(SUBSTITUTE(SUBSTITUTE(SUBSTITUTE(CLEAN(I173&amp;"")," ",""),".","")," ",""),"-",""))=6,LEN(SUBSTITUTE(SUBSTITUTE(SUBSTITUTE(SUBSTITUTE(CLEAN(I173&amp;"")," ",""),".","")," ",""),"-",""))=8,LEN(SUBSTITUTE(SUBSTITUTE(SUBSTITUTE(SUBSTITUTE(CLEAN(I173&amp;"")," ",""),".","")," ",""),"-",""))=10),IFERROR(TEXT(VALUE(SUBSTITUTE(SUBSTITUTE(SUBSTITUTE(SUBSTITUTE(CLEAN(I173&amp;"")," ",""),".","")," ",""),"-","")),REPT("0",LEN(SUBSTITUTE(SUBSTITUTE(SUBSTITUTE(SUBSTITUTE(CLEAN(I173&amp;"")," ",""),".","")," ",""),"-",""))))=SUBSTITUTE(SUBSTITUTE(SUBSTITUTE(SUBSTITUTE(CLEAN(I173&amp;"")," ",""),".","")," ",""),"-",""),FALSE)),SUBSTITUTE(SUBSTITUTE(SUBSTITUTE(SUBSTITUTE(CLEAN(I173&amp;"")," ",""),".","")," ",""),"-",""),"CHECK: not 2, 4, 6, 8 or 10 digits"))</f>
        <v/>
      </c>
      <c r="K173" s="11" t="n"/>
    </row>
    <row r="174">
      <c r="E174" s="8" t="n"/>
      <c r="F174" s="10">
        <f>IF(SUBSTITUTE(SUBSTITUTE(SUBSTITUTE(SUBSTITUTE(CLEAN(E174&amp;"")," ",""),".","")," ",""),"-","")="","",IF(AND(OR(LEN(SUBSTITUTE(SUBSTITUTE(SUBSTITUTE(SUBSTITUTE(CLEAN(E174&amp;"")," ",""),".","")," ",""),"-",""))=2,LEN(SUBSTITUTE(SUBSTITUTE(SUBSTITUTE(SUBSTITUTE(CLEAN(E174&amp;"")," ",""),".","")," ",""),"-",""))=4,LEN(SUBSTITUTE(SUBSTITUTE(SUBSTITUTE(SUBSTITUTE(CLEAN(E174&amp;"")," ",""),".","")," ",""),"-",""))=6,LEN(SUBSTITUTE(SUBSTITUTE(SUBSTITUTE(SUBSTITUTE(CLEAN(E174&amp;"")," ",""),".","")," ",""),"-",""))=8,LEN(SUBSTITUTE(SUBSTITUTE(SUBSTITUTE(SUBSTITUTE(CLEAN(E174&amp;"")," ",""),".","")," ",""),"-",""))=10),IFERROR(TEXT(VALUE(SUBSTITUTE(SUBSTITUTE(SUBSTITUTE(SUBSTITUTE(CLEAN(E174&amp;"")," ",""),".","")," ",""),"-","")),REPT("0",LEN(SUBSTITUTE(SUBSTITUTE(SUBSTITUTE(SUBSTITUTE(CLEAN(E174&amp;"")," ",""),".","")," ",""),"-",""))))=SUBSTITUTE(SUBSTITUTE(SUBSTITUTE(SUBSTITUTE(CLEAN(E174&amp;"")," ",""),".","")," ",""),"-",""),FALSE)),SUBSTITUTE(SUBSTITUTE(SUBSTITUTE(SUBSTITUTE(CLEAN(E174&amp;"")," ",""),".","")," ",""),"-",""),"CHECK: not 2, 4, 6, 8 or 10 digits"))</f>
        <v/>
      </c>
      <c r="G174" s="11" t="n"/>
      <c r="H174" s="8" t="n"/>
      <c r="I174" s="8" t="n"/>
      <c r="J174" s="10">
        <f>IF(SUBSTITUTE(SUBSTITUTE(SUBSTITUTE(SUBSTITUTE(CLEAN(I174&amp;"")," ",""),".","")," ",""),"-","")="","",IF(AND(OR(LEN(SUBSTITUTE(SUBSTITUTE(SUBSTITUTE(SUBSTITUTE(CLEAN(I174&amp;"")," ",""),".","")," ",""),"-",""))=2,LEN(SUBSTITUTE(SUBSTITUTE(SUBSTITUTE(SUBSTITUTE(CLEAN(I174&amp;"")," ",""),".","")," ",""),"-",""))=4,LEN(SUBSTITUTE(SUBSTITUTE(SUBSTITUTE(SUBSTITUTE(CLEAN(I174&amp;"")," ",""),".","")," ",""),"-",""))=6,LEN(SUBSTITUTE(SUBSTITUTE(SUBSTITUTE(SUBSTITUTE(CLEAN(I174&amp;"")," ",""),".","")," ",""),"-",""))=8,LEN(SUBSTITUTE(SUBSTITUTE(SUBSTITUTE(SUBSTITUTE(CLEAN(I174&amp;"")," ",""),".","")," ",""),"-",""))=10),IFERROR(TEXT(VALUE(SUBSTITUTE(SUBSTITUTE(SUBSTITUTE(SUBSTITUTE(CLEAN(I174&amp;"")," ",""),".","")," ",""),"-","")),REPT("0",LEN(SUBSTITUTE(SUBSTITUTE(SUBSTITUTE(SUBSTITUTE(CLEAN(I174&amp;"")," ",""),".","")," ",""),"-",""))))=SUBSTITUTE(SUBSTITUTE(SUBSTITUTE(SUBSTITUTE(CLEAN(I174&amp;"")," ",""),".","")," ",""),"-",""),FALSE)),SUBSTITUTE(SUBSTITUTE(SUBSTITUTE(SUBSTITUTE(CLEAN(I174&amp;"")," ",""),".","")," ",""),"-",""),"CHECK: not 2, 4, 6, 8 or 10 digits"))</f>
        <v/>
      </c>
      <c r="K174" s="11" t="n"/>
    </row>
    <row r="175">
      <c r="E175" s="8" t="n"/>
      <c r="F175" s="10">
        <f>IF(SUBSTITUTE(SUBSTITUTE(SUBSTITUTE(SUBSTITUTE(CLEAN(E175&amp;"")," ",""),".","")," ",""),"-","")="","",IF(AND(OR(LEN(SUBSTITUTE(SUBSTITUTE(SUBSTITUTE(SUBSTITUTE(CLEAN(E175&amp;"")," ",""),".","")," ",""),"-",""))=2,LEN(SUBSTITUTE(SUBSTITUTE(SUBSTITUTE(SUBSTITUTE(CLEAN(E175&amp;"")," ",""),".","")," ",""),"-",""))=4,LEN(SUBSTITUTE(SUBSTITUTE(SUBSTITUTE(SUBSTITUTE(CLEAN(E175&amp;"")," ",""),".","")," ",""),"-",""))=6,LEN(SUBSTITUTE(SUBSTITUTE(SUBSTITUTE(SUBSTITUTE(CLEAN(E175&amp;"")," ",""),".","")," ",""),"-",""))=8,LEN(SUBSTITUTE(SUBSTITUTE(SUBSTITUTE(SUBSTITUTE(CLEAN(E175&amp;"")," ",""),".","")," ",""),"-",""))=10),IFERROR(TEXT(VALUE(SUBSTITUTE(SUBSTITUTE(SUBSTITUTE(SUBSTITUTE(CLEAN(E175&amp;"")," ",""),".","")," ",""),"-","")),REPT("0",LEN(SUBSTITUTE(SUBSTITUTE(SUBSTITUTE(SUBSTITUTE(CLEAN(E175&amp;"")," ",""),".","")," ",""),"-",""))))=SUBSTITUTE(SUBSTITUTE(SUBSTITUTE(SUBSTITUTE(CLEAN(E175&amp;"")," ",""),".","")," ",""),"-",""),FALSE)),SUBSTITUTE(SUBSTITUTE(SUBSTITUTE(SUBSTITUTE(CLEAN(E175&amp;"")," ",""),".","")," ",""),"-",""),"CHECK: not 2, 4, 6, 8 or 10 digits"))</f>
        <v/>
      </c>
      <c r="G175" s="11" t="n"/>
      <c r="H175" s="8" t="n"/>
      <c r="I175" s="8" t="n"/>
      <c r="J175" s="10">
        <f>IF(SUBSTITUTE(SUBSTITUTE(SUBSTITUTE(SUBSTITUTE(CLEAN(I175&amp;"")," ",""),".","")," ",""),"-","")="","",IF(AND(OR(LEN(SUBSTITUTE(SUBSTITUTE(SUBSTITUTE(SUBSTITUTE(CLEAN(I175&amp;"")," ",""),".","")," ",""),"-",""))=2,LEN(SUBSTITUTE(SUBSTITUTE(SUBSTITUTE(SUBSTITUTE(CLEAN(I175&amp;"")," ",""),".","")," ",""),"-",""))=4,LEN(SUBSTITUTE(SUBSTITUTE(SUBSTITUTE(SUBSTITUTE(CLEAN(I175&amp;"")," ",""),".","")," ",""),"-",""))=6,LEN(SUBSTITUTE(SUBSTITUTE(SUBSTITUTE(SUBSTITUTE(CLEAN(I175&amp;"")," ",""),".","")," ",""),"-",""))=8,LEN(SUBSTITUTE(SUBSTITUTE(SUBSTITUTE(SUBSTITUTE(CLEAN(I175&amp;"")," ",""),".","")," ",""),"-",""))=10),IFERROR(TEXT(VALUE(SUBSTITUTE(SUBSTITUTE(SUBSTITUTE(SUBSTITUTE(CLEAN(I175&amp;"")," ",""),".","")," ",""),"-","")),REPT("0",LEN(SUBSTITUTE(SUBSTITUTE(SUBSTITUTE(SUBSTITUTE(CLEAN(I175&amp;"")," ",""),".","")," ",""),"-",""))))=SUBSTITUTE(SUBSTITUTE(SUBSTITUTE(SUBSTITUTE(CLEAN(I175&amp;"")," ",""),".","")," ",""),"-",""),FALSE)),SUBSTITUTE(SUBSTITUTE(SUBSTITUTE(SUBSTITUTE(CLEAN(I175&amp;"")," ",""),".","")," ",""),"-",""),"CHECK: not 2, 4, 6, 8 or 10 digits"))</f>
        <v/>
      </c>
      <c r="K175" s="11" t="n"/>
    </row>
    <row r="176">
      <c r="E176" s="8" t="n"/>
      <c r="F176" s="10">
        <f>IF(SUBSTITUTE(SUBSTITUTE(SUBSTITUTE(SUBSTITUTE(CLEAN(E176&amp;"")," ",""),".","")," ",""),"-","")="","",IF(AND(OR(LEN(SUBSTITUTE(SUBSTITUTE(SUBSTITUTE(SUBSTITUTE(CLEAN(E176&amp;"")," ",""),".","")," ",""),"-",""))=2,LEN(SUBSTITUTE(SUBSTITUTE(SUBSTITUTE(SUBSTITUTE(CLEAN(E176&amp;"")," ",""),".","")," ",""),"-",""))=4,LEN(SUBSTITUTE(SUBSTITUTE(SUBSTITUTE(SUBSTITUTE(CLEAN(E176&amp;"")," ",""),".","")," ",""),"-",""))=6,LEN(SUBSTITUTE(SUBSTITUTE(SUBSTITUTE(SUBSTITUTE(CLEAN(E176&amp;"")," ",""),".","")," ",""),"-",""))=8,LEN(SUBSTITUTE(SUBSTITUTE(SUBSTITUTE(SUBSTITUTE(CLEAN(E176&amp;"")," ",""),".","")," ",""),"-",""))=10),IFERROR(TEXT(VALUE(SUBSTITUTE(SUBSTITUTE(SUBSTITUTE(SUBSTITUTE(CLEAN(E176&amp;"")," ",""),".","")," ",""),"-","")),REPT("0",LEN(SUBSTITUTE(SUBSTITUTE(SUBSTITUTE(SUBSTITUTE(CLEAN(E176&amp;"")," ",""),".","")," ",""),"-",""))))=SUBSTITUTE(SUBSTITUTE(SUBSTITUTE(SUBSTITUTE(CLEAN(E176&amp;"")," ",""),".","")," ",""),"-",""),FALSE)),SUBSTITUTE(SUBSTITUTE(SUBSTITUTE(SUBSTITUTE(CLEAN(E176&amp;"")," ",""),".","")," ",""),"-",""),"CHECK: not 2, 4, 6, 8 or 10 digits"))</f>
        <v/>
      </c>
      <c r="G176" s="11" t="n"/>
      <c r="H176" s="8" t="n"/>
      <c r="I176" s="8" t="n"/>
      <c r="J176" s="10">
        <f>IF(SUBSTITUTE(SUBSTITUTE(SUBSTITUTE(SUBSTITUTE(CLEAN(I176&amp;"")," ",""),".","")," ",""),"-","")="","",IF(AND(OR(LEN(SUBSTITUTE(SUBSTITUTE(SUBSTITUTE(SUBSTITUTE(CLEAN(I176&amp;"")," ",""),".","")," ",""),"-",""))=2,LEN(SUBSTITUTE(SUBSTITUTE(SUBSTITUTE(SUBSTITUTE(CLEAN(I176&amp;"")," ",""),".","")," ",""),"-",""))=4,LEN(SUBSTITUTE(SUBSTITUTE(SUBSTITUTE(SUBSTITUTE(CLEAN(I176&amp;"")," ",""),".","")," ",""),"-",""))=6,LEN(SUBSTITUTE(SUBSTITUTE(SUBSTITUTE(SUBSTITUTE(CLEAN(I176&amp;"")," ",""),".","")," ",""),"-",""))=8,LEN(SUBSTITUTE(SUBSTITUTE(SUBSTITUTE(SUBSTITUTE(CLEAN(I176&amp;"")," ",""),".","")," ",""),"-",""))=10),IFERROR(TEXT(VALUE(SUBSTITUTE(SUBSTITUTE(SUBSTITUTE(SUBSTITUTE(CLEAN(I176&amp;"")," ",""),".","")," ",""),"-","")),REPT("0",LEN(SUBSTITUTE(SUBSTITUTE(SUBSTITUTE(SUBSTITUTE(CLEAN(I176&amp;"")," ",""),".","")," ",""),"-",""))))=SUBSTITUTE(SUBSTITUTE(SUBSTITUTE(SUBSTITUTE(CLEAN(I176&amp;"")," ",""),".","")," ",""),"-",""),FALSE)),SUBSTITUTE(SUBSTITUTE(SUBSTITUTE(SUBSTITUTE(CLEAN(I176&amp;"")," ",""),".","")," ",""),"-",""),"CHECK: not 2, 4, 6, 8 or 10 digits"))</f>
        <v/>
      </c>
      <c r="K176" s="11" t="n"/>
    </row>
    <row r="177">
      <c r="E177" s="8" t="n"/>
      <c r="F177" s="10">
        <f>IF(SUBSTITUTE(SUBSTITUTE(SUBSTITUTE(SUBSTITUTE(CLEAN(E177&amp;"")," ",""),".","")," ",""),"-","")="","",IF(AND(OR(LEN(SUBSTITUTE(SUBSTITUTE(SUBSTITUTE(SUBSTITUTE(CLEAN(E177&amp;"")," ",""),".","")," ",""),"-",""))=2,LEN(SUBSTITUTE(SUBSTITUTE(SUBSTITUTE(SUBSTITUTE(CLEAN(E177&amp;"")," ",""),".","")," ",""),"-",""))=4,LEN(SUBSTITUTE(SUBSTITUTE(SUBSTITUTE(SUBSTITUTE(CLEAN(E177&amp;"")," ",""),".","")," ",""),"-",""))=6,LEN(SUBSTITUTE(SUBSTITUTE(SUBSTITUTE(SUBSTITUTE(CLEAN(E177&amp;"")," ",""),".","")," ",""),"-",""))=8,LEN(SUBSTITUTE(SUBSTITUTE(SUBSTITUTE(SUBSTITUTE(CLEAN(E177&amp;"")," ",""),".","")," ",""),"-",""))=10),IFERROR(TEXT(VALUE(SUBSTITUTE(SUBSTITUTE(SUBSTITUTE(SUBSTITUTE(CLEAN(E177&amp;"")," ",""),".","")," ",""),"-","")),REPT("0",LEN(SUBSTITUTE(SUBSTITUTE(SUBSTITUTE(SUBSTITUTE(CLEAN(E177&amp;"")," ",""),".","")," ",""),"-",""))))=SUBSTITUTE(SUBSTITUTE(SUBSTITUTE(SUBSTITUTE(CLEAN(E177&amp;"")," ",""),".","")," ",""),"-",""),FALSE)),SUBSTITUTE(SUBSTITUTE(SUBSTITUTE(SUBSTITUTE(CLEAN(E177&amp;"")," ",""),".","")," ",""),"-",""),"CHECK: not 2, 4, 6, 8 or 10 digits"))</f>
        <v/>
      </c>
      <c r="G177" s="11" t="n"/>
      <c r="H177" s="8" t="n"/>
      <c r="I177" s="8" t="n"/>
      <c r="J177" s="10">
        <f>IF(SUBSTITUTE(SUBSTITUTE(SUBSTITUTE(SUBSTITUTE(CLEAN(I177&amp;"")," ",""),".","")," ",""),"-","")="","",IF(AND(OR(LEN(SUBSTITUTE(SUBSTITUTE(SUBSTITUTE(SUBSTITUTE(CLEAN(I177&amp;"")," ",""),".","")," ",""),"-",""))=2,LEN(SUBSTITUTE(SUBSTITUTE(SUBSTITUTE(SUBSTITUTE(CLEAN(I177&amp;"")," ",""),".","")," ",""),"-",""))=4,LEN(SUBSTITUTE(SUBSTITUTE(SUBSTITUTE(SUBSTITUTE(CLEAN(I177&amp;"")," ",""),".","")," ",""),"-",""))=6,LEN(SUBSTITUTE(SUBSTITUTE(SUBSTITUTE(SUBSTITUTE(CLEAN(I177&amp;"")," ",""),".","")," ",""),"-",""))=8,LEN(SUBSTITUTE(SUBSTITUTE(SUBSTITUTE(SUBSTITUTE(CLEAN(I177&amp;"")," ",""),".","")," ",""),"-",""))=10),IFERROR(TEXT(VALUE(SUBSTITUTE(SUBSTITUTE(SUBSTITUTE(SUBSTITUTE(CLEAN(I177&amp;"")," ",""),".","")," ",""),"-","")),REPT("0",LEN(SUBSTITUTE(SUBSTITUTE(SUBSTITUTE(SUBSTITUTE(CLEAN(I177&amp;"")," ",""),".","")," ",""),"-",""))))=SUBSTITUTE(SUBSTITUTE(SUBSTITUTE(SUBSTITUTE(CLEAN(I177&amp;"")," ",""),".","")," ",""),"-",""),FALSE)),SUBSTITUTE(SUBSTITUTE(SUBSTITUTE(SUBSTITUTE(CLEAN(I177&amp;"")," ",""),".","")," ",""),"-",""),"CHECK: not 2, 4, 6, 8 or 10 digits"))</f>
        <v/>
      </c>
      <c r="K177" s="11" t="n"/>
    </row>
    <row r="178">
      <c r="E178" s="8" t="n"/>
      <c r="F178" s="10">
        <f>IF(SUBSTITUTE(SUBSTITUTE(SUBSTITUTE(SUBSTITUTE(CLEAN(E178&amp;"")," ",""),".","")," ",""),"-","")="","",IF(AND(OR(LEN(SUBSTITUTE(SUBSTITUTE(SUBSTITUTE(SUBSTITUTE(CLEAN(E178&amp;"")," ",""),".","")," ",""),"-",""))=2,LEN(SUBSTITUTE(SUBSTITUTE(SUBSTITUTE(SUBSTITUTE(CLEAN(E178&amp;"")," ",""),".","")," ",""),"-",""))=4,LEN(SUBSTITUTE(SUBSTITUTE(SUBSTITUTE(SUBSTITUTE(CLEAN(E178&amp;"")," ",""),".","")," ",""),"-",""))=6,LEN(SUBSTITUTE(SUBSTITUTE(SUBSTITUTE(SUBSTITUTE(CLEAN(E178&amp;"")," ",""),".","")," ",""),"-",""))=8,LEN(SUBSTITUTE(SUBSTITUTE(SUBSTITUTE(SUBSTITUTE(CLEAN(E178&amp;"")," ",""),".","")," ",""),"-",""))=10),IFERROR(TEXT(VALUE(SUBSTITUTE(SUBSTITUTE(SUBSTITUTE(SUBSTITUTE(CLEAN(E178&amp;"")," ",""),".","")," ",""),"-","")),REPT("0",LEN(SUBSTITUTE(SUBSTITUTE(SUBSTITUTE(SUBSTITUTE(CLEAN(E178&amp;"")," ",""),".","")," ",""),"-",""))))=SUBSTITUTE(SUBSTITUTE(SUBSTITUTE(SUBSTITUTE(CLEAN(E178&amp;"")," ",""),".","")," ",""),"-",""),FALSE)),SUBSTITUTE(SUBSTITUTE(SUBSTITUTE(SUBSTITUTE(CLEAN(E178&amp;"")," ",""),".","")," ",""),"-",""),"CHECK: not 2, 4, 6, 8 or 10 digits"))</f>
        <v/>
      </c>
      <c r="G178" s="11" t="n"/>
      <c r="H178" s="8" t="n"/>
      <c r="I178" s="8" t="n"/>
      <c r="J178" s="10">
        <f>IF(SUBSTITUTE(SUBSTITUTE(SUBSTITUTE(SUBSTITUTE(CLEAN(I178&amp;"")," ",""),".","")," ",""),"-","")="","",IF(AND(OR(LEN(SUBSTITUTE(SUBSTITUTE(SUBSTITUTE(SUBSTITUTE(CLEAN(I178&amp;"")," ",""),".","")," ",""),"-",""))=2,LEN(SUBSTITUTE(SUBSTITUTE(SUBSTITUTE(SUBSTITUTE(CLEAN(I178&amp;"")," ",""),".","")," ",""),"-",""))=4,LEN(SUBSTITUTE(SUBSTITUTE(SUBSTITUTE(SUBSTITUTE(CLEAN(I178&amp;"")," ",""),".","")," ",""),"-",""))=6,LEN(SUBSTITUTE(SUBSTITUTE(SUBSTITUTE(SUBSTITUTE(CLEAN(I178&amp;"")," ",""),".","")," ",""),"-",""))=8,LEN(SUBSTITUTE(SUBSTITUTE(SUBSTITUTE(SUBSTITUTE(CLEAN(I178&amp;"")," ",""),".","")," ",""),"-",""))=10),IFERROR(TEXT(VALUE(SUBSTITUTE(SUBSTITUTE(SUBSTITUTE(SUBSTITUTE(CLEAN(I178&amp;"")," ",""),".","")," ",""),"-","")),REPT("0",LEN(SUBSTITUTE(SUBSTITUTE(SUBSTITUTE(SUBSTITUTE(CLEAN(I178&amp;"")," ",""),".","")," ",""),"-",""))))=SUBSTITUTE(SUBSTITUTE(SUBSTITUTE(SUBSTITUTE(CLEAN(I178&amp;"")," ",""),".","")," ",""),"-",""),FALSE)),SUBSTITUTE(SUBSTITUTE(SUBSTITUTE(SUBSTITUTE(CLEAN(I178&amp;"")," ",""),".","")," ",""),"-",""),"CHECK: not 2, 4, 6, 8 or 10 digits"))</f>
        <v/>
      </c>
      <c r="K178" s="11" t="n"/>
    </row>
    <row r="179">
      <c r="E179" s="8" t="n"/>
      <c r="F179" s="10">
        <f>IF(SUBSTITUTE(SUBSTITUTE(SUBSTITUTE(SUBSTITUTE(CLEAN(E179&amp;"")," ",""),".","")," ",""),"-","")="","",IF(AND(OR(LEN(SUBSTITUTE(SUBSTITUTE(SUBSTITUTE(SUBSTITUTE(CLEAN(E179&amp;"")," ",""),".","")," ",""),"-",""))=2,LEN(SUBSTITUTE(SUBSTITUTE(SUBSTITUTE(SUBSTITUTE(CLEAN(E179&amp;"")," ",""),".","")," ",""),"-",""))=4,LEN(SUBSTITUTE(SUBSTITUTE(SUBSTITUTE(SUBSTITUTE(CLEAN(E179&amp;"")," ",""),".","")," ",""),"-",""))=6,LEN(SUBSTITUTE(SUBSTITUTE(SUBSTITUTE(SUBSTITUTE(CLEAN(E179&amp;"")," ",""),".","")," ",""),"-",""))=8,LEN(SUBSTITUTE(SUBSTITUTE(SUBSTITUTE(SUBSTITUTE(CLEAN(E179&amp;"")," ",""),".","")," ",""),"-",""))=10),IFERROR(TEXT(VALUE(SUBSTITUTE(SUBSTITUTE(SUBSTITUTE(SUBSTITUTE(CLEAN(E179&amp;"")," ",""),".","")," ",""),"-","")),REPT("0",LEN(SUBSTITUTE(SUBSTITUTE(SUBSTITUTE(SUBSTITUTE(CLEAN(E179&amp;"")," ",""),".","")," ",""),"-",""))))=SUBSTITUTE(SUBSTITUTE(SUBSTITUTE(SUBSTITUTE(CLEAN(E179&amp;"")," ",""),".","")," ",""),"-",""),FALSE)),SUBSTITUTE(SUBSTITUTE(SUBSTITUTE(SUBSTITUTE(CLEAN(E179&amp;"")," ",""),".","")," ",""),"-",""),"CHECK: not 2, 4, 6, 8 or 10 digits"))</f>
        <v/>
      </c>
      <c r="G179" s="11" t="n"/>
      <c r="H179" s="8" t="n"/>
      <c r="I179" s="8" t="n"/>
      <c r="J179" s="10">
        <f>IF(SUBSTITUTE(SUBSTITUTE(SUBSTITUTE(SUBSTITUTE(CLEAN(I179&amp;"")," ",""),".","")," ",""),"-","")="","",IF(AND(OR(LEN(SUBSTITUTE(SUBSTITUTE(SUBSTITUTE(SUBSTITUTE(CLEAN(I179&amp;"")," ",""),".","")," ",""),"-",""))=2,LEN(SUBSTITUTE(SUBSTITUTE(SUBSTITUTE(SUBSTITUTE(CLEAN(I179&amp;"")," ",""),".","")," ",""),"-",""))=4,LEN(SUBSTITUTE(SUBSTITUTE(SUBSTITUTE(SUBSTITUTE(CLEAN(I179&amp;"")," ",""),".","")," ",""),"-",""))=6,LEN(SUBSTITUTE(SUBSTITUTE(SUBSTITUTE(SUBSTITUTE(CLEAN(I179&amp;"")," ",""),".","")," ",""),"-",""))=8,LEN(SUBSTITUTE(SUBSTITUTE(SUBSTITUTE(SUBSTITUTE(CLEAN(I179&amp;"")," ",""),".","")," ",""),"-",""))=10),IFERROR(TEXT(VALUE(SUBSTITUTE(SUBSTITUTE(SUBSTITUTE(SUBSTITUTE(CLEAN(I179&amp;"")," ",""),".","")," ",""),"-","")),REPT("0",LEN(SUBSTITUTE(SUBSTITUTE(SUBSTITUTE(SUBSTITUTE(CLEAN(I179&amp;"")," ",""),".","")," ",""),"-",""))))=SUBSTITUTE(SUBSTITUTE(SUBSTITUTE(SUBSTITUTE(CLEAN(I179&amp;"")," ",""),".","")," ",""),"-",""),FALSE)),SUBSTITUTE(SUBSTITUTE(SUBSTITUTE(SUBSTITUTE(CLEAN(I179&amp;"")," ",""),".","")," ",""),"-",""),"CHECK: not 2, 4, 6, 8 or 10 digits"))</f>
        <v/>
      </c>
      <c r="K179" s="11" t="n"/>
    </row>
    <row r="180">
      <c r="E180" s="8" t="n"/>
      <c r="F180" s="10">
        <f>IF(SUBSTITUTE(SUBSTITUTE(SUBSTITUTE(SUBSTITUTE(CLEAN(E180&amp;"")," ",""),".","")," ",""),"-","")="","",IF(AND(OR(LEN(SUBSTITUTE(SUBSTITUTE(SUBSTITUTE(SUBSTITUTE(CLEAN(E180&amp;"")," ",""),".","")," ",""),"-",""))=2,LEN(SUBSTITUTE(SUBSTITUTE(SUBSTITUTE(SUBSTITUTE(CLEAN(E180&amp;"")," ",""),".","")," ",""),"-",""))=4,LEN(SUBSTITUTE(SUBSTITUTE(SUBSTITUTE(SUBSTITUTE(CLEAN(E180&amp;"")," ",""),".","")," ",""),"-",""))=6,LEN(SUBSTITUTE(SUBSTITUTE(SUBSTITUTE(SUBSTITUTE(CLEAN(E180&amp;"")," ",""),".","")," ",""),"-",""))=8,LEN(SUBSTITUTE(SUBSTITUTE(SUBSTITUTE(SUBSTITUTE(CLEAN(E180&amp;"")," ",""),".","")," ",""),"-",""))=10),IFERROR(TEXT(VALUE(SUBSTITUTE(SUBSTITUTE(SUBSTITUTE(SUBSTITUTE(CLEAN(E180&amp;"")," ",""),".","")," ",""),"-","")),REPT("0",LEN(SUBSTITUTE(SUBSTITUTE(SUBSTITUTE(SUBSTITUTE(CLEAN(E180&amp;"")," ",""),".","")," ",""),"-",""))))=SUBSTITUTE(SUBSTITUTE(SUBSTITUTE(SUBSTITUTE(CLEAN(E180&amp;"")," ",""),".","")," ",""),"-",""),FALSE)),SUBSTITUTE(SUBSTITUTE(SUBSTITUTE(SUBSTITUTE(CLEAN(E180&amp;"")," ",""),".","")," ",""),"-",""),"CHECK: not 2, 4, 6, 8 or 10 digits"))</f>
        <v/>
      </c>
      <c r="G180" s="11" t="n"/>
      <c r="H180" s="8" t="n"/>
      <c r="I180" s="8" t="n"/>
      <c r="J180" s="10">
        <f>IF(SUBSTITUTE(SUBSTITUTE(SUBSTITUTE(SUBSTITUTE(CLEAN(I180&amp;"")," ",""),".","")," ",""),"-","")="","",IF(AND(OR(LEN(SUBSTITUTE(SUBSTITUTE(SUBSTITUTE(SUBSTITUTE(CLEAN(I180&amp;"")," ",""),".","")," ",""),"-",""))=2,LEN(SUBSTITUTE(SUBSTITUTE(SUBSTITUTE(SUBSTITUTE(CLEAN(I180&amp;"")," ",""),".","")," ",""),"-",""))=4,LEN(SUBSTITUTE(SUBSTITUTE(SUBSTITUTE(SUBSTITUTE(CLEAN(I180&amp;"")," ",""),".","")," ",""),"-",""))=6,LEN(SUBSTITUTE(SUBSTITUTE(SUBSTITUTE(SUBSTITUTE(CLEAN(I180&amp;"")," ",""),".","")," ",""),"-",""))=8,LEN(SUBSTITUTE(SUBSTITUTE(SUBSTITUTE(SUBSTITUTE(CLEAN(I180&amp;"")," ",""),".","")," ",""),"-",""))=10),IFERROR(TEXT(VALUE(SUBSTITUTE(SUBSTITUTE(SUBSTITUTE(SUBSTITUTE(CLEAN(I180&amp;"")," ",""),".","")," ",""),"-","")),REPT("0",LEN(SUBSTITUTE(SUBSTITUTE(SUBSTITUTE(SUBSTITUTE(CLEAN(I180&amp;"")," ",""),".","")," ",""),"-",""))))=SUBSTITUTE(SUBSTITUTE(SUBSTITUTE(SUBSTITUTE(CLEAN(I180&amp;"")," ",""),".","")," ",""),"-",""),FALSE)),SUBSTITUTE(SUBSTITUTE(SUBSTITUTE(SUBSTITUTE(CLEAN(I180&amp;"")," ",""),".","")," ",""),"-",""),"CHECK: not 2, 4, 6, 8 or 10 digits"))</f>
        <v/>
      </c>
      <c r="K180" s="11" t="n"/>
    </row>
    <row r="181">
      <c r="E181" s="8" t="n"/>
      <c r="F181" s="10">
        <f>IF(SUBSTITUTE(SUBSTITUTE(SUBSTITUTE(SUBSTITUTE(CLEAN(E181&amp;"")," ",""),".","")," ",""),"-","")="","",IF(AND(OR(LEN(SUBSTITUTE(SUBSTITUTE(SUBSTITUTE(SUBSTITUTE(CLEAN(E181&amp;"")," ",""),".","")," ",""),"-",""))=2,LEN(SUBSTITUTE(SUBSTITUTE(SUBSTITUTE(SUBSTITUTE(CLEAN(E181&amp;"")," ",""),".","")," ",""),"-",""))=4,LEN(SUBSTITUTE(SUBSTITUTE(SUBSTITUTE(SUBSTITUTE(CLEAN(E181&amp;"")," ",""),".","")," ",""),"-",""))=6,LEN(SUBSTITUTE(SUBSTITUTE(SUBSTITUTE(SUBSTITUTE(CLEAN(E181&amp;"")," ",""),".","")," ",""),"-",""))=8,LEN(SUBSTITUTE(SUBSTITUTE(SUBSTITUTE(SUBSTITUTE(CLEAN(E181&amp;"")," ",""),".","")," ",""),"-",""))=10),IFERROR(TEXT(VALUE(SUBSTITUTE(SUBSTITUTE(SUBSTITUTE(SUBSTITUTE(CLEAN(E181&amp;"")," ",""),".","")," ",""),"-","")),REPT("0",LEN(SUBSTITUTE(SUBSTITUTE(SUBSTITUTE(SUBSTITUTE(CLEAN(E181&amp;"")," ",""),".","")," ",""),"-",""))))=SUBSTITUTE(SUBSTITUTE(SUBSTITUTE(SUBSTITUTE(CLEAN(E181&amp;"")," ",""),".","")," ",""),"-",""),FALSE)),SUBSTITUTE(SUBSTITUTE(SUBSTITUTE(SUBSTITUTE(CLEAN(E181&amp;"")," ",""),".","")," ",""),"-",""),"CHECK: not 2, 4, 6, 8 or 10 digits"))</f>
        <v/>
      </c>
      <c r="G181" s="11" t="n"/>
      <c r="H181" s="8" t="n"/>
      <c r="I181" s="8" t="n"/>
      <c r="J181" s="10">
        <f>IF(SUBSTITUTE(SUBSTITUTE(SUBSTITUTE(SUBSTITUTE(CLEAN(I181&amp;"")," ",""),".","")," ",""),"-","")="","",IF(AND(OR(LEN(SUBSTITUTE(SUBSTITUTE(SUBSTITUTE(SUBSTITUTE(CLEAN(I181&amp;"")," ",""),".","")," ",""),"-",""))=2,LEN(SUBSTITUTE(SUBSTITUTE(SUBSTITUTE(SUBSTITUTE(CLEAN(I181&amp;"")," ",""),".","")," ",""),"-",""))=4,LEN(SUBSTITUTE(SUBSTITUTE(SUBSTITUTE(SUBSTITUTE(CLEAN(I181&amp;"")," ",""),".","")," ",""),"-",""))=6,LEN(SUBSTITUTE(SUBSTITUTE(SUBSTITUTE(SUBSTITUTE(CLEAN(I181&amp;"")," ",""),".","")," ",""),"-",""))=8,LEN(SUBSTITUTE(SUBSTITUTE(SUBSTITUTE(SUBSTITUTE(CLEAN(I181&amp;"")," ",""),".","")," ",""),"-",""))=10),IFERROR(TEXT(VALUE(SUBSTITUTE(SUBSTITUTE(SUBSTITUTE(SUBSTITUTE(CLEAN(I181&amp;"")," ",""),".","")," ",""),"-","")),REPT("0",LEN(SUBSTITUTE(SUBSTITUTE(SUBSTITUTE(SUBSTITUTE(CLEAN(I181&amp;"")," ",""),".","")," ",""),"-",""))))=SUBSTITUTE(SUBSTITUTE(SUBSTITUTE(SUBSTITUTE(CLEAN(I181&amp;"")," ",""),".","")," ",""),"-",""),FALSE)),SUBSTITUTE(SUBSTITUTE(SUBSTITUTE(SUBSTITUTE(CLEAN(I181&amp;"")," ",""),".","")," ",""),"-",""),"CHECK: not 2, 4, 6, 8 or 10 digits"))</f>
        <v/>
      </c>
      <c r="K181" s="11" t="n"/>
    </row>
    <row r="182">
      <c r="E182" s="8" t="n"/>
      <c r="F182" s="10">
        <f>IF(SUBSTITUTE(SUBSTITUTE(SUBSTITUTE(SUBSTITUTE(CLEAN(E182&amp;"")," ",""),".","")," ",""),"-","")="","",IF(AND(OR(LEN(SUBSTITUTE(SUBSTITUTE(SUBSTITUTE(SUBSTITUTE(CLEAN(E182&amp;"")," ",""),".","")," ",""),"-",""))=2,LEN(SUBSTITUTE(SUBSTITUTE(SUBSTITUTE(SUBSTITUTE(CLEAN(E182&amp;"")," ",""),".","")," ",""),"-",""))=4,LEN(SUBSTITUTE(SUBSTITUTE(SUBSTITUTE(SUBSTITUTE(CLEAN(E182&amp;"")," ",""),".","")," ",""),"-",""))=6,LEN(SUBSTITUTE(SUBSTITUTE(SUBSTITUTE(SUBSTITUTE(CLEAN(E182&amp;"")," ",""),".","")," ",""),"-",""))=8,LEN(SUBSTITUTE(SUBSTITUTE(SUBSTITUTE(SUBSTITUTE(CLEAN(E182&amp;"")," ",""),".","")," ",""),"-",""))=10),IFERROR(TEXT(VALUE(SUBSTITUTE(SUBSTITUTE(SUBSTITUTE(SUBSTITUTE(CLEAN(E182&amp;"")," ",""),".","")," ",""),"-","")),REPT("0",LEN(SUBSTITUTE(SUBSTITUTE(SUBSTITUTE(SUBSTITUTE(CLEAN(E182&amp;"")," ",""),".","")," ",""),"-",""))))=SUBSTITUTE(SUBSTITUTE(SUBSTITUTE(SUBSTITUTE(CLEAN(E182&amp;"")," ",""),".","")," ",""),"-",""),FALSE)),SUBSTITUTE(SUBSTITUTE(SUBSTITUTE(SUBSTITUTE(CLEAN(E182&amp;"")," ",""),".","")," ",""),"-",""),"CHECK: not 2, 4, 6, 8 or 10 digits"))</f>
        <v/>
      </c>
      <c r="G182" s="11" t="n"/>
      <c r="H182" s="8" t="n"/>
      <c r="I182" s="8" t="n"/>
      <c r="J182" s="10">
        <f>IF(SUBSTITUTE(SUBSTITUTE(SUBSTITUTE(SUBSTITUTE(CLEAN(I182&amp;"")," ",""),".","")," ",""),"-","")="","",IF(AND(OR(LEN(SUBSTITUTE(SUBSTITUTE(SUBSTITUTE(SUBSTITUTE(CLEAN(I182&amp;"")," ",""),".","")," ",""),"-",""))=2,LEN(SUBSTITUTE(SUBSTITUTE(SUBSTITUTE(SUBSTITUTE(CLEAN(I182&amp;"")," ",""),".","")," ",""),"-",""))=4,LEN(SUBSTITUTE(SUBSTITUTE(SUBSTITUTE(SUBSTITUTE(CLEAN(I182&amp;"")," ",""),".","")," ",""),"-",""))=6,LEN(SUBSTITUTE(SUBSTITUTE(SUBSTITUTE(SUBSTITUTE(CLEAN(I182&amp;"")," ",""),".","")," ",""),"-",""))=8,LEN(SUBSTITUTE(SUBSTITUTE(SUBSTITUTE(SUBSTITUTE(CLEAN(I182&amp;"")," ",""),".","")," ",""),"-",""))=10),IFERROR(TEXT(VALUE(SUBSTITUTE(SUBSTITUTE(SUBSTITUTE(SUBSTITUTE(CLEAN(I182&amp;"")," ",""),".","")," ",""),"-","")),REPT("0",LEN(SUBSTITUTE(SUBSTITUTE(SUBSTITUTE(SUBSTITUTE(CLEAN(I182&amp;"")," ",""),".","")," ",""),"-",""))))=SUBSTITUTE(SUBSTITUTE(SUBSTITUTE(SUBSTITUTE(CLEAN(I182&amp;"")," ",""),".","")," ",""),"-",""),FALSE)),SUBSTITUTE(SUBSTITUTE(SUBSTITUTE(SUBSTITUTE(CLEAN(I182&amp;"")," ",""),".","")," ",""),"-",""),"CHECK: not 2, 4, 6, 8 or 10 digits"))</f>
        <v/>
      </c>
      <c r="K182" s="11" t="n"/>
    </row>
    <row r="183">
      <c r="E183" s="8" t="n"/>
      <c r="F183" s="10">
        <f>IF(SUBSTITUTE(SUBSTITUTE(SUBSTITUTE(SUBSTITUTE(CLEAN(E183&amp;"")," ",""),".","")," ",""),"-","")="","",IF(AND(OR(LEN(SUBSTITUTE(SUBSTITUTE(SUBSTITUTE(SUBSTITUTE(CLEAN(E183&amp;"")," ",""),".","")," ",""),"-",""))=2,LEN(SUBSTITUTE(SUBSTITUTE(SUBSTITUTE(SUBSTITUTE(CLEAN(E183&amp;"")," ",""),".","")," ",""),"-",""))=4,LEN(SUBSTITUTE(SUBSTITUTE(SUBSTITUTE(SUBSTITUTE(CLEAN(E183&amp;"")," ",""),".","")," ",""),"-",""))=6,LEN(SUBSTITUTE(SUBSTITUTE(SUBSTITUTE(SUBSTITUTE(CLEAN(E183&amp;"")," ",""),".","")," ",""),"-",""))=8,LEN(SUBSTITUTE(SUBSTITUTE(SUBSTITUTE(SUBSTITUTE(CLEAN(E183&amp;"")," ",""),".","")," ",""),"-",""))=10),IFERROR(TEXT(VALUE(SUBSTITUTE(SUBSTITUTE(SUBSTITUTE(SUBSTITUTE(CLEAN(E183&amp;"")," ",""),".","")," ",""),"-","")),REPT("0",LEN(SUBSTITUTE(SUBSTITUTE(SUBSTITUTE(SUBSTITUTE(CLEAN(E183&amp;"")," ",""),".","")," ",""),"-",""))))=SUBSTITUTE(SUBSTITUTE(SUBSTITUTE(SUBSTITUTE(CLEAN(E183&amp;"")," ",""),".","")," ",""),"-",""),FALSE)),SUBSTITUTE(SUBSTITUTE(SUBSTITUTE(SUBSTITUTE(CLEAN(E183&amp;"")," ",""),".","")," ",""),"-",""),"CHECK: not 2, 4, 6, 8 or 10 digits"))</f>
        <v/>
      </c>
      <c r="G183" s="11" t="n"/>
      <c r="H183" s="8" t="n"/>
      <c r="I183" s="8" t="n"/>
      <c r="J183" s="10">
        <f>IF(SUBSTITUTE(SUBSTITUTE(SUBSTITUTE(SUBSTITUTE(CLEAN(I183&amp;"")," ",""),".","")," ",""),"-","")="","",IF(AND(OR(LEN(SUBSTITUTE(SUBSTITUTE(SUBSTITUTE(SUBSTITUTE(CLEAN(I183&amp;"")," ",""),".","")," ",""),"-",""))=2,LEN(SUBSTITUTE(SUBSTITUTE(SUBSTITUTE(SUBSTITUTE(CLEAN(I183&amp;"")," ",""),".","")," ",""),"-",""))=4,LEN(SUBSTITUTE(SUBSTITUTE(SUBSTITUTE(SUBSTITUTE(CLEAN(I183&amp;"")," ",""),".","")," ",""),"-",""))=6,LEN(SUBSTITUTE(SUBSTITUTE(SUBSTITUTE(SUBSTITUTE(CLEAN(I183&amp;"")," ",""),".","")," ",""),"-",""))=8,LEN(SUBSTITUTE(SUBSTITUTE(SUBSTITUTE(SUBSTITUTE(CLEAN(I183&amp;"")," ",""),".","")," ",""),"-",""))=10),IFERROR(TEXT(VALUE(SUBSTITUTE(SUBSTITUTE(SUBSTITUTE(SUBSTITUTE(CLEAN(I183&amp;"")," ",""),".","")," ",""),"-","")),REPT("0",LEN(SUBSTITUTE(SUBSTITUTE(SUBSTITUTE(SUBSTITUTE(CLEAN(I183&amp;"")," ",""),".","")," ",""),"-",""))))=SUBSTITUTE(SUBSTITUTE(SUBSTITUTE(SUBSTITUTE(CLEAN(I183&amp;"")," ",""),".","")," ",""),"-",""),FALSE)),SUBSTITUTE(SUBSTITUTE(SUBSTITUTE(SUBSTITUTE(CLEAN(I183&amp;"")," ",""),".","")," ",""),"-",""),"CHECK: not 2, 4, 6, 8 or 10 digits"))</f>
        <v/>
      </c>
      <c r="K183" s="11" t="n"/>
    </row>
    <row r="184">
      <c r="E184" s="8" t="n"/>
      <c r="F184" s="10">
        <f>IF(SUBSTITUTE(SUBSTITUTE(SUBSTITUTE(SUBSTITUTE(CLEAN(E184&amp;"")," ",""),".","")," ",""),"-","")="","",IF(AND(OR(LEN(SUBSTITUTE(SUBSTITUTE(SUBSTITUTE(SUBSTITUTE(CLEAN(E184&amp;"")," ",""),".","")," ",""),"-",""))=2,LEN(SUBSTITUTE(SUBSTITUTE(SUBSTITUTE(SUBSTITUTE(CLEAN(E184&amp;"")," ",""),".","")," ",""),"-",""))=4,LEN(SUBSTITUTE(SUBSTITUTE(SUBSTITUTE(SUBSTITUTE(CLEAN(E184&amp;"")," ",""),".","")," ",""),"-",""))=6,LEN(SUBSTITUTE(SUBSTITUTE(SUBSTITUTE(SUBSTITUTE(CLEAN(E184&amp;"")," ",""),".","")," ",""),"-",""))=8,LEN(SUBSTITUTE(SUBSTITUTE(SUBSTITUTE(SUBSTITUTE(CLEAN(E184&amp;"")," ",""),".","")," ",""),"-",""))=10),IFERROR(TEXT(VALUE(SUBSTITUTE(SUBSTITUTE(SUBSTITUTE(SUBSTITUTE(CLEAN(E184&amp;"")," ",""),".","")," ",""),"-","")),REPT("0",LEN(SUBSTITUTE(SUBSTITUTE(SUBSTITUTE(SUBSTITUTE(CLEAN(E184&amp;"")," ",""),".","")," ",""),"-",""))))=SUBSTITUTE(SUBSTITUTE(SUBSTITUTE(SUBSTITUTE(CLEAN(E184&amp;"")," ",""),".","")," ",""),"-",""),FALSE)),SUBSTITUTE(SUBSTITUTE(SUBSTITUTE(SUBSTITUTE(CLEAN(E184&amp;"")," ",""),".","")," ",""),"-",""),"CHECK: not 2, 4, 6, 8 or 10 digits"))</f>
        <v/>
      </c>
      <c r="G184" s="11" t="n"/>
      <c r="H184" s="8" t="n"/>
      <c r="I184" s="8" t="n"/>
      <c r="J184" s="10">
        <f>IF(SUBSTITUTE(SUBSTITUTE(SUBSTITUTE(SUBSTITUTE(CLEAN(I184&amp;"")," ",""),".","")," ",""),"-","")="","",IF(AND(OR(LEN(SUBSTITUTE(SUBSTITUTE(SUBSTITUTE(SUBSTITUTE(CLEAN(I184&amp;"")," ",""),".","")," ",""),"-",""))=2,LEN(SUBSTITUTE(SUBSTITUTE(SUBSTITUTE(SUBSTITUTE(CLEAN(I184&amp;"")," ",""),".","")," ",""),"-",""))=4,LEN(SUBSTITUTE(SUBSTITUTE(SUBSTITUTE(SUBSTITUTE(CLEAN(I184&amp;"")," ",""),".","")," ",""),"-",""))=6,LEN(SUBSTITUTE(SUBSTITUTE(SUBSTITUTE(SUBSTITUTE(CLEAN(I184&amp;"")," ",""),".","")," ",""),"-",""))=8,LEN(SUBSTITUTE(SUBSTITUTE(SUBSTITUTE(SUBSTITUTE(CLEAN(I184&amp;"")," ",""),".","")," ",""),"-",""))=10),IFERROR(TEXT(VALUE(SUBSTITUTE(SUBSTITUTE(SUBSTITUTE(SUBSTITUTE(CLEAN(I184&amp;"")," ",""),".","")," ",""),"-","")),REPT("0",LEN(SUBSTITUTE(SUBSTITUTE(SUBSTITUTE(SUBSTITUTE(CLEAN(I184&amp;"")," ",""),".","")," ",""),"-",""))))=SUBSTITUTE(SUBSTITUTE(SUBSTITUTE(SUBSTITUTE(CLEAN(I184&amp;"")," ",""),".","")," ",""),"-",""),FALSE)),SUBSTITUTE(SUBSTITUTE(SUBSTITUTE(SUBSTITUTE(CLEAN(I184&amp;"")," ",""),".","")," ",""),"-",""),"CHECK: not 2, 4, 6, 8 or 10 digits"))</f>
        <v/>
      </c>
      <c r="K184" s="11" t="n"/>
    </row>
    <row r="185">
      <c r="E185" s="8" t="n"/>
      <c r="F185" s="10">
        <f>IF(SUBSTITUTE(SUBSTITUTE(SUBSTITUTE(SUBSTITUTE(CLEAN(E185&amp;"")," ",""),".","")," ",""),"-","")="","",IF(AND(OR(LEN(SUBSTITUTE(SUBSTITUTE(SUBSTITUTE(SUBSTITUTE(CLEAN(E185&amp;"")," ",""),".","")," ",""),"-",""))=2,LEN(SUBSTITUTE(SUBSTITUTE(SUBSTITUTE(SUBSTITUTE(CLEAN(E185&amp;"")," ",""),".","")," ",""),"-",""))=4,LEN(SUBSTITUTE(SUBSTITUTE(SUBSTITUTE(SUBSTITUTE(CLEAN(E185&amp;"")," ",""),".","")," ",""),"-",""))=6,LEN(SUBSTITUTE(SUBSTITUTE(SUBSTITUTE(SUBSTITUTE(CLEAN(E185&amp;"")," ",""),".","")," ",""),"-",""))=8,LEN(SUBSTITUTE(SUBSTITUTE(SUBSTITUTE(SUBSTITUTE(CLEAN(E185&amp;"")," ",""),".","")," ",""),"-",""))=10),IFERROR(TEXT(VALUE(SUBSTITUTE(SUBSTITUTE(SUBSTITUTE(SUBSTITUTE(CLEAN(E185&amp;"")," ",""),".","")," ",""),"-","")),REPT("0",LEN(SUBSTITUTE(SUBSTITUTE(SUBSTITUTE(SUBSTITUTE(CLEAN(E185&amp;"")," ",""),".","")," ",""),"-",""))))=SUBSTITUTE(SUBSTITUTE(SUBSTITUTE(SUBSTITUTE(CLEAN(E185&amp;"")," ",""),".","")," ",""),"-",""),FALSE)),SUBSTITUTE(SUBSTITUTE(SUBSTITUTE(SUBSTITUTE(CLEAN(E185&amp;"")," ",""),".","")," ",""),"-",""),"CHECK: not 2, 4, 6, 8 or 10 digits"))</f>
        <v/>
      </c>
      <c r="G185" s="11" t="n"/>
      <c r="H185" s="8" t="n"/>
      <c r="I185" s="8" t="n"/>
      <c r="J185" s="10">
        <f>IF(SUBSTITUTE(SUBSTITUTE(SUBSTITUTE(SUBSTITUTE(CLEAN(I185&amp;"")," ",""),".","")," ",""),"-","")="","",IF(AND(OR(LEN(SUBSTITUTE(SUBSTITUTE(SUBSTITUTE(SUBSTITUTE(CLEAN(I185&amp;"")," ",""),".","")," ",""),"-",""))=2,LEN(SUBSTITUTE(SUBSTITUTE(SUBSTITUTE(SUBSTITUTE(CLEAN(I185&amp;"")," ",""),".","")," ",""),"-",""))=4,LEN(SUBSTITUTE(SUBSTITUTE(SUBSTITUTE(SUBSTITUTE(CLEAN(I185&amp;"")," ",""),".","")," ",""),"-",""))=6,LEN(SUBSTITUTE(SUBSTITUTE(SUBSTITUTE(SUBSTITUTE(CLEAN(I185&amp;"")," ",""),".","")," ",""),"-",""))=8,LEN(SUBSTITUTE(SUBSTITUTE(SUBSTITUTE(SUBSTITUTE(CLEAN(I185&amp;"")," ",""),".","")," ",""),"-",""))=10),IFERROR(TEXT(VALUE(SUBSTITUTE(SUBSTITUTE(SUBSTITUTE(SUBSTITUTE(CLEAN(I185&amp;"")," ",""),".","")," ",""),"-","")),REPT("0",LEN(SUBSTITUTE(SUBSTITUTE(SUBSTITUTE(SUBSTITUTE(CLEAN(I185&amp;"")," ",""),".","")," ",""),"-",""))))=SUBSTITUTE(SUBSTITUTE(SUBSTITUTE(SUBSTITUTE(CLEAN(I185&amp;"")," ",""),".","")," ",""),"-",""),FALSE)),SUBSTITUTE(SUBSTITUTE(SUBSTITUTE(SUBSTITUTE(CLEAN(I185&amp;"")," ",""),".","")," ",""),"-",""),"CHECK: not 2, 4, 6, 8 or 10 digits"))</f>
        <v/>
      </c>
      <c r="K185" s="11" t="n"/>
    </row>
    <row r="186">
      <c r="E186" s="8" t="n"/>
      <c r="F186" s="10">
        <f>IF(SUBSTITUTE(SUBSTITUTE(SUBSTITUTE(SUBSTITUTE(CLEAN(E186&amp;"")," ",""),".","")," ",""),"-","")="","",IF(AND(OR(LEN(SUBSTITUTE(SUBSTITUTE(SUBSTITUTE(SUBSTITUTE(CLEAN(E186&amp;"")," ",""),".","")," ",""),"-",""))=2,LEN(SUBSTITUTE(SUBSTITUTE(SUBSTITUTE(SUBSTITUTE(CLEAN(E186&amp;"")," ",""),".","")," ",""),"-",""))=4,LEN(SUBSTITUTE(SUBSTITUTE(SUBSTITUTE(SUBSTITUTE(CLEAN(E186&amp;"")," ",""),".","")," ",""),"-",""))=6,LEN(SUBSTITUTE(SUBSTITUTE(SUBSTITUTE(SUBSTITUTE(CLEAN(E186&amp;"")," ",""),".","")," ",""),"-",""))=8,LEN(SUBSTITUTE(SUBSTITUTE(SUBSTITUTE(SUBSTITUTE(CLEAN(E186&amp;"")," ",""),".","")," ",""),"-",""))=10),IFERROR(TEXT(VALUE(SUBSTITUTE(SUBSTITUTE(SUBSTITUTE(SUBSTITUTE(CLEAN(E186&amp;"")," ",""),".","")," ",""),"-","")),REPT("0",LEN(SUBSTITUTE(SUBSTITUTE(SUBSTITUTE(SUBSTITUTE(CLEAN(E186&amp;"")," ",""),".","")," ",""),"-",""))))=SUBSTITUTE(SUBSTITUTE(SUBSTITUTE(SUBSTITUTE(CLEAN(E186&amp;"")," ",""),".","")," ",""),"-",""),FALSE)),SUBSTITUTE(SUBSTITUTE(SUBSTITUTE(SUBSTITUTE(CLEAN(E186&amp;"")," ",""),".","")," ",""),"-",""),"CHECK: not 2, 4, 6, 8 or 10 digits"))</f>
        <v/>
      </c>
      <c r="G186" s="11" t="n"/>
      <c r="H186" s="8" t="n"/>
      <c r="I186" s="8" t="n"/>
      <c r="J186" s="10">
        <f>IF(SUBSTITUTE(SUBSTITUTE(SUBSTITUTE(SUBSTITUTE(CLEAN(I186&amp;"")," ",""),".","")," ",""),"-","")="","",IF(AND(OR(LEN(SUBSTITUTE(SUBSTITUTE(SUBSTITUTE(SUBSTITUTE(CLEAN(I186&amp;"")," ",""),".","")," ",""),"-",""))=2,LEN(SUBSTITUTE(SUBSTITUTE(SUBSTITUTE(SUBSTITUTE(CLEAN(I186&amp;"")," ",""),".","")," ",""),"-",""))=4,LEN(SUBSTITUTE(SUBSTITUTE(SUBSTITUTE(SUBSTITUTE(CLEAN(I186&amp;"")," ",""),".","")," ",""),"-",""))=6,LEN(SUBSTITUTE(SUBSTITUTE(SUBSTITUTE(SUBSTITUTE(CLEAN(I186&amp;"")," ",""),".","")," ",""),"-",""))=8,LEN(SUBSTITUTE(SUBSTITUTE(SUBSTITUTE(SUBSTITUTE(CLEAN(I186&amp;"")," ",""),".","")," ",""),"-",""))=10),IFERROR(TEXT(VALUE(SUBSTITUTE(SUBSTITUTE(SUBSTITUTE(SUBSTITUTE(CLEAN(I186&amp;"")," ",""),".","")," ",""),"-","")),REPT("0",LEN(SUBSTITUTE(SUBSTITUTE(SUBSTITUTE(SUBSTITUTE(CLEAN(I186&amp;"")," ",""),".","")," ",""),"-",""))))=SUBSTITUTE(SUBSTITUTE(SUBSTITUTE(SUBSTITUTE(CLEAN(I186&amp;"")," ",""),".","")," ",""),"-",""),FALSE)),SUBSTITUTE(SUBSTITUTE(SUBSTITUTE(SUBSTITUTE(CLEAN(I186&amp;"")," ",""),".","")," ",""),"-",""),"CHECK: not 2, 4, 6, 8 or 10 digits"))</f>
        <v/>
      </c>
      <c r="K186" s="11" t="n"/>
    </row>
    <row r="187">
      <c r="E187" s="8" t="n"/>
      <c r="F187" s="10">
        <f>IF(SUBSTITUTE(SUBSTITUTE(SUBSTITUTE(SUBSTITUTE(CLEAN(E187&amp;"")," ",""),".","")," ",""),"-","")="","",IF(AND(OR(LEN(SUBSTITUTE(SUBSTITUTE(SUBSTITUTE(SUBSTITUTE(CLEAN(E187&amp;"")," ",""),".","")," ",""),"-",""))=2,LEN(SUBSTITUTE(SUBSTITUTE(SUBSTITUTE(SUBSTITUTE(CLEAN(E187&amp;"")," ",""),".","")," ",""),"-",""))=4,LEN(SUBSTITUTE(SUBSTITUTE(SUBSTITUTE(SUBSTITUTE(CLEAN(E187&amp;"")," ",""),".","")," ",""),"-",""))=6,LEN(SUBSTITUTE(SUBSTITUTE(SUBSTITUTE(SUBSTITUTE(CLEAN(E187&amp;"")," ",""),".","")," ",""),"-",""))=8,LEN(SUBSTITUTE(SUBSTITUTE(SUBSTITUTE(SUBSTITUTE(CLEAN(E187&amp;"")," ",""),".","")," ",""),"-",""))=10),IFERROR(TEXT(VALUE(SUBSTITUTE(SUBSTITUTE(SUBSTITUTE(SUBSTITUTE(CLEAN(E187&amp;"")," ",""),".","")," ",""),"-","")),REPT("0",LEN(SUBSTITUTE(SUBSTITUTE(SUBSTITUTE(SUBSTITUTE(CLEAN(E187&amp;"")," ",""),".","")," ",""),"-",""))))=SUBSTITUTE(SUBSTITUTE(SUBSTITUTE(SUBSTITUTE(CLEAN(E187&amp;"")," ",""),".","")," ",""),"-",""),FALSE)),SUBSTITUTE(SUBSTITUTE(SUBSTITUTE(SUBSTITUTE(CLEAN(E187&amp;"")," ",""),".","")," ",""),"-",""),"CHECK: not 2, 4, 6, 8 or 10 digits"))</f>
        <v/>
      </c>
      <c r="G187" s="11" t="n"/>
      <c r="H187" s="8" t="n"/>
      <c r="I187" s="8" t="n"/>
      <c r="J187" s="10">
        <f>IF(SUBSTITUTE(SUBSTITUTE(SUBSTITUTE(SUBSTITUTE(CLEAN(I187&amp;"")," ",""),".","")," ",""),"-","")="","",IF(AND(OR(LEN(SUBSTITUTE(SUBSTITUTE(SUBSTITUTE(SUBSTITUTE(CLEAN(I187&amp;"")," ",""),".","")," ",""),"-",""))=2,LEN(SUBSTITUTE(SUBSTITUTE(SUBSTITUTE(SUBSTITUTE(CLEAN(I187&amp;"")," ",""),".","")," ",""),"-",""))=4,LEN(SUBSTITUTE(SUBSTITUTE(SUBSTITUTE(SUBSTITUTE(CLEAN(I187&amp;"")," ",""),".","")," ",""),"-",""))=6,LEN(SUBSTITUTE(SUBSTITUTE(SUBSTITUTE(SUBSTITUTE(CLEAN(I187&amp;"")," ",""),".","")," ",""),"-",""))=8,LEN(SUBSTITUTE(SUBSTITUTE(SUBSTITUTE(SUBSTITUTE(CLEAN(I187&amp;"")," ",""),".","")," ",""),"-",""))=10),IFERROR(TEXT(VALUE(SUBSTITUTE(SUBSTITUTE(SUBSTITUTE(SUBSTITUTE(CLEAN(I187&amp;"")," ",""),".","")," ",""),"-","")),REPT("0",LEN(SUBSTITUTE(SUBSTITUTE(SUBSTITUTE(SUBSTITUTE(CLEAN(I187&amp;"")," ",""),".","")," ",""),"-",""))))=SUBSTITUTE(SUBSTITUTE(SUBSTITUTE(SUBSTITUTE(CLEAN(I187&amp;"")," ",""),".","")," ",""),"-",""),FALSE)),SUBSTITUTE(SUBSTITUTE(SUBSTITUTE(SUBSTITUTE(CLEAN(I187&amp;"")," ",""),".","")," ",""),"-",""),"CHECK: not 2, 4, 6, 8 or 10 digits"))</f>
        <v/>
      </c>
      <c r="K187" s="11" t="n"/>
    </row>
    <row r="188">
      <c r="E188" s="8" t="n"/>
      <c r="F188" s="10">
        <f>IF(SUBSTITUTE(SUBSTITUTE(SUBSTITUTE(SUBSTITUTE(CLEAN(E188&amp;"")," ",""),".","")," ",""),"-","")="","",IF(AND(OR(LEN(SUBSTITUTE(SUBSTITUTE(SUBSTITUTE(SUBSTITUTE(CLEAN(E188&amp;"")," ",""),".","")," ",""),"-",""))=2,LEN(SUBSTITUTE(SUBSTITUTE(SUBSTITUTE(SUBSTITUTE(CLEAN(E188&amp;"")," ",""),".","")," ",""),"-",""))=4,LEN(SUBSTITUTE(SUBSTITUTE(SUBSTITUTE(SUBSTITUTE(CLEAN(E188&amp;"")," ",""),".","")," ",""),"-",""))=6,LEN(SUBSTITUTE(SUBSTITUTE(SUBSTITUTE(SUBSTITUTE(CLEAN(E188&amp;"")," ",""),".","")," ",""),"-",""))=8,LEN(SUBSTITUTE(SUBSTITUTE(SUBSTITUTE(SUBSTITUTE(CLEAN(E188&amp;"")," ",""),".","")," ",""),"-",""))=10),IFERROR(TEXT(VALUE(SUBSTITUTE(SUBSTITUTE(SUBSTITUTE(SUBSTITUTE(CLEAN(E188&amp;"")," ",""),".","")," ",""),"-","")),REPT("0",LEN(SUBSTITUTE(SUBSTITUTE(SUBSTITUTE(SUBSTITUTE(CLEAN(E188&amp;"")," ",""),".","")," ",""),"-",""))))=SUBSTITUTE(SUBSTITUTE(SUBSTITUTE(SUBSTITUTE(CLEAN(E188&amp;"")," ",""),".","")," ",""),"-",""),FALSE)),SUBSTITUTE(SUBSTITUTE(SUBSTITUTE(SUBSTITUTE(CLEAN(E188&amp;"")," ",""),".","")," ",""),"-",""),"CHECK: not 2, 4, 6, 8 or 10 digits"))</f>
        <v/>
      </c>
      <c r="G188" s="11" t="n"/>
      <c r="H188" s="8" t="n"/>
      <c r="I188" s="8" t="n"/>
      <c r="J188" s="10">
        <f>IF(SUBSTITUTE(SUBSTITUTE(SUBSTITUTE(SUBSTITUTE(CLEAN(I188&amp;"")," ",""),".","")," ",""),"-","")="","",IF(AND(OR(LEN(SUBSTITUTE(SUBSTITUTE(SUBSTITUTE(SUBSTITUTE(CLEAN(I188&amp;"")," ",""),".","")," ",""),"-",""))=2,LEN(SUBSTITUTE(SUBSTITUTE(SUBSTITUTE(SUBSTITUTE(CLEAN(I188&amp;"")," ",""),".","")," ",""),"-",""))=4,LEN(SUBSTITUTE(SUBSTITUTE(SUBSTITUTE(SUBSTITUTE(CLEAN(I188&amp;"")," ",""),".","")," ",""),"-",""))=6,LEN(SUBSTITUTE(SUBSTITUTE(SUBSTITUTE(SUBSTITUTE(CLEAN(I188&amp;"")," ",""),".","")," ",""),"-",""))=8,LEN(SUBSTITUTE(SUBSTITUTE(SUBSTITUTE(SUBSTITUTE(CLEAN(I188&amp;"")," ",""),".","")," ",""),"-",""))=10),IFERROR(TEXT(VALUE(SUBSTITUTE(SUBSTITUTE(SUBSTITUTE(SUBSTITUTE(CLEAN(I188&amp;"")," ",""),".","")," ",""),"-","")),REPT("0",LEN(SUBSTITUTE(SUBSTITUTE(SUBSTITUTE(SUBSTITUTE(CLEAN(I188&amp;"")," ",""),".","")," ",""),"-",""))))=SUBSTITUTE(SUBSTITUTE(SUBSTITUTE(SUBSTITUTE(CLEAN(I188&amp;"")," ",""),".","")," ",""),"-",""),FALSE)),SUBSTITUTE(SUBSTITUTE(SUBSTITUTE(SUBSTITUTE(CLEAN(I188&amp;"")," ",""),".","")," ",""),"-",""),"CHECK: not 2, 4, 6, 8 or 10 digits"))</f>
        <v/>
      </c>
      <c r="K188" s="11" t="n"/>
    </row>
    <row r="189">
      <c r="E189" s="8" t="n"/>
      <c r="F189" s="10">
        <f>IF(SUBSTITUTE(SUBSTITUTE(SUBSTITUTE(SUBSTITUTE(CLEAN(E189&amp;"")," ",""),".","")," ",""),"-","")="","",IF(AND(OR(LEN(SUBSTITUTE(SUBSTITUTE(SUBSTITUTE(SUBSTITUTE(CLEAN(E189&amp;"")," ",""),".","")," ",""),"-",""))=2,LEN(SUBSTITUTE(SUBSTITUTE(SUBSTITUTE(SUBSTITUTE(CLEAN(E189&amp;"")," ",""),".","")," ",""),"-",""))=4,LEN(SUBSTITUTE(SUBSTITUTE(SUBSTITUTE(SUBSTITUTE(CLEAN(E189&amp;"")," ",""),".","")," ",""),"-",""))=6,LEN(SUBSTITUTE(SUBSTITUTE(SUBSTITUTE(SUBSTITUTE(CLEAN(E189&amp;"")," ",""),".","")," ",""),"-",""))=8,LEN(SUBSTITUTE(SUBSTITUTE(SUBSTITUTE(SUBSTITUTE(CLEAN(E189&amp;"")," ",""),".","")," ",""),"-",""))=10),IFERROR(TEXT(VALUE(SUBSTITUTE(SUBSTITUTE(SUBSTITUTE(SUBSTITUTE(CLEAN(E189&amp;"")," ",""),".","")," ",""),"-","")),REPT("0",LEN(SUBSTITUTE(SUBSTITUTE(SUBSTITUTE(SUBSTITUTE(CLEAN(E189&amp;"")," ",""),".","")," ",""),"-",""))))=SUBSTITUTE(SUBSTITUTE(SUBSTITUTE(SUBSTITUTE(CLEAN(E189&amp;"")," ",""),".","")," ",""),"-",""),FALSE)),SUBSTITUTE(SUBSTITUTE(SUBSTITUTE(SUBSTITUTE(CLEAN(E189&amp;"")," ",""),".","")," ",""),"-",""),"CHECK: not 2, 4, 6, 8 or 10 digits"))</f>
        <v/>
      </c>
      <c r="G189" s="11" t="n"/>
      <c r="H189" s="8" t="n"/>
      <c r="I189" s="8" t="n"/>
      <c r="J189" s="10">
        <f>IF(SUBSTITUTE(SUBSTITUTE(SUBSTITUTE(SUBSTITUTE(CLEAN(I189&amp;"")," ",""),".","")," ",""),"-","")="","",IF(AND(OR(LEN(SUBSTITUTE(SUBSTITUTE(SUBSTITUTE(SUBSTITUTE(CLEAN(I189&amp;"")," ",""),".","")," ",""),"-",""))=2,LEN(SUBSTITUTE(SUBSTITUTE(SUBSTITUTE(SUBSTITUTE(CLEAN(I189&amp;"")," ",""),".","")," ",""),"-",""))=4,LEN(SUBSTITUTE(SUBSTITUTE(SUBSTITUTE(SUBSTITUTE(CLEAN(I189&amp;"")," ",""),".","")," ",""),"-",""))=6,LEN(SUBSTITUTE(SUBSTITUTE(SUBSTITUTE(SUBSTITUTE(CLEAN(I189&amp;"")," ",""),".","")," ",""),"-",""))=8,LEN(SUBSTITUTE(SUBSTITUTE(SUBSTITUTE(SUBSTITUTE(CLEAN(I189&amp;"")," ",""),".","")," ",""),"-",""))=10),IFERROR(TEXT(VALUE(SUBSTITUTE(SUBSTITUTE(SUBSTITUTE(SUBSTITUTE(CLEAN(I189&amp;"")," ",""),".","")," ",""),"-","")),REPT("0",LEN(SUBSTITUTE(SUBSTITUTE(SUBSTITUTE(SUBSTITUTE(CLEAN(I189&amp;"")," ",""),".","")," ",""),"-",""))))=SUBSTITUTE(SUBSTITUTE(SUBSTITUTE(SUBSTITUTE(CLEAN(I189&amp;"")," ",""),".","")," ",""),"-",""),FALSE)),SUBSTITUTE(SUBSTITUTE(SUBSTITUTE(SUBSTITUTE(CLEAN(I189&amp;"")," ",""),".","")," ",""),"-",""),"CHECK: not 2, 4, 6, 8 or 10 digits"))</f>
        <v/>
      </c>
      <c r="K189" s="11" t="n"/>
    </row>
    <row r="190">
      <c r="E190" s="8" t="n"/>
      <c r="F190" s="10">
        <f>IF(SUBSTITUTE(SUBSTITUTE(SUBSTITUTE(SUBSTITUTE(CLEAN(E190&amp;"")," ",""),".","")," ",""),"-","")="","",IF(AND(OR(LEN(SUBSTITUTE(SUBSTITUTE(SUBSTITUTE(SUBSTITUTE(CLEAN(E190&amp;"")," ",""),".","")," ",""),"-",""))=2,LEN(SUBSTITUTE(SUBSTITUTE(SUBSTITUTE(SUBSTITUTE(CLEAN(E190&amp;"")," ",""),".","")," ",""),"-",""))=4,LEN(SUBSTITUTE(SUBSTITUTE(SUBSTITUTE(SUBSTITUTE(CLEAN(E190&amp;"")," ",""),".","")," ",""),"-",""))=6,LEN(SUBSTITUTE(SUBSTITUTE(SUBSTITUTE(SUBSTITUTE(CLEAN(E190&amp;"")," ",""),".","")," ",""),"-",""))=8,LEN(SUBSTITUTE(SUBSTITUTE(SUBSTITUTE(SUBSTITUTE(CLEAN(E190&amp;"")," ",""),".","")," ",""),"-",""))=10),IFERROR(TEXT(VALUE(SUBSTITUTE(SUBSTITUTE(SUBSTITUTE(SUBSTITUTE(CLEAN(E190&amp;"")," ",""),".","")," ",""),"-","")),REPT("0",LEN(SUBSTITUTE(SUBSTITUTE(SUBSTITUTE(SUBSTITUTE(CLEAN(E190&amp;"")," ",""),".","")," ",""),"-",""))))=SUBSTITUTE(SUBSTITUTE(SUBSTITUTE(SUBSTITUTE(CLEAN(E190&amp;"")," ",""),".","")," ",""),"-",""),FALSE)),SUBSTITUTE(SUBSTITUTE(SUBSTITUTE(SUBSTITUTE(CLEAN(E190&amp;"")," ",""),".","")," ",""),"-",""),"CHECK: not 2, 4, 6, 8 or 10 digits"))</f>
        <v/>
      </c>
      <c r="G190" s="11" t="n"/>
      <c r="H190" s="8" t="n"/>
      <c r="I190" s="8" t="n"/>
      <c r="J190" s="10">
        <f>IF(SUBSTITUTE(SUBSTITUTE(SUBSTITUTE(SUBSTITUTE(CLEAN(I190&amp;"")," ",""),".","")," ",""),"-","")="","",IF(AND(OR(LEN(SUBSTITUTE(SUBSTITUTE(SUBSTITUTE(SUBSTITUTE(CLEAN(I190&amp;"")," ",""),".","")," ",""),"-",""))=2,LEN(SUBSTITUTE(SUBSTITUTE(SUBSTITUTE(SUBSTITUTE(CLEAN(I190&amp;"")," ",""),".","")," ",""),"-",""))=4,LEN(SUBSTITUTE(SUBSTITUTE(SUBSTITUTE(SUBSTITUTE(CLEAN(I190&amp;"")," ",""),".","")," ",""),"-",""))=6,LEN(SUBSTITUTE(SUBSTITUTE(SUBSTITUTE(SUBSTITUTE(CLEAN(I190&amp;"")," ",""),".","")," ",""),"-",""))=8,LEN(SUBSTITUTE(SUBSTITUTE(SUBSTITUTE(SUBSTITUTE(CLEAN(I190&amp;"")," ",""),".","")," ",""),"-",""))=10),IFERROR(TEXT(VALUE(SUBSTITUTE(SUBSTITUTE(SUBSTITUTE(SUBSTITUTE(CLEAN(I190&amp;"")," ",""),".","")," ",""),"-","")),REPT("0",LEN(SUBSTITUTE(SUBSTITUTE(SUBSTITUTE(SUBSTITUTE(CLEAN(I190&amp;"")," ",""),".","")," ",""),"-",""))))=SUBSTITUTE(SUBSTITUTE(SUBSTITUTE(SUBSTITUTE(CLEAN(I190&amp;"")," ",""),".","")," ",""),"-",""),FALSE)),SUBSTITUTE(SUBSTITUTE(SUBSTITUTE(SUBSTITUTE(CLEAN(I190&amp;"")," ",""),".","")," ",""),"-",""),"CHECK: not 2, 4, 6, 8 or 10 digits"))</f>
        <v/>
      </c>
      <c r="K190" s="11" t="n"/>
    </row>
    <row r="191">
      <c r="E191" s="8" t="n"/>
      <c r="F191" s="10">
        <f>IF(SUBSTITUTE(SUBSTITUTE(SUBSTITUTE(SUBSTITUTE(CLEAN(E191&amp;"")," ",""),".","")," ",""),"-","")="","",IF(AND(OR(LEN(SUBSTITUTE(SUBSTITUTE(SUBSTITUTE(SUBSTITUTE(CLEAN(E191&amp;"")," ",""),".","")," ",""),"-",""))=2,LEN(SUBSTITUTE(SUBSTITUTE(SUBSTITUTE(SUBSTITUTE(CLEAN(E191&amp;"")," ",""),".","")," ",""),"-",""))=4,LEN(SUBSTITUTE(SUBSTITUTE(SUBSTITUTE(SUBSTITUTE(CLEAN(E191&amp;"")," ",""),".","")," ",""),"-",""))=6,LEN(SUBSTITUTE(SUBSTITUTE(SUBSTITUTE(SUBSTITUTE(CLEAN(E191&amp;"")," ",""),".","")," ",""),"-",""))=8,LEN(SUBSTITUTE(SUBSTITUTE(SUBSTITUTE(SUBSTITUTE(CLEAN(E191&amp;"")," ",""),".","")," ",""),"-",""))=10),IFERROR(TEXT(VALUE(SUBSTITUTE(SUBSTITUTE(SUBSTITUTE(SUBSTITUTE(CLEAN(E191&amp;"")," ",""),".","")," ",""),"-","")),REPT("0",LEN(SUBSTITUTE(SUBSTITUTE(SUBSTITUTE(SUBSTITUTE(CLEAN(E191&amp;"")," ",""),".","")," ",""),"-",""))))=SUBSTITUTE(SUBSTITUTE(SUBSTITUTE(SUBSTITUTE(CLEAN(E191&amp;"")," ",""),".","")," ",""),"-",""),FALSE)),SUBSTITUTE(SUBSTITUTE(SUBSTITUTE(SUBSTITUTE(CLEAN(E191&amp;"")," ",""),".","")," ",""),"-",""),"CHECK: not 2, 4, 6, 8 or 10 digits"))</f>
        <v/>
      </c>
      <c r="G191" s="11" t="n"/>
      <c r="H191" s="8" t="n"/>
      <c r="I191" s="8" t="n"/>
      <c r="J191" s="10">
        <f>IF(SUBSTITUTE(SUBSTITUTE(SUBSTITUTE(SUBSTITUTE(CLEAN(I191&amp;"")," ",""),".","")," ",""),"-","")="","",IF(AND(OR(LEN(SUBSTITUTE(SUBSTITUTE(SUBSTITUTE(SUBSTITUTE(CLEAN(I191&amp;"")," ",""),".","")," ",""),"-",""))=2,LEN(SUBSTITUTE(SUBSTITUTE(SUBSTITUTE(SUBSTITUTE(CLEAN(I191&amp;"")," ",""),".","")," ",""),"-",""))=4,LEN(SUBSTITUTE(SUBSTITUTE(SUBSTITUTE(SUBSTITUTE(CLEAN(I191&amp;"")," ",""),".","")," ",""),"-",""))=6,LEN(SUBSTITUTE(SUBSTITUTE(SUBSTITUTE(SUBSTITUTE(CLEAN(I191&amp;"")," ",""),".","")," ",""),"-",""))=8,LEN(SUBSTITUTE(SUBSTITUTE(SUBSTITUTE(SUBSTITUTE(CLEAN(I191&amp;"")," ",""),".","")," ",""),"-",""))=10),IFERROR(TEXT(VALUE(SUBSTITUTE(SUBSTITUTE(SUBSTITUTE(SUBSTITUTE(CLEAN(I191&amp;"")," ",""),".","")," ",""),"-","")),REPT("0",LEN(SUBSTITUTE(SUBSTITUTE(SUBSTITUTE(SUBSTITUTE(CLEAN(I191&amp;"")," ",""),".","")," ",""),"-",""))))=SUBSTITUTE(SUBSTITUTE(SUBSTITUTE(SUBSTITUTE(CLEAN(I191&amp;"")," ",""),".","")," ",""),"-",""),FALSE)),SUBSTITUTE(SUBSTITUTE(SUBSTITUTE(SUBSTITUTE(CLEAN(I191&amp;"")," ",""),".","")," ",""),"-",""),"CHECK: not 2, 4, 6, 8 or 10 digits"))</f>
        <v/>
      </c>
      <c r="K191" s="11" t="n"/>
    </row>
    <row r="192">
      <c r="E192" s="8" t="n"/>
      <c r="F192" s="10">
        <f>IF(SUBSTITUTE(SUBSTITUTE(SUBSTITUTE(SUBSTITUTE(CLEAN(E192&amp;"")," ",""),".","")," ",""),"-","")="","",IF(AND(OR(LEN(SUBSTITUTE(SUBSTITUTE(SUBSTITUTE(SUBSTITUTE(CLEAN(E192&amp;"")," ",""),".","")," ",""),"-",""))=2,LEN(SUBSTITUTE(SUBSTITUTE(SUBSTITUTE(SUBSTITUTE(CLEAN(E192&amp;"")," ",""),".","")," ",""),"-",""))=4,LEN(SUBSTITUTE(SUBSTITUTE(SUBSTITUTE(SUBSTITUTE(CLEAN(E192&amp;"")," ",""),".","")," ",""),"-",""))=6,LEN(SUBSTITUTE(SUBSTITUTE(SUBSTITUTE(SUBSTITUTE(CLEAN(E192&amp;"")," ",""),".","")," ",""),"-",""))=8,LEN(SUBSTITUTE(SUBSTITUTE(SUBSTITUTE(SUBSTITUTE(CLEAN(E192&amp;"")," ",""),".","")," ",""),"-",""))=10),IFERROR(TEXT(VALUE(SUBSTITUTE(SUBSTITUTE(SUBSTITUTE(SUBSTITUTE(CLEAN(E192&amp;"")," ",""),".","")," ",""),"-","")),REPT("0",LEN(SUBSTITUTE(SUBSTITUTE(SUBSTITUTE(SUBSTITUTE(CLEAN(E192&amp;"")," ",""),".","")," ",""),"-",""))))=SUBSTITUTE(SUBSTITUTE(SUBSTITUTE(SUBSTITUTE(CLEAN(E192&amp;"")," ",""),".","")," ",""),"-",""),FALSE)),SUBSTITUTE(SUBSTITUTE(SUBSTITUTE(SUBSTITUTE(CLEAN(E192&amp;"")," ",""),".","")," ",""),"-",""),"CHECK: not 2, 4, 6, 8 or 10 digits"))</f>
        <v/>
      </c>
      <c r="G192" s="11" t="n"/>
      <c r="H192" s="8" t="n"/>
      <c r="I192" s="8" t="n"/>
      <c r="J192" s="10">
        <f>IF(SUBSTITUTE(SUBSTITUTE(SUBSTITUTE(SUBSTITUTE(CLEAN(I192&amp;"")," ",""),".","")," ",""),"-","")="","",IF(AND(OR(LEN(SUBSTITUTE(SUBSTITUTE(SUBSTITUTE(SUBSTITUTE(CLEAN(I192&amp;"")," ",""),".","")," ",""),"-",""))=2,LEN(SUBSTITUTE(SUBSTITUTE(SUBSTITUTE(SUBSTITUTE(CLEAN(I192&amp;"")," ",""),".","")," ",""),"-",""))=4,LEN(SUBSTITUTE(SUBSTITUTE(SUBSTITUTE(SUBSTITUTE(CLEAN(I192&amp;"")," ",""),".","")," ",""),"-",""))=6,LEN(SUBSTITUTE(SUBSTITUTE(SUBSTITUTE(SUBSTITUTE(CLEAN(I192&amp;"")," ",""),".","")," ",""),"-",""))=8,LEN(SUBSTITUTE(SUBSTITUTE(SUBSTITUTE(SUBSTITUTE(CLEAN(I192&amp;"")," ",""),".","")," ",""),"-",""))=10),IFERROR(TEXT(VALUE(SUBSTITUTE(SUBSTITUTE(SUBSTITUTE(SUBSTITUTE(CLEAN(I192&amp;"")," ",""),".","")," ",""),"-","")),REPT("0",LEN(SUBSTITUTE(SUBSTITUTE(SUBSTITUTE(SUBSTITUTE(CLEAN(I192&amp;"")," ",""),".","")," ",""),"-",""))))=SUBSTITUTE(SUBSTITUTE(SUBSTITUTE(SUBSTITUTE(CLEAN(I192&amp;"")," ",""),".","")," ",""),"-",""),FALSE)),SUBSTITUTE(SUBSTITUTE(SUBSTITUTE(SUBSTITUTE(CLEAN(I192&amp;"")," ",""),".","")," ",""),"-",""),"CHECK: not 2, 4, 6, 8 or 10 digits"))</f>
        <v/>
      </c>
      <c r="K192" s="11" t="n"/>
    </row>
    <row r="193">
      <c r="E193" s="8" t="n"/>
      <c r="F193" s="10">
        <f>IF(SUBSTITUTE(SUBSTITUTE(SUBSTITUTE(SUBSTITUTE(CLEAN(E193&amp;"")," ",""),".","")," ",""),"-","")="","",IF(AND(OR(LEN(SUBSTITUTE(SUBSTITUTE(SUBSTITUTE(SUBSTITUTE(CLEAN(E193&amp;"")," ",""),".","")," ",""),"-",""))=2,LEN(SUBSTITUTE(SUBSTITUTE(SUBSTITUTE(SUBSTITUTE(CLEAN(E193&amp;"")," ",""),".","")," ",""),"-",""))=4,LEN(SUBSTITUTE(SUBSTITUTE(SUBSTITUTE(SUBSTITUTE(CLEAN(E193&amp;"")," ",""),".","")," ",""),"-",""))=6,LEN(SUBSTITUTE(SUBSTITUTE(SUBSTITUTE(SUBSTITUTE(CLEAN(E193&amp;"")," ",""),".","")," ",""),"-",""))=8,LEN(SUBSTITUTE(SUBSTITUTE(SUBSTITUTE(SUBSTITUTE(CLEAN(E193&amp;"")," ",""),".","")," ",""),"-",""))=10),IFERROR(TEXT(VALUE(SUBSTITUTE(SUBSTITUTE(SUBSTITUTE(SUBSTITUTE(CLEAN(E193&amp;"")," ",""),".","")," ",""),"-","")),REPT("0",LEN(SUBSTITUTE(SUBSTITUTE(SUBSTITUTE(SUBSTITUTE(CLEAN(E193&amp;"")," ",""),".","")," ",""),"-",""))))=SUBSTITUTE(SUBSTITUTE(SUBSTITUTE(SUBSTITUTE(CLEAN(E193&amp;"")," ",""),".","")," ",""),"-",""),FALSE)),SUBSTITUTE(SUBSTITUTE(SUBSTITUTE(SUBSTITUTE(CLEAN(E193&amp;"")," ",""),".","")," ",""),"-",""),"CHECK: not 2, 4, 6, 8 or 10 digits"))</f>
        <v/>
      </c>
      <c r="G193" s="11" t="n"/>
      <c r="H193" s="8" t="n"/>
      <c r="I193" s="8" t="n"/>
      <c r="J193" s="10">
        <f>IF(SUBSTITUTE(SUBSTITUTE(SUBSTITUTE(SUBSTITUTE(CLEAN(I193&amp;"")," ",""),".","")," ",""),"-","")="","",IF(AND(OR(LEN(SUBSTITUTE(SUBSTITUTE(SUBSTITUTE(SUBSTITUTE(CLEAN(I193&amp;"")," ",""),".","")," ",""),"-",""))=2,LEN(SUBSTITUTE(SUBSTITUTE(SUBSTITUTE(SUBSTITUTE(CLEAN(I193&amp;"")," ",""),".","")," ",""),"-",""))=4,LEN(SUBSTITUTE(SUBSTITUTE(SUBSTITUTE(SUBSTITUTE(CLEAN(I193&amp;"")," ",""),".","")," ",""),"-",""))=6,LEN(SUBSTITUTE(SUBSTITUTE(SUBSTITUTE(SUBSTITUTE(CLEAN(I193&amp;"")," ",""),".","")," ",""),"-",""))=8,LEN(SUBSTITUTE(SUBSTITUTE(SUBSTITUTE(SUBSTITUTE(CLEAN(I193&amp;"")," ",""),".","")," ",""),"-",""))=10),IFERROR(TEXT(VALUE(SUBSTITUTE(SUBSTITUTE(SUBSTITUTE(SUBSTITUTE(CLEAN(I193&amp;"")," ",""),".","")," ",""),"-","")),REPT("0",LEN(SUBSTITUTE(SUBSTITUTE(SUBSTITUTE(SUBSTITUTE(CLEAN(I193&amp;"")," ",""),".","")," ",""),"-",""))))=SUBSTITUTE(SUBSTITUTE(SUBSTITUTE(SUBSTITUTE(CLEAN(I193&amp;"")," ",""),".","")," ",""),"-",""),FALSE)),SUBSTITUTE(SUBSTITUTE(SUBSTITUTE(SUBSTITUTE(CLEAN(I193&amp;"")," ",""),".","")," ",""),"-",""),"CHECK: not 2, 4, 6, 8 or 10 digits"))</f>
        <v/>
      </c>
      <c r="K193" s="11" t="n"/>
    </row>
    <row r="194">
      <c r="E194" s="8" t="n"/>
      <c r="F194" s="10">
        <f>IF(SUBSTITUTE(SUBSTITUTE(SUBSTITUTE(SUBSTITUTE(CLEAN(E194&amp;"")," ",""),".","")," ",""),"-","")="","",IF(AND(OR(LEN(SUBSTITUTE(SUBSTITUTE(SUBSTITUTE(SUBSTITUTE(CLEAN(E194&amp;"")," ",""),".","")," ",""),"-",""))=2,LEN(SUBSTITUTE(SUBSTITUTE(SUBSTITUTE(SUBSTITUTE(CLEAN(E194&amp;"")," ",""),".","")," ",""),"-",""))=4,LEN(SUBSTITUTE(SUBSTITUTE(SUBSTITUTE(SUBSTITUTE(CLEAN(E194&amp;"")," ",""),".","")," ",""),"-",""))=6,LEN(SUBSTITUTE(SUBSTITUTE(SUBSTITUTE(SUBSTITUTE(CLEAN(E194&amp;"")," ",""),".","")," ",""),"-",""))=8,LEN(SUBSTITUTE(SUBSTITUTE(SUBSTITUTE(SUBSTITUTE(CLEAN(E194&amp;"")," ",""),".","")," ",""),"-",""))=10),IFERROR(TEXT(VALUE(SUBSTITUTE(SUBSTITUTE(SUBSTITUTE(SUBSTITUTE(CLEAN(E194&amp;"")," ",""),".","")," ",""),"-","")),REPT("0",LEN(SUBSTITUTE(SUBSTITUTE(SUBSTITUTE(SUBSTITUTE(CLEAN(E194&amp;"")," ",""),".","")," ",""),"-",""))))=SUBSTITUTE(SUBSTITUTE(SUBSTITUTE(SUBSTITUTE(CLEAN(E194&amp;"")," ",""),".","")," ",""),"-",""),FALSE)),SUBSTITUTE(SUBSTITUTE(SUBSTITUTE(SUBSTITUTE(CLEAN(E194&amp;"")," ",""),".","")," ",""),"-",""),"CHECK: not 2, 4, 6, 8 or 10 digits"))</f>
        <v/>
      </c>
      <c r="G194" s="11" t="n"/>
      <c r="H194" s="8" t="n"/>
      <c r="I194" s="8" t="n"/>
      <c r="J194" s="10">
        <f>IF(SUBSTITUTE(SUBSTITUTE(SUBSTITUTE(SUBSTITUTE(CLEAN(I194&amp;"")," ",""),".","")," ",""),"-","")="","",IF(AND(OR(LEN(SUBSTITUTE(SUBSTITUTE(SUBSTITUTE(SUBSTITUTE(CLEAN(I194&amp;"")," ",""),".","")," ",""),"-",""))=2,LEN(SUBSTITUTE(SUBSTITUTE(SUBSTITUTE(SUBSTITUTE(CLEAN(I194&amp;"")," ",""),".","")," ",""),"-",""))=4,LEN(SUBSTITUTE(SUBSTITUTE(SUBSTITUTE(SUBSTITUTE(CLEAN(I194&amp;"")," ",""),".","")," ",""),"-",""))=6,LEN(SUBSTITUTE(SUBSTITUTE(SUBSTITUTE(SUBSTITUTE(CLEAN(I194&amp;"")," ",""),".","")," ",""),"-",""))=8,LEN(SUBSTITUTE(SUBSTITUTE(SUBSTITUTE(SUBSTITUTE(CLEAN(I194&amp;"")," ",""),".","")," ",""),"-",""))=10),IFERROR(TEXT(VALUE(SUBSTITUTE(SUBSTITUTE(SUBSTITUTE(SUBSTITUTE(CLEAN(I194&amp;"")," ",""),".","")," ",""),"-","")),REPT("0",LEN(SUBSTITUTE(SUBSTITUTE(SUBSTITUTE(SUBSTITUTE(CLEAN(I194&amp;"")," ",""),".","")," ",""),"-",""))))=SUBSTITUTE(SUBSTITUTE(SUBSTITUTE(SUBSTITUTE(CLEAN(I194&amp;"")," ",""),".","")," ",""),"-",""),FALSE)),SUBSTITUTE(SUBSTITUTE(SUBSTITUTE(SUBSTITUTE(CLEAN(I194&amp;"")," ",""),".","")," ",""),"-",""),"CHECK: not 2, 4, 6, 8 or 10 digits"))</f>
        <v/>
      </c>
      <c r="K194" s="11" t="n"/>
    </row>
    <row r="195">
      <c r="E195" s="8" t="n"/>
      <c r="F195" s="10">
        <f>IF(SUBSTITUTE(SUBSTITUTE(SUBSTITUTE(SUBSTITUTE(CLEAN(E195&amp;"")," ",""),".","")," ",""),"-","")="","",IF(AND(OR(LEN(SUBSTITUTE(SUBSTITUTE(SUBSTITUTE(SUBSTITUTE(CLEAN(E195&amp;"")," ",""),".","")," ",""),"-",""))=2,LEN(SUBSTITUTE(SUBSTITUTE(SUBSTITUTE(SUBSTITUTE(CLEAN(E195&amp;"")," ",""),".","")," ",""),"-",""))=4,LEN(SUBSTITUTE(SUBSTITUTE(SUBSTITUTE(SUBSTITUTE(CLEAN(E195&amp;"")," ",""),".","")," ",""),"-",""))=6,LEN(SUBSTITUTE(SUBSTITUTE(SUBSTITUTE(SUBSTITUTE(CLEAN(E195&amp;"")," ",""),".","")," ",""),"-",""))=8,LEN(SUBSTITUTE(SUBSTITUTE(SUBSTITUTE(SUBSTITUTE(CLEAN(E195&amp;"")," ",""),".","")," ",""),"-",""))=10),IFERROR(TEXT(VALUE(SUBSTITUTE(SUBSTITUTE(SUBSTITUTE(SUBSTITUTE(CLEAN(E195&amp;"")," ",""),".","")," ",""),"-","")),REPT("0",LEN(SUBSTITUTE(SUBSTITUTE(SUBSTITUTE(SUBSTITUTE(CLEAN(E195&amp;"")," ",""),".","")," ",""),"-",""))))=SUBSTITUTE(SUBSTITUTE(SUBSTITUTE(SUBSTITUTE(CLEAN(E195&amp;"")," ",""),".","")," ",""),"-",""),FALSE)),SUBSTITUTE(SUBSTITUTE(SUBSTITUTE(SUBSTITUTE(CLEAN(E195&amp;"")," ",""),".","")," ",""),"-",""),"CHECK: not 2, 4, 6, 8 or 10 digits"))</f>
        <v/>
      </c>
      <c r="G195" s="11" t="n"/>
      <c r="H195" s="8" t="n"/>
      <c r="I195" s="8" t="n"/>
      <c r="J195" s="10">
        <f>IF(SUBSTITUTE(SUBSTITUTE(SUBSTITUTE(SUBSTITUTE(CLEAN(I195&amp;"")," ",""),".","")," ",""),"-","")="","",IF(AND(OR(LEN(SUBSTITUTE(SUBSTITUTE(SUBSTITUTE(SUBSTITUTE(CLEAN(I195&amp;"")," ",""),".","")," ",""),"-",""))=2,LEN(SUBSTITUTE(SUBSTITUTE(SUBSTITUTE(SUBSTITUTE(CLEAN(I195&amp;"")," ",""),".","")," ",""),"-",""))=4,LEN(SUBSTITUTE(SUBSTITUTE(SUBSTITUTE(SUBSTITUTE(CLEAN(I195&amp;"")," ",""),".","")," ",""),"-",""))=6,LEN(SUBSTITUTE(SUBSTITUTE(SUBSTITUTE(SUBSTITUTE(CLEAN(I195&amp;"")," ",""),".","")," ",""),"-",""))=8,LEN(SUBSTITUTE(SUBSTITUTE(SUBSTITUTE(SUBSTITUTE(CLEAN(I195&amp;"")," ",""),".","")," ",""),"-",""))=10),IFERROR(TEXT(VALUE(SUBSTITUTE(SUBSTITUTE(SUBSTITUTE(SUBSTITUTE(CLEAN(I195&amp;"")," ",""),".","")," ",""),"-","")),REPT("0",LEN(SUBSTITUTE(SUBSTITUTE(SUBSTITUTE(SUBSTITUTE(CLEAN(I195&amp;"")," ",""),".","")," ",""),"-",""))))=SUBSTITUTE(SUBSTITUTE(SUBSTITUTE(SUBSTITUTE(CLEAN(I195&amp;"")," ",""),".","")," ",""),"-",""),FALSE)),SUBSTITUTE(SUBSTITUTE(SUBSTITUTE(SUBSTITUTE(CLEAN(I195&amp;"")," ",""),".","")," ",""),"-",""),"CHECK: not 2, 4, 6, 8 or 10 digits"))</f>
        <v/>
      </c>
      <c r="K195" s="11" t="n"/>
    </row>
    <row r="196">
      <c r="E196" s="8" t="n"/>
      <c r="F196" s="10">
        <f>IF(SUBSTITUTE(SUBSTITUTE(SUBSTITUTE(SUBSTITUTE(CLEAN(E196&amp;"")," ",""),".","")," ",""),"-","")="","",IF(AND(OR(LEN(SUBSTITUTE(SUBSTITUTE(SUBSTITUTE(SUBSTITUTE(CLEAN(E196&amp;"")," ",""),".","")," ",""),"-",""))=2,LEN(SUBSTITUTE(SUBSTITUTE(SUBSTITUTE(SUBSTITUTE(CLEAN(E196&amp;"")," ",""),".","")," ",""),"-",""))=4,LEN(SUBSTITUTE(SUBSTITUTE(SUBSTITUTE(SUBSTITUTE(CLEAN(E196&amp;"")," ",""),".","")," ",""),"-",""))=6,LEN(SUBSTITUTE(SUBSTITUTE(SUBSTITUTE(SUBSTITUTE(CLEAN(E196&amp;"")," ",""),".","")," ",""),"-",""))=8,LEN(SUBSTITUTE(SUBSTITUTE(SUBSTITUTE(SUBSTITUTE(CLEAN(E196&amp;"")," ",""),".","")," ",""),"-",""))=10),IFERROR(TEXT(VALUE(SUBSTITUTE(SUBSTITUTE(SUBSTITUTE(SUBSTITUTE(CLEAN(E196&amp;"")," ",""),".","")," ",""),"-","")),REPT("0",LEN(SUBSTITUTE(SUBSTITUTE(SUBSTITUTE(SUBSTITUTE(CLEAN(E196&amp;"")," ",""),".","")," ",""),"-",""))))=SUBSTITUTE(SUBSTITUTE(SUBSTITUTE(SUBSTITUTE(CLEAN(E196&amp;"")," ",""),".","")," ",""),"-",""),FALSE)),SUBSTITUTE(SUBSTITUTE(SUBSTITUTE(SUBSTITUTE(CLEAN(E196&amp;"")," ",""),".","")," ",""),"-",""),"CHECK: not 2, 4, 6, 8 or 10 digits"))</f>
        <v/>
      </c>
      <c r="G196" s="11" t="n"/>
      <c r="H196" s="8" t="n"/>
      <c r="I196" s="8" t="n"/>
      <c r="J196" s="10">
        <f>IF(SUBSTITUTE(SUBSTITUTE(SUBSTITUTE(SUBSTITUTE(CLEAN(I196&amp;"")," ",""),".","")," ",""),"-","")="","",IF(AND(OR(LEN(SUBSTITUTE(SUBSTITUTE(SUBSTITUTE(SUBSTITUTE(CLEAN(I196&amp;"")," ",""),".","")," ",""),"-",""))=2,LEN(SUBSTITUTE(SUBSTITUTE(SUBSTITUTE(SUBSTITUTE(CLEAN(I196&amp;"")," ",""),".","")," ",""),"-",""))=4,LEN(SUBSTITUTE(SUBSTITUTE(SUBSTITUTE(SUBSTITUTE(CLEAN(I196&amp;"")," ",""),".","")," ",""),"-",""))=6,LEN(SUBSTITUTE(SUBSTITUTE(SUBSTITUTE(SUBSTITUTE(CLEAN(I196&amp;"")," ",""),".","")," ",""),"-",""))=8,LEN(SUBSTITUTE(SUBSTITUTE(SUBSTITUTE(SUBSTITUTE(CLEAN(I196&amp;"")," ",""),".","")," ",""),"-",""))=10),IFERROR(TEXT(VALUE(SUBSTITUTE(SUBSTITUTE(SUBSTITUTE(SUBSTITUTE(CLEAN(I196&amp;"")," ",""),".","")," ",""),"-","")),REPT("0",LEN(SUBSTITUTE(SUBSTITUTE(SUBSTITUTE(SUBSTITUTE(CLEAN(I196&amp;"")," ",""),".","")," ",""),"-",""))))=SUBSTITUTE(SUBSTITUTE(SUBSTITUTE(SUBSTITUTE(CLEAN(I196&amp;"")," ",""),".","")," ",""),"-",""),FALSE)),SUBSTITUTE(SUBSTITUTE(SUBSTITUTE(SUBSTITUTE(CLEAN(I196&amp;"")," ",""),".","")," ",""),"-",""),"CHECK: not 2, 4, 6, 8 or 10 digits"))</f>
        <v/>
      </c>
      <c r="K196" s="11" t="n"/>
    </row>
    <row r="197">
      <c r="E197" s="8" t="n"/>
      <c r="F197" s="10">
        <f>IF(SUBSTITUTE(SUBSTITUTE(SUBSTITUTE(SUBSTITUTE(CLEAN(E197&amp;"")," ",""),".","")," ",""),"-","")="","",IF(AND(OR(LEN(SUBSTITUTE(SUBSTITUTE(SUBSTITUTE(SUBSTITUTE(CLEAN(E197&amp;"")," ",""),".","")," ",""),"-",""))=2,LEN(SUBSTITUTE(SUBSTITUTE(SUBSTITUTE(SUBSTITUTE(CLEAN(E197&amp;"")," ",""),".","")," ",""),"-",""))=4,LEN(SUBSTITUTE(SUBSTITUTE(SUBSTITUTE(SUBSTITUTE(CLEAN(E197&amp;"")," ",""),".","")," ",""),"-",""))=6,LEN(SUBSTITUTE(SUBSTITUTE(SUBSTITUTE(SUBSTITUTE(CLEAN(E197&amp;"")," ",""),".","")," ",""),"-",""))=8,LEN(SUBSTITUTE(SUBSTITUTE(SUBSTITUTE(SUBSTITUTE(CLEAN(E197&amp;"")," ",""),".","")," ",""),"-",""))=10),IFERROR(TEXT(VALUE(SUBSTITUTE(SUBSTITUTE(SUBSTITUTE(SUBSTITUTE(CLEAN(E197&amp;"")," ",""),".","")," ",""),"-","")),REPT("0",LEN(SUBSTITUTE(SUBSTITUTE(SUBSTITUTE(SUBSTITUTE(CLEAN(E197&amp;"")," ",""),".","")," ",""),"-",""))))=SUBSTITUTE(SUBSTITUTE(SUBSTITUTE(SUBSTITUTE(CLEAN(E197&amp;"")," ",""),".","")," ",""),"-",""),FALSE)),SUBSTITUTE(SUBSTITUTE(SUBSTITUTE(SUBSTITUTE(CLEAN(E197&amp;"")," ",""),".","")," ",""),"-",""),"CHECK: not 2, 4, 6, 8 or 10 digits"))</f>
        <v/>
      </c>
      <c r="G197" s="11" t="n"/>
      <c r="H197" s="8" t="n"/>
      <c r="I197" s="8" t="n"/>
      <c r="J197" s="10">
        <f>IF(SUBSTITUTE(SUBSTITUTE(SUBSTITUTE(SUBSTITUTE(CLEAN(I197&amp;"")," ",""),".","")," ",""),"-","")="","",IF(AND(OR(LEN(SUBSTITUTE(SUBSTITUTE(SUBSTITUTE(SUBSTITUTE(CLEAN(I197&amp;"")," ",""),".","")," ",""),"-",""))=2,LEN(SUBSTITUTE(SUBSTITUTE(SUBSTITUTE(SUBSTITUTE(CLEAN(I197&amp;"")," ",""),".","")," ",""),"-",""))=4,LEN(SUBSTITUTE(SUBSTITUTE(SUBSTITUTE(SUBSTITUTE(CLEAN(I197&amp;"")," ",""),".","")," ",""),"-",""))=6,LEN(SUBSTITUTE(SUBSTITUTE(SUBSTITUTE(SUBSTITUTE(CLEAN(I197&amp;"")," ",""),".","")," ",""),"-",""))=8,LEN(SUBSTITUTE(SUBSTITUTE(SUBSTITUTE(SUBSTITUTE(CLEAN(I197&amp;"")," ",""),".","")," ",""),"-",""))=10),IFERROR(TEXT(VALUE(SUBSTITUTE(SUBSTITUTE(SUBSTITUTE(SUBSTITUTE(CLEAN(I197&amp;"")," ",""),".","")," ",""),"-","")),REPT("0",LEN(SUBSTITUTE(SUBSTITUTE(SUBSTITUTE(SUBSTITUTE(CLEAN(I197&amp;"")," ",""),".","")," ",""),"-",""))))=SUBSTITUTE(SUBSTITUTE(SUBSTITUTE(SUBSTITUTE(CLEAN(I197&amp;"")," ",""),".","")," ",""),"-",""),FALSE)),SUBSTITUTE(SUBSTITUTE(SUBSTITUTE(SUBSTITUTE(CLEAN(I197&amp;"")," ",""),".","")," ",""),"-",""),"CHECK: not 2, 4, 6, 8 or 10 digits"))</f>
        <v/>
      </c>
      <c r="K197" s="11" t="n"/>
    </row>
    <row r="198">
      <c r="E198" s="8" t="n"/>
      <c r="F198" s="10">
        <f>IF(SUBSTITUTE(SUBSTITUTE(SUBSTITUTE(SUBSTITUTE(CLEAN(E198&amp;"")," ",""),".","")," ",""),"-","")="","",IF(AND(OR(LEN(SUBSTITUTE(SUBSTITUTE(SUBSTITUTE(SUBSTITUTE(CLEAN(E198&amp;"")," ",""),".","")," ",""),"-",""))=2,LEN(SUBSTITUTE(SUBSTITUTE(SUBSTITUTE(SUBSTITUTE(CLEAN(E198&amp;"")," ",""),".","")," ",""),"-",""))=4,LEN(SUBSTITUTE(SUBSTITUTE(SUBSTITUTE(SUBSTITUTE(CLEAN(E198&amp;"")," ",""),".","")," ",""),"-",""))=6,LEN(SUBSTITUTE(SUBSTITUTE(SUBSTITUTE(SUBSTITUTE(CLEAN(E198&amp;"")," ",""),".","")," ",""),"-",""))=8,LEN(SUBSTITUTE(SUBSTITUTE(SUBSTITUTE(SUBSTITUTE(CLEAN(E198&amp;"")," ",""),".","")," ",""),"-",""))=10),IFERROR(TEXT(VALUE(SUBSTITUTE(SUBSTITUTE(SUBSTITUTE(SUBSTITUTE(CLEAN(E198&amp;"")," ",""),".","")," ",""),"-","")),REPT("0",LEN(SUBSTITUTE(SUBSTITUTE(SUBSTITUTE(SUBSTITUTE(CLEAN(E198&amp;"")," ",""),".","")," ",""),"-",""))))=SUBSTITUTE(SUBSTITUTE(SUBSTITUTE(SUBSTITUTE(CLEAN(E198&amp;"")," ",""),".","")," ",""),"-",""),FALSE)),SUBSTITUTE(SUBSTITUTE(SUBSTITUTE(SUBSTITUTE(CLEAN(E198&amp;"")," ",""),".","")," ",""),"-",""),"CHECK: not 2, 4, 6, 8 or 10 digits"))</f>
        <v/>
      </c>
      <c r="G198" s="11" t="n"/>
      <c r="H198" s="8" t="n"/>
      <c r="I198" s="8" t="n"/>
      <c r="J198" s="10">
        <f>IF(SUBSTITUTE(SUBSTITUTE(SUBSTITUTE(SUBSTITUTE(CLEAN(I198&amp;"")," ",""),".","")," ",""),"-","")="","",IF(AND(OR(LEN(SUBSTITUTE(SUBSTITUTE(SUBSTITUTE(SUBSTITUTE(CLEAN(I198&amp;"")," ",""),".","")," ",""),"-",""))=2,LEN(SUBSTITUTE(SUBSTITUTE(SUBSTITUTE(SUBSTITUTE(CLEAN(I198&amp;"")," ",""),".","")," ",""),"-",""))=4,LEN(SUBSTITUTE(SUBSTITUTE(SUBSTITUTE(SUBSTITUTE(CLEAN(I198&amp;"")," ",""),".","")," ",""),"-",""))=6,LEN(SUBSTITUTE(SUBSTITUTE(SUBSTITUTE(SUBSTITUTE(CLEAN(I198&amp;"")," ",""),".","")," ",""),"-",""))=8,LEN(SUBSTITUTE(SUBSTITUTE(SUBSTITUTE(SUBSTITUTE(CLEAN(I198&amp;"")," ",""),".","")," ",""),"-",""))=10),IFERROR(TEXT(VALUE(SUBSTITUTE(SUBSTITUTE(SUBSTITUTE(SUBSTITUTE(CLEAN(I198&amp;"")," ",""),".","")," ",""),"-","")),REPT("0",LEN(SUBSTITUTE(SUBSTITUTE(SUBSTITUTE(SUBSTITUTE(CLEAN(I198&amp;"")," ",""),".","")," ",""),"-",""))))=SUBSTITUTE(SUBSTITUTE(SUBSTITUTE(SUBSTITUTE(CLEAN(I198&amp;"")," ",""),".","")," ",""),"-",""),FALSE)),SUBSTITUTE(SUBSTITUTE(SUBSTITUTE(SUBSTITUTE(CLEAN(I198&amp;"")," ",""),".","")," ",""),"-",""),"CHECK: not 2, 4, 6, 8 or 10 digits"))</f>
        <v/>
      </c>
      <c r="K198" s="11" t="n"/>
    </row>
    <row r="199">
      <c r="E199" s="8" t="n"/>
      <c r="F199" s="10">
        <f>IF(SUBSTITUTE(SUBSTITUTE(SUBSTITUTE(SUBSTITUTE(CLEAN(E199&amp;"")," ",""),".","")," ",""),"-","")="","",IF(AND(OR(LEN(SUBSTITUTE(SUBSTITUTE(SUBSTITUTE(SUBSTITUTE(CLEAN(E199&amp;"")," ",""),".","")," ",""),"-",""))=2,LEN(SUBSTITUTE(SUBSTITUTE(SUBSTITUTE(SUBSTITUTE(CLEAN(E199&amp;"")," ",""),".","")," ",""),"-",""))=4,LEN(SUBSTITUTE(SUBSTITUTE(SUBSTITUTE(SUBSTITUTE(CLEAN(E199&amp;"")," ",""),".","")," ",""),"-",""))=6,LEN(SUBSTITUTE(SUBSTITUTE(SUBSTITUTE(SUBSTITUTE(CLEAN(E199&amp;"")," ",""),".","")," ",""),"-",""))=8,LEN(SUBSTITUTE(SUBSTITUTE(SUBSTITUTE(SUBSTITUTE(CLEAN(E199&amp;"")," ",""),".","")," ",""),"-",""))=10),IFERROR(TEXT(VALUE(SUBSTITUTE(SUBSTITUTE(SUBSTITUTE(SUBSTITUTE(CLEAN(E199&amp;"")," ",""),".","")," ",""),"-","")),REPT("0",LEN(SUBSTITUTE(SUBSTITUTE(SUBSTITUTE(SUBSTITUTE(CLEAN(E199&amp;"")," ",""),".","")," ",""),"-",""))))=SUBSTITUTE(SUBSTITUTE(SUBSTITUTE(SUBSTITUTE(CLEAN(E199&amp;"")," ",""),".","")," ",""),"-",""),FALSE)),SUBSTITUTE(SUBSTITUTE(SUBSTITUTE(SUBSTITUTE(CLEAN(E199&amp;"")," ",""),".","")," ",""),"-",""),"CHECK: not 2, 4, 6, 8 or 10 digits"))</f>
        <v/>
      </c>
      <c r="G199" s="11" t="n"/>
      <c r="H199" s="8" t="n"/>
      <c r="I199" s="8" t="n"/>
      <c r="J199" s="10">
        <f>IF(SUBSTITUTE(SUBSTITUTE(SUBSTITUTE(SUBSTITUTE(CLEAN(I199&amp;"")," ",""),".","")," ",""),"-","")="","",IF(AND(OR(LEN(SUBSTITUTE(SUBSTITUTE(SUBSTITUTE(SUBSTITUTE(CLEAN(I199&amp;"")," ",""),".","")," ",""),"-",""))=2,LEN(SUBSTITUTE(SUBSTITUTE(SUBSTITUTE(SUBSTITUTE(CLEAN(I199&amp;"")," ",""),".","")," ",""),"-",""))=4,LEN(SUBSTITUTE(SUBSTITUTE(SUBSTITUTE(SUBSTITUTE(CLEAN(I199&amp;"")," ",""),".","")," ",""),"-",""))=6,LEN(SUBSTITUTE(SUBSTITUTE(SUBSTITUTE(SUBSTITUTE(CLEAN(I199&amp;"")," ",""),".","")," ",""),"-",""))=8,LEN(SUBSTITUTE(SUBSTITUTE(SUBSTITUTE(SUBSTITUTE(CLEAN(I199&amp;"")," ",""),".","")," ",""),"-",""))=10),IFERROR(TEXT(VALUE(SUBSTITUTE(SUBSTITUTE(SUBSTITUTE(SUBSTITUTE(CLEAN(I199&amp;"")," ",""),".","")," ",""),"-","")),REPT("0",LEN(SUBSTITUTE(SUBSTITUTE(SUBSTITUTE(SUBSTITUTE(CLEAN(I199&amp;"")," ",""),".","")," ",""),"-",""))))=SUBSTITUTE(SUBSTITUTE(SUBSTITUTE(SUBSTITUTE(CLEAN(I199&amp;"")," ",""),".","")," ",""),"-",""),FALSE)),SUBSTITUTE(SUBSTITUTE(SUBSTITUTE(SUBSTITUTE(CLEAN(I199&amp;"")," ",""),".","")," ",""),"-",""),"CHECK: not 2, 4, 6, 8 or 10 digits"))</f>
        <v/>
      </c>
      <c r="K199" s="11" t="n"/>
    </row>
    <row r="200">
      <c r="E200" s="8" t="n"/>
      <c r="F200" s="10">
        <f>IF(SUBSTITUTE(SUBSTITUTE(SUBSTITUTE(SUBSTITUTE(CLEAN(E200&amp;"")," ",""),".","")," ",""),"-","")="","",IF(AND(OR(LEN(SUBSTITUTE(SUBSTITUTE(SUBSTITUTE(SUBSTITUTE(CLEAN(E200&amp;"")," ",""),".","")," ",""),"-",""))=2,LEN(SUBSTITUTE(SUBSTITUTE(SUBSTITUTE(SUBSTITUTE(CLEAN(E200&amp;"")," ",""),".","")," ",""),"-",""))=4,LEN(SUBSTITUTE(SUBSTITUTE(SUBSTITUTE(SUBSTITUTE(CLEAN(E200&amp;"")," ",""),".","")," ",""),"-",""))=6,LEN(SUBSTITUTE(SUBSTITUTE(SUBSTITUTE(SUBSTITUTE(CLEAN(E200&amp;"")," ",""),".","")," ",""),"-",""))=8,LEN(SUBSTITUTE(SUBSTITUTE(SUBSTITUTE(SUBSTITUTE(CLEAN(E200&amp;"")," ",""),".","")," ",""),"-",""))=10),IFERROR(TEXT(VALUE(SUBSTITUTE(SUBSTITUTE(SUBSTITUTE(SUBSTITUTE(CLEAN(E200&amp;"")," ",""),".","")," ",""),"-","")),REPT("0",LEN(SUBSTITUTE(SUBSTITUTE(SUBSTITUTE(SUBSTITUTE(CLEAN(E200&amp;"")," ",""),".","")," ",""),"-",""))))=SUBSTITUTE(SUBSTITUTE(SUBSTITUTE(SUBSTITUTE(CLEAN(E200&amp;"")," ",""),".","")," ",""),"-",""),FALSE)),SUBSTITUTE(SUBSTITUTE(SUBSTITUTE(SUBSTITUTE(CLEAN(E200&amp;"")," ",""),".","")," ",""),"-",""),"CHECK: not 2, 4, 6, 8 or 10 digits"))</f>
        <v/>
      </c>
      <c r="G200" s="11" t="n"/>
      <c r="H200" s="8" t="n"/>
      <c r="I200" s="8" t="n"/>
      <c r="J200" s="10">
        <f>IF(SUBSTITUTE(SUBSTITUTE(SUBSTITUTE(SUBSTITUTE(CLEAN(I200&amp;"")," ",""),".","")," ",""),"-","")="","",IF(AND(OR(LEN(SUBSTITUTE(SUBSTITUTE(SUBSTITUTE(SUBSTITUTE(CLEAN(I200&amp;"")," ",""),".","")," ",""),"-",""))=2,LEN(SUBSTITUTE(SUBSTITUTE(SUBSTITUTE(SUBSTITUTE(CLEAN(I200&amp;"")," ",""),".","")," ",""),"-",""))=4,LEN(SUBSTITUTE(SUBSTITUTE(SUBSTITUTE(SUBSTITUTE(CLEAN(I200&amp;"")," ",""),".","")," ",""),"-",""))=6,LEN(SUBSTITUTE(SUBSTITUTE(SUBSTITUTE(SUBSTITUTE(CLEAN(I200&amp;"")," ",""),".","")," ",""),"-",""))=8,LEN(SUBSTITUTE(SUBSTITUTE(SUBSTITUTE(SUBSTITUTE(CLEAN(I200&amp;"")," ",""),".","")," ",""),"-",""))=10),IFERROR(TEXT(VALUE(SUBSTITUTE(SUBSTITUTE(SUBSTITUTE(SUBSTITUTE(CLEAN(I200&amp;"")," ",""),".","")," ",""),"-","")),REPT("0",LEN(SUBSTITUTE(SUBSTITUTE(SUBSTITUTE(SUBSTITUTE(CLEAN(I200&amp;"")," ",""),".","")," ",""),"-",""))))=SUBSTITUTE(SUBSTITUTE(SUBSTITUTE(SUBSTITUTE(CLEAN(I200&amp;"")," ",""),".","")," ",""),"-",""),FALSE)),SUBSTITUTE(SUBSTITUTE(SUBSTITUTE(SUBSTITUTE(CLEAN(I200&amp;"")," ",""),".","")," ",""),"-",""),"CHECK: not 2, 4, 6, 8 or 10 digits"))</f>
        <v/>
      </c>
      <c r="K200" s="11" t="n"/>
    </row>
    <row r="201">
      <c r="E201" s="8" t="n"/>
      <c r="F201" s="10">
        <f>IF(SUBSTITUTE(SUBSTITUTE(SUBSTITUTE(SUBSTITUTE(CLEAN(E201&amp;"")," ",""),".","")," ",""),"-","")="","",IF(AND(OR(LEN(SUBSTITUTE(SUBSTITUTE(SUBSTITUTE(SUBSTITUTE(CLEAN(E201&amp;"")," ",""),".","")," ",""),"-",""))=2,LEN(SUBSTITUTE(SUBSTITUTE(SUBSTITUTE(SUBSTITUTE(CLEAN(E201&amp;"")," ",""),".","")," ",""),"-",""))=4,LEN(SUBSTITUTE(SUBSTITUTE(SUBSTITUTE(SUBSTITUTE(CLEAN(E201&amp;"")," ",""),".","")," ",""),"-",""))=6,LEN(SUBSTITUTE(SUBSTITUTE(SUBSTITUTE(SUBSTITUTE(CLEAN(E201&amp;"")," ",""),".","")," ",""),"-",""))=8,LEN(SUBSTITUTE(SUBSTITUTE(SUBSTITUTE(SUBSTITUTE(CLEAN(E201&amp;"")," ",""),".","")," ",""),"-",""))=10),IFERROR(TEXT(VALUE(SUBSTITUTE(SUBSTITUTE(SUBSTITUTE(SUBSTITUTE(CLEAN(E201&amp;"")," ",""),".","")," ",""),"-","")),REPT("0",LEN(SUBSTITUTE(SUBSTITUTE(SUBSTITUTE(SUBSTITUTE(CLEAN(E201&amp;"")," ",""),".","")," ",""),"-",""))))=SUBSTITUTE(SUBSTITUTE(SUBSTITUTE(SUBSTITUTE(CLEAN(E201&amp;"")," ",""),".","")," ",""),"-",""),FALSE)),SUBSTITUTE(SUBSTITUTE(SUBSTITUTE(SUBSTITUTE(CLEAN(E201&amp;"")," ",""),".","")," ",""),"-",""),"CHECK: not 2, 4, 6, 8 or 10 digits"))</f>
        <v/>
      </c>
      <c r="G201" s="11" t="n"/>
      <c r="H201" s="8" t="n"/>
      <c r="I201" s="8" t="n"/>
      <c r="J201" s="10">
        <f>IF(SUBSTITUTE(SUBSTITUTE(SUBSTITUTE(SUBSTITUTE(CLEAN(I201&amp;"")," ",""),".","")," ",""),"-","")="","",IF(AND(OR(LEN(SUBSTITUTE(SUBSTITUTE(SUBSTITUTE(SUBSTITUTE(CLEAN(I201&amp;"")," ",""),".","")," ",""),"-",""))=2,LEN(SUBSTITUTE(SUBSTITUTE(SUBSTITUTE(SUBSTITUTE(CLEAN(I201&amp;"")," ",""),".","")," ",""),"-",""))=4,LEN(SUBSTITUTE(SUBSTITUTE(SUBSTITUTE(SUBSTITUTE(CLEAN(I201&amp;"")," ",""),".","")," ",""),"-",""))=6,LEN(SUBSTITUTE(SUBSTITUTE(SUBSTITUTE(SUBSTITUTE(CLEAN(I201&amp;"")," ",""),".","")," ",""),"-",""))=8,LEN(SUBSTITUTE(SUBSTITUTE(SUBSTITUTE(SUBSTITUTE(CLEAN(I201&amp;"")," ",""),".","")," ",""),"-",""))=10),IFERROR(TEXT(VALUE(SUBSTITUTE(SUBSTITUTE(SUBSTITUTE(SUBSTITUTE(CLEAN(I201&amp;"")," ",""),".","")," ",""),"-","")),REPT("0",LEN(SUBSTITUTE(SUBSTITUTE(SUBSTITUTE(SUBSTITUTE(CLEAN(I201&amp;"")," ",""),".","")," ",""),"-",""))))=SUBSTITUTE(SUBSTITUTE(SUBSTITUTE(SUBSTITUTE(CLEAN(I201&amp;"")," ",""),".","")," ",""),"-",""),FALSE)),SUBSTITUTE(SUBSTITUTE(SUBSTITUTE(SUBSTITUTE(CLEAN(I201&amp;"")," ",""),".","")," ",""),"-",""),"CHECK: not 2, 4, 6, 8 or 10 digits"))</f>
        <v/>
      </c>
      <c r="K201" s="11" t="n"/>
    </row>
    <row r="202">
      <c r="E202" s="8" t="n"/>
      <c r="F202" s="10">
        <f>IF(SUBSTITUTE(SUBSTITUTE(SUBSTITUTE(SUBSTITUTE(CLEAN(E202&amp;"")," ",""),".","")," ",""),"-","")="","",IF(AND(OR(LEN(SUBSTITUTE(SUBSTITUTE(SUBSTITUTE(SUBSTITUTE(CLEAN(E202&amp;"")," ",""),".","")," ",""),"-",""))=2,LEN(SUBSTITUTE(SUBSTITUTE(SUBSTITUTE(SUBSTITUTE(CLEAN(E202&amp;"")," ",""),".","")," ",""),"-",""))=4,LEN(SUBSTITUTE(SUBSTITUTE(SUBSTITUTE(SUBSTITUTE(CLEAN(E202&amp;"")," ",""),".","")," ",""),"-",""))=6,LEN(SUBSTITUTE(SUBSTITUTE(SUBSTITUTE(SUBSTITUTE(CLEAN(E202&amp;"")," ",""),".","")," ",""),"-",""))=8,LEN(SUBSTITUTE(SUBSTITUTE(SUBSTITUTE(SUBSTITUTE(CLEAN(E202&amp;"")," ",""),".","")," ",""),"-",""))=10),IFERROR(TEXT(VALUE(SUBSTITUTE(SUBSTITUTE(SUBSTITUTE(SUBSTITUTE(CLEAN(E202&amp;"")," ",""),".","")," ",""),"-","")),REPT("0",LEN(SUBSTITUTE(SUBSTITUTE(SUBSTITUTE(SUBSTITUTE(CLEAN(E202&amp;"")," ",""),".","")," ",""),"-",""))))=SUBSTITUTE(SUBSTITUTE(SUBSTITUTE(SUBSTITUTE(CLEAN(E202&amp;"")," ",""),".","")," ",""),"-",""),FALSE)),SUBSTITUTE(SUBSTITUTE(SUBSTITUTE(SUBSTITUTE(CLEAN(E202&amp;"")," ",""),".","")," ",""),"-",""),"CHECK: not 2, 4, 6, 8 or 10 digits"))</f>
        <v/>
      </c>
      <c r="G202" s="11" t="n"/>
      <c r="H202" s="8" t="n"/>
      <c r="I202" s="8" t="n"/>
      <c r="J202" s="10">
        <f>IF(SUBSTITUTE(SUBSTITUTE(SUBSTITUTE(SUBSTITUTE(CLEAN(I202&amp;"")," ",""),".","")," ",""),"-","")="","",IF(AND(OR(LEN(SUBSTITUTE(SUBSTITUTE(SUBSTITUTE(SUBSTITUTE(CLEAN(I202&amp;"")," ",""),".","")," ",""),"-",""))=2,LEN(SUBSTITUTE(SUBSTITUTE(SUBSTITUTE(SUBSTITUTE(CLEAN(I202&amp;"")," ",""),".","")," ",""),"-",""))=4,LEN(SUBSTITUTE(SUBSTITUTE(SUBSTITUTE(SUBSTITUTE(CLEAN(I202&amp;"")," ",""),".","")," ",""),"-",""))=6,LEN(SUBSTITUTE(SUBSTITUTE(SUBSTITUTE(SUBSTITUTE(CLEAN(I202&amp;"")," ",""),".","")," ",""),"-",""))=8,LEN(SUBSTITUTE(SUBSTITUTE(SUBSTITUTE(SUBSTITUTE(CLEAN(I202&amp;"")," ",""),".","")," ",""),"-",""))=10),IFERROR(TEXT(VALUE(SUBSTITUTE(SUBSTITUTE(SUBSTITUTE(SUBSTITUTE(CLEAN(I202&amp;"")," ",""),".","")," ",""),"-","")),REPT("0",LEN(SUBSTITUTE(SUBSTITUTE(SUBSTITUTE(SUBSTITUTE(CLEAN(I202&amp;"")," ",""),".","")," ",""),"-",""))))=SUBSTITUTE(SUBSTITUTE(SUBSTITUTE(SUBSTITUTE(CLEAN(I202&amp;"")," ",""),".","")," ",""),"-",""),FALSE)),SUBSTITUTE(SUBSTITUTE(SUBSTITUTE(SUBSTITUTE(CLEAN(I202&amp;"")," ",""),".","")," ",""),"-",""),"CHECK: not 2, 4, 6, 8 or 10 digits"))</f>
        <v/>
      </c>
      <c r="K202" s="11" t="n"/>
    </row>
    <row r="203">
      <c r="E203" s="8" t="n"/>
      <c r="F203" s="10">
        <f>IF(SUBSTITUTE(SUBSTITUTE(SUBSTITUTE(SUBSTITUTE(CLEAN(E203&amp;"")," ",""),".","")," ",""),"-","")="","",IF(AND(OR(LEN(SUBSTITUTE(SUBSTITUTE(SUBSTITUTE(SUBSTITUTE(CLEAN(E203&amp;"")," ",""),".","")," ",""),"-",""))=2,LEN(SUBSTITUTE(SUBSTITUTE(SUBSTITUTE(SUBSTITUTE(CLEAN(E203&amp;"")," ",""),".","")," ",""),"-",""))=4,LEN(SUBSTITUTE(SUBSTITUTE(SUBSTITUTE(SUBSTITUTE(CLEAN(E203&amp;"")," ",""),".","")," ",""),"-",""))=6,LEN(SUBSTITUTE(SUBSTITUTE(SUBSTITUTE(SUBSTITUTE(CLEAN(E203&amp;"")," ",""),".","")," ",""),"-",""))=8,LEN(SUBSTITUTE(SUBSTITUTE(SUBSTITUTE(SUBSTITUTE(CLEAN(E203&amp;"")," ",""),".","")," ",""),"-",""))=10),IFERROR(TEXT(VALUE(SUBSTITUTE(SUBSTITUTE(SUBSTITUTE(SUBSTITUTE(CLEAN(E203&amp;"")," ",""),".","")," ",""),"-","")),REPT("0",LEN(SUBSTITUTE(SUBSTITUTE(SUBSTITUTE(SUBSTITUTE(CLEAN(E203&amp;"")," ",""),".","")," ",""),"-",""))))=SUBSTITUTE(SUBSTITUTE(SUBSTITUTE(SUBSTITUTE(CLEAN(E203&amp;"")," ",""),".","")," ",""),"-",""),FALSE)),SUBSTITUTE(SUBSTITUTE(SUBSTITUTE(SUBSTITUTE(CLEAN(E203&amp;"")," ",""),".","")," ",""),"-",""),"CHECK: not 2, 4, 6, 8 or 10 digits"))</f>
        <v/>
      </c>
      <c r="G203" s="11" t="n"/>
      <c r="H203" s="8" t="n"/>
      <c r="I203" s="8" t="n"/>
      <c r="J203" s="10">
        <f>IF(SUBSTITUTE(SUBSTITUTE(SUBSTITUTE(SUBSTITUTE(CLEAN(I203&amp;"")," ",""),".","")," ",""),"-","")="","",IF(AND(OR(LEN(SUBSTITUTE(SUBSTITUTE(SUBSTITUTE(SUBSTITUTE(CLEAN(I203&amp;"")," ",""),".","")," ",""),"-",""))=2,LEN(SUBSTITUTE(SUBSTITUTE(SUBSTITUTE(SUBSTITUTE(CLEAN(I203&amp;"")," ",""),".","")," ",""),"-",""))=4,LEN(SUBSTITUTE(SUBSTITUTE(SUBSTITUTE(SUBSTITUTE(CLEAN(I203&amp;"")," ",""),".","")," ",""),"-",""))=6,LEN(SUBSTITUTE(SUBSTITUTE(SUBSTITUTE(SUBSTITUTE(CLEAN(I203&amp;"")," ",""),".","")," ",""),"-",""))=8,LEN(SUBSTITUTE(SUBSTITUTE(SUBSTITUTE(SUBSTITUTE(CLEAN(I203&amp;"")," ",""),".","")," ",""),"-",""))=10),IFERROR(TEXT(VALUE(SUBSTITUTE(SUBSTITUTE(SUBSTITUTE(SUBSTITUTE(CLEAN(I203&amp;"")," ",""),".","")," ",""),"-","")),REPT("0",LEN(SUBSTITUTE(SUBSTITUTE(SUBSTITUTE(SUBSTITUTE(CLEAN(I203&amp;"")," ",""),".","")," ",""),"-",""))))=SUBSTITUTE(SUBSTITUTE(SUBSTITUTE(SUBSTITUTE(CLEAN(I203&amp;"")," ",""),".","")," ",""),"-",""),FALSE)),SUBSTITUTE(SUBSTITUTE(SUBSTITUTE(SUBSTITUTE(CLEAN(I203&amp;"")," ",""),".","")," ",""),"-",""),"CHECK: not 2, 4, 6, 8 or 10 digits"))</f>
        <v/>
      </c>
      <c r="K203" s="11" t="n"/>
    </row>
    <row r="204">
      <c r="E204" s="8" t="n"/>
      <c r="F204" s="10">
        <f>IF(SUBSTITUTE(SUBSTITUTE(SUBSTITUTE(SUBSTITUTE(CLEAN(E204&amp;"")," ",""),".","")," ",""),"-","")="","",IF(AND(OR(LEN(SUBSTITUTE(SUBSTITUTE(SUBSTITUTE(SUBSTITUTE(CLEAN(E204&amp;"")," ",""),".","")," ",""),"-",""))=2,LEN(SUBSTITUTE(SUBSTITUTE(SUBSTITUTE(SUBSTITUTE(CLEAN(E204&amp;"")," ",""),".","")," ",""),"-",""))=4,LEN(SUBSTITUTE(SUBSTITUTE(SUBSTITUTE(SUBSTITUTE(CLEAN(E204&amp;"")," ",""),".","")," ",""),"-",""))=6,LEN(SUBSTITUTE(SUBSTITUTE(SUBSTITUTE(SUBSTITUTE(CLEAN(E204&amp;"")," ",""),".","")," ",""),"-",""))=8,LEN(SUBSTITUTE(SUBSTITUTE(SUBSTITUTE(SUBSTITUTE(CLEAN(E204&amp;"")," ",""),".","")," ",""),"-",""))=10),IFERROR(TEXT(VALUE(SUBSTITUTE(SUBSTITUTE(SUBSTITUTE(SUBSTITUTE(CLEAN(E204&amp;"")," ",""),".","")," ",""),"-","")),REPT("0",LEN(SUBSTITUTE(SUBSTITUTE(SUBSTITUTE(SUBSTITUTE(CLEAN(E204&amp;"")," ",""),".","")," ",""),"-",""))))=SUBSTITUTE(SUBSTITUTE(SUBSTITUTE(SUBSTITUTE(CLEAN(E204&amp;"")," ",""),".","")," ",""),"-",""),FALSE)),SUBSTITUTE(SUBSTITUTE(SUBSTITUTE(SUBSTITUTE(CLEAN(E204&amp;"")," ",""),".","")," ",""),"-",""),"CHECK: not 2, 4, 6, 8 or 10 digits"))</f>
        <v/>
      </c>
      <c r="G204" s="11" t="n"/>
      <c r="H204" s="8" t="n"/>
      <c r="I204" s="8" t="n"/>
      <c r="J204" s="10">
        <f>IF(SUBSTITUTE(SUBSTITUTE(SUBSTITUTE(SUBSTITUTE(CLEAN(I204&amp;"")," ",""),".","")," ",""),"-","")="","",IF(AND(OR(LEN(SUBSTITUTE(SUBSTITUTE(SUBSTITUTE(SUBSTITUTE(CLEAN(I204&amp;"")," ",""),".","")," ",""),"-",""))=2,LEN(SUBSTITUTE(SUBSTITUTE(SUBSTITUTE(SUBSTITUTE(CLEAN(I204&amp;"")," ",""),".","")," ",""),"-",""))=4,LEN(SUBSTITUTE(SUBSTITUTE(SUBSTITUTE(SUBSTITUTE(CLEAN(I204&amp;"")," ",""),".","")," ",""),"-",""))=6,LEN(SUBSTITUTE(SUBSTITUTE(SUBSTITUTE(SUBSTITUTE(CLEAN(I204&amp;"")," ",""),".","")," ",""),"-",""))=8,LEN(SUBSTITUTE(SUBSTITUTE(SUBSTITUTE(SUBSTITUTE(CLEAN(I204&amp;"")," ",""),".","")," ",""),"-",""))=10),IFERROR(TEXT(VALUE(SUBSTITUTE(SUBSTITUTE(SUBSTITUTE(SUBSTITUTE(CLEAN(I204&amp;"")," ",""),".","")," ",""),"-","")),REPT("0",LEN(SUBSTITUTE(SUBSTITUTE(SUBSTITUTE(SUBSTITUTE(CLEAN(I204&amp;"")," ",""),".","")," ",""),"-",""))))=SUBSTITUTE(SUBSTITUTE(SUBSTITUTE(SUBSTITUTE(CLEAN(I204&amp;"")," ",""),".","")," ",""),"-",""),FALSE)),SUBSTITUTE(SUBSTITUTE(SUBSTITUTE(SUBSTITUTE(CLEAN(I204&amp;"")," ",""),".","")," ",""),"-",""),"CHECK: not 2, 4, 6, 8 or 10 digits"))</f>
        <v/>
      </c>
      <c r="K204" s="11" t="n"/>
    </row>
    <row r="205">
      <c r="E205" s="8" t="n"/>
      <c r="F205" s="10">
        <f>IF(SUBSTITUTE(SUBSTITUTE(SUBSTITUTE(SUBSTITUTE(CLEAN(E205&amp;"")," ",""),".","")," ",""),"-","")="","",IF(AND(OR(LEN(SUBSTITUTE(SUBSTITUTE(SUBSTITUTE(SUBSTITUTE(CLEAN(E205&amp;"")," ",""),".","")," ",""),"-",""))=2,LEN(SUBSTITUTE(SUBSTITUTE(SUBSTITUTE(SUBSTITUTE(CLEAN(E205&amp;"")," ",""),".","")," ",""),"-",""))=4,LEN(SUBSTITUTE(SUBSTITUTE(SUBSTITUTE(SUBSTITUTE(CLEAN(E205&amp;"")," ",""),".","")," ",""),"-",""))=6,LEN(SUBSTITUTE(SUBSTITUTE(SUBSTITUTE(SUBSTITUTE(CLEAN(E205&amp;"")," ",""),".","")," ",""),"-",""))=8,LEN(SUBSTITUTE(SUBSTITUTE(SUBSTITUTE(SUBSTITUTE(CLEAN(E205&amp;"")," ",""),".","")," ",""),"-",""))=10),IFERROR(TEXT(VALUE(SUBSTITUTE(SUBSTITUTE(SUBSTITUTE(SUBSTITUTE(CLEAN(E205&amp;"")," ",""),".","")," ",""),"-","")),REPT("0",LEN(SUBSTITUTE(SUBSTITUTE(SUBSTITUTE(SUBSTITUTE(CLEAN(E205&amp;"")," ",""),".","")," ",""),"-",""))))=SUBSTITUTE(SUBSTITUTE(SUBSTITUTE(SUBSTITUTE(CLEAN(E205&amp;"")," ",""),".","")," ",""),"-",""),FALSE)),SUBSTITUTE(SUBSTITUTE(SUBSTITUTE(SUBSTITUTE(CLEAN(E205&amp;"")," ",""),".","")," ",""),"-",""),"CHECK: not 2, 4, 6, 8 or 10 digits"))</f>
        <v/>
      </c>
      <c r="G205" s="11" t="n"/>
      <c r="H205" s="8" t="n"/>
      <c r="I205" s="8" t="n"/>
      <c r="J205" s="10">
        <f>IF(SUBSTITUTE(SUBSTITUTE(SUBSTITUTE(SUBSTITUTE(CLEAN(I205&amp;"")," ",""),".","")," ",""),"-","")="","",IF(AND(OR(LEN(SUBSTITUTE(SUBSTITUTE(SUBSTITUTE(SUBSTITUTE(CLEAN(I205&amp;"")," ",""),".","")," ",""),"-",""))=2,LEN(SUBSTITUTE(SUBSTITUTE(SUBSTITUTE(SUBSTITUTE(CLEAN(I205&amp;"")," ",""),".","")," ",""),"-",""))=4,LEN(SUBSTITUTE(SUBSTITUTE(SUBSTITUTE(SUBSTITUTE(CLEAN(I205&amp;"")," ",""),".","")," ",""),"-",""))=6,LEN(SUBSTITUTE(SUBSTITUTE(SUBSTITUTE(SUBSTITUTE(CLEAN(I205&amp;"")," ",""),".","")," ",""),"-",""))=8,LEN(SUBSTITUTE(SUBSTITUTE(SUBSTITUTE(SUBSTITUTE(CLEAN(I205&amp;"")," ",""),".","")," ",""),"-",""))=10),IFERROR(TEXT(VALUE(SUBSTITUTE(SUBSTITUTE(SUBSTITUTE(SUBSTITUTE(CLEAN(I205&amp;"")," ",""),".","")," ",""),"-","")),REPT("0",LEN(SUBSTITUTE(SUBSTITUTE(SUBSTITUTE(SUBSTITUTE(CLEAN(I205&amp;"")," ",""),".","")," ",""),"-",""))))=SUBSTITUTE(SUBSTITUTE(SUBSTITUTE(SUBSTITUTE(CLEAN(I205&amp;"")," ",""),".","")," ",""),"-",""),FALSE)),SUBSTITUTE(SUBSTITUTE(SUBSTITUTE(SUBSTITUTE(CLEAN(I205&amp;"")," ",""),".","")," ",""),"-",""),"CHECK: not 2, 4, 6, 8 or 10 digits"))</f>
        <v/>
      </c>
      <c r="K205" s="11" t="n"/>
    </row>
    <row r="206">
      <c r="E206" s="8" t="n"/>
      <c r="F206" s="10">
        <f>IF(SUBSTITUTE(SUBSTITUTE(SUBSTITUTE(SUBSTITUTE(CLEAN(E206&amp;"")," ",""),".","")," ",""),"-","")="","",IF(AND(OR(LEN(SUBSTITUTE(SUBSTITUTE(SUBSTITUTE(SUBSTITUTE(CLEAN(E206&amp;"")," ",""),".","")," ",""),"-",""))=2,LEN(SUBSTITUTE(SUBSTITUTE(SUBSTITUTE(SUBSTITUTE(CLEAN(E206&amp;"")," ",""),".","")," ",""),"-",""))=4,LEN(SUBSTITUTE(SUBSTITUTE(SUBSTITUTE(SUBSTITUTE(CLEAN(E206&amp;"")," ",""),".","")," ",""),"-",""))=6,LEN(SUBSTITUTE(SUBSTITUTE(SUBSTITUTE(SUBSTITUTE(CLEAN(E206&amp;"")," ",""),".","")," ",""),"-",""))=8,LEN(SUBSTITUTE(SUBSTITUTE(SUBSTITUTE(SUBSTITUTE(CLEAN(E206&amp;"")," ",""),".","")," ",""),"-",""))=10),IFERROR(TEXT(VALUE(SUBSTITUTE(SUBSTITUTE(SUBSTITUTE(SUBSTITUTE(CLEAN(E206&amp;"")," ",""),".","")," ",""),"-","")),REPT("0",LEN(SUBSTITUTE(SUBSTITUTE(SUBSTITUTE(SUBSTITUTE(CLEAN(E206&amp;"")," ",""),".","")," ",""),"-",""))))=SUBSTITUTE(SUBSTITUTE(SUBSTITUTE(SUBSTITUTE(CLEAN(E206&amp;"")," ",""),".","")," ",""),"-",""),FALSE)),SUBSTITUTE(SUBSTITUTE(SUBSTITUTE(SUBSTITUTE(CLEAN(E206&amp;"")," ",""),".","")," ",""),"-",""),"CHECK: not 2, 4, 6, 8 or 10 digits"))</f>
        <v/>
      </c>
      <c r="G206" s="11" t="n"/>
      <c r="H206" s="8" t="n"/>
      <c r="I206" s="8" t="n"/>
      <c r="J206" s="10">
        <f>IF(SUBSTITUTE(SUBSTITUTE(SUBSTITUTE(SUBSTITUTE(CLEAN(I206&amp;"")," ",""),".","")," ",""),"-","")="","",IF(AND(OR(LEN(SUBSTITUTE(SUBSTITUTE(SUBSTITUTE(SUBSTITUTE(CLEAN(I206&amp;"")," ",""),".","")," ",""),"-",""))=2,LEN(SUBSTITUTE(SUBSTITUTE(SUBSTITUTE(SUBSTITUTE(CLEAN(I206&amp;"")," ",""),".","")," ",""),"-",""))=4,LEN(SUBSTITUTE(SUBSTITUTE(SUBSTITUTE(SUBSTITUTE(CLEAN(I206&amp;"")," ",""),".","")," ",""),"-",""))=6,LEN(SUBSTITUTE(SUBSTITUTE(SUBSTITUTE(SUBSTITUTE(CLEAN(I206&amp;"")," ",""),".","")," ",""),"-",""))=8,LEN(SUBSTITUTE(SUBSTITUTE(SUBSTITUTE(SUBSTITUTE(CLEAN(I206&amp;"")," ",""),".","")," ",""),"-",""))=10),IFERROR(TEXT(VALUE(SUBSTITUTE(SUBSTITUTE(SUBSTITUTE(SUBSTITUTE(CLEAN(I206&amp;"")," ",""),".","")," ",""),"-","")),REPT("0",LEN(SUBSTITUTE(SUBSTITUTE(SUBSTITUTE(SUBSTITUTE(CLEAN(I206&amp;"")," ",""),".","")," ",""),"-",""))))=SUBSTITUTE(SUBSTITUTE(SUBSTITUTE(SUBSTITUTE(CLEAN(I206&amp;"")," ",""),".","")," ",""),"-",""),FALSE)),SUBSTITUTE(SUBSTITUTE(SUBSTITUTE(SUBSTITUTE(CLEAN(I206&amp;"")," ",""),".","")," ",""),"-",""),"CHECK: not 2, 4, 6, 8 or 10 digits"))</f>
        <v/>
      </c>
      <c r="K206" s="11" t="n"/>
    </row>
    <row r="207">
      <c r="E207" s="8" t="n"/>
      <c r="F207" s="10">
        <f>IF(SUBSTITUTE(SUBSTITUTE(SUBSTITUTE(SUBSTITUTE(CLEAN(E207&amp;"")," ",""),".","")," ",""),"-","")="","",IF(AND(OR(LEN(SUBSTITUTE(SUBSTITUTE(SUBSTITUTE(SUBSTITUTE(CLEAN(E207&amp;"")," ",""),".","")," ",""),"-",""))=2,LEN(SUBSTITUTE(SUBSTITUTE(SUBSTITUTE(SUBSTITUTE(CLEAN(E207&amp;"")," ",""),".","")," ",""),"-",""))=4,LEN(SUBSTITUTE(SUBSTITUTE(SUBSTITUTE(SUBSTITUTE(CLEAN(E207&amp;"")," ",""),".","")," ",""),"-",""))=6,LEN(SUBSTITUTE(SUBSTITUTE(SUBSTITUTE(SUBSTITUTE(CLEAN(E207&amp;"")," ",""),".","")," ",""),"-",""))=8,LEN(SUBSTITUTE(SUBSTITUTE(SUBSTITUTE(SUBSTITUTE(CLEAN(E207&amp;"")," ",""),".","")," ",""),"-",""))=10),IFERROR(TEXT(VALUE(SUBSTITUTE(SUBSTITUTE(SUBSTITUTE(SUBSTITUTE(CLEAN(E207&amp;"")," ",""),".","")," ",""),"-","")),REPT("0",LEN(SUBSTITUTE(SUBSTITUTE(SUBSTITUTE(SUBSTITUTE(CLEAN(E207&amp;"")," ",""),".","")," ",""),"-",""))))=SUBSTITUTE(SUBSTITUTE(SUBSTITUTE(SUBSTITUTE(CLEAN(E207&amp;"")," ",""),".","")," ",""),"-",""),FALSE)),SUBSTITUTE(SUBSTITUTE(SUBSTITUTE(SUBSTITUTE(CLEAN(E207&amp;"")," ",""),".","")," ",""),"-",""),"CHECK: not 2, 4, 6, 8 or 10 digits"))</f>
        <v/>
      </c>
      <c r="G207" s="11" t="n"/>
      <c r="H207" s="8" t="n"/>
      <c r="I207" s="8" t="n"/>
      <c r="J207" s="10">
        <f>IF(SUBSTITUTE(SUBSTITUTE(SUBSTITUTE(SUBSTITUTE(CLEAN(I207&amp;"")," ",""),".","")," ",""),"-","")="","",IF(AND(OR(LEN(SUBSTITUTE(SUBSTITUTE(SUBSTITUTE(SUBSTITUTE(CLEAN(I207&amp;"")," ",""),".","")," ",""),"-",""))=2,LEN(SUBSTITUTE(SUBSTITUTE(SUBSTITUTE(SUBSTITUTE(CLEAN(I207&amp;"")," ",""),".","")," ",""),"-",""))=4,LEN(SUBSTITUTE(SUBSTITUTE(SUBSTITUTE(SUBSTITUTE(CLEAN(I207&amp;"")," ",""),".","")," ",""),"-",""))=6,LEN(SUBSTITUTE(SUBSTITUTE(SUBSTITUTE(SUBSTITUTE(CLEAN(I207&amp;"")," ",""),".","")," ",""),"-",""))=8,LEN(SUBSTITUTE(SUBSTITUTE(SUBSTITUTE(SUBSTITUTE(CLEAN(I207&amp;"")," ",""),".","")," ",""),"-",""))=10),IFERROR(TEXT(VALUE(SUBSTITUTE(SUBSTITUTE(SUBSTITUTE(SUBSTITUTE(CLEAN(I207&amp;"")," ",""),".","")," ",""),"-","")),REPT("0",LEN(SUBSTITUTE(SUBSTITUTE(SUBSTITUTE(SUBSTITUTE(CLEAN(I207&amp;"")," ",""),".","")," ",""),"-",""))))=SUBSTITUTE(SUBSTITUTE(SUBSTITUTE(SUBSTITUTE(CLEAN(I207&amp;"")," ",""),".","")," ",""),"-",""),FALSE)),SUBSTITUTE(SUBSTITUTE(SUBSTITUTE(SUBSTITUTE(CLEAN(I207&amp;"")," ",""),".","")," ",""),"-",""),"CHECK: not 2, 4, 6, 8 or 10 digits"))</f>
        <v/>
      </c>
      <c r="K207" s="11" t="n"/>
    </row>
    <row r="208">
      <c r="E208" s="8" t="n"/>
      <c r="F208" s="10">
        <f>IF(SUBSTITUTE(SUBSTITUTE(SUBSTITUTE(SUBSTITUTE(CLEAN(E208&amp;"")," ",""),".","")," ",""),"-","")="","",IF(AND(OR(LEN(SUBSTITUTE(SUBSTITUTE(SUBSTITUTE(SUBSTITUTE(CLEAN(E208&amp;"")," ",""),".","")," ",""),"-",""))=2,LEN(SUBSTITUTE(SUBSTITUTE(SUBSTITUTE(SUBSTITUTE(CLEAN(E208&amp;"")," ",""),".","")," ",""),"-",""))=4,LEN(SUBSTITUTE(SUBSTITUTE(SUBSTITUTE(SUBSTITUTE(CLEAN(E208&amp;"")," ",""),".","")," ",""),"-",""))=6,LEN(SUBSTITUTE(SUBSTITUTE(SUBSTITUTE(SUBSTITUTE(CLEAN(E208&amp;"")," ",""),".","")," ",""),"-",""))=8,LEN(SUBSTITUTE(SUBSTITUTE(SUBSTITUTE(SUBSTITUTE(CLEAN(E208&amp;"")," ",""),".","")," ",""),"-",""))=10),IFERROR(TEXT(VALUE(SUBSTITUTE(SUBSTITUTE(SUBSTITUTE(SUBSTITUTE(CLEAN(E208&amp;"")," ",""),".","")," ",""),"-","")),REPT("0",LEN(SUBSTITUTE(SUBSTITUTE(SUBSTITUTE(SUBSTITUTE(CLEAN(E208&amp;"")," ",""),".","")," ",""),"-",""))))=SUBSTITUTE(SUBSTITUTE(SUBSTITUTE(SUBSTITUTE(CLEAN(E208&amp;"")," ",""),".","")," ",""),"-",""),FALSE)),SUBSTITUTE(SUBSTITUTE(SUBSTITUTE(SUBSTITUTE(CLEAN(E208&amp;"")," ",""),".","")," ",""),"-",""),"CHECK: not 2, 4, 6, 8 or 10 digits"))</f>
        <v/>
      </c>
      <c r="G208" s="11" t="n"/>
      <c r="H208" s="8" t="n"/>
      <c r="I208" s="8" t="n"/>
      <c r="J208" s="10">
        <f>IF(SUBSTITUTE(SUBSTITUTE(SUBSTITUTE(SUBSTITUTE(CLEAN(I208&amp;"")," ",""),".","")," ",""),"-","")="","",IF(AND(OR(LEN(SUBSTITUTE(SUBSTITUTE(SUBSTITUTE(SUBSTITUTE(CLEAN(I208&amp;"")," ",""),".","")," ",""),"-",""))=2,LEN(SUBSTITUTE(SUBSTITUTE(SUBSTITUTE(SUBSTITUTE(CLEAN(I208&amp;"")," ",""),".","")," ",""),"-",""))=4,LEN(SUBSTITUTE(SUBSTITUTE(SUBSTITUTE(SUBSTITUTE(CLEAN(I208&amp;"")," ",""),".","")," ",""),"-",""))=6,LEN(SUBSTITUTE(SUBSTITUTE(SUBSTITUTE(SUBSTITUTE(CLEAN(I208&amp;"")," ",""),".","")," ",""),"-",""))=8,LEN(SUBSTITUTE(SUBSTITUTE(SUBSTITUTE(SUBSTITUTE(CLEAN(I208&amp;"")," ",""),".","")," ",""),"-",""))=10),IFERROR(TEXT(VALUE(SUBSTITUTE(SUBSTITUTE(SUBSTITUTE(SUBSTITUTE(CLEAN(I208&amp;"")," ",""),".","")," ",""),"-","")),REPT("0",LEN(SUBSTITUTE(SUBSTITUTE(SUBSTITUTE(SUBSTITUTE(CLEAN(I208&amp;"")," ",""),".","")," ",""),"-",""))))=SUBSTITUTE(SUBSTITUTE(SUBSTITUTE(SUBSTITUTE(CLEAN(I208&amp;"")," ",""),".","")," ",""),"-",""),FALSE)),SUBSTITUTE(SUBSTITUTE(SUBSTITUTE(SUBSTITUTE(CLEAN(I208&amp;"")," ",""),".","")," ",""),"-",""),"CHECK: not 2, 4, 6, 8 or 10 digits"))</f>
        <v/>
      </c>
      <c r="K208" s="11" t="n"/>
    </row>
    <row r="209">
      <c r="E209" s="8" t="n"/>
      <c r="F209" s="10">
        <f>IF(SUBSTITUTE(SUBSTITUTE(SUBSTITUTE(SUBSTITUTE(CLEAN(E209&amp;"")," ",""),".","")," ",""),"-","")="","",IF(AND(OR(LEN(SUBSTITUTE(SUBSTITUTE(SUBSTITUTE(SUBSTITUTE(CLEAN(E209&amp;"")," ",""),".","")," ",""),"-",""))=2,LEN(SUBSTITUTE(SUBSTITUTE(SUBSTITUTE(SUBSTITUTE(CLEAN(E209&amp;"")," ",""),".","")," ",""),"-",""))=4,LEN(SUBSTITUTE(SUBSTITUTE(SUBSTITUTE(SUBSTITUTE(CLEAN(E209&amp;"")," ",""),".","")," ",""),"-",""))=6,LEN(SUBSTITUTE(SUBSTITUTE(SUBSTITUTE(SUBSTITUTE(CLEAN(E209&amp;"")," ",""),".","")," ",""),"-",""))=8,LEN(SUBSTITUTE(SUBSTITUTE(SUBSTITUTE(SUBSTITUTE(CLEAN(E209&amp;"")," ",""),".","")," ",""),"-",""))=10),IFERROR(TEXT(VALUE(SUBSTITUTE(SUBSTITUTE(SUBSTITUTE(SUBSTITUTE(CLEAN(E209&amp;"")," ",""),".","")," ",""),"-","")),REPT("0",LEN(SUBSTITUTE(SUBSTITUTE(SUBSTITUTE(SUBSTITUTE(CLEAN(E209&amp;"")," ",""),".","")," ",""),"-",""))))=SUBSTITUTE(SUBSTITUTE(SUBSTITUTE(SUBSTITUTE(CLEAN(E209&amp;"")," ",""),".","")," ",""),"-",""),FALSE)),SUBSTITUTE(SUBSTITUTE(SUBSTITUTE(SUBSTITUTE(CLEAN(E209&amp;"")," ",""),".","")," ",""),"-",""),"CHECK: not 2, 4, 6, 8 or 10 digits"))</f>
        <v/>
      </c>
      <c r="G209" s="11" t="n"/>
      <c r="H209" s="8" t="n"/>
      <c r="I209" s="8" t="n"/>
      <c r="J209" s="10">
        <f>IF(SUBSTITUTE(SUBSTITUTE(SUBSTITUTE(SUBSTITUTE(CLEAN(I209&amp;"")," ",""),".","")," ",""),"-","")="","",IF(AND(OR(LEN(SUBSTITUTE(SUBSTITUTE(SUBSTITUTE(SUBSTITUTE(CLEAN(I209&amp;"")," ",""),".","")," ",""),"-",""))=2,LEN(SUBSTITUTE(SUBSTITUTE(SUBSTITUTE(SUBSTITUTE(CLEAN(I209&amp;"")," ",""),".","")," ",""),"-",""))=4,LEN(SUBSTITUTE(SUBSTITUTE(SUBSTITUTE(SUBSTITUTE(CLEAN(I209&amp;"")," ",""),".","")," ",""),"-",""))=6,LEN(SUBSTITUTE(SUBSTITUTE(SUBSTITUTE(SUBSTITUTE(CLEAN(I209&amp;"")," ",""),".","")," ",""),"-",""))=8,LEN(SUBSTITUTE(SUBSTITUTE(SUBSTITUTE(SUBSTITUTE(CLEAN(I209&amp;"")," ",""),".","")," ",""),"-",""))=10),IFERROR(TEXT(VALUE(SUBSTITUTE(SUBSTITUTE(SUBSTITUTE(SUBSTITUTE(CLEAN(I209&amp;"")," ",""),".","")," ",""),"-","")),REPT("0",LEN(SUBSTITUTE(SUBSTITUTE(SUBSTITUTE(SUBSTITUTE(CLEAN(I209&amp;"")," ",""),".","")," ",""),"-",""))))=SUBSTITUTE(SUBSTITUTE(SUBSTITUTE(SUBSTITUTE(CLEAN(I209&amp;"")," ",""),".","")," ",""),"-",""),FALSE)),SUBSTITUTE(SUBSTITUTE(SUBSTITUTE(SUBSTITUTE(CLEAN(I209&amp;"")," ",""),".","")," ",""),"-",""),"CHECK: not 2, 4, 6, 8 or 10 digits"))</f>
        <v/>
      </c>
      <c r="K209" s="11" t="n"/>
    </row>
    <row r="210">
      <c r="E210" s="8" t="n"/>
      <c r="F210" s="10">
        <f>IF(SUBSTITUTE(SUBSTITUTE(SUBSTITUTE(SUBSTITUTE(CLEAN(E210&amp;"")," ",""),".","")," ",""),"-","")="","",IF(AND(OR(LEN(SUBSTITUTE(SUBSTITUTE(SUBSTITUTE(SUBSTITUTE(CLEAN(E210&amp;"")," ",""),".","")," ",""),"-",""))=2,LEN(SUBSTITUTE(SUBSTITUTE(SUBSTITUTE(SUBSTITUTE(CLEAN(E210&amp;"")," ",""),".","")," ",""),"-",""))=4,LEN(SUBSTITUTE(SUBSTITUTE(SUBSTITUTE(SUBSTITUTE(CLEAN(E210&amp;"")," ",""),".","")," ",""),"-",""))=6,LEN(SUBSTITUTE(SUBSTITUTE(SUBSTITUTE(SUBSTITUTE(CLEAN(E210&amp;"")," ",""),".","")," ",""),"-",""))=8,LEN(SUBSTITUTE(SUBSTITUTE(SUBSTITUTE(SUBSTITUTE(CLEAN(E210&amp;"")," ",""),".","")," ",""),"-",""))=10),IFERROR(TEXT(VALUE(SUBSTITUTE(SUBSTITUTE(SUBSTITUTE(SUBSTITUTE(CLEAN(E210&amp;"")," ",""),".","")," ",""),"-","")),REPT("0",LEN(SUBSTITUTE(SUBSTITUTE(SUBSTITUTE(SUBSTITUTE(CLEAN(E210&amp;"")," ",""),".","")," ",""),"-",""))))=SUBSTITUTE(SUBSTITUTE(SUBSTITUTE(SUBSTITUTE(CLEAN(E210&amp;"")," ",""),".","")," ",""),"-",""),FALSE)),SUBSTITUTE(SUBSTITUTE(SUBSTITUTE(SUBSTITUTE(CLEAN(E210&amp;"")," ",""),".","")," ",""),"-",""),"CHECK: not 2, 4, 6, 8 or 10 digits"))</f>
        <v/>
      </c>
      <c r="G210" s="11" t="n"/>
      <c r="H210" s="8" t="n"/>
      <c r="I210" s="8" t="n"/>
      <c r="J210" s="10">
        <f>IF(SUBSTITUTE(SUBSTITUTE(SUBSTITUTE(SUBSTITUTE(CLEAN(I210&amp;"")," ",""),".","")," ",""),"-","")="","",IF(AND(OR(LEN(SUBSTITUTE(SUBSTITUTE(SUBSTITUTE(SUBSTITUTE(CLEAN(I210&amp;"")," ",""),".","")," ",""),"-",""))=2,LEN(SUBSTITUTE(SUBSTITUTE(SUBSTITUTE(SUBSTITUTE(CLEAN(I210&amp;"")," ",""),".","")," ",""),"-",""))=4,LEN(SUBSTITUTE(SUBSTITUTE(SUBSTITUTE(SUBSTITUTE(CLEAN(I210&amp;"")," ",""),".","")," ",""),"-",""))=6,LEN(SUBSTITUTE(SUBSTITUTE(SUBSTITUTE(SUBSTITUTE(CLEAN(I210&amp;"")," ",""),".","")," ",""),"-",""))=8,LEN(SUBSTITUTE(SUBSTITUTE(SUBSTITUTE(SUBSTITUTE(CLEAN(I210&amp;"")," ",""),".","")," ",""),"-",""))=10),IFERROR(TEXT(VALUE(SUBSTITUTE(SUBSTITUTE(SUBSTITUTE(SUBSTITUTE(CLEAN(I210&amp;"")," ",""),".","")," ",""),"-","")),REPT("0",LEN(SUBSTITUTE(SUBSTITUTE(SUBSTITUTE(SUBSTITUTE(CLEAN(I210&amp;"")," ",""),".","")," ",""),"-",""))))=SUBSTITUTE(SUBSTITUTE(SUBSTITUTE(SUBSTITUTE(CLEAN(I210&amp;"")," ",""),".","")," ",""),"-",""),FALSE)),SUBSTITUTE(SUBSTITUTE(SUBSTITUTE(SUBSTITUTE(CLEAN(I210&amp;"")," ",""),".","")," ",""),"-",""),"CHECK: not 2, 4, 6, 8 or 10 digits"))</f>
        <v/>
      </c>
      <c r="K210" s="11" t="n"/>
    </row>
    <row r="211">
      <c r="E211" s="8" t="n"/>
      <c r="F211" s="10">
        <f>IF(SUBSTITUTE(SUBSTITUTE(SUBSTITUTE(SUBSTITUTE(CLEAN(E211&amp;"")," ",""),".","")," ",""),"-","")="","",IF(AND(OR(LEN(SUBSTITUTE(SUBSTITUTE(SUBSTITUTE(SUBSTITUTE(CLEAN(E211&amp;"")," ",""),".","")," ",""),"-",""))=2,LEN(SUBSTITUTE(SUBSTITUTE(SUBSTITUTE(SUBSTITUTE(CLEAN(E211&amp;"")," ",""),".","")," ",""),"-",""))=4,LEN(SUBSTITUTE(SUBSTITUTE(SUBSTITUTE(SUBSTITUTE(CLEAN(E211&amp;"")," ",""),".","")," ",""),"-",""))=6,LEN(SUBSTITUTE(SUBSTITUTE(SUBSTITUTE(SUBSTITUTE(CLEAN(E211&amp;"")," ",""),".","")," ",""),"-",""))=8,LEN(SUBSTITUTE(SUBSTITUTE(SUBSTITUTE(SUBSTITUTE(CLEAN(E211&amp;"")," ",""),".","")," ",""),"-",""))=10),IFERROR(TEXT(VALUE(SUBSTITUTE(SUBSTITUTE(SUBSTITUTE(SUBSTITUTE(CLEAN(E211&amp;"")," ",""),".","")," ",""),"-","")),REPT("0",LEN(SUBSTITUTE(SUBSTITUTE(SUBSTITUTE(SUBSTITUTE(CLEAN(E211&amp;"")," ",""),".","")," ",""),"-",""))))=SUBSTITUTE(SUBSTITUTE(SUBSTITUTE(SUBSTITUTE(CLEAN(E211&amp;"")," ",""),".","")," ",""),"-",""),FALSE)),SUBSTITUTE(SUBSTITUTE(SUBSTITUTE(SUBSTITUTE(CLEAN(E211&amp;"")," ",""),".","")," ",""),"-",""),"CHECK: not 2, 4, 6, 8 or 10 digits"))</f>
        <v/>
      </c>
      <c r="G211" s="11" t="n"/>
      <c r="H211" s="8" t="n"/>
      <c r="I211" s="8" t="n"/>
      <c r="J211" s="10">
        <f>IF(SUBSTITUTE(SUBSTITUTE(SUBSTITUTE(SUBSTITUTE(CLEAN(I211&amp;"")," ",""),".","")," ",""),"-","")="","",IF(AND(OR(LEN(SUBSTITUTE(SUBSTITUTE(SUBSTITUTE(SUBSTITUTE(CLEAN(I211&amp;"")," ",""),".","")," ",""),"-",""))=2,LEN(SUBSTITUTE(SUBSTITUTE(SUBSTITUTE(SUBSTITUTE(CLEAN(I211&amp;"")," ",""),".","")," ",""),"-",""))=4,LEN(SUBSTITUTE(SUBSTITUTE(SUBSTITUTE(SUBSTITUTE(CLEAN(I211&amp;"")," ",""),".","")," ",""),"-",""))=6,LEN(SUBSTITUTE(SUBSTITUTE(SUBSTITUTE(SUBSTITUTE(CLEAN(I211&amp;"")," ",""),".","")," ",""),"-",""))=8,LEN(SUBSTITUTE(SUBSTITUTE(SUBSTITUTE(SUBSTITUTE(CLEAN(I211&amp;"")," ",""),".","")," ",""),"-",""))=10),IFERROR(TEXT(VALUE(SUBSTITUTE(SUBSTITUTE(SUBSTITUTE(SUBSTITUTE(CLEAN(I211&amp;"")," ",""),".","")," ",""),"-","")),REPT("0",LEN(SUBSTITUTE(SUBSTITUTE(SUBSTITUTE(SUBSTITUTE(CLEAN(I211&amp;"")," ",""),".","")," ",""),"-",""))))=SUBSTITUTE(SUBSTITUTE(SUBSTITUTE(SUBSTITUTE(CLEAN(I211&amp;"")," ",""),".","")," ",""),"-",""),FALSE)),SUBSTITUTE(SUBSTITUTE(SUBSTITUTE(SUBSTITUTE(CLEAN(I211&amp;"")," ",""),".","")," ",""),"-",""),"CHECK: not 2, 4, 6, 8 or 10 digits"))</f>
        <v/>
      </c>
      <c r="K211" s="11" t="n"/>
    </row>
    <row r="212">
      <c r="E212" s="8" t="n"/>
      <c r="F212" s="10">
        <f>IF(SUBSTITUTE(SUBSTITUTE(SUBSTITUTE(SUBSTITUTE(CLEAN(E212&amp;"")," ",""),".","")," ",""),"-","")="","",IF(AND(OR(LEN(SUBSTITUTE(SUBSTITUTE(SUBSTITUTE(SUBSTITUTE(CLEAN(E212&amp;"")," ",""),".","")," ",""),"-",""))=2,LEN(SUBSTITUTE(SUBSTITUTE(SUBSTITUTE(SUBSTITUTE(CLEAN(E212&amp;"")," ",""),".","")," ",""),"-",""))=4,LEN(SUBSTITUTE(SUBSTITUTE(SUBSTITUTE(SUBSTITUTE(CLEAN(E212&amp;"")," ",""),".","")," ",""),"-",""))=6,LEN(SUBSTITUTE(SUBSTITUTE(SUBSTITUTE(SUBSTITUTE(CLEAN(E212&amp;"")," ",""),".","")," ",""),"-",""))=8,LEN(SUBSTITUTE(SUBSTITUTE(SUBSTITUTE(SUBSTITUTE(CLEAN(E212&amp;"")," ",""),".","")," ",""),"-",""))=10),IFERROR(TEXT(VALUE(SUBSTITUTE(SUBSTITUTE(SUBSTITUTE(SUBSTITUTE(CLEAN(E212&amp;"")," ",""),".","")," ",""),"-","")),REPT("0",LEN(SUBSTITUTE(SUBSTITUTE(SUBSTITUTE(SUBSTITUTE(CLEAN(E212&amp;"")," ",""),".","")," ",""),"-",""))))=SUBSTITUTE(SUBSTITUTE(SUBSTITUTE(SUBSTITUTE(CLEAN(E212&amp;"")," ",""),".","")," ",""),"-",""),FALSE)),SUBSTITUTE(SUBSTITUTE(SUBSTITUTE(SUBSTITUTE(CLEAN(E212&amp;"")," ",""),".","")," ",""),"-",""),"CHECK: not 2, 4, 6, 8 or 10 digits"))</f>
        <v/>
      </c>
      <c r="G212" s="11" t="n"/>
      <c r="H212" s="8" t="n"/>
      <c r="I212" s="8" t="n"/>
      <c r="J212" s="10">
        <f>IF(SUBSTITUTE(SUBSTITUTE(SUBSTITUTE(SUBSTITUTE(CLEAN(I212&amp;"")," ",""),".","")," ",""),"-","")="","",IF(AND(OR(LEN(SUBSTITUTE(SUBSTITUTE(SUBSTITUTE(SUBSTITUTE(CLEAN(I212&amp;"")," ",""),".","")," ",""),"-",""))=2,LEN(SUBSTITUTE(SUBSTITUTE(SUBSTITUTE(SUBSTITUTE(CLEAN(I212&amp;"")," ",""),".","")," ",""),"-",""))=4,LEN(SUBSTITUTE(SUBSTITUTE(SUBSTITUTE(SUBSTITUTE(CLEAN(I212&amp;"")," ",""),".","")," ",""),"-",""))=6,LEN(SUBSTITUTE(SUBSTITUTE(SUBSTITUTE(SUBSTITUTE(CLEAN(I212&amp;"")," ",""),".","")," ",""),"-",""))=8,LEN(SUBSTITUTE(SUBSTITUTE(SUBSTITUTE(SUBSTITUTE(CLEAN(I212&amp;"")," ",""),".","")," ",""),"-",""))=10),IFERROR(TEXT(VALUE(SUBSTITUTE(SUBSTITUTE(SUBSTITUTE(SUBSTITUTE(CLEAN(I212&amp;"")," ",""),".","")," ",""),"-","")),REPT("0",LEN(SUBSTITUTE(SUBSTITUTE(SUBSTITUTE(SUBSTITUTE(CLEAN(I212&amp;"")," ",""),".","")," ",""),"-",""))))=SUBSTITUTE(SUBSTITUTE(SUBSTITUTE(SUBSTITUTE(CLEAN(I212&amp;"")," ",""),".","")," ",""),"-",""),FALSE)),SUBSTITUTE(SUBSTITUTE(SUBSTITUTE(SUBSTITUTE(CLEAN(I212&amp;"")," ",""),".","")," ",""),"-",""),"CHECK: not 2, 4, 6, 8 or 10 digits"))</f>
        <v/>
      </c>
      <c r="K212" s="11" t="n"/>
    </row>
    <row r="213">
      <c r="E213" s="8" t="n"/>
      <c r="F213" s="10">
        <f>IF(SUBSTITUTE(SUBSTITUTE(SUBSTITUTE(SUBSTITUTE(CLEAN(E213&amp;"")," ",""),".","")," ",""),"-","")="","",IF(AND(OR(LEN(SUBSTITUTE(SUBSTITUTE(SUBSTITUTE(SUBSTITUTE(CLEAN(E213&amp;"")," ",""),".","")," ",""),"-",""))=2,LEN(SUBSTITUTE(SUBSTITUTE(SUBSTITUTE(SUBSTITUTE(CLEAN(E213&amp;"")," ",""),".","")," ",""),"-",""))=4,LEN(SUBSTITUTE(SUBSTITUTE(SUBSTITUTE(SUBSTITUTE(CLEAN(E213&amp;"")," ",""),".","")," ",""),"-",""))=6,LEN(SUBSTITUTE(SUBSTITUTE(SUBSTITUTE(SUBSTITUTE(CLEAN(E213&amp;"")," ",""),".","")," ",""),"-",""))=8,LEN(SUBSTITUTE(SUBSTITUTE(SUBSTITUTE(SUBSTITUTE(CLEAN(E213&amp;"")," ",""),".","")," ",""),"-",""))=10),IFERROR(TEXT(VALUE(SUBSTITUTE(SUBSTITUTE(SUBSTITUTE(SUBSTITUTE(CLEAN(E213&amp;"")," ",""),".","")," ",""),"-","")),REPT("0",LEN(SUBSTITUTE(SUBSTITUTE(SUBSTITUTE(SUBSTITUTE(CLEAN(E213&amp;"")," ",""),".","")," ",""),"-",""))))=SUBSTITUTE(SUBSTITUTE(SUBSTITUTE(SUBSTITUTE(CLEAN(E213&amp;"")," ",""),".","")," ",""),"-",""),FALSE)),SUBSTITUTE(SUBSTITUTE(SUBSTITUTE(SUBSTITUTE(CLEAN(E213&amp;"")," ",""),".","")," ",""),"-",""),"CHECK: not 2, 4, 6, 8 or 10 digits"))</f>
        <v/>
      </c>
      <c r="G213" s="11" t="n"/>
      <c r="H213" s="8" t="n"/>
      <c r="I213" s="8" t="n"/>
      <c r="J213" s="10">
        <f>IF(SUBSTITUTE(SUBSTITUTE(SUBSTITUTE(SUBSTITUTE(CLEAN(I213&amp;"")," ",""),".","")," ",""),"-","")="","",IF(AND(OR(LEN(SUBSTITUTE(SUBSTITUTE(SUBSTITUTE(SUBSTITUTE(CLEAN(I213&amp;"")," ",""),".","")," ",""),"-",""))=2,LEN(SUBSTITUTE(SUBSTITUTE(SUBSTITUTE(SUBSTITUTE(CLEAN(I213&amp;"")," ",""),".","")," ",""),"-",""))=4,LEN(SUBSTITUTE(SUBSTITUTE(SUBSTITUTE(SUBSTITUTE(CLEAN(I213&amp;"")," ",""),".","")," ",""),"-",""))=6,LEN(SUBSTITUTE(SUBSTITUTE(SUBSTITUTE(SUBSTITUTE(CLEAN(I213&amp;"")," ",""),".","")," ",""),"-",""))=8,LEN(SUBSTITUTE(SUBSTITUTE(SUBSTITUTE(SUBSTITUTE(CLEAN(I213&amp;"")," ",""),".","")," ",""),"-",""))=10),IFERROR(TEXT(VALUE(SUBSTITUTE(SUBSTITUTE(SUBSTITUTE(SUBSTITUTE(CLEAN(I213&amp;"")," ",""),".","")," ",""),"-","")),REPT("0",LEN(SUBSTITUTE(SUBSTITUTE(SUBSTITUTE(SUBSTITUTE(CLEAN(I213&amp;"")," ",""),".","")," ",""),"-",""))))=SUBSTITUTE(SUBSTITUTE(SUBSTITUTE(SUBSTITUTE(CLEAN(I213&amp;"")," ",""),".","")," ",""),"-",""),FALSE)),SUBSTITUTE(SUBSTITUTE(SUBSTITUTE(SUBSTITUTE(CLEAN(I213&amp;"")," ",""),".","")," ",""),"-",""),"CHECK: not 2, 4, 6, 8 or 10 digits"))</f>
        <v/>
      </c>
      <c r="K213" s="11" t="n"/>
    </row>
    <row r="214">
      <c r="E214" s="8" t="n"/>
      <c r="F214" s="10">
        <f>IF(SUBSTITUTE(SUBSTITUTE(SUBSTITUTE(SUBSTITUTE(CLEAN(E214&amp;"")," ",""),".","")," ",""),"-","")="","",IF(AND(OR(LEN(SUBSTITUTE(SUBSTITUTE(SUBSTITUTE(SUBSTITUTE(CLEAN(E214&amp;"")," ",""),".","")," ",""),"-",""))=2,LEN(SUBSTITUTE(SUBSTITUTE(SUBSTITUTE(SUBSTITUTE(CLEAN(E214&amp;"")," ",""),".","")," ",""),"-",""))=4,LEN(SUBSTITUTE(SUBSTITUTE(SUBSTITUTE(SUBSTITUTE(CLEAN(E214&amp;"")," ",""),".","")," ",""),"-",""))=6,LEN(SUBSTITUTE(SUBSTITUTE(SUBSTITUTE(SUBSTITUTE(CLEAN(E214&amp;"")," ",""),".","")," ",""),"-",""))=8,LEN(SUBSTITUTE(SUBSTITUTE(SUBSTITUTE(SUBSTITUTE(CLEAN(E214&amp;"")," ",""),".","")," ",""),"-",""))=10),IFERROR(TEXT(VALUE(SUBSTITUTE(SUBSTITUTE(SUBSTITUTE(SUBSTITUTE(CLEAN(E214&amp;"")," ",""),".","")," ",""),"-","")),REPT("0",LEN(SUBSTITUTE(SUBSTITUTE(SUBSTITUTE(SUBSTITUTE(CLEAN(E214&amp;"")," ",""),".","")," ",""),"-",""))))=SUBSTITUTE(SUBSTITUTE(SUBSTITUTE(SUBSTITUTE(CLEAN(E214&amp;"")," ",""),".","")," ",""),"-",""),FALSE)),SUBSTITUTE(SUBSTITUTE(SUBSTITUTE(SUBSTITUTE(CLEAN(E214&amp;"")," ",""),".","")," ",""),"-",""),"CHECK: not 2, 4, 6, 8 or 10 digits"))</f>
        <v/>
      </c>
      <c r="G214" s="11" t="n"/>
      <c r="H214" s="8" t="n"/>
      <c r="I214" s="8" t="n"/>
      <c r="J214" s="10">
        <f>IF(SUBSTITUTE(SUBSTITUTE(SUBSTITUTE(SUBSTITUTE(CLEAN(I214&amp;"")," ",""),".","")," ",""),"-","")="","",IF(AND(OR(LEN(SUBSTITUTE(SUBSTITUTE(SUBSTITUTE(SUBSTITUTE(CLEAN(I214&amp;"")," ",""),".","")," ",""),"-",""))=2,LEN(SUBSTITUTE(SUBSTITUTE(SUBSTITUTE(SUBSTITUTE(CLEAN(I214&amp;"")," ",""),".","")," ",""),"-",""))=4,LEN(SUBSTITUTE(SUBSTITUTE(SUBSTITUTE(SUBSTITUTE(CLEAN(I214&amp;"")," ",""),".","")," ",""),"-",""))=6,LEN(SUBSTITUTE(SUBSTITUTE(SUBSTITUTE(SUBSTITUTE(CLEAN(I214&amp;"")," ",""),".","")," ",""),"-",""))=8,LEN(SUBSTITUTE(SUBSTITUTE(SUBSTITUTE(SUBSTITUTE(CLEAN(I214&amp;"")," ",""),".","")," ",""),"-",""))=10),IFERROR(TEXT(VALUE(SUBSTITUTE(SUBSTITUTE(SUBSTITUTE(SUBSTITUTE(CLEAN(I214&amp;"")," ",""),".","")," ",""),"-","")),REPT("0",LEN(SUBSTITUTE(SUBSTITUTE(SUBSTITUTE(SUBSTITUTE(CLEAN(I214&amp;"")," ",""),".","")," ",""),"-",""))))=SUBSTITUTE(SUBSTITUTE(SUBSTITUTE(SUBSTITUTE(CLEAN(I214&amp;"")," ",""),".","")," ",""),"-",""),FALSE)),SUBSTITUTE(SUBSTITUTE(SUBSTITUTE(SUBSTITUTE(CLEAN(I214&amp;"")," ",""),".","")," ",""),"-",""),"CHECK: not 2, 4, 6, 8 or 10 digits"))</f>
        <v/>
      </c>
      <c r="K214" s="11" t="n"/>
    </row>
    <row r="215">
      <c r="E215" s="8" t="n"/>
      <c r="F215" s="10">
        <f>IF(SUBSTITUTE(SUBSTITUTE(SUBSTITUTE(SUBSTITUTE(CLEAN(E215&amp;"")," ",""),".","")," ",""),"-","")="","",IF(AND(OR(LEN(SUBSTITUTE(SUBSTITUTE(SUBSTITUTE(SUBSTITUTE(CLEAN(E215&amp;"")," ",""),".","")," ",""),"-",""))=2,LEN(SUBSTITUTE(SUBSTITUTE(SUBSTITUTE(SUBSTITUTE(CLEAN(E215&amp;"")," ",""),".","")," ",""),"-",""))=4,LEN(SUBSTITUTE(SUBSTITUTE(SUBSTITUTE(SUBSTITUTE(CLEAN(E215&amp;"")," ",""),".","")," ",""),"-",""))=6,LEN(SUBSTITUTE(SUBSTITUTE(SUBSTITUTE(SUBSTITUTE(CLEAN(E215&amp;"")," ",""),".","")," ",""),"-",""))=8,LEN(SUBSTITUTE(SUBSTITUTE(SUBSTITUTE(SUBSTITUTE(CLEAN(E215&amp;"")," ",""),".","")," ",""),"-",""))=10),IFERROR(TEXT(VALUE(SUBSTITUTE(SUBSTITUTE(SUBSTITUTE(SUBSTITUTE(CLEAN(E215&amp;"")," ",""),".","")," ",""),"-","")),REPT("0",LEN(SUBSTITUTE(SUBSTITUTE(SUBSTITUTE(SUBSTITUTE(CLEAN(E215&amp;"")," ",""),".","")," ",""),"-",""))))=SUBSTITUTE(SUBSTITUTE(SUBSTITUTE(SUBSTITUTE(CLEAN(E215&amp;"")," ",""),".","")," ",""),"-",""),FALSE)),SUBSTITUTE(SUBSTITUTE(SUBSTITUTE(SUBSTITUTE(CLEAN(E215&amp;"")," ",""),".","")," ",""),"-",""),"CHECK: not 2, 4, 6, 8 or 10 digits"))</f>
        <v/>
      </c>
      <c r="G215" s="11" t="n"/>
      <c r="H215" s="8" t="n"/>
      <c r="I215" s="8" t="n"/>
      <c r="J215" s="10">
        <f>IF(SUBSTITUTE(SUBSTITUTE(SUBSTITUTE(SUBSTITUTE(CLEAN(I215&amp;"")," ",""),".","")," ",""),"-","")="","",IF(AND(OR(LEN(SUBSTITUTE(SUBSTITUTE(SUBSTITUTE(SUBSTITUTE(CLEAN(I215&amp;"")," ",""),".","")," ",""),"-",""))=2,LEN(SUBSTITUTE(SUBSTITUTE(SUBSTITUTE(SUBSTITUTE(CLEAN(I215&amp;"")," ",""),".","")," ",""),"-",""))=4,LEN(SUBSTITUTE(SUBSTITUTE(SUBSTITUTE(SUBSTITUTE(CLEAN(I215&amp;"")," ",""),".","")," ",""),"-",""))=6,LEN(SUBSTITUTE(SUBSTITUTE(SUBSTITUTE(SUBSTITUTE(CLEAN(I215&amp;"")," ",""),".","")," ",""),"-",""))=8,LEN(SUBSTITUTE(SUBSTITUTE(SUBSTITUTE(SUBSTITUTE(CLEAN(I215&amp;"")," ",""),".","")," ",""),"-",""))=10),IFERROR(TEXT(VALUE(SUBSTITUTE(SUBSTITUTE(SUBSTITUTE(SUBSTITUTE(CLEAN(I215&amp;"")," ",""),".","")," ",""),"-","")),REPT("0",LEN(SUBSTITUTE(SUBSTITUTE(SUBSTITUTE(SUBSTITUTE(CLEAN(I215&amp;"")," ",""),".","")," ",""),"-",""))))=SUBSTITUTE(SUBSTITUTE(SUBSTITUTE(SUBSTITUTE(CLEAN(I215&amp;"")," ",""),".","")," ",""),"-",""),FALSE)),SUBSTITUTE(SUBSTITUTE(SUBSTITUTE(SUBSTITUTE(CLEAN(I215&amp;"")," ",""),".","")," ",""),"-",""),"CHECK: not 2, 4, 6, 8 or 10 digits"))</f>
        <v/>
      </c>
      <c r="K215" s="11" t="n"/>
    </row>
    <row r="216">
      <c r="E216" s="8" t="n"/>
      <c r="F216" s="10">
        <f>IF(SUBSTITUTE(SUBSTITUTE(SUBSTITUTE(SUBSTITUTE(CLEAN(E216&amp;"")," ",""),".","")," ",""),"-","")="","",IF(AND(OR(LEN(SUBSTITUTE(SUBSTITUTE(SUBSTITUTE(SUBSTITUTE(CLEAN(E216&amp;"")," ",""),".","")," ",""),"-",""))=2,LEN(SUBSTITUTE(SUBSTITUTE(SUBSTITUTE(SUBSTITUTE(CLEAN(E216&amp;"")," ",""),".","")," ",""),"-",""))=4,LEN(SUBSTITUTE(SUBSTITUTE(SUBSTITUTE(SUBSTITUTE(CLEAN(E216&amp;"")," ",""),".","")," ",""),"-",""))=6,LEN(SUBSTITUTE(SUBSTITUTE(SUBSTITUTE(SUBSTITUTE(CLEAN(E216&amp;"")," ",""),".","")," ",""),"-",""))=8,LEN(SUBSTITUTE(SUBSTITUTE(SUBSTITUTE(SUBSTITUTE(CLEAN(E216&amp;"")," ",""),".","")," ",""),"-",""))=10),IFERROR(TEXT(VALUE(SUBSTITUTE(SUBSTITUTE(SUBSTITUTE(SUBSTITUTE(CLEAN(E216&amp;"")," ",""),".","")," ",""),"-","")),REPT("0",LEN(SUBSTITUTE(SUBSTITUTE(SUBSTITUTE(SUBSTITUTE(CLEAN(E216&amp;"")," ",""),".","")," ",""),"-",""))))=SUBSTITUTE(SUBSTITUTE(SUBSTITUTE(SUBSTITUTE(CLEAN(E216&amp;"")," ",""),".","")," ",""),"-",""),FALSE)),SUBSTITUTE(SUBSTITUTE(SUBSTITUTE(SUBSTITUTE(CLEAN(E216&amp;"")," ",""),".","")," ",""),"-",""),"CHECK: not 2, 4, 6, 8 or 10 digits"))</f>
        <v/>
      </c>
      <c r="G216" s="11" t="n"/>
      <c r="H216" s="8" t="n"/>
      <c r="I216" s="8" t="n"/>
      <c r="J216" s="10">
        <f>IF(SUBSTITUTE(SUBSTITUTE(SUBSTITUTE(SUBSTITUTE(CLEAN(I216&amp;"")," ",""),".","")," ",""),"-","")="","",IF(AND(OR(LEN(SUBSTITUTE(SUBSTITUTE(SUBSTITUTE(SUBSTITUTE(CLEAN(I216&amp;"")," ",""),".","")," ",""),"-",""))=2,LEN(SUBSTITUTE(SUBSTITUTE(SUBSTITUTE(SUBSTITUTE(CLEAN(I216&amp;"")," ",""),".","")," ",""),"-",""))=4,LEN(SUBSTITUTE(SUBSTITUTE(SUBSTITUTE(SUBSTITUTE(CLEAN(I216&amp;"")," ",""),".","")," ",""),"-",""))=6,LEN(SUBSTITUTE(SUBSTITUTE(SUBSTITUTE(SUBSTITUTE(CLEAN(I216&amp;"")," ",""),".","")," ",""),"-",""))=8,LEN(SUBSTITUTE(SUBSTITUTE(SUBSTITUTE(SUBSTITUTE(CLEAN(I216&amp;"")," ",""),".","")," ",""),"-",""))=10),IFERROR(TEXT(VALUE(SUBSTITUTE(SUBSTITUTE(SUBSTITUTE(SUBSTITUTE(CLEAN(I216&amp;"")," ",""),".","")," ",""),"-","")),REPT("0",LEN(SUBSTITUTE(SUBSTITUTE(SUBSTITUTE(SUBSTITUTE(CLEAN(I216&amp;"")," ",""),".","")," ",""),"-",""))))=SUBSTITUTE(SUBSTITUTE(SUBSTITUTE(SUBSTITUTE(CLEAN(I216&amp;"")," ",""),".","")," ",""),"-",""),FALSE)),SUBSTITUTE(SUBSTITUTE(SUBSTITUTE(SUBSTITUTE(CLEAN(I216&amp;"")," ",""),".","")," ",""),"-",""),"CHECK: not 2, 4, 6, 8 or 10 digits"))</f>
        <v/>
      </c>
      <c r="K216" s="11" t="n"/>
    </row>
    <row r="217">
      <c r="E217" s="8" t="n"/>
      <c r="F217" s="10">
        <f>IF(SUBSTITUTE(SUBSTITUTE(SUBSTITUTE(SUBSTITUTE(CLEAN(E217&amp;"")," ",""),".","")," ",""),"-","")="","",IF(AND(OR(LEN(SUBSTITUTE(SUBSTITUTE(SUBSTITUTE(SUBSTITUTE(CLEAN(E217&amp;"")," ",""),".","")," ",""),"-",""))=2,LEN(SUBSTITUTE(SUBSTITUTE(SUBSTITUTE(SUBSTITUTE(CLEAN(E217&amp;"")," ",""),".","")," ",""),"-",""))=4,LEN(SUBSTITUTE(SUBSTITUTE(SUBSTITUTE(SUBSTITUTE(CLEAN(E217&amp;"")," ",""),".","")," ",""),"-",""))=6,LEN(SUBSTITUTE(SUBSTITUTE(SUBSTITUTE(SUBSTITUTE(CLEAN(E217&amp;"")," ",""),".","")," ",""),"-",""))=8,LEN(SUBSTITUTE(SUBSTITUTE(SUBSTITUTE(SUBSTITUTE(CLEAN(E217&amp;"")," ",""),".","")," ",""),"-",""))=10),IFERROR(TEXT(VALUE(SUBSTITUTE(SUBSTITUTE(SUBSTITUTE(SUBSTITUTE(CLEAN(E217&amp;"")," ",""),".","")," ",""),"-","")),REPT("0",LEN(SUBSTITUTE(SUBSTITUTE(SUBSTITUTE(SUBSTITUTE(CLEAN(E217&amp;"")," ",""),".","")," ",""),"-",""))))=SUBSTITUTE(SUBSTITUTE(SUBSTITUTE(SUBSTITUTE(CLEAN(E217&amp;"")," ",""),".","")," ",""),"-",""),FALSE)),SUBSTITUTE(SUBSTITUTE(SUBSTITUTE(SUBSTITUTE(CLEAN(E217&amp;"")," ",""),".","")," ",""),"-",""),"CHECK: not 2, 4, 6, 8 or 10 digits"))</f>
        <v/>
      </c>
      <c r="G217" s="11" t="n"/>
      <c r="H217" s="8" t="n"/>
      <c r="I217" s="8" t="n"/>
      <c r="J217" s="10">
        <f>IF(SUBSTITUTE(SUBSTITUTE(SUBSTITUTE(SUBSTITUTE(CLEAN(I217&amp;"")," ",""),".","")," ",""),"-","")="","",IF(AND(OR(LEN(SUBSTITUTE(SUBSTITUTE(SUBSTITUTE(SUBSTITUTE(CLEAN(I217&amp;"")," ",""),".","")," ",""),"-",""))=2,LEN(SUBSTITUTE(SUBSTITUTE(SUBSTITUTE(SUBSTITUTE(CLEAN(I217&amp;"")," ",""),".","")," ",""),"-",""))=4,LEN(SUBSTITUTE(SUBSTITUTE(SUBSTITUTE(SUBSTITUTE(CLEAN(I217&amp;"")," ",""),".","")," ",""),"-",""))=6,LEN(SUBSTITUTE(SUBSTITUTE(SUBSTITUTE(SUBSTITUTE(CLEAN(I217&amp;"")," ",""),".","")," ",""),"-",""))=8,LEN(SUBSTITUTE(SUBSTITUTE(SUBSTITUTE(SUBSTITUTE(CLEAN(I217&amp;"")," ",""),".","")," ",""),"-",""))=10),IFERROR(TEXT(VALUE(SUBSTITUTE(SUBSTITUTE(SUBSTITUTE(SUBSTITUTE(CLEAN(I217&amp;"")," ",""),".","")," ",""),"-","")),REPT("0",LEN(SUBSTITUTE(SUBSTITUTE(SUBSTITUTE(SUBSTITUTE(CLEAN(I217&amp;"")," ",""),".","")," ",""),"-",""))))=SUBSTITUTE(SUBSTITUTE(SUBSTITUTE(SUBSTITUTE(CLEAN(I217&amp;"")," ",""),".","")," ",""),"-",""),FALSE)),SUBSTITUTE(SUBSTITUTE(SUBSTITUTE(SUBSTITUTE(CLEAN(I217&amp;"")," ",""),".","")," ",""),"-",""),"CHECK: not 2, 4, 6, 8 or 10 digits"))</f>
        <v/>
      </c>
      <c r="K217" s="11" t="n"/>
    </row>
    <row r="218">
      <c r="E218" s="8" t="n"/>
      <c r="F218" s="10">
        <f>IF(SUBSTITUTE(SUBSTITUTE(SUBSTITUTE(SUBSTITUTE(CLEAN(E218&amp;"")," ",""),".","")," ",""),"-","")="","",IF(AND(OR(LEN(SUBSTITUTE(SUBSTITUTE(SUBSTITUTE(SUBSTITUTE(CLEAN(E218&amp;"")," ",""),".","")," ",""),"-",""))=2,LEN(SUBSTITUTE(SUBSTITUTE(SUBSTITUTE(SUBSTITUTE(CLEAN(E218&amp;"")," ",""),".","")," ",""),"-",""))=4,LEN(SUBSTITUTE(SUBSTITUTE(SUBSTITUTE(SUBSTITUTE(CLEAN(E218&amp;"")," ",""),".","")," ",""),"-",""))=6,LEN(SUBSTITUTE(SUBSTITUTE(SUBSTITUTE(SUBSTITUTE(CLEAN(E218&amp;"")," ",""),".","")," ",""),"-",""))=8,LEN(SUBSTITUTE(SUBSTITUTE(SUBSTITUTE(SUBSTITUTE(CLEAN(E218&amp;"")," ",""),".","")," ",""),"-",""))=10),IFERROR(TEXT(VALUE(SUBSTITUTE(SUBSTITUTE(SUBSTITUTE(SUBSTITUTE(CLEAN(E218&amp;"")," ",""),".","")," ",""),"-","")),REPT("0",LEN(SUBSTITUTE(SUBSTITUTE(SUBSTITUTE(SUBSTITUTE(CLEAN(E218&amp;"")," ",""),".","")," ",""),"-",""))))=SUBSTITUTE(SUBSTITUTE(SUBSTITUTE(SUBSTITUTE(CLEAN(E218&amp;"")," ",""),".","")," ",""),"-",""),FALSE)),SUBSTITUTE(SUBSTITUTE(SUBSTITUTE(SUBSTITUTE(CLEAN(E218&amp;"")," ",""),".","")," ",""),"-",""),"CHECK: not 2, 4, 6, 8 or 10 digits"))</f>
        <v/>
      </c>
      <c r="G218" s="11" t="n"/>
      <c r="H218" s="8" t="n"/>
      <c r="I218" s="8" t="n"/>
      <c r="J218" s="10">
        <f>IF(SUBSTITUTE(SUBSTITUTE(SUBSTITUTE(SUBSTITUTE(CLEAN(I218&amp;"")," ",""),".","")," ",""),"-","")="","",IF(AND(OR(LEN(SUBSTITUTE(SUBSTITUTE(SUBSTITUTE(SUBSTITUTE(CLEAN(I218&amp;"")," ",""),".","")," ",""),"-",""))=2,LEN(SUBSTITUTE(SUBSTITUTE(SUBSTITUTE(SUBSTITUTE(CLEAN(I218&amp;"")," ",""),".","")," ",""),"-",""))=4,LEN(SUBSTITUTE(SUBSTITUTE(SUBSTITUTE(SUBSTITUTE(CLEAN(I218&amp;"")," ",""),".","")," ",""),"-",""))=6,LEN(SUBSTITUTE(SUBSTITUTE(SUBSTITUTE(SUBSTITUTE(CLEAN(I218&amp;"")," ",""),".","")," ",""),"-",""))=8,LEN(SUBSTITUTE(SUBSTITUTE(SUBSTITUTE(SUBSTITUTE(CLEAN(I218&amp;"")," ",""),".","")," ",""),"-",""))=10),IFERROR(TEXT(VALUE(SUBSTITUTE(SUBSTITUTE(SUBSTITUTE(SUBSTITUTE(CLEAN(I218&amp;"")," ",""),".","")," ",""),"-","")),REPT("0",LEN(SUBSTITUTE(SUBSTITUTE(SUBSTITUTE(SUBSTITUTE(CLEAN(I218&amp;"")," ",""),".","")," ",""),"-",""))))=SUBSTITUTE(SUBSTITUTE(SUBSTITUTE(SUBSTITUTE(CLEAN(I218&amp;"")," ",""),".","")," ",""),"-",""),FALSE)),SUBSTITUTE(SUBSTITUTE(SUBSTITUTE(SUBSTITUTE(CLEAN(I218&amp;"")," ",""),".","")," ",""),"-",""),"CHECK: not 2, 4, 6, 8 or 10 digits"))</f>
        <v/>
      </c>
      <c r="K218" s="11" t="n"/>
    </row>
    <row r="219">
      <c r="E219" s="8" t="n"/>
      <c r="F219" s="10">
        <f>IF(SUBSTITUTE(SUBSTITUTE(SUBSTITUTE(SUBSTITUTE(CLEAN(E219&amp;"")," ",""),".","")," ",""),"-","")="","",IF(AND(OR(LEN(SUBSTITUTE(SUBSTITUTE(SUBSTITUTE(SUBSTITUTE(CLEAN(E219&amp;"")," ",""),".","")," ",""),"-",""))=2,LEN(SUBSTITUTE(SUBSTITUTE(SUBSTITUTE(SUBSTITUTE(CLEAN(E219&amp;"")," ",""),".","")," ",""),"-",""))=4,LEN(SUBSTITUTE(SUBSTITUTE(SUBSTITUTE(SUBSTITUTE(CLEAN(E219&amp;"")," ",""),".","")," ",""),"-",""))=6,LEN(SUBSTITUTE(SUBSTITUTE(SUBSTITUTE(SUBSTITUTE(CLEAN(E219&amp;"")," ",""),".","")," ",""),"-",""))=8,LEN(SUBSTITUTE(SUBSTITUTE(SUBSTITUTE(SUBSTITUTE(CLEAN(E219&amp;"")," ",""),".","")," ",""),"-",""))=10),IFERROR(TEXT(VALUE(SUBSTITUTE(SUBSTITUTE(SUBSTITUTE(SUBSTITUTE(CLEAN(E219&amp;"")," ",""),".","")," ",""),"-","")),REPT("0",LEN(SUBSTITUTE(SUBSTITUTE(SUBSTITUTE(SUBSTITUTE(CLEAN(E219&amp;"")," ",""),".","")," ",""),"-",""))))=SUBSTITUTE(SUBSTITUTE(SUBSTITUTE(SUBSTITUTE(CLEAN(E219&amp;"")," ",""),".","")," ",""),"-",""),FALSE)),SUBSTITUTE(SUBSTITUTE(SUBSTITUTE(SUBSTITUTE(CLEAN(E219&amp;"")," ",""),".","")," ",""),"-",""),"CHECK: not 2, 4, 6, 8 or 10 digits"))</f>
        <v/>
      </c>
      <c r="G219" s="11" t="n"/>
      <c r="H219" s="8" t="n"/>
      <c r="I219" s="8" t="n"/>
      <c r="J219" s="10">
        <f>IF(SUBSTITUTE(SUBSTITUTE(SUBSTITUTE(SUBSTITUTE(CLEAN(I219&amp;"")," ",""),".","")," ",""),"-","")="","",IF(AND(OR(LEN(SUBSTITUTE(SUBSTITUTE(SUBSTITUTE(SUBSTITUTE(CLEAN(I219&amp;"")," ",""),".","")," ",""),"-",""))=2,LEN(SUBSTITUTE(SUBSTITUTE(SUBSTITUTE(SUBSTITUTE(CLEAN(I219&amp;"")," ",""),".","")," ",""),"-",""))=4,LEN(SUBSTITUTE(SUBSTITUTE(SUBSTITUTE(SUBSTITUTE(CLEAN(I219&amp;"")," ",""),".","")," ",""),"-",""))=6,LEN(SUBSTITUTE(SUBSTITUTE(SUBSTITUTE(SUBSTITUTE(CLEAN(I219&amp;"")," ",""),".","")," ",""),"-",""))=8,LEN(SUBSTITUTE(SUBSTITUTE(SUBSTITUTE(SUBSTITUTE(CLEAN(I219&amp;"")," ",""),".","")," ",""),"-",""))=10),IFERROR(TEXT(VALUE(SUBSTITUTE(SUBSTITUTE(SUBSTITUTE(SUBSTITUTE(CLEAN(I219&amp;"")," ",""),".","")," ",""),"-","")),REPT("0",LEN(SUBSTITUTE(SUBSTITUTE(SUBSTITUTE(SUBSTITUTE(CLEAN(I219&amp;"")," ",""),".","")," ",""),"-",""))))=SUBSTITUTE(SUBSTITUTE(SUBSTITUTE(SUBSTITUTE(CLEAN(I219&amp;"")," ",""),".","")," ",""),"-",""),FALSE)),SUBSTITUTE(SUBSTITUTE(SUBSTITUTE(SUBSTITUTE(CLEAN(I219&amp;"")," ",""),".","")," ",""),"-",""),"CHECK: not 2, 4, 6, 8 or 10 digits"))</f>
        <v/>
      </c>
      <c r="K219" s="11" t="n"/>
    </row>
    <row r="220">
      <c r="E220" s="8" t="n"/>
      <c r="F220" s="10">
        <f>IF(SUBSTITUTE(SUBSTITUTE(SUBSTITUTE(SUBSTITUTE(CLEAN(E220&amp;"")," ",""),".","")," ",""),"-","")="","",IF(AND(OR(LEN(SUBSTITUTE(SUBSTITUTE(SUBSTITUTE(SUBSTITUTE(CLEAN(E220&amp;"")," ",""),".","")," ",""),"-",""))=2,LEN(SUBSTITUTE(SUBSTITUTE(SUBSTITUTE(SUBSTITUTE(CLEAN(E220&amp;"")," ",""),".","")," ",""),"-",""))=4,LEN(SUBSTITUTE(SUBSTITUTE(SUBSTITUTE(SUBSTITUTE(CLEAN(E220&amp;"")," ",""),".","")," ",""),"-",""))=6,LEN(SUBSTITUTE(SUBSTITUTE(SUBSTITUTE(SUBSTITUTE(CLEAN(E220&amp;"")," ",""),".","")," ",""),"-",""))=8,LEN(SUBSTITUTE(SUBSTITUTE(SUBSTITUTE(SUBSTITUTE(CLEAN(E220&amp;"")," ",""),".","")," ",""),"-",""))=10),IFERROR(TEXT(VALUE(SUBSTITUTE(SUBSTITUTE(SUBSTITUTE(SUBSTITUTE(CLEAN(E220&amp;"")," ",""),".","")," ",""),"-","")),REPT("0",LEN(SUBSTITUTE(SUBSTITUTE(SUBSTITUTE(SUBSTITUTE(CLEAN(E220&amp;"")," ",""),".","")," ",""),"-",""))))=SUBSTITUTE(SUBSTITUTE(SUBSTITUTE(SUBSTITUTE(CLEAN(E220&amp;"")," ",""),".","")," ",""),"-",""),FALSE)),SUBSTITUTE(SUBSTITUTE(SUBSTITUTE(SUBSTITUTE(CLEAN(E220&amp;"")," ",""),".","")," ",""),"-",""),"CHECK: not 2, 4, 6, 8 or 10 digits"))</f>
        <v/>
      </c>
      <c r="G220" s="11" t="n"/>
      <c r="H220" s="8" t="n"/>
      <c r="I220" s="8" t="n"/>
      <c r="J220" s="10">
        <f>IF(SUBSTITUTE(SUBSTITUTE(SUBSTITUTE(SUBSTITUTE(CLEAN(I220&amp;"")," ",""),".","")," ",""),"-","")="","",IF(AND(OR(LEN(SUBSTITUTE(SUBSTITUTE(SUBSTITUTE(SUBSTITUTE(CLEAN(I220&amp;"")," ",""),".","")," ",""),"-",""))=2,LEN(SUBSTITUTE(SUBSTITUTE(SUBSTITUTE(SUBSTITUTE(CLEAN(I220&amp;"")," ",""),".","")," ",""),"-",""))=4,LEN(SUBSTITUTE(SUBSTITUTE(SUBSTITUTE(SUBSTITUTE(CLEAN(I220&amp;"")," ",""),".","")," ",""),"-",""))=6,LEN(SUBSTITUTE(SUBSTITUTE(SUBSTITUTE(SUBSTITUTE(CLEAN(I220&amp;"")," ",""),".","")," ",""),"-",""))=8,LEN(SUBSTITUTE(SUBSTITUTE(SUBSTITUTE(SUBSTITUTE(CLEAN(I220&amp;"")," ",""),".","")," ",""),"-",""))=10),IFERROR(TEXT(VALUE(SUBSTITUTE(SUBSTITUTE(SUBSTITUTE(SUBSTITUTE(CLEAN(I220&amp;"")," ",""),".","")," ",""),"-","")),REPT("0",LEN(SUBSTITUTE(SUBSTITUTE(SUBSTITUTE(SUBSTITUTE(CLEAN(I220&amp;"")," ",""),".","")," ",""),"-",""))))=SUBSTITUTE(SUBSTITUTE(SUBSTITUTE(SUBSTITUTE(CLEAN(I220&amp;"")," ",""),".","")," ",""),"-",""),FALSE)),SUBSTITUTE(SUBSTITUTE(SUBSTITUTE(SUBSTITUTE(CLEAN(I220&amp;"")," ",""),".","")," ",""),"-",""),"CHECK: not 2, 4, 6, 8 or 10 digits"))</f>
        <v/>
      </c>
      <c r="K220" s="11" t="n"/>
    </row>
    <row r="221">
      <c r="E221" s="8" t="n"/>
      <c r="F221" s="10">
        <f>IF(SUBSTITUTE(SUBSTITUTE(SUBSTITUTE(SUBSTITUTE(CLEAN(E221&amp;"")," ",""),".","")," ",""),"-","")="","",IF(AND(OR(LEN(SUBSTITUTE(SUBSTITUTE(SUBSTITUTE(SUBSTITUTE(CLEAN(E221&amp;"")," ",""),".","")," ",""),"-",""))=2,LEN(SUBSTITUTE(SUBSTITUTE(SUBSTITUTE(SUBSTITUTE(CLEAN(E221&amp;"")," ",""),".","")," ",""),"-",""))=4,LEN(SUBSTITUTE(SUBSTITUTE(SUBSTITUTE(SUBSTITUTE(CLEAN(E221&amp;"")," ",""),".","")," ",""),"-",""))=6,LEN(SUBSTITUTE(SUBSTITUTE(SUBSTITUTE(SUBSTITUTE(CLEAN(E221&amp;"")," ",""),".","")," ",""),"-",""))=8,LEN(SUBSTITUTE(SUBSTITUTE(SUBSTITUTE(SUBSTITUTE(CLEAN(E221&amp;"")," ",""),".","")," ",""),"-",""))=10),IFERROR(TEXT(VALUE(SUBSTITUTE(SUBSTITUTE(SUBSTITUTE(SUBSTITUTE(CLEAN(E221&amp;"")," ",""),".","")," ",""),"-","")),REPT("0",LEN(SUBSTITUTE(SUBSTITUTE(SUBSTITUTE(SUBSTITUTE(CLEAN(E221&amp;"")," ",""),".","")," ",""),"-",""))))=SUBSTITUTE(SUBSTITUTE(SUBSTITUTE(SUBSTITUTE(CLEAN(E221&amp;"")," ",""),".","")," ",""),"-",""),FALSE)),SUBSTITUTE(SUBSTITUTE(SUBSTITUTE(SUBSTITUTE(CLEAN(E221&amp;"")," ",""),".","")," ",""),"-",""),"CHECK: not 2, 4, 6, 8 or 10 digits"))</f>
        <v/>
      </c>
      <c r="G221" s="11" t="n"/>
      <c r="H221" s="8" t="n"/>
      <c r="I221" s="8" t="n"/>
      <c r="J221" s="10">
        <f>IF(SUBSTITUTE(SUBSTITUTE(SUBSTITUTE(SUBSTITUTE(CLEAN(I221&amp;"")," ",""),".","")," ",""),"-","")="","",IF(AND(OR(LEN(SUBSTITUTE(SUBSTITUTE(SUBSTITUTE(SUBSTITUTE(CLEAN(I221&amp;"")," ",""),".","")," ",""),"-",""))=2,LEN(SUBSTITUTE(SUBSTITUTE(SUBSTITUTE(SUBSTITUTE(CLEAN(I221&amp;"")," ",""),".","")," ",""),"-",""))=4,LEN(SUBSTITUTE(SUBSTITUTE(SUBSTITUTE(SUBSTITUTE(CLEAN(I221&amp;"")," ",""),".","")," ",""),"-",""))=6,LEN(SUBSTITUTE(SUBSTITUTE(SUBSTITUTE(SUBSTITUTE(CLEAN(I221&amp;"")," ",""),".","")," ",""),"-",""))=8,LEN(SUBSTITUTE(SUBSTITUTE(SUBSTITUTE(SUBSTITUTE(CLEAN(I221&amp;"")," ",""),".","")," ",""),"-",""))=10),IFERROR(TEXT(VALUE(SUBSTITUTE(SUBSTITUTE(SUBSTITUTE(SUBSTITUTE(CLEAN(I221&amp;"")," ",""),".","")," ",""),"-","")),REPT("0",LEN(SUBSTITUTE(SUBSTITUTE(SUBSTITUTE(SUBSTITUTE(CLEAN(I221&amp;"")," ",""),".","")," ",""),"-",""))))=SUBSTITUTE(SUBSTITUTE(SUBSTITUTE(SUBSTITUTE(CLEAN(I221&amp;"")," ",""),".","")," ",""),"-",""),FALSE)),SUBSTITUTE(SUBSTITUTE(SUBSTITUTE(SUBSTITUTE(CLEAN(I221&amp;"")," ",""),".","")," ",""),"-",""),"CHECK: not 2, 4, 6, 8 or 10 digits"))</f>
        <v/>
      </c>
      <c r="K221" s="11" t="n"/>
    </row>
    <row r="222">
      <c r="E222" s="8" t="n"/>
      <c r="F222" s="10">
        <f>IF(SUBSTITUTE(SUBSTITUTE(SUBSTITUTE(SUBSTITUTE(CLEAN(E222&amp;"")," ",""),".","")," ",""),"-","")="","",IF(AND(OR(LEN(SUBSTITUTE(SUBSTITUTE(SUBSTITUTE(SUBSTITUTE(CLEAN(E222&amp;"")," ",""),".","")," ",""),"-",""))=2,LEN(SUBSTITUTE(SUBSTITUTE(SUBSTITUTE(SUBSTITUTE(CLEAN(E222&amp;"")," ",""),".","")," ",""),"-",""))=4,LEN(SUBSTITUTE(SUBSTITUTE(SUBSTITUTE(SUBSTITUTE(CLEAN(E222&amp;"")," ",""),".","")," ",""),"-",""))=6,LEN(SUBSTITUTE(SUBSTITUTE(SUBSTITUTE(SUBSTITUTE(CLEAN(E222&amp;"")," ",""),".","")," ",""),"-",""))=8,LEN(SUBSTITUTE(SUBSTITUTE(SUBSTITUTE(SUBSTITUTE(CLEAN(E222&amp;"")," ",""),".","")," ",""),"-",""))=10),IFERROR(TEXT(VALUE(SUBSTITUTE(SUBSTITUTE(SUBSTITUTE(SUBSTITUTE(CLEAN(E222&amp;"")," ",""),".","")," ",""),"-","")),REPT("0",LEN(SUBSTITUTE(SUBSTITUTE(SUBSTITUTE(SUBSTITUTE(CLEAN(E222&amp;"")," ",""),".","")," ",""),"-",""))))=SUBSTITUTE(SUBSTITUTE(SUBSTITUTE(SUBSTITUTE(CLEAN(E222&amp;"")," ",""),".","")," ",""),"-",""),FALSE)),SUBSTITUTE(SUBSTITUTE(SUBSTITUTE(SUBSTITUTE(CLEAN(E222&amp;"")," ",""),".","")," ",""),"-",""),"CHECK: not 2, 4, 6, 8 or 10 digits"))</f>
        <v/>
      </c>
      <c r="G222" s="11" t="n"/>
      <c r="H222" s="8" t="n"/>
      <c r="I222" s="8" t="n"/>
      <c r="J222" s="10">
        <f>IF(SUBSTITUTE(SUBSTITUTE(SUBSTITUTE(SUBSTITUTE(CLEAN(I222&amp;"")," ",""),".","")," ",""),"-","")="","",IF(AND(OR(LEN(SUBSTITUTE(SUBSTITUTE(SUBSTITUTE(SUBSTITUTE(CLEAN(I222&amp;"")," ",""),".","")," ",""),"-",""))=2,LEN(SUBSTITUTE(SUBSTITUTE(SUBSTITUTE(SUBSTITUTE(CLEAN(I222&amp;"")," ",""),".","")," ",""),"-",""))=4,LEN(SUBSTITUTE(SUBSTITUTE(SUBSTITUTE(SUBSTITUTE(CLEAN(I222&amp;"")," ",""),".","")," ",""),"-",""))=6,LEN(SUBSTITUTE(SUBSTITUTE(SUBSTITUTE(SUBSTITUTE(CLEAN(I222&amp;"")," ",""),".","")," ",""),"-",""))=8,LEN(SUBSTITUTE(SUBSTITUTE(SUBSTITUTE(SUBSTITUTE(CLEAN(I222&amp;"")," ",""),".","")," ",""),"-",""))=10),IFERROR(TEXT(VALUE(SUBSTITUTE(SUBSTITUTE(SUBSTITUTE(SUBSTITUTE(CLEAN(I222&amp;"")," ",""),".","")," ",""),"-","")),REPT("0",LEN(SUBSTITUTE(SUBSTITUTE(SUBSTITUTE(SUBSTITUTE(CLEAN(I222&amp;"")," ",""),".","")," ",""),"-",""))))=SUBSTITUTE(SUBSTITUTE(SUBSTITUTE(SUBSTITUTE(CLEAN(I222&amp;"")," ",""),".","")," ",""),"-",""),FALSE)),SUBSTITUTE(SUBSTITUTE(SUBSTITUTE(SUBSTITUTE(CLEAN(I222&amp;"")," ",""),".","")," ",""),"-",""),"CHECK: not 2, 4, 6, 8 or 10 digits"))</f>
        <v/>
      </c>
      <c r="K222" s="11" t="n"/>
    </row>
    <row r="223">
      <c r="E223" s="8" t="n"/>
      <c r="F223" s="10">
        <f>IF(SUBSTITUTE(SUBSTITUTE(SUBSTITUTE(SUBSTITUTE(CLEAN(E223&amp;"")," ",""),".","")," ",""),"-","")="","",IF(AND(OR(LEN(SUBSTITUTE(SUBSTITUTE(SUBSTITUTE(SUBSTITUTE(CLEAN(E223&amp;"")," ",""),".","")," ",""),"-",""))=2,LEN(SUBSTITUTE(SUBSTITUTE(SUBSTITUTE(SUBSTITUTE(CLEAN(E223&amp;"")," ",""),".","")," ",""),"-",""))=4,LEN(SUBSTITUTE(SUBSTITUTE(SUBSTITUTE(SUBSTITUTE(CLEAN(E223&amp;"")," ",""),".","")," ",""),"-",""))=6,LEN(SUBSTITUTE(SUBSTITUTE(SUBSTITUTE(SUBSTITUTE(CLEAN(E223&amp;"")," ",""),".","")," ",""),"-",""))=8,LEN(SUBSTITUTE(SUBSTITUTE(SUBSTITUTE(SUBSTITUTE(CLEAN(E223&amp;"")," ",""),".","")," ",""),"-",""))=10),IFERROR(TEXT(VALUE(SUBSTITUTE(SUBSTITUTE(SUBSTITUTE(SUBSTITUTE(CLEAN(E223&amp;"")," ",""),".","")," ",""),"-","")),REPT("0",LEN(SUBSTITUTE(SUBSTITUTE(SUBSTITUTE(SUBSTITUTE(CLEAN(E223&amp;"")," ",""),".","")," ",""),"-",""))))=SUBSTITUTE(SUBSTITUTE(SUBSTITUTE(SUBSTITUTE(CLEAN(E223&amp;"")," ",""),".","")," ",""),"-",""),FALSE)),SUBSTITUTE(SUBSTITUTE(SUBSTITUTE(SUBSTITUTE(CLEAN(E223&amp;"")," ",""),".","")," ",""),"-",""),"CHECK: not 2, 4, 6, 8 or 10 digits"))</f>
        <v/>
      </c>
      <c r="G223" s="11" t="n"/>
      <c r="H223" s="8" t="n"/>
      <c r="I223" s="8" t="n"/>
      <c r="J223" s="10">
        <f>IF(SUBSTITUTE(SUBSTITUTE(SUBSTITUTE(SUBSTITUTE(CLEAN(I223&amp;"")," ",""),".","")," ",""),"-","")="","",IF(AND(OR(LEN(SUBSTITUTE(SUBSTITUTE(SUBSTITUTE(SUBSTITUTE(CLEAN(I223&amp;"")," ",""),".","")," ",""),"-",""))=2,LEN(SUBSTITUTE(SUBSTITUTE(SUBSTITUTE(SUBSTITUTE(CLEAN(I223&amp;"")," ",""),".","")," ",""),"-",""))=4,LEN(SUBSTITUTE(SUBSTITUTE(SUBSTITUTE(SUBSTITUTE(CLEAN(I223&amp;"")," ",""),".","")," ",""),"-",""))=6,LEN(SUBSTITUTE(SUBSTITUTE(SUBSTITUTE(SUBSTITUTE(CLEAN(I223&amp;"")," ",""),".","")," ",""),"-",""))=8,LEN(SUBSTITUTE(SUBSTITUTE(SUBSTITUTE(SUBSTITUTE(CLEAN(I223&amp;"")," ",""),".","")," ",""),"-",""))=10),IFERROR(TEXT(VALUE(SUBSTITUTE(SUBSTITUTE(SUBSTITUTE(SUBSTITUTE(CLEAN(I223&amp;"")," ",""),".","")," ",""),"-","")),REPT("0",LEN(SUBSTITUTE(SUBSTITUTE(SUBSTITUTE(SUBSTITUTE(CLEAN(I223&amp;"")," ",""),".","")," ",""),"-",""))))=SUBSTITUTE(SUBSTITUTE(SUBSTITUTE(SUBSTITUTE(CLEAN(I223&amp;"")," ",""),".","")," ",""),"-",""),FALSE)),SUBSTITUTE(SUBSTITUTE(SUBSTITUTE(SUBSTITUTE(CLEAN(I223&amp;"")," ",""),".","")," ",""),"-",""),"CHECK: not 2, 4, 6, 8 or 10 digits"))</f>
        <v/>
      </c>
      <c r="K223" s="11" t="n"/>
    </row>
    <row r="224">
      <c r="E224" s="8" t="n"/>
      <c r="F224" s="10">
        <f>IF(SUBSTITUTE(SUBSTITUTE(SUBSTITUTE(SUBSTITUTE(CLEAN(E224&amp;"")," ",""),".","")," ",""),"-","")="","",IF(AND(OR(LEN(SUBSTITUTE(SUBSTITUTE(SUBSTITUTE(SUBSTITUTE(CLEAN(E224&amp;"")," ",""),".","")," ",""),"-",""))=2,LEN(SUBSTITUTE(SUBSTITUTE(SUBSTITUTE(SUBSTITUTE(CLEAN(E224&amp;"")," ",""),".","")," ",""),"-",""))=4,LEN(SUBSTITUTE(SUBSTITUTE(SUBSTITUTE(SUBSTITUTE(CLEAN(E224&amp;"")," ",""),".","")," ",""),"-",""))=6,LEN(SUBSTITUTE(SUBSTITUTE(SUBSTITUTE(SUBSTITUTE(CLEAN(E224&amp;"")," ",""),".","")," ",""),"-",""))=8,LEN(SUBSTITUTE(SUBSTITUTE(SUBSTITUTE(SUBSTITUTE(CLEAN(E224&amp;"")," ",""),".","")," ",""),"-",""))=10),IFERROR(TEXT(VALUE(SUBSTITUTE(SUBSTITUTE(SUBSTITUTE(SUBSTITUTE(CLEAN(E224&amp;"")," ",""),".","")," ",""),"-","")),REPT("0",LEN(SUBSTITUTE(SUBSTITUTE(SUBSTITUTE(SUBSTITUTE(CLEAN(E224&amp;"")," ",""),".","")," ",""),"-",""))))=SUBSTITUTE(SUBSTITUTE(SUBSTITUTE(SUBSTITUTE(CLEAN(E224&amp;"")," ",""),".","")," ",""),"-",""),FALSE)),SUBSTITUTE(SUBSTITUTE(SUBSTITUTE(SUBSTITUTE(CLEAN(E224&amp;"")," ",""),".","")," ",""),"-",""),"CHECK: not 2, 4, 6, 8 or 10 digits"))</f>
        <v/>
      </c>
      <c r="G224" s="11" t="n"/>
      <c r="H224" s="8" t="n"/>
      <c r="I224" s="8" t="n"/>
      <c r="J224" s="10">
        <f>IF(SUBSTITUTE(SUBSTITUTE(SUBSTITUTE(SUBSTITUTE(CLEAN(I224&amp;"")," ",""),".","")," ",""),"-","")="","",IF(AND(OR(LEN(SUBSTITUTE(SUBSTITUTE(SUBSTITUTE(SUBSTITUTE(CLEAN(I224&amp;"")," ",""),".","")," ",""),"-",""))=2,LEN(SUBSTITUTE(SUBSTITUTE(SUBSTITUTE(SUBSTITUTE(CLEAN(I224&amp;"")," ",""),".","")," ",""),"-",""))=4,LEN(SUBSTITUTE(SUBSTITUTE(SUBSTITUTE(SUBSTITUTE(CLEAN(I224&amp;"")," ",""),".","")," ",""),"-",""))=6,LEN(SUBSTITUTE(SUBSTITUTE(SUBSTITUTE(SUBSTITUTE(CLEAN(I224&amp;"")," ",""),".","")," ",""),"-",""))=8,LEN(SUBSTITUTE(SUBSTITUTE(SUBSTITUTE(SUBSTITUTE(CLEAN(I224&amp;"")," ",""),".","")," ",""),"-",""))=10),IFERROR(TEXT(VALUE(SUBSTITUTE(SUBSTITUTE(SUBSTITUTE(SUBSTITUTE(CLEAN(I224&amp;"")," ",""),".","")," ",""),"-","")),REPT("0",LEN(SUBSTITUTE(SUBSTITUTE(SUBSTITUTE(SUBSTITUTE(CLEAN(I224&amp;"")," ",""),".","")," ",""),"-",""))))=SUBSTITUTE(SUBSTITUTE(SUBSTITUTE(SUBSTITUTE(CLEAN(I224&amp;"")," ",""),".","")," ",""),"-",""),FALSE)),SUBSTITUTE(SUBSTITUTE(SUBSTITUTE(SUBSTITUTE(CLEAN(I224&amp;"")," ",""),".","")," ",""),"-",""),"CHECK: not 2, 4, 6, 8 or 10 digits"))</f>
        <v/>
      </c>
      <c r="K224" s="11" t="n"/>
    </row>
    <row r="225">
      <c r="E225" s="8" t="n"/>
      <c r="F225" s="10">
        <f>IF(SUBSTITUTE(SUBSTITUTE(SUBSTITUTE(SUBSTITUTE(CLEAN(E225&amp;"")," ",""),".","")," ",""),"-","")="","",IF(AND(OR(LEN(SUBSTITUTE(SUBSTITUTE(SUBSTITUTE(SUBSTITUTE(CLEAN(E225&amp;"")," ",""),".","")," ",""),"-",""))=2,LEN(SUBSTITUTE(SUBSTITUTE(SUBSTITUTE(SUBSTITUTE(CLEAN(E225&amp;"")," ",""),".","")," ",""),"-",""))=4,LEN(SUBSTITUTE(SUBSTITUTE(SUBSTITUTE(SUBSTITUTE(CLEAN(E225&amp;"")," ",""),".","")," ",""),"-",""))=6,LEN(SUBSTITUTE(SUBSTITUTE(SUBSTITUTE(SUBSTITUTE(CLEAN(E225&amp;"")," ",""),".","")," ",""),"-",""))=8,LEN(SUBSTITUTE(SUBSTITUTE(SUBSTITUTE(SUBSTITUTE(CLEAN(E225&amp;"")," ",""),".","")," ",""),"-",""))=10),IFERROR(TEXT(VALUE(SUBSTITUTE(SUBSTITUTE(SUBSTITUTE(SUBSTITUTE(CLEAN(E225&amp;"")," ",""),".","")," ",""),"-","")),REPT("0",LEN(SUBSTITUTE(SUBSTITUTE(SUBSTITUTE(SUBSTITUTE(CLEAN(E225&amp;"")," ",""),".","")," ",""),"-",""))))=SUBSTITUTE(SUBSTITUTE(SUBSTITUTE(SUBSTITUTE(CLEAN(E225&amp;"")," ",""),".","")," ",""),"-",""),FALSE)),SUBSTITUTE(SUBSTITUTE(SUBSTITUTE(SUBSTITUTE(CLEAN(E225&amp;"")," ",""),".","")," ",""),"-",""),"CHECK: not 2, 4, 6, 8 or 10 digits"))</f>
        <v/>
      </c>
      <c r="G225" s="11" t="n"/>
      <c r="H225" s="8" t="n"/>
      <c r="I225" s="8" t="n"/>
      <c r="J225" s="10">
        <f>IF(SUBSTITUTE(SUBSTITUTE(SUBSTITUTE(SUBSTITUTE(CLEAN(I225&amp;"")," ",""),".","")," ",""),"-","")="","",IF(AND(OR(LEN(SUBSTITUTE(SUBSTITUTE(SUBSTITUTE(SUBSTITUTE(CLEAN(I225&amp;"")," ",""),".","")," ",""),"-",""))=2,LEN(SUBSTITUTE(SUBSTITUTE(SUBSTITUTE(SUBSTITUTE(CLEAN(I225&amp;"")," ",""),".","")," ",""),"-",""))=4,LEN(SUBSTITUTE(SUBSTITUTE(SUBSTITUTE(SUBSTITUTE(CLEAN(I225&amp;"")," ",""),".","")," ",""),"-",""))=6,LEN(SUBSTITUTE(SUBSTITUTE(SUBSTITUTE(SUBSTITUTE(CLEAN(I225&amp;"")," ",""),".","")," ",""),"-",""))=8,LEN(SUBSTITUTE(SUBSTITUTE(SUBSTITUTE(SUBSTITUTE(CLEAN(I225&amp;"")," ",""),".","")," ",""),"-",""))=10),IFERROR(TEXT(VALUE(SUBSTITUTE(SUBSTITUTE(SUBSTITUTE(SUBSTITUTE(CLEAN(I225&amp;"")," ",""),".","")," ",""),"-","")),REPT("0",LEN(SUBSTITUTE(SUBSTITUTE(SUBSTITUTE(SUBSTITUTE(CLEAN(I225&amp;"")," ",""),".","")," ",""),"-",""))))=SUBSTITUTE(SUBSTITUTE(SUBSTITUTE(SUBSTITUTE(CLEAN(I225&amp;"")," ",""),".","")," ",""),"-",""),FALSE)),SUBSTITUTE(SUBSTITUTE(SUBSTITUTE(SUBSTITUTE(CLEAN(I225&amp;"")," ",""),".","")," ",""),"-",""),"CHECK: not 2, 4, 6, 8 or 10 digits"))</f>
        <v/>
      </c>
      <c r="K225" s="11" t="n"/>
    </row>
    <row r="226">
      <c r="E226" s="8" t="n"/>
      <c r="F226" s="10">
        <f>IF(SUBSTITUTE(SUBSTITUTE(SUBSTITUTE(SUBSTITUTE(CLEAN(E226&amp;"")," ",""),".","")," ",""),"-","")="","",IF(AND(OR(LEN(SUBSTITUTE(SUBSTITUTE(SUBSTITUTE(SUBSTITUTE(CLEAN(E226&amp;"")," ",""),".","")," ",""),"-",""))=2,LEN(SUBSTITUTE(SUBSTITUTE(SUBSTITUTE(SUBSTITUTE(CLEAN(E226&amp;"")," ",""),".","")," ",""),"-",""))=4,LEN(SUBSTITUTE(SUBSTITUTE(SUBSTITUTE(SUBSTITUTE(CLEAN(E226&amp;"")," ",""),".","")," ",""),"-",""))=6,LEN(SUBSTITUTE(SUBSTITUTE(SUBSTITUTE(SUBSTITUTE(CLEAN(E226&amp;"")," ",""),".","")," ",""),"-",""))=8,LEN(SUBSTITUTE(SUBSTITUTE(SUBSTITUTE(SUBSTITUTE(CLEAN(E226&amp;"")," ",""),".","")," ",""),"-",""))=10),IFERROR(TEXT(VALUE(SUBSTITUTE(SUBSTITUTE(SUBSTITUTE(SUBSTITUTE(CLEAN(E226&amp;"")," ",""),".","")," ",""),"-","")),REPT("0",LEN(SUBSTITUTE(SUBSTITUTE(SUBSTITUTE(SUBSTITUTE(CLEAN(E226&amp;"")," ",""),".","")," ",""),"-",""))))=SUBSTITUTE(SUBSTITUTE(SUBSTITUTE(SUBSTITUTE(CLEAN(E226&amp;"")," ",""),".","")," ",""),"-",""),FALSE)),SUBSTITUTE(SUBSTITUTE(SUBSTITUTE(SUBSTITUTE(CLEAN(E226&amp;"")," ",""),".","")," ",""),"-",""),"CHECK: not 2, 4, 6, 8 or 10 digits"))</f>
        <v/>
      </c>
      <c r="G226" s="11" t="n"/>
      <c r="H226" s="8" t="n"/>
      <c r="I226" s="8" t="n"/>
      <c r="J226" s="10">
        <f>IF(SUBSTITUTE(SUBSTITUTE(SUBSTITUTE(SUBSTITUTE(CLEAN(I226&amp;"")," ",""),".","")," ",""),"-","")="","",IF(AND(OR(LEN(SUBSTITUTE(SUBSTITUTE(SUBSTITUTE(SUBSTITUTE(CLEAN(I226&amp;"")," ",""),".","")," ",""),"-",""))=2,LEN(SUBSTITUTE(SUBSTITUTE(SUBSTITUTE(SUBSTITUTE(CLEAN(I226&amp;"")," ",""),".","")," ",""),"-",""))=4,LEN(SUBSTITUTE(SUBSTITUTE(SUBSTITUTE(SUBSTITUTE(CLEAN(I226&amp;"")," ",""),".","")," ",""),"-",""))=6,LEN(SUBSTITUTE(SUBSTITUTE(SUBSTITUTE(SUBSTITUTE(CLEAN(I226&amp;"")," ",""),".","")," ",""),"-",""))=8,LEN(SUBSTITUTE(SUBSTITUTE(SUBSTITUTE(SUBSTITUTE(CLEAN(I226&amp;"")," ",""),".","")," ",""),"-",""))=10),IFERROR(TEXT(VALUE(SUBSTITUTE(SUBSTITUTE(SUBSTITUTE(SUBSTITUTE(CLEAN(I226&amp;"")," ",""),".","")," ",""),"-","")),REPT("0",LEN(SUBSTITUTE(SUBSTITUTE(SUBSTITUTE(SUBSTITUTE(CLEAN(I226&amp;"")," ",""),".","")," ",""),"-",""))))=SUBSTITUTE(SUBSTITUTE(SUBSTITUTE(SUBSTITUTE(CLEAN(I226&amp;"")," ",""),".","")," ",""),"-",""),FALSE)),SUBSTITUTE(SUBSTITUTE(SUBSTITUTE(SUBSTITUTE(CLEAN(I226&amp;"")," ",""),".","")," ",""),"-",""),"CHECK: not 2, 4, 6, 8 or 10 digits"))</f>
        <v/>
      </c>
      <c r="K226" s="11" t="n"/>
    </row>
    <row r="227">
      <c r="E227" s="8" t="n"/>
      <c r="F227" s="10">
        <f>IF(SUBSTITUTE(SUBSTITUTE(SUBSTITUTE(SUBSTITUTE(CLEAN(E227&amp;"")," ",""),".","")," ",""),"-","")="","",IF(AND(OR(LEN(SUBSTITUTE(SUBSTITUTE(SUBSTITUTE(SUBSTITUTE(CLEAN(E227&amp;"")," ",""),".","")," ",""),"-",""))=2,LEN(SUBSTITUTE(SUBSTITUTE(SUBSTITUTE(SUBSTITUTE(CLEAN(E227&amp;"")," ",""),".","")," ",""),"-",""))=4,LEN(SUBSTITUTE(SUBSTITUTE(SUBSTITUTE(SUBSTITUTE(CLEAN(E227&amp;"")," ",""),".","")," ",""),"-",""))=6,LEN(SUBSTITUTE(SUBSTITUTE(SUBSTITUTE(SUBSTITUTE(CLEAN(E227&amp;"")," ",""),".","")," ",""),"-",""))=8,LEN(SUBSTITUTE(SUBSTITUTE(SUBSTITUTE(SUBSTITUTE(CLEAN(E227&amp;"")," ",""),".","")," ",""),"-",""))=10),IFERROR(TEXT(VALUE(SUBSTITUTE(SUBSTITUTE(SUBSTITUTE(SUBSTITUTE(CLEAN(E227&amp;"")," ",""),".","")," ",""),"-","")),REPT("0",LEN(SUBSTITUTE(SUBSTITUTE(SUBSTITUTE(SUBSTITUTE(CLEAN(E227&amp;"")," ",""),".","")," ",""),"-",""))))=SUBSTITUTE(SUBSTITUTE(SUBSTITUTE(SUBSTITUTE(CLEAN(E227&amp;"")," ",""),".","")," ",""),"-",""),FALSE)),SUBSTITUTE(SUBSTITUTE(SUBSTITUTE(SUBSTITUTE(CLEAN(E227&amp;"")," ",""),".","")," ",""),"-",""),"CHECK: not 2, 4, 6, 8 or 10 digits"))</f>
        <v/>
      </c>
      <c r="G227" s="11" t="n"/>
      <c r="H227" s="8" t="n"/>
      <c r="I227" s="8" t="n"/>
      <c r="J227" s="10">
        <f>IF(SUBSTITUTE(SUBSTITUTE(SUBSTITUTE(SUBSTITUTE(CLEAN(I227&amp;"")," ",""),".","")," ",""),"-","")="","",IF(AND(OR(LEN(SUBSTITUTE(SUBSTITUTE(SUBSTITUTE(SUBSTITUTE(CLEAN(I227&amp;"")," ",""),".","")," ",""),"-",""))=2,LEN(SUBSTITUTE(SUBSTITUTE(SUBSTITUTE(SUBSTITUTE(CLEAN(I227&amp;"")," ",""),".","")," ",""),"-",""))=4,LEN(SUBSTITUTE(SUBSTITUTE(SUBSTITUTE(SUBSTITUTE(CLEAN(I227&amp;"")," ",""),".","")," ",""),"-",""))=6,LEN(SUBSTITUTE(SUBSTITUTE(SUBSTITUTE(SUBSTITUTE(CLEAN(I227&amp;"")," ",""),".","")," ",""),"-",""))=8,LEN(SUBSTITUTE(SUBSTITUTE(SUBSTITUTE(SUBSTITUTE(CLEAN(I227&amp;"")," ",""),".","")," ",""),"-",""))=10),IFERROR(TEXT(VALUE(SUBSTITUTE(SUBSTITUTE(SUBSTITUTE(SUBSTITUTE(CLEAN(I227&amp;"")," ",""),".","")," ",""),"-","")),REPT("0",LEN(SUBSTITUTE(SUBSTITUTE(SUBSTITUTE(SUBSTITUTE(CLEAN(I227&amp;"")," ",""),".","")," ",""),"-",""))))=SUBSTITUTE(SUBSTITUTE(SUBSTITUTE(SUBSTITUTE(CLEAN(I227&amp;"")," ",""),".","")," ",""),"-",""),FALSE)),SUBSTITUTE(SUBSTITUTE(SUBSTITUTE(SUBSTITUTE(CLEAN(I227&amp;"")," ",""),".","")," ",""),"-",""),"CHECK: not 2, 4, 6, 8 or 10 digits"))</f>
        <v/>
      </c>
      <c r="K227" s="11" t="n"/>
    </row>
    <row r="228">
      <c r="E228" s="8" t="n"/>
      <c r="F228" s="10">
        <f>IF(SUBSTITUTE(SUBSTITUTE(SUBSTITUTE(SUBSTITUTE(CLEAN(E228&amp;"")," ",""),".","")," ",""),"-","")="","",IF(AND(OR(LEN(SUBSTITUTE(SUBSTITUTE(SUBSTITUTE(SUBSTITUTE(CLEAN(E228&amp;"")," ",""),".","")," ",""),"-",""))=2,LEN(SUBSTITUTE(SUBSTITUTE(SUBSTITUTE(SUBSTITUTE(CLEAN(E228&amp;"")," ",""),".","")," ",""),"-",""))=4,LEN(SUBSTITUTE(SUBSTITUTE(SUBSTITUTE(SUBSTITUTE(CLEAN(E228&amp;"")," ",""),".","")," ",""),"-",""))=6,LEN(SUBSTITUTE(SUBSTITUTE(SUBSTITUTE(SUBSTITUTE(CLEAN(E228&amp;"")," ",""),".","")," ",""),"-",""))=8,LEN(SUBSTITUTE(SUBSTITUTE(SUBSTITUTE(SUBSTITUTE(CLEAN(E228&amp;"")," ",""),".","")," ",""),"-",""))=10),IFERROR(TEXT(VALUE(SUBSTITUTE(SUBSTITUTE(SUBSTITUTE(SUBSTITUTE(CLEAN(E228&amp;"")," ",""),".","")," ",""),"-","")),REPT("0",LEN(SUBSTITUTE(SUBSTITUTE(SUBSTITUTE(SUBSTITUTE(CLEAN(E228&amp;"")," ",""),".","")," ",""),"-",""))))=SUBSTITUTE(SUBSTITUTE(SUBSTITUTE(SUBSTITUTE(CLEAN(E228&amp;"")," ",""),".","")," ",""),"-",""),FALSE)),SUBSTITUTE(SUBSTITUTE(SUBSTITUTE(SUBSTITUTE(CLEAN(E228&amp;"")," ",""),".","")," ",""),"-",""),"CHECK: not 2, 4, 6, 8 or 10 digits"))</f>
        <v/>
      </c>
      <c r="G228" s="11" t="n"/>
      <c r="H228" s="8" t="n"/>
      <c r="I228" s="8" t="n"/>
      <c r="J228" s="10">
        <f>IF(SUBSTITUTE(SUBSTITUTE(SUBSTITUTE(SUBSTITUTE(CLEAN(I228&amp;"")," ",""),".","")," ",""),"-","")="","",IF(AND(OR(LEN(SUBSTITUTE(SUBSTITUTE(SUBSTITUTE(SUBSTITUTE(CLEAN(I228&amp;"")," ",""),".","")," ",""),"-",""))=2,LEN(SUBSTITUTE(SUBSTITUTE(SUBSTITUTE(SUBSTITUTE(CLEAN(I228&amp;"")," ",""),".","")," ",""),"-",""))=4,LEN(SUBSTITUTE(SUBSTITUTE(SUBSTITUTE(SUBSTITUTE(CLEAN(I228&amp;"")," ",""),".","")," ",""),"-",""))=6,LEN(SUBSTITUTE(SUBSTITUTE(SUBSTITUTE(SUBSTITUTE(CLEAN(I228&amp;"")," ",""),".","")," ",""),"-",""))=8,LEN(SUBSTITUTE(SUBSTITUTE(SUBSTITUTE(SUBSTITUTE(CLEAN(I228&amp;"")," ",""),".","")," ",""),"-",""))=10),IFERROR(TEXT(VALUE(SUBSTITUTE(SUBSTITUTE(SUBSTITUTE(SUBSTITUTE(CLEAN(I228&amp;"")," ",""),".","")," ",""),"-","")),REPT("0",LEN(SUBSTITUTE(SUBSTITUTE(SUBSTITUTE(SUBSTITUTE(CLEAN(I228&amp;"")," ",""),".","")," ",""),"-",""))))=SUBSTITUTE(SUBSTITUTE(SUBSTITUTE(SUBSTITUTE(CLEAN(I228&amp;"")," ",""),".","")," ",""),"-",""),FALSE)),SUBSTITUTE(SUBSTITUTE(SUBSTITUTE(SUBSTITUTE(CLEAN(I228&amp;"")," ",""),".","")," ",""),"-",""),"CHECK: not 2, 4, 6, 8 or 10 digits"))</f>
        <v/>
      </c>
      <c r="K228" s="11" t="n"/>
    </row>
    <row r="229">
      <c r="E229" s="8" t="n"/>
      <c r="F229" s="10">
        <f>IF(SUBSTITUTE(SUBSTITUTE(SUBSTITUTE(SUBSTITUTE(CLEAN(E229&amp;"")," ",""),".","")," ",""),"-","")="","",IF(AND(OR(LEN(SUBSTITUTE(SUBSTITUTE(SUBSTITUTE(SUBSTITUTE(CLEAN(E229&amp;"")," ",""),".","")," ",""),"-",""))=2,LEN(SUBSTITUTE(SUBSTITUTE(SUBSTITUTE(SUBSTITUTE(CLEAN(E229&amp;"")," ",""),".","")," ",""),"-",""))=4,LEN(SUBSTITUTE(SUBSTITUTE(SUBSTITUTE(SUBSTITUTE(CLEAN(E229&amp;"")," ",""),".","")," ",""),"-",""))=6,LEN(SUBSTITUTE(SUBSTITUTE(SUBSTITUTE(SUBSTITUTE(CLEAN(E229&amp;"")," ",""),".","")," ",""),"-",""))=8,LEN(SUBSTITUTE(SUBSTITUTE(SUBSTITUTE(SUBSTITUTE(CLEAN(E229&amp;"")," ",""),".","")," ",""),"-",""))=10),IFERROR(TEXT(VALUE(SUBSTITUTE(SUBSTITUTE(SUBSTITUTE(SUBSTITUTE(CLEAN(E229&amp;"")," ",""),".","")," ",""),"-","")),REPT("0",LEN(SUBSTITUTE(SUBSTITUTE(SUBSTITUTE(SUBSTITUTE(CLEAN(E229&amp;"")," ",""),".","")," ",""),"-",""))))=SUBSTITUTE(SUBSTITUTE(SUBSTITUTE(SUBSTITUTE(CLEAN(E229&amp;"")," ",""),".","")," ",""),"-",""),FALSE)),SUBSTITUTE(SUBSTITUTE(SUBSTITUTE(SUBSTITUTE(CLEAN(E229&amp;"")," ",""),".","")," ",""),"-",""),"CHECK: not 2, 4, 6, 8 or 10 digits"))</f>
        <v/>
      </c>
      <c r="G229" s="11" t="n"/>
      <c r="H229" s="8" t="n"/>
      <c r="I229" s="8" t="n"/>
      <c r="J229" s="10">
        <f>IF(SUBSTITUTE(SUBSTITUTE(SUBSTITUTE(SUBSTITUTE(CLEAN(I229&amp;"")," ",""),".","")," ",""),"-","")="","",IF(AND(OR(LEN(SUBSTITUTE(SUBSTITUTE(SUBSTITUTE(SUBSTITUTE(CLEAN(I229&amp;"")," ",""),".","")," ",""),"-",""))=2,LEN(SUBSTITUTE(SUBSTITUTE(SUBSTITUTE(SUBSTITUTE(CLEAN(I229&amp;"")," ",""),".","")," ",""),"-",""))=4,LEN(SUBSTITUTE(SUBSTITUTE(SUBSTITUTE(SUBSTITUTE(CLEAN(I229&amp;"")," ",""),".","")," ",""),"-",""))=6,LEN(SUBSTITUTE(SUBSTITUTE(SUBSTITUTE(SUBSTITUTE(CLEAN(I229&amp;"")," ",""),".","")," ",""),"-",""))=8,LEN(SUBSTITUTE(SUBSTITUTE(SUBSTITUTE(SUBSTITUTE(CLEAN(I229&amp;"")," ",""),".","")," ",""),"-",""))=10),IFERROR(TEXT(VALUE(SUBSTITUTE(SUBSTITUTE(SUBSTITUTE(SUBSTITUTE(CLEAN(I229&amp;"")," ",""),".","")," ",""),"-","")),REPT("0",LEN(SUBSTITUTE(SUBSTITUTE(SUBSTITUTE(SUBSTITUTE(CLEAN(I229&amp;"")," ",""),".","")," ",""),"-",""))))=SUBSTITUTE(SUBSTITUTE(SUBSTITUTE(SUBSTITUTE(CLEAN(I229&amp;"")," ",""),".","")," ",""),"-",""),FALSE)),SUBSTITUTE(SUBSTITUTE(SUBSTITUTE(SUBSTITUTE(CLEAN(I229&amp;"")," ",""),".","")," ",""),"-",""),"CHECK: not 2, 4, 6, 8 or 10 digits"))</f>
        <v/>
      </c>
      <c r="K229" s="11" t="n"/>
    </row>
    <row r="230">
      <c r="E230" s="8" t="n"/>
      <c r="F230" s="10">
        <f>IF(SUBSTITUTE(SUBSTITUTE(SUBSTITUTE(SUBSTITUTE(CLEAN(E230&amp;"")," ",""),".","")," ",""),"-","")="","",IF(AND(OR(LEN(SUBSTITUTE(SUBSTITUTE(SUBSTITUTE(SUBSTITUTE(CLEAN(E230&amp;"")," ",""),".","")," ",""),"-",""))=2,LEN(SUBSTITUTE(SUBSTITUTE(SUBSTITUTE(SUBSTITUTE(CLEAN(E230&amp;"")," ",""),".","")," ",""),"-",""))=4,LEN(SUBSTITUTE(SUBSTITUTE(SUBSTITUTE(SUBSTITUTE(CLEAN(E230&amp;"")," ",""),".","")," ",""),"-",""))=6,LEN(SUBSTITUTE(SUBSTITUTE(SUBSTITUTE(SUBSTITUTE(CLEAN(E230&amp;"")," ",""),".","")," ",""),"-",""))=8,LEN(SUBSTITUTE(SUBSTITUTE(SUBSTITUTE(SUBSTITUTE(CLEAN(E230&amp;"")," ",""),".","")," ",""),"-",""))=10),IFERROR(TEXT(VALUE(SUBSTITUTE(SUBSTITUTE(SUBSTITUTE(SUBSTITUTE(CLEAN(E230&amp;"")," ",""),".","")," ",""),"-","")),REPT("0",LEN(SUBSTITUTE(SUBSTITUTE(SUBSTITUTE(SUBSTITUTE(CLEAN(E230&amp;"")," ",""),".","")," ",""),"-",""))))=SUBSTITUTE(SUBSTITUTE(SUBSTITUTE(SUBSTITUTE(CLEAN(E230&amp;"")," ",""),".","")," ",""),"-",""),FALSE)),SUBSTITUTE(SUBSTITUTE(SUBSTITUTE(SUBSTITUTE(CLEAN(E230&amp;"")," ",""),".","")," ",""),"-",""),"CHECK: not 2, 4, 6, 8 or 10 digits"))</f>
        <v/>
      </c>
      <c r="G230" s="11" t="n"/>
      <c r="H230" s="8" t="n"/>
      <c r="I230" s="8" t="n"/>
      <c r="J230" s="10">
        <f>IF(SUBSTITUTE(SUBSTITUTE(SUBSTITUTE(SUBSTITUTE(CLEAN(I230&amp;"")," ",""),".","")," ",""),"-","")="","",IF(AND(OR(LEN(SUBSTITUTE(SUBSTITUTE(SUBSTITUTE(SUBSTITUTE(CLEAN(I230&amp;"")," ",""),".","")," ",""),"-",""))=2,LEN(SUBSTITUTE(SUBSTITUTE(SUBSTITUTE(SUBSTITUTE(CLEAN(I230&amp;"")," ",""),".","")," ",""),"-",""))=4,LEN(SUBSTITUTE(SUBSTITUTE(SUBSTITUTE(SUBSTITUTE(CLEAN(I230&amp;"")," ",""),".","")," ",""),"-",""))=6,LEN(SUBSTITUTE(SUBSTITUTE(SUBSTITUTE(SUBSTITUTE(CLEAN(I230&amp;"")," ",""),".","")," ",""),"-",""))=8,LEN(SUBSTITUTE(SUBSTITUTE(SUBSTITUTE(SUBSTITUTE(CLEAN(I230&amp;"")," ",""),".","")," ",""),"-",""))=10),IFERROR(TEXT(VALUE(SUBSTITUTE(SUBSTITUTE(SUBSTITUTE(SUBSTITUTE(CLEAN(I230&amp;"")," ",""),".","")," ",""),"-","")),REPT("0",LEN(SUBSTITUTE(SUBSTITUTE(SUBSTITUTE(SUBSTITUTE(CLEAN(I230&amp;"")," ",""),".","")," ",""),"-",""))))=SUBSTITUTE(SUBSTITUTE(SUBSTITUTE(SUBSTITUTE(CLEAN(I230&amp;"")," ",""),".","")," ",""),"-",""),FALSE)),SUBSTITUTE(SUBSTITUTE(SUBSTITUTE(SUBSTITUTE(CLEAN(I230&amp;"")," ",""),".","")," ",""),"-",""),"CHECK: not 2, 4, 6, 8 or 10 digits"))</f>
        <v/>
      </c>
      <c r="K230" s="11" t="n"/>
    </row>
    <row r="231">
      <c r="E231" s="8" t="n"/>
      <c r="F231" s="10">
        <f>IF(SUBSTITUTE(SUBSTITUTE(SUBSTITUTE(SUBSTITUTE(CLEAN(E231&amp;"")," ",""),".","")," ",""),"-","")="","",IF(AND(OR(LEN(SUBSTITUTE(SUBSTITUTE(SUBSTITUTE(SUBSTITUTE(CLEAN(E231&amp;"")," ",""),".","")," ",""),"-",""))=2,LEN(SUBSTITUTE(SUBSTITUTE(SUBSTITUTE(SUBSTITUTE(CLEAN(E231&amp;"")," ",""),".","")," ",""),"-",""))=4,LEN(SUBSTITUTE(SUBSTITUTE(SUBSTITUTE(SUBSTITUTE(CLEAN(E231&amp;"")," ",""),".","")," ",""),"-",""))=6,LEN(SUBSTITUTE(SUBSTITUTE(SUBSTITUTE(SUBSTITUTE(CLEAN(E231&amp;"")," ",""),".","")," ",""),"-",""))=8,LEN(SUBSTITUTE(SUBSTITUTE(SUBSTITUTE(SUBSTITUTE(CLEAN(E231&amp;"")," ",""),".","")," ",""),"-",""))=10),IFERROR(TEXT(VALUE(SUBSTITUTE(SUBSTITUTE(SUBSTITUTE(SUBSTITUTE(CLEAN(E231&amp;"")," ",""),".","")," ",""),"-","")),REPT("0",LEN(SUBSTITUTE(SUBSTITUTE(SUBSTITUTE(SUBSTITUTE(CLEAN(E231&amp;"")," ",""),".","")," ",""),"-",""))))=SUBSTITUTE(SUBSTITUTE(SUBSTITUTE(SUBSTITUTE(CLEAN(E231&amp;"")," ",""),".","")," ",""),"-",""),FALSE)),SUBSTITUTE(SUBSTITUTE(SUBSTITUTE(SUBSTITUTE(CLEAN(E231&amp;"")," ",""),".","")," ",""),"-",""),"CHECK: not 2, 4, 6, 8 or 10 digits"))</f>
        <v/>
      </c>
      <c r="G231" s="11" t="n"/>
      <c r="H231" s="8" t="n"/>
      <c r="I231" s="8" t="n"/>
      <c r="J231" s="10">
        <f>IF(SUBSTITUTE(SUBSTITUTE(SUBSTITUTE(SUBSTITUTE(CLEAN(I231&amp;"")," ",""),".","")," ",""),"-","")="","",IF(AND(OR(LEN(SUBSTITUTE(SUBSTITUTE(SUBSTITUTE(SUBSTITUTE(CLEAN(I231&amp;"")," ",""),".","")," ",""),"-",""))=2,LEN(SUBSTITUTE(SUBSTITUTE(SUBSTITUTE(SUBSTITUTE(CLEAN(I231&amp;"")," ",""),".","")," ",""),"-",""))=4,LEN(SUBSTITUTE(SUBSTITUTE(SUBSTITUTE(SUBSTITUTE(CLEAN(I231&amp;"")," ",""),".","")," ",""),"-",""))=6,LEN(SUBSTITUTE(SUBSTITUTE(SUBSTITUTE(SUBSTITUTE(CLEAN(I231&amp;"")," ",""),".","")," ",""),"-",""))=8,LEN(SUBSTITUTE(SUBSTITUTE(SUBSTITUTE(SUBSTITUTE(CLEAN(I231&amp;"")," ",""),".","")," ",""),"-",""))=10),IFERROR(TEXT(VALUE(SUBSTITUTE(SUBSTITUTE(SUBSTITUTE(SUBSTITUTE(CLEAN(I231&amp;"")," ",""),".","")," ",""),"-","")),REPT("0",LEN(SUBSTITUTE(SUBSTITUTE(SUBSTITUTE(SUBSTITUTE(CLEAN(I231&amp;"")," ",""),".","")," ",""),"-",""))))=SUBSTITUTE(SUBSTITUTE(SUBSTITUTE(SUBSTITUTE(CLEAN(I231&amp;"")," ",""),".","")," ",""),"-",""),FALSE)),SUBSTITUTE(SUBSTITUTE(SUBSTITUTE(SUBSTITUTE(CLEAN(I231&amp;"")," ",""),".","")," ",""),"-",""),"CHECK: not 2, 4, 6, 8 or 10 digits"))</f>
        <v/>
      </c>
      <c r="K231" s="11" t="n"/>
    </row>
    <row r="232">
      <c r="E232" s="8" t="n"/>
      <c r="F232" s="10">
        <f>IF(SUBSTITUTE(SUBSTITUTE(SUBSTITUTE(SUBSTITUTE(CLEAN(E232&amp;"")," ",""),".","")," ",""),"-","")="","",IF(AND(OR(LEN(SUBSTITUTE(SUBSTITUTE(SUBSTITUTE(SUBSTITUTE(CLEAN(E232&amp;"")," ",""),".","")," ",""),"-",""))=2,LEN(SUBSTITUTE(SUBSTITUTE(SUBSTITUTE(SUBSTITUTE(CLEAN(E232&amp;"")," ",""),".","")," ",""),"-",""))=4,LEN(SUBSTITUTE(SUBSTITUTE(SUBSTITUTE(SUBSTITUTE(CLEAN(E232&amp;"")," ",""),".","")," ",""),"-",""))=6,LEN(SUBSTITUTE(SUBSTITUTE(SUBSTITUTE(SUBSTITUTE(CLEAN(E232&amp;"")," ",""),".","")," ",""),"-",""))=8,LEN(SUBSTITUTE(SUBSTITUTE(SUBSTITUTE(SUBSTITUTE(CLEAN(E232&amp;"")," ",""),".","")," ",""),"-",""))=10),IFERROR(TEXT(VALUE(SUBSTITUTE(SUBSTITUTE(SUBSTITUTE(SUBSTITUTE(CLEAN(E232&amp;"")," ",""),".","")," ",""),"-","")),REPT("0",LEN(SUBSTITUTE(SUBSTITUTE(SUBSTITUTE(SUBSTITUTE(CLEAN(E232&amp;"")," ",""),".","")," ",""),"-",""))))=SUBSTITUTE(SUBSTITUTE(SUBSTITUTE(SUBSTITUTE(CLEAN(E232&amp;"")," ",""),".","")," ",""),"-",""),FALSE)),SUBSTITUTE(SUBSTITUTE(SUBSTITUTE(SUBSTITUTE(CLEAN(E232&amp;"")," ",""),".","")," ",""),"-",""),"CHECK: not 2, 4, 6, 8 or 10 digits"))</f>
        <v/>
      </c>
      <c r="G232" s="11" t="n"/>
      <c r="H232" s="8" t="n"/>
      <c r="I232" s="8" t="n"/>
      <c r="J232" s="10">
        <f>IF(SUBSTITUTE(SUBSTITUTE(SUBSTITUTE(SUBSTITUTE(CLEAN(I232&amp;"")," ",""),".","")," ",""),"-","")="","",IF(AND(OR(LEN(SUBSTITUTE(SUBSTITUTE(SUBSTITUTE(SUBSTITUTE(CLEAN(I232&amp;"")," ",""),".","")," ",""),"-",""))=2,LEN(SUBSTITUTE(SUBSTITUTE(SUBSTITUTE(SUBSTITUTE(CLEAN(I232&amp;"")," ",""),".","")," ",""),"-",""))=4,LEN(SUBSTITUTE(SUBSTITUTE(SUBSTITUTE(SUBSTITUTE(CLEAN(I232&amp;"")," ",""),".","")," ",""),"-",""))=6,LEN(SUBSTITUTE(SUBSTITUTE(SUBSTITUTE(SUBSTITUTE(CLEAN(I232&amp;"")," ",""),".","")," ",""),"-",""))=8,LEN(SUBSTITUTE(SUBSTITUTE(SUBSTITUTE(SUBSTITUTE(CLEAN(I232&amp;"")," ",""),".","")," ",""),"-",""))=10),IFERROR(TEXT(VALUE(SUBSTITUTE(SUBSTITUTE(SUBSTITUTE(SUBSTITUTE(CLEAN(I232&amp;"")," ",""),".","")," ",""),"-","")),REPT("0",LEN(SUBSTITUTE(SUBSTITUTE(SUBSTITUTE(SUBSTITUTE(CLEAN(I232&amp;"")," ",""),".","")," ",""),"-",""))))=SUBSTITUTE(SUBSTITUTE(SUBSTITUTE(SUBSTITUTE(CLEAN(I232&amp;"")," ",""),".","")," ",""),"-",""),FALSE)),SUBSTITUTE(SUBSTITUTE(SUBSTITUTE(SUBSTITUTE(CLEAN(I232&amp;"")," ",""),".","")," ",""),"-",""),"CHECK: not 2, 4, 6, 8 or 10 digits"))</f>
        <v/>
      </c>
      <c r="K232" s="11" t="n"/>
    </row>
    <row r="233">
      <c r="E233" s="8" t="n"/>
      <c r="F233" s="10">
        <f>IF(SUBSTITUTE(SUBSTITUTE(SUBSTITUTE(SUBSTITUTE(CLEAN(E233&amp;"")," ",""),".","")," ",""),"-","")="","",IF(AND(OR(LEN(SUBSTITUTE(SUBSTITUTE(SUBSTITUTE(SUBSTITUTE(CLEAN(E233&amp;"")," ",""),".","")," ",""),"-",""))=2,LEN(SUBSTITUTE(SUBSTITUTE(SUBSTITUTE(SUBSTITUTE(CLEAN(E233&amp;"")," ",""),".","")," ",""),"-",""))=4,LEN(SUBSTITUTE(SUBSTITUTE(SUBSTITUTE(SUBSTITUTE(CLEAN(E233&amp;"")," ",""),".","")," ",""),"-",""))=6,LEN(SUBSTITUTE(SUBSTITUTE(SUBSTITUTE(SUBSTITUTE(CLEAN(E233&amp;"")," ",""),".","")," ",""),"-",""))=8,LEN(SUBSTITUTE(SUBSTITUTE(SUBSTITUTE(SUBSTITUTE(CLEAN(E233&amp;"")," ",""),".","")," ",""),"-",""))=10),IFERROR(TEXT(VALUE(SUBSTITUTE(SUBSTITUTE(SUBSTITUTE(SUBSTITUTE(CLEAN(E233&amp;"")," ",""),".","")," ",""),"-","")),REPT("0",LEN(SUBSTITUTE(SUBSTITUTE(SUBSTITUTE(SUBSTITUTE(CLEAN(E233&amp;"")," ",""),".","")," ",""),"-",""))))=SUBSTITUTE(SUBSTITUTE(SUBSTITUTE(SUBSTITUTE(CLEAN(E233&amp;"")," ",""),".","")," ",""),"-",""),FALSE)),SUBSTITUTE(SUBSTITUTE(SUBSTITUTE(SUBSTITUTE(CLEAN(E233&amp;"")," ",""),".","")," ",""),"-",""),"CHECK: not 2, 4, 6, 8 or 10 digits"))</f>
        <v/>
      </c>
      <c r="G233" s="11" t="n"/>
      <c r="H233" s="8" t="n"/>
      <c r="I233" s="8" t="n"/>
      <c r="J233" s="10">
        <f>IF(SUBSTITUTE(SUBSTITUTE(SUBSTITUTE(SUBSTITUTE(CLEAN(I233&amp;"")," ",""),".","")," ",""),"-","")="","",IF(AND(OR(LEN(SUBSTITUTE(SUBSTITUTE(SUBSTITUTE(SUBSTITUTE(CLEAN(I233&amp;"")," ",""),".","")," ",""),"-",""))=2,LEN(SUBSTITUTE(SUBSTITUTE(SUBSTITUTE(SUBSTITUTE(CLEAN(I233&amp;"")," ",""),".","")," ",""),"-",""))=4,LEN(SUBSTITUTE(SUBSTITUTE(SUBSTITUTE(SUBSTITUTE(CLEAN(I233&amp;"")," ",""),".","")," ",""),"-",""))=6,LEN(SUBSTITUTE(SUBSTITUTE(SUBSTITUTE(SUBSTITUTE(CLEAN(I233&amp;"")," ",""),".","")," ",""),"-",""))=8,LEN(SUBSTITUTE(SUBSTITUTE(SUBSTITUTE(SUBSTITUTE(CLEAN(I233&amp;"")," ",""),".","")," ",""),"-",""))=10),IFERROR(TEXT(VALUE(SUBSTITUTE(SUBSTITUTE(SUBSTITUTE(SUBSTITUTE(CLEAN(I233&amp;"")," ",""),".","")," ",""),"-","")),REPT("0",LEN(SUBSTITUTE(SUBSTITUTE(SUBSTITUTE(SUBSTITUTE(CLEAN(I233&amp;"")," ",""),".","")," ",""),"-",""))))=SUBSTITUTE(SUBSTITUTE(SUBSTITUTE(SUBSTITUTE(CLEAN(I233&amp;"")," ",""),".","")," ",""),"-",""),FALSE)),SUBSTITUTE(SUBSTITUTE(SUBSTITUTE(SUBSTITUTE(CLEAN(I233&amp;"")," ",""),".","")," ",""),"-",""),"CHECK: not 2, 4, 6, 8 or 10 digits"))</f>
        <v/>
      </c>
      <c r="K233" s="11" t="n"/>
    </row>
    <row r="234">
      <c r="E234" s="8" t="n"/>
      <c r="F234" s="10">
        <f>IF(SUBSTITUTE(SUBSTITUTE(SUBSTITUTE(SUBSTITUTE(CLEAN(E234&amp;"")," ",""),".","")," ",""),"-","")="","",IF(AND(OR(LEN(SUBSTITUTE(SUBSTITUTE(SUBSTITUTE(SUBSTITUTE(CLEAN(E234&amp;"")," ",""),".","")," ",""),"-",""))=2,LEN(SUBSTITUTE(SUBSTITUTE(SUBSTITUTE(SUBSTITUTE(CLEAN(E234&amp;"")," ",""),".","")," ",""),"-",""))=4,LEN(SUBSTITUTE(SUBSTITUTE(SUBSTITUTE(SUBSTITUTE(CLEAN(E234&amp;"")," ",""),".","")," ",""),"-",""))=6,LEN(SUBSTITUTE(SUBSTITUTE(SUBSTITUTE(SUBSTITUTE(CLEAN(E234&amp;"")," ",""),".","")," ",""),"-",""))=8,LEN(SUBSTITUTE(SUBSTITUTE(SUBSTITUTE(SUBSTITUTE(CLEAN(E234&amp;"")," ",""),".","")," ",""),"-",""))=10),IFERROR(TEXT(VALUE(SUBSTITUTE(SUBSTITUTE(SUBSTITUTE(SUBSTITUTE(CLEAN(E234&amp;"")," ",""),".","")," ",""),"-","")),REPT("0",LEN(SUBSTITUTE(SUBSTITUTE(SUBSTITUTE(SUBSTITUTE(CLEAN(E234&amp;"")," ",""),".","")," ",""),"-",""))))=SUBSTITUTE(SUBSTITUTE(SUBSTITUTE(SUBSTITUTE(CLEAN(E234&amp;"")," ",""),".","")," ",""),"-",""),FALSE)),SUBSTITUTE(SUBSTITUTE(SUBSTITUTE(SUBSTITUTE(CLEAN(E234&amp;"")," ",""),".","")," ",""),"-",""),"CHECK: not 2, 4, 6, 8 or 10 digits"))</f>
        <v/>
      </c>
      <c r="G234" s="11" t="n"/>
      <c r="H234" s="8" t="n"/>
      <c r="I234" s="8" t="n"/>
      <c r="J234" s="10">
        <f>IF(SUBSTITUTE(SUBSTITUTE(SUBSTITUTE(SUBSTITUTE(CLEAN(I234&amp;"")," ",""),".","")," ",""),"-","")="","",IF(AND(OR(LEN(SUBSTITUTE(SUBSTITUTE(SUBSTITUTE(SUBSTITUTE(CLEAN(I234&amp;"")," ",""),".","")," ",""),"-",""))=2,LEN(SUBSTITUTE(SUBSTITUTE(SUBSTITUTE(SUBSTITUTE(CLEAN(I234&amp;"")," ",""),".","")," ",""),"-",""))=4,LEN(SUBSTITUTE(SUBSTITUTE(SUBSTITUTE(SUBSTITUTE(CLEAN(I234&amp;"")," ",""),".","")," ",""),"-",""))=6,LEN(SUBSTITUTE(SUBSTITUTE(SUBSTITUTE(SUBSTITUTE(CLEAN(I234&amp;"")," ",""),".","")," ",""),"-",""))=8,LEN(SUBSTITUTE(SUBSTITUTE(SUBSTITUTE(SUBSTITUTE(CLEAN(I234&amp;"")," ",""),".","")," ",""),"-",""))=10),IFERROR(TEXT(VALUE(SUBSTITUTE(SUBSTITUTE(SUBSTITUTE(SUBSTITUTE(CLEAN(I234&amp;"")," ",""),".","")," ",""),"-","")),REPT("0",LEN(SUBSTITUTE(SUBSTITUTE(SUBSTITUTE(SUBSTITUTE(CLEAN(I234&amp;"")," ",""),".","")," ",""),"-",""))))=SUBSTITUTE(SUBSTITUTE(SUBSTITUTE(SUBSTITUTE(CLEAN(I234&amp;"")," ",""),".","")," ",""),"-",""),FALSE)),SUBSTITUTE(SUBSTITUTE(SUBSTITUTE(SUBSTITUTE(CLEAN(I234&amp;"")," ",""),".","")," ",""),"-",""),"CHECK: not 2, 4, 6, 8 or 10 digits"))</f>
        <v/>
      </c>
      <c r="K234" s="11" t="n"/>
    </row>
    <row r="235">
      <c r="E235" s="8" t="n"/>
      <c r="F235" s="10">
        <f>IF(SUBSTITUTE(SUBSTITUTE(SUBSTITUTE(SUBSTITUTE(CLEAN(E235&amp;"")," ",""),".","")," ",""),"-","")="","",IF(AND(OR(LEN(SUBSTITUTE(SUBSTITUTE(SUBSTITUTE(SUBSTITUTE(CLEAN(E235&amp;"")," ",""),".","")," ",""),"-",""))=2,LEN(SUBSTITUTE(SUBSTITUTE(SUBSTITUTE(SUBSTITUTE(CLEAN(E235&amp;"")," ",""),".","")," ",""),"-",""))=4,LEN(SUBSTITUTE(SUBSTITUTE(SUBSTITUTE(SUBSTITUTE(CLEAN(E235&amp;"")," ",""),".","")," ",""),"-",""))=6,LEN(SUBSTITUTE(SUBSTITUTE(SUBSTITUTE(SUBSTITUTE(CLEAN(E235&amp;"")," ",""),".","")," ",""),"-",""))=8,LEN(SUBSTITUTE(SUBSTITUTE(SUBSTITUTE(SUBSTITUTE(CLEAN(E235&amp;"")," ",""),".","")," ",""),"-",""))=10),IFERROR(TEXT(VALUE(SUBSTITUTE(SUBSTITUTE(SUBSTITUTE(SUBSTITUTE(CLEAN(E235&amp;"")," ",""),".","")," ",""),"-","")),REPT("0",LEN(SUBSTITUTE(SUBSTITUTE(SUBSTITUTE(SUBSTITUTE(CLEAN(E235&amp;"")," ",""),".","")," ",""),"-",""))))=SUBSTITUTE(SUBSTITUTE(SUBSTITUTE(SUBSTITUTE(CLEAN(E235&amp;"")," ",""),".","")," ",""),"-",""),FALSE)),SUBSTITUTE(SUBSTITUTE(SUBSTITUTE(SUBSTITUTE(CLEAN(E235&amp;"")," ",""),".","")," ",""),"-",""),"CHECK: not 2, 4, 6, 8 or 10 digits"))</f>
        <v/>
      </c>
      <c r="G235" s="11" t="n"/>
      <c r="H235" s="8" t="n"/>
      <c r="I235" s="8" t="n"/>
      <c r="J235" s="10">
        <f>IF(SUBSTITUTE(SUBSTITUTE(SUBSTITUTE(SUBSTITUTE(CLEAN(I235&amp;"")," ",""),".","")," ",""),"-","")="","",IF(AND(OR(LEN(SUBSTITUTE(SUBSTITUTE(SUBSTITUTE(SUBSTITUTE(CLEAN(I235&amp;"")," ",""),".","")," ",""),"-",""))=2,LEN(SUBSTITUTE(SUBSTITUTE(SUBSTITUTE(SUBSTITUTE(CLEAN(I235&amp;"")," ",""),".","")," ",""),"-",""))=4,LEN(SUBSTITUTE(SUBSTITUTE(SUBSTITUTE(SUBSTITUTE(CLEAN(I235&amp;"")," ",""),".","")," ",""),"-",""))=6,LEN(SUBSTITUTE(SUBSTITUTE(SUBSTITUTE(SUBSTITUTE(CLEAN(I235&amp;"")," ",""),".","")," ",""),"-",""))=8,LEN(SUBSTITUTE(SUBSTITUTE(SUBSTITUTE(SUBSTITUTE(CLEAN(I235&amp;"")," ",""),".","")," ",""),"-",""))=10),IFERROR(TEXT(VALUE(SUBSTITUTE(SUBSTITUTE(SUBSTITUTE(SUBSTITUTE(CLEAN(I235&amp;"")," ",""),".","")," ",""),"-","")),REPT("0",LEN(SUBSTITUTE(SUBSTITUTE(SUBSTITUTE(SUBSTITUTE(CLEAN(I235&amp;"")," ",""),".","")," ",""),"-",""))))=SUBSTITUTE(SUBSTITUTE(SUBSTITUTE(SUBSTITUTE(CLEAN(I235&amp;"")," ",""),".","")," ",""),"-",""),FALSE)),SUBSTITUTE(SUBSTITUTE(SUBSTITUTE(SUBSTITUTE(CLEAN(I235&amp;"")," ",""),".","")," ",""),"-",""),"CHECK: not 2, 4, 6, 8 or 10 digits"))</f>
        <v/>
      </c>
      <c r="K235" s="11" t="n"/>
    </row>
    <row r="236">
      <c r="E236" s="8" t="n"/>
      <c r="F236" s="10">
        <f>IF(SUBSTITUTE(SUBSTITUTE(SUBSTITUTE(SUBSTITUTE(CLEAN(E236&amp;"")," ",""),".","")," ",""),"-","")="","",IF(AND(OR(LEN(SUBSTITUTE(SUBSTITUTE(SUBSTITUTE(SUBSTITUTE(CLEAN(E236&amp;"")," ",""),".","")," ",""),"-",""))=2,LEN(SUBSTITUTE(SUBSTITUTE(SUBSTITUTE(SUBSTITUTE(CLEAN(E236&amp;"")," ",""),".","")," ",""),"-",""))=4,LEN(SUBSTITUTE(SUBSTITUTE(SUBSTITUTE(SUBSTITUTE(CLEAN(E236&amp;"")," ",""),".","")," ",""),"-",""))=6,LEN(SUBSTITUTE(SUBSTITUTE(SUBSTITUTE(SUBSTITUTE(CLEAN(E236&amp;"")," ",""),".","")," ",""),"-",""))=8,LEN(SUBSTITUTE(SUBSTITUTE(SUBSTITUTE(SUBSTITUTE(CLEAN(E236&amp;"")," ",""),".","")," ",""),"-",""))=10),IFERROR(TEXT(VALUE(SUBSTITUTE(SUBSTITUTE(SUBSTITUTE(SUBSTITUTE(CLEAN(E236&amp;"")," ",""),".","")," ",""),"-","")),REPT("0",LEN(SUBSTITUTE(SUBSTITUTE(SUBSTITUTE(SUBSTITUTE(CLEAN(E236&amp;"")," ",""),".","")," ",""),"-",""))))=SUBSTITUTE(SUBSTITUTE(SUBSTITUTE(SUBSTITUTE(CLEAN(E236&amp;"")," ",""),".","")," ",""),"-",""),FALSE)),SUBSTITUTE(SUBSTITUTE(SUBSTITUTE(SUBSTITUTE(CLEAN(E236&amp;"")," ",""),".","")," ",""),"-",""),"CHECK: not 2, 4, 6, 8 or 10 digits"))</f>
        <v/>
      </c>
      <c r="G236" s="11" t="n"/>
      <c r="H236" s="8" t="n"/>
      <c r="I236" s="8" t="n"/>
      <c r="J236" s="10">
        <f>IF(SUBSTITUTE(SUBSTITUTE(SUBSTITUTE(SUBSTITUTE(CLEAN(I236&amp;"")," ",""),".","")," ",""),"-","")="","",IF(AND(OR(LEN(SUBSTITUTE(SUBSTITUTE(SUBSTITUTE(SUBSTITUTE(CLEAN(I236&amp;"")," ",""),".","")," ",""),"-",""))=2,LEN(SUBSTITUTE(SUBSTITUTE(SUBSTITUTE(SUBSTITUTE(CLEAN(I236&amp;"")," ",""),".","")," ",""),"-",""))=4,LEN(SUBSTITUTE(SUBSTITUTE(SUBSTITUTE(SUBSTITUTE(CLEAN(I236&amp;"")," ",""),".","")," ",""),"-",""))=6,LEN(SUBSTITUTE(SUBSTITUTE(SUBSTITUTE(SUBSTITUTE(CLEAN(I236&amp;"")," ",""),".","")," ",""),"-",""))=8,LEN(SUBSTITUTE(SUBSTITUTE(SUBSTITUTE(SUBSTITUTE(CLEAN(I236&amp;"")," ",""),".","")," ",""),"-",""))=10),IFERROR(TEXT(VALUE(SUBSTITUTE(SUBSTITUTE(SUBSTITUTE(SUBSTITUTE(CLEAN(I236&amp;"")," ",""),".","")," ",""),"-","")),REPT("0",LEN(SUBSTITUTE(SUBSTITUTE(SUBSTITUTE(SUBSTITUTE(CLEAN(I236&amp;"")," ",""),".","")," ",""),"-",""))))=SUBSTITUTE(SUBSTITUTE(SUBSTITUTE(SUBSTITUTE(CLEAN(I236&amp;"")," ",""),".","")," ",""),"-",""),FALSE)),SUBSTITUTE(SUBSTITUTE(SUBSTITUTE(SUBSTITUTE(CLEAN(I236&amp;"")," ",""),".","")," ",""),"-",""),"CHECK: not 2, 4, 6, 8 or 10 digits"))</f>
        <v/>
      </c>
      <c r="K236" s="11" t="n"/>
    </row>
    <row r="237">
      <c r="E237" s="8" t="n"/>
      <c r="F237" s="10">
        <f>IF(SUBSTITUTE(SUBSTITUTE(SUBSTITUTE(SUBSTITUTE(CLEAN(E237&amp;"")," ",""),".","")," ",""),"-","")="","",IF(AND(OR(LEN(SUBSTITUTE(SUBSTITUTE(SUBSTITUTE(SUBSTITUTE(CLEAN(E237&amp;"")," ",""),".","")," ",""),"-",""))=2,LEN(SUBSTITUTE(SUBSTITUTE(SUBSTITUTE(SUBSTITUTE(CLEAN(E237&amp;"")," ",""),".","")," ",""),"-",""))=4,LEN(SUBSTITUTE(SUBSTITUTE(SUBSTITUTE(SUBSTITUTE(CLEAN(E237&amp;"")," ",""),".","")," ",""),"-",""))=6,LEN(SUBSTITUTE(SUBSTITUTE(SUBSTITUTE(SUBSTITUTE(CLEAN(E237&amp;"")," ",""),".","")," ",""),"-",""))=8,LEN(SUBSTITUTE(SUBSTITUTE(SUBSTITUTE(SUBSTITUTE(CLEAN(E237&amp;"")," ",""),".","")," ",""),"-",""))=10),IFERROR(TEXT(VALUE(SUBSTITUTE(SUBSTITUTE(SUBSTITUTE(SUBSTITUTE(CLEAN(E237&amp;"")," ",""),".","")," ",""),"-","")),REPT("0",LEN(SUBSTITUTE(SUBSTITUTE(SUBSTITUTE(SUBSTITUTE(CLEAN(E237&amp;"")," ",""),".","")," ",""),"-",""))))=SUBSTITUTE(SUBSTITUTE(SUBSTITUTE(SUBSTITUTE(CLEAN(E237&amp;"")," ",""),".","")," ",""),"-",""),FALSE)),SUBSTITUTE(SUBSTITUTE(SUBSTITUTE(SUBSTITUTE(CLEAN(E237&amp;"")," ",""),".","")," ",""),"-",""),"CHECK: not 2, 4, 6, 8 or 10 digits"))</f>
        <v/>
      </c>
      <c r="G237" s="11" t="n"/>
      <c r="H237" s="8" t="n"/>
      <c r="I237" s="8" t="n"/>
      <c r="J237" s="10">
        <f>IF(SUBSTITUTE(SUBSTITUTE(SUBSTITUTE(SUBSTITUTE(CLEAN(I237&amp;"")," ",""),".","")," ",""),"-","")="","",IF(AND(OR(LEN(SUBSTITUTE(SUBSTITUTE(SUBSTITUTE(SUBSTITUTE(CLEAN(I237&amp;"")," ",""),".","")," ",""),"-",""))=2,LEN(SUBSTITUTE(SUBSTITUTE(SUBSTITUTE(SUBSTITUTE(CLEAN(I237&amp;"")," ",""),".","")," ",""),"-",""))=4,LEN(SUBSTITUTE(SUBSTITUTE(SUBSTITUTE(SUBSTITUTE(CLEAN(I237&amp;"")," ",""),".","")," ",""),"-",""))=6,LEN(SUBSTITUTE(SUBSTITUTE(SUBSTITUTE(SUBSTITUTE(CLEAN(I237&amp;"")," ",""),".","")," ",""),"-",""))=8,LEN(SUBSTITUTE(SUBSTITUTE(SUBSTITUTE(SUBSTITUTE(CLEAN(I237&amp;"")," ",""),".","")," ",""),"-",""))=10),IFERROR(TEXT(VALUE(SUBSTITUTE(SUBSTITUTE(SUBSTITUTE(SUBSTITUTE(CLEAN(I237&amp;"")," ",""),".","")," ",""),"-","")),REPT("0",LEN(SUBSTITUTE(SUBSTITUTE(SUBSTITUTE(SUBSTITUTE(CLEAN(I237&amp;"")," ",""),".","")," ",""),"-",""))))=SUBSTITUTE(SUBSTITUTE(SUBSTITUTE(SUBSTITUTE(CLEAN(I237&amp;"")," ",""),".","")," ",""),"-",""),FALSE)),SUBSTITUTE(SUBSTITUTE(SUBSTITUTE(SUBSTITUTE(CLEAN(I237&amp;"")," ",""),".","")," ",""),"-",""),"CHECK: not 2, 4, 6, 8 or 10 digits"))</f>
        <v/>
      </c>
      <c r="K237" s="11" t="n"/>
    </row>
    <row r="238">
      <c r="E238" s="8" t="n"/>
      <c r="F238" s="10">
        <f>IF(SUBSTITUTE(SUBSTITUTE(SUBSTITUTE(SUBSTITUTE(CLEAN(E238&amp;"")," ",""),".","")," ",""),"-","")="","",IF(AND(OR(LEN(SUBSTITUTE(SUBSTITUTE(SUBSTITUTE(SUBSTITUTE(CLEAN(E238&amp;"")," ",""),".","")," ",""),"-",""))=2,LEN(SUBSTITUTE(SUBSTITUTE(SUBSTITUTE(SUBSTITUTE(CLEAN(E238&amp;"")," ",""),".","")," ",""),"-",""))=4,LEN(SUBSTITUTE(SUBSTITUTE(SUBSTITUTE(SUBSTITUTE(CLEAN(E238&amp;"")," ",""),".","")," ",""),"-",""))=6,LEN(SUBSTITUTE(SUBSTITUTE(SUBSTITUTE(SUBSTITUTE(CLEAN(E238&amp;"")," ",""),".","")," ",""),"-",""))=8,LEN(SUBSTITUTE(SUBSTITUTE(SUBSTITUTE(SUBSTITUTE(CLEAN(E238&amp;"")," ",""),".","")," ",""),"-",""))=10),IFERROR(TEXT(VALUE(SUBSTITUTE(SUBSTITUTE(SUBSTITUTE(SUBSTITUTE(CLEAN(E238&amp;"")," ",""),".","")," ",""),"-","")),REPT("0",LEN(SUBSTITUTE(SUBSTITUTE(SUBSTITUTE(SUBSTITUTE(CLEAN(E238&amp;"")," ",""),".","")," ",""),"-",""))))=SUBSTITUTE(SUBSTITUTE(SUBSTITUTE(SUBSTITUTE(CLEAN(E238&amp;"")," ",""),".","")," ",""),"-",""),FALSE)),SUBSTITUTE(SUBSTITUTE(SUBSTITUTE(SUBSTITUTE(CLEAN(E238&amp;"")," ",""),".","")," ",""),"-",""),"CHECK: not 2, 4, 6, 8 or 10 digits"))</f>
        <v/>
      </c>
      <c r="G238" s="11" t="n"/>
      <c r="H238" s="8" t="n"/>
      <c r="I238" s="8" t="n"/>
      <c r="J238" s="10">
        <f>IF(SUBSTITUTE(SUBSTITUTE(SUBSTITUTE(SUBSTITUTE(CLEAN(I238&amp;"")," ",""),".","")," ",""),"-","")="","",IF(AND(OR(LEN(SUBSTITUTE(SUBSTITUTE(SUBSTITUTE(SUBSTITUTE(CLEAN(I238&amp;"")," ",""),".","")," ",""),"-",""))=2,LEN(SUBSTITUTE(SUBSTITUTE(SUBSTITUTE(SUBSTITUTE(CLEAN(I238&amp;"")," ",""),".","")," ",""),"-",""))=4,LEN(SUBSTITUTE(SUBSTITUTE(SUBSTITUTE(SUBSTITUTE(CLEAN(I238&amp;"")," ",""),".","")," ",""),"-",""))=6,LEN(SUBSTITUTE(SUBSTITUTE(SUBSTITUTE(SUBSTITUTE(CLEAN(I238&amp;"")," ",""),".","")," ",""),"-",""))=8,LEN(SUBSTITUTE(SUBSTITUTE(SUBSTITUTE(SUBSTITUTE(CLEAN(I238&amp;"")," ",""),".","")," ",""),"-",""))=10),IFERROR(TEXT(VALUE(SUBSTITUTE(SUBSTITUTE(SUBSTITUTE(SUBSTITUTE(CLEAN(I238&amp;"")," ",""),".","")," ",""),"-","")),REPT("0",LEN(SUBSTITUTE(SUBSTITUTE(SUBSTITUTE(SUBSTITUTE(CLEAN(I238&amp;"")," ",""),".","")," ",""),"-",""))))=SUBSTITUTE(SUBSTITUTE(SUBSTITUTE(SUBSTITUTE(CLEAN(I238&amp;"")," ",""),".","")," ",""),"-",""),FALSE)),SUBSTITUTE(SUBSTITUTE(SUBSTITUTE(SUBSTITUTE(CLEAN(I238&amp;"")," ",""),".","")," ",""),"-",""),"CHECK: not 2, 4, 6, 8 or 10 digits"))</f>
        <v/>
      </c>
      <c r="K238" s="11" t="n"/>
    </row>
    <row r="239">
      <c r="E239" s="8" t="n"/>
      <c r="F239" s="10">
        <f>IF(SUBSTITUTE(SUBSTITUTE(SUBSTITUTE(SUBSTITUTE(CLEAN(E239&amp;"")," ",""),".","")," ",""),"-","")="","",IF(AND(OR(LEN(SUBSTITUTE(SUBSTITUTE(SUBSTITUTE(SUBSTITUTE(CLEAN(E239&amp;"")," ",""),".","")," ",""),"-",""))=2,LEN(SUBSTITUTE(SUBSTITUTE(SUBSTITUTE(SUBSTITUTE(CLEAN(E239&amp;"")," ",""),".","")," ",""),"-",""))=4,LEN(SUBSTITUTE(SUBSTITUTE(SUBSTITUTE(SUBSTITUTE(CLEAN(E239&amp;"")," ",""),".","")," ",""),"-",""))=6,LEN(SUBSTITUTE(SUBSTITUTE(SUBSTITUTE(SUBSTITUTE(CLEAN(E239&amp;"")," ",""),".","")," ",""),"-",""))=8,LEN(SUBSTITUTE(SUBSTITUTE(SUBSTITUTE(SUBSTITUTE(CLEAN(E239&amp;"")," ",""),".","")," ",""),"-",""))=10),IFERROR(TEXT(VALUE(SUBSTITUTE(SUBSTITUTE(SUBSTITUTE(SUBSTITUTE(CLEAN(E239&amp;"")," ",""),".","")," ",""),"-","")),REPT("0",LEN(SUBSTITUTE(SUBSTITUTE(SUBSTITUTE(SUBSTITUTE(CLEAN(E239&amp;"")," ",""),".","")," ",""),"-",""))))=SUBSTITUTE(SUBSTITUTE(SUBSTITUTE(SUBSTITUTE(CLEAN(E239&amp;"")," ",""),".","")," ",""),"-",""),FALSE)),SUBSTITUTE(SUBSTITUTE(SUBSTITUTE(SUBSTITUTE(CLEAN(E239&amp;"")," ",""),".","")," ",""),"-",""),"CHECK: not 2, 4, 6, 8 or 10 digits"))</f>
        <v/>
      </c>
      <c r="G239" s="11" t="n"/>
      <c r="H239" s="8" t="n"/>
      <c r="I239" s="8" t="n"/>
      <c r="J239" s="10">
        <f>IF(SUBSTITUTE(SUBSTITUTE(SUBSTITUTE(SUBSTITUTE(CLEAN(I239&amp;"")," ",""),".","")," ",""),"-","")="","",IF(AND(OR(LEN(SUBSTITUTE(SUBSTITUTE(SUBSTITUTE(SUBSTITUTE(CLEAN(I239&amp;"")," ",""),".","")," ",""),"-",""))=2,LEN(SUBSTITUTE(SUBSTITUTE(SUBSTITUTE(SUBSTITUTE(CLEAN(I239&amp;"")," ",""),".","")," ",""),"-",""))=4,LEN(SUBSTITUTE(SUBSTITUTE(SUBSTITUTE(SUBSTITUTE(CLEAN(I239&amp;"")," ",""),".","")," ",""),"-",""))=6,LEN(SUBSTITUTE(SUBSTITUTE(SUBSTITUTE(SUBSTITUTE(CLEAN(I239&amp;"")," ",""),".","")," ",""),"-",""))=8,LEN(SUBSTITUTE(SUBSTITUTE(SUBSTITUTE(SUBSTITUTE(CLEAN(I239&amp;"")," ",""),".","")," ",""),"-",""))=10),IFERROR(TEXT(VALUE(SUBSTITUTE(SUBSTITUTE(SUBSTITUTE(SUBSTITUTE(CLEAN(I239&amp;"")," ",""),".","")," ",""),"-","")),REPT("0",LEN(SUBSTITUTE(SUBSTITUTE(SUBSTITUTE(SUBSTITUTE(CLEAN(I239&amp;"")," ",""),".","")," ",""),"-",""))))=SUBSTITUTE(SUBSTITUTE(SUBSTITUTE(SUBSTITUTE(CLEAN(I239&amp;"")," ",""),".","")," ",""),"-",""),FALSE)),SUBSTITUTE(SUBSTITUTE(SUBSTITUTE(SUBSTITUTE(CLEAN(I239&amp;"")," ",""),".","")," ",""),"-",""),"CHECK: not 2, 4, 6, 8 or 10 digits"))</f>
        <v/>
      </c>
      <c r="K239" s="11" t="n"/>
    </row>
    <row r="240">
      <c r="E240" s="8" t="n"/>
      <c r="F240" s="10">
        <f>IF(SUBSTITUTE(SUBSTITUTE(SUBSTITUTE(SUBSTITUTE(CLEAN(E240&amp;"")," ",""),".","")," ",""),"-","")="","",IF(AND(OR(LEN(SUBSTITUTE(SUBSTITUTE(SUBSTITUTE(SUBSTITUTE(CLEAN(E240&amp;"")," ",""),".","")," ",""),"-",""))=2,LEN(SUBSTITUTE(SUBSTITUTE(SUBSTITUTE(SUBSTITUTE(CLEAN(E240&amp;"")," ",""),".","")," ",""),"-",""))=4,LEN(SUBSTITUTE(SUBSTITUTE(SUBSTITUTE(SUBSTITUTE(CLEAN(E240&amp;"")," ",""),".","")," ",""),"-",""))=6,LEN(SUBSTITUTE(SUBSTITUTE(SUBSTITUTE(SUBSTITUTE(CLEAN(E240&amp;"")," ",""),".","")," ",""),"-",""))=8,LEN(SUBSTITUTE(SUBSTITUTE(SUBSTITUTE(SUBSTITUTE(CLEAN(E240&amp;"")," ",""),".","")," ",""),"-",""))=10),IFERROR(TEXT(VALUE(SUBSTITUTE(SUBSTITUTE(SUBSTITUTE(SUBSTITUTE(CLEAN(E240&amp;"")," ",""),".","")," ",""),"-","")),REPT("0",LEN(SUBSTITUTE(SUBSTITUTE(SUBSTITUTE(SUBSTITUTE(CLEAN(E240&amp;"")," ",""),".","")," ",""),"-",""))))=SUBSTITUTE(SUBSTITUTE(SUBSTITUTE(SUBSTITUTE(CLEAN(E240&amp;"")," ",""),".","")," ",""),"-",""),FALSE)),SUBSTITUTE(SUBSTITUTE(SUBSTITUTE(SUBSTITUTE(CLEAN(E240&amp;"")," ",""),".","")," ",""),"-",""),"CHECK: not 2, 4, 6, 8 or 10 digits"))</f>
        <v/>
      </c>
      <c r="G240" s="11" t="n"/>
      <c r="H240" s="8" t="n"/>
      <c r="I240" s="8" t="n"/>
      <c r="J240" s="10">
        <f>IF(SUBSTITUTE(SUBSTITUTE(SUBSTITUTE(SUBSTITUTE(CLEAN(I240&amp;"")," ",""),".","")," ",""),"-","")="","",IF(AND(OR(LEN(SUBSTITUTE(SUBSTITUTE(SUBSTITUTE(SUBSTITUTE(CLEAN(I240&amp;"")," ",""),".","")," ",""),"-",""))=2,LEN(SUBSTITUTE(SUBSTITUTE(SUBSTITUTE(SUBSTITUTE(CLEAN(I240&amp;"")," ",""),".","")," ",""),"-",""))=4,LEN(SUBSTITUTE(SUBSTITUTE(SUBSTITUTE(SUBSTITUTE(CLEAN(I240&amp;"")," ",""),".","")," ",""),"-",""))=6,LEN(SUBSTITUTE(SUBSTITUTE(SUBSTITUTE(SUBSTITUTE(CLEAN(I240&amp;"")," ",""),".","")," ",""),"-",""))=8,LEN(SUBSTITUTE(SUBSTITUTE(SUBSTITUTE(SUBSTITUTE(CLEAN(I240&amp;"")," ",""),".","")," ",""),"-",""))=10),IFERROR(TEXT(VALUE(SUBSTITUTE(SUBSTITUTE(SUBSTITUTE(SUBSTITUTE(CLEAN(I240&amp;"")," ",""),".","")," ",""),"-","")),REPT("0",LEN(SUBSTITUTE(SUBSTITUTE(SUBSTITUTE(SUBSTITUTE(CLEAN(I240&amp;"")," ",""),".","")," ",""),"-",""))))=SUBSTITUTE(SUBSTITUTE(SUBSTITUTE(SUBSTITUTE(CLEAN(I240&amp;"")," ",""),".","")," ",""),"-",""),FALSE)),SUBSTITUTE(SUBSTITUTE(SUBSTITUTE(SUBSTITUTE(CLEAN(I240&amp;"")," ",""),".","")," ",""),"-",""),"CHECK: not 2, 4, 6, 8 or 10 digits"))</f>
        <v/>
      </c>
      <c r="K240" s="11" t="n"/>
    </row>
    <row r="241">
      <c r="E241" s="8" t="n"/>
      <c r="F241" s="10">
        <f>IF(SUBSTITUTE(SUBSTITUTE(SUBSTITUTE(SUBSTITUTE(CLEAN(E241&amp;"")," ",""),".","")," ",""),"-","")="","",IF(AND(OR(LEN(SUBSTITUTE(SUBSTITUTE(SUBSTITUTE(SUBSTITUTE(CLEAN(E241&amp;"")," ",""),".","")," ",""),"-",""))=2,LEN(SUBSTITUTE(SUBSTITUTE(SUBSTITUTE(SUBSTITUTE(CLEAN(E241&amp;"")," ",""),".","")," ",""),"-",""))=4,LEN(SUBSTITUTE(SUBSTITUTE(SUBSTITUTE(SUBSTITUTE(CLEAN(E241&amp;"")," ",""),".","")," ",""),"-",""))=6,LEN(SUBSTITUTE(SUBSTITUTE(SUBSTITUTE(SUBSTITUTE(CLEAN(E241&amp;"")," ",""),".","")," ",""),"-",""))=8,LEN(SUBSTITUTE(SUBSTITUTE(SUBSTITUTE(SUBSTITUTE(CLEAN(E241&amp;"")," ",""),".","")," ",""),"-",""))=10),IFERROR(TEXT(VALUE(SUBSTITUTE(SUBSTITUTE(SUBSTITUTE(SUBSTITUTE(CLEAN(E241&amp;"")," ",""),".","")," ",""),"-","")),REPT("0",LEN(SUBSTITUTE(SUBSTITUTE(SUBSTITUTE(SUBSTITUTE(CLEAN(E241&amp;"")," ",""),".","")," ",""),"-",""))))=SUBSTITUTE(SUBSTITUTE(SUBSTITUTE(SUBSTITUTE(CLEAN(E241&amp;"")," ",""),".","")," ",""),"-",""),FALSE)),SUBSTITUTE(SUBSTITUTE(SUBSTITUTE(SUBSTITUTE(CLEAN(E241&amp;"")," ",""),".","")," ",""),"-",""),"CHECK: not 2, 4, 6, 8 or 10 digits"))</f>
        <v/>
      </c>
      <c r="G241" s="11" t="n"/>
      <c r="H241" s="8" t="n"/>
      <c r="I241" s="8" t="n"/>
      <c r="J241" s="10">
        <f>IF(SUBSTITUTE(SUBSTITUTE(SUBSTITUTE(SUBSTITUTE(CLEAN(I241&amp;"")," ",""),".","")," ",""),"-","")="","",IF(AND(OR(LEN(SUBSTITUTE(SUBSTITUTE(SUBSTITUTE(SUBSTITUTE(CLEAN(I241&amp;"")," ",""),".","")," ",""),"-",""))=2,LEN(SUBSTITUTE(SUBSTITUTE(SUBSTITUTE(SUBSTITUTE(CLEAN(I241&amp;"")," ",""),".","")," ",""),"-",""))=4,LEN(SUBSTITUTE(SUBSTITUTE(SUBSTITUTE(SUBSTITUTE(CLEAN(I241&amp;"")," ",""),".","")," ",""),"-",""))=6,LEN(SUBSTITUTE(SUBSTITUTE(SUBSTITUTE(SUBSTITUTE(CLEAN(I241&amp;"")," ",""),".","")," ",""),"-",""))=8,LEN(SUBSTITUTE(SUBSTITUTE(SUBSTITUTE(SUBSTITUTE(CLEAN(I241&amp;"")," ",""),".","")," ",""),"-",""))=10),IFERROR(TEXT(VALUE(SUBSTITUTE(SUBSTITUTE(SUBSTITUTE(SUBSTITUTE(CLEAN(I241&amp;"")," ",""),".","")," ",""),"-","")),REPT("0",LEN(SUBSTITUTE(SUBSTITUTE(SUBSTITUTE(SUBSTITUTE(CLEAN(I241&amp;"")," ",""),".","")," ",""),"-",""))))=SUBSTITUTE(SUBSTITUTE(SUBSTITUTE(SUBSTITUTE(CLEAN(I241&amp;"")," ",""),".","")," ",""),"-",""),FALSE)),SUBSTITUTE(SUBSTITUTE(SUBSTITUTE(SUBSTITUTE(CLEAN(I241&amp;"")," ",""),".","")," ",""),"-",""),"CHECK: not 2, 4, 6, 8 or 10 digits"))</f>
        <v/>
      </c>
      <c r="K241" s="11" t="n"/>
    </row>
    <row r="242">
      <c r="E242" s="8" t="n"/>
      <c r="F242" s="10">
        <f>IF(SUBSTITUTE(SUBSTITUTE(SUBSTITUTE(SUBSTITUTE(CLEAN(E242&amp;"")," ",""),".","")," ",""),"-","")="","",IF(AND(OR(LEN(SUBSTITUTE(SUBSTITUTE(SUBSTITUTE(SUBSTITUTE(CLEAN(E242&amp;"")," ",""),".","")," ",""),"-",""))=2,LEN(SUBSTITUTE(SUBSTITUTE(SUBSTITUTE(SUBSTITUTE(CLEAN(E242&amp;"")," ",""),".","")," ",""),"-",""))=4,LEN(SUBSTITUTE(SUBSTITUTE(SUBSTITUTE(SUBSTITUTE(CLEAN(E242&amp;"")," ",""),".","")," ",""),"-",""))=6,LEN(SUBSTITUTE(SUBSTITUTE(SUBSTITUTE(SUBSTITUTE(CLEAN(E242&amp;"")," ",""),".","")," ",""),"-",""))=8,LEN(SUBSTITUTE(SUBSTITUTE(SUBSTITUTE(SUBSTITUTE(CLEAN(E242&amp;"")," ",""),".","")," ",""),"-",""))=10),IFERROR(TEXT(VALUE(SUBSTITUTE(SUBSTITUTE(SUBSTITUTE(SUBSTITUTE(CLEAN(E242&amp;"")," ",""),".","")," ",""),"-","")),REPT("0",LEN(SUBSTITUTE(SUBSTITUTE(SUBSTITUTE(SUBSTITUTE(CLEAN(E242&amp;"")," ",""),".","")," ",""),"-",""))))=SUBSTITUTE(SUBSTITUTE(SUBSTITUTE(SUBSTITUTE(CLEAN(E242&amp;"")," ",""),".","")," ",""),"-",""),FALSE)),SUBSTITUTE(SUBSTITUTE(SUBSTITUTE(SUBSTITUTE(CLEAN(E242&amp;"")," ",""),".","")," ",""),"-",""),"CHECK: not 2, 4, 6, 8 or 10 digits"))</f>
        <v/>
      </c>
      <c r="G242" s="11" t="n"/>
      <c r="H242" s="8" t="n"/>
      <c r="I242" s="8" t="n"/>
      <c r="J242" s="10">
        <f>IF(SUBSTITUTE(SUBSTITUTE(SUBSTITUTE(SUBSTITUTE(CLEAN(I242&amp;"")," ",""),".","")," ",""),"-","")="","",IF(AND(OR(LEN(SUBSTITUTE(SUBSTITUTE(SUBSTITUTE(SUBSTITUTE(CLEAN(I242&amp;"")," ",""),".","")," ",""),"-",""))=2,LEN(SUBSTITUTE(SUBSTITUTE(SUBSTITUTE(SUBSTITUTE(CLEAN(I242&amp;"")," ",""),".","")," ",""),"-",""))=4,LEN(SUBSTITUTE(SUBSTITUTE(SUBSTITUTE(SUBSTITUTE(CLEAN(I242&amp;"")," ",""),".","")," ",""),"-",""))=6,LEN(SUBSTITUTE(SUBSTITUTE(SUBSTITUTE(SUBSTITUTE(CLEAN(I242&amp;"")," ",""),".","")," ",""),"-",""))=8,LEN(SUBSTITUTE(SUBSTITUTE(SUBSTITUTE(SUBSTITUTE(CLEAN(I242&amp;"")," ",""),".","")," ",""),"-",""))=10),IFERROR(TEXT(VALUE(SUBSTITUTE(SUBSTITUTE(SUBSTITUTE(SUBSTITUTE(CLEAN(I242&amp;"")," ",""),".","")," ",""),"-","")),REPT("0",LEN(SUBSTITUTE(SUBSTITUTE(SUBSTITUTE(SUBSTITUTE(CLEAN(I242&amp;"")," ",""),".","")," ",""),"-",""))))=SUBSTITUTE(SUBSTITUTE(SUBSTITUTE(SUBSTITUTE(CLEAN(I242&amp;"")," ",""),".","")," ",""),"-",""),FALSE)),SUBSTITUTE(SUBSTITUTE(SUBSTITUTE(SUBSTITUTE(CLEAN(I242&amp;"")," ",""),".","")," ",""),"-",""),"CHECK: not 2, 4, 6, 8 or 10 digits"))</f>
        <v/>
      </c>
      <c r="K242" s="11" t="n"/>
    </row>
    <row r="243">
      <c r="E243" s="8" t="n"/>
      <c r="F243" s="10">
        <f>IF(SUBSTITUTE(SUBSTITUTE(SUBSTITUTE(SUBSTITUTE(CLEAN(E243&amp;"")," ",""),".","")," ",""),"-","")="","",IF(AND(OR(LEN(SUBSTITUTE(SUBSTITUTE(SUBSTITUTE(SUBSTITUTE(CLEAN(E243&amp;"")," ",""),".","")," ",""),"-",""))=2,LEN(SUBSTITUTE(SUBSTITUTE(SUBSTITUTE(SUBSTITUTE(CLEAN(E243&amp;"")," ",""),".","")," ",""),"-",""))=4,LEN(SUBSTITUTE(SUBSTITUTE(SUBSTITUTE(SUBSTITUTE(CLEAN(E243&amp;"")," ",""),".","")," ",""),"-",""))=6,LEN(SUBSTITUTE(SUBSTITUTE(SUBSTITUTE(SUBSTITUTE(CLEAN(E243&amp;"")," ",""),".","")," ",""),"-",""))=8,LEN(SUBSTITUTE(SUBSTITUTE(SUBSTITUTE(SUBSTITUTE(CLEAN(E243&amp;"")," ",""),".","")," ",""),"-",""))=10),IFERROR(TEXT(VALUE(SUBSTITUTE(SUBSTITUTE(SUBSTITUTE(SUBSTITUTE(CLEAN(E243&amp;"")," ",""),".","")," ",""),"-","")),REPT("0",LEN(SUBSTITUTE(SUBSTITUTE(SUBSTITUTE(SUBSTITUTE(CLEAN(E243&amp;"")," ",""),".","")," ",""),"-",""))))=SUBSTITUTE(SUBSTITUTE(SUBSTITUTE(SUBSTITUTE(CLEAN(E243&amp;"")," ",""),".","")," ",""),"-",""),FALSE)),SUBSTITUTE(SUBSTITUTE(SUBSTITUTE(SUBSTITUTE(CLEAN(E243&amp;"")," ",""),".","")," ",""),"-",""),"CHECK: not 2, 4, 6, 8 or 10 digits"))</f>
        <v/>
      </c>
      <c r="G243" s="11" t="n"/>
      <c r="H243" s="8" t="n"/>
      <c r="I243" s="8" t="n"/>
      <c r="J243" s="10">
        <f>IF(SUBSTITUTE(SUBSTITUTE(SUBSTITUTE(SUBSTITUTE(CLEAN(I243&amp;"")," ",""),".","")," ",""),"-","")="","",IF(AND(OR(LEN(SUBSTITUTE(SUBSTITUTE(SUBSTITUTE(SUBSTITUTE(CLEAN(I243&amp;"")," ",""),".","")," ",""),"-",""))=2,LEN(SUBSTITUTE(SUBSTITUTE(SUBSTITUTE(SUBSTITUTE(CLEAN(I243&amp;"")," ",""),".","")," ",""),"-",""))=4,LEN(SUBSTITUTE(SUBSTITUTE(SUBSTITUTE(SUBSTITUTE(CLEAN(I243&amp;"")," ",""),".","")," ",""),"-",""))=6,LEN(SUBSTITUTE(SUBSTITUTE(SUBSTITUTE(SUBSTITUTE(CLEAN(I243&amp;"")," ",""),".","")," ",""),"-",""))=8,LEN(SUBSTITUTE(SUBSTITUTE(SUBSTITUTE(SUBSTITUTE(CLEAN(I243&amp;"")," ",""),".","")," ",""),"-",""))=10),IFERROR(TEXT(VALUE(SUBSTITUTE(SUBSTITUTE(SUBSTITUTE(SUBSTITUTE(CLEAN(I243&amp;"")," ",""),".","")," ",""),"-","")),REPT("0",LEN(SUBSTITUTE(SUBSTITUTE(SUBSTITUTE(SUBSTITUTE(CLEAN(I243&amp;"")," ",""),".","")," ",""),"-",""))))=SUBSTITUTE(SUBSTITUTE(SUBSTITUTE(SUBSTITUTE(CLEAN(I243&amp;"")," ",""),".","")," ",""),"-",""),FALSE)),SUBSTITUTE(SUBSTITUTE(SUBSTITUTE(SUBSTITUTE(CLEAN(I243&amp;"")," ",""),".","")," ",""),"-",""),"CHECK: not 2, 4, 6, 8 or 10 digits"))</f>
        <v/>
      </c>
      <c r="K243" s="11" t="n"/>
    </row>
    <row r="244">
      <c r="E244" s="8" t="n"/>
      <c r="F244" s="10">
        <f>IF(SUBSTITUTE(SUBSTITUTE(SUBSTITUTE(SUBSTITUTE(CLEAN(E244&amp;"")," ",""),".","")," ",""),"-","")="","",IF(AND(OR(LEN(SUBSTITUTE(SUBSTITUTE(SUBSTITUTE(SUBSTITUTE(CLEAN(E244&amp;"")," ",""),".","")," ",""),"-",""))=2,LEN(SUBSTITUTE(SUBSTITUTE(SUBSTITUTE(SUBSTITUTE(CLEAN(E244&amp;"")," ",""),".","")," ",""),"-",""))=4,LEN(SUBSTITUTE(SUBSTITUTE(SUBSTITUTE(SUBSTITUTE(CLEAN(E244&amp;"")," ",""),".","")," ",""),"-",""))=6,LEN(SUBSTITUTE(SUBSTITUTE(SUBSTITUTE(SUBSTITUTE(CLEAN(E244&amp;"")," ",""),".","")," ",""),"-",""))=8,LEN(SUBSTITUTE(SUBSTITUTE(SUBSTITUTE(SUBSTITUTE(CLEAN(E244&amp;"")," ",""),".","")," ",""),"-",""))=10),IFERROR(TEXT(VALUE(SUBSTITUTE(SUBSTITUTE(SUBSTITUTE(SUBSTITUTE(CLEAN(E244&amp;"")," ",""),".","")," ",""),"-","")),REPT("0",LEN(SUBSTITUTE(SUBSTITUTE(SUBSTITUTE(SUBSTITUTE(CLEAN(E244&amp;"")," ",""),".","")," ",""),"-",""))))=SUBSTITUTE(SUBSTITUTE(SUBSTITUTE(SUBSTITUTE(CLEAN(E244&amp;"")," ",""),".","")," ",""),"-",""),FALSE)),SUBSTITUTE(SUBSTITUTE(SUBSTITUTE(SUBSTITUTE(CLEAN(E244&amp;"")," ",""),".","")," ",""),"-",""),"CHECK: not 2, 4, 6, 8 or 10 digits"))</f>
        <v/>
      </c>
      <c r="G244" s="11" t="n"/>
      <c r="H244" s="8" t="n"/>
      <c r="I244" s="8" t="n"/>
      <c r="J244" s="10">
        <f>IF(SUBSTITUTE(SUBSTITUTE(SUBSTITUTE(SUBSTITUTE(CLEAN(I244&amp;"")," ",""),".","")," ",""),"-","")="","",IF(AND(OR(LEN(SUBSTITUTE(SUBSTITUTE(SUBSTITUTE(SUBSTITUTE(CLEAN(I244&amp;"")," ",""),".","")," ",""),"-",""))=2,LEN(SUBSTITUTE(SUBSTITUTE(SUBSTITUTE(SUBSTITUTE(CLEAN(I244&amp;"")," ",""),".","")," ",""),"-",""))=4,LEN(SUBSTITUTE(SUBSTITUTE(SUBSTITUTE(SUBSTITUTE(CLEAN(I244&amp;"")," ",""),".","")," ",""),"-",""))=6,LEN(SUBSTITUTE(SUBSTITUTE(SUBSTITUTE(SUBSTITUTE(CLEAN(I244&amp;"")," ",""),".","")," ",""),"-",""))=8,LEN(SUBSTITUTE(SUBSTITUTE(SUBSTITUTE(SUBSTITUTE(CLEAN(I244&amp;"")," ",""),".","")," ",""),"-",""))=10),IFERROR(TEXT(VALUE(SUBSTITUTE(SUBSTITUTE(SUBSTITUTE(SUBSTITUTE(CLEAN(I244&amp;"")," ",""),".","")," ",""),"-","")),REPT("0",LEN(SUBSTITUTE(SUBSTITUTE(SUBSTITUTE(SUBSTITUTE(CLEAN(I244&amp;"")," ",""),".","")," ",""),"-",""))))=SUBSTITUTE(SUBSTITUTE(SUBSTITUTE(SUBSTITUTE(CLEAN(I244&amp;"")," ",""),".","")," ",""),"-",""),FALSE)),SUBSTITUTE(SUBSTITUTE(SUBSTITUTE(SUBSTITUTE(CLEAN(I244&amp;"")," ",""),".","")," ",""),"-",""),"CHECK: not 2, 4, 6, 8 or 10 digits"))</f>
        <v/>
      </c>
      <c r="K244" s="11" t="n"/>
    </row>
    <row r="245">
      <c r="E245" s="8" t="n"/>
      <c r="F245" s="10">
        <f>IF(SUBSTITUTE(SUBSTITUTE(SUBSTITUTE(SUBSTITUTE(CLEAN(E245&amp;"")," ",""),".","")," ",""),"-","")="","",IF(AND(OR(LEN(SUBSTITUTE(SUBSTITUTE(SUBSTITUTE(SUBSTITUTE(CLEAN(E245&amp;"")," ",""),".","")," ",""),"-",""))=2,LEN(SUBSTITUTE(SUBSTITUTE(SUBSTITUTE(SUBSTITUTE(CLEAN(E245&amp;"")," ",""),".","")," ",""),"-",""))=4,LEN(SUBSTITUTE(SUBSTITUTE(SUBSTITUTE(SUBSTITUTE(CLEAN(E245&amp;"")," ",""),".","")," ",""),"-",""))=6,LEN(SUBSTITUTE(SUBSTITUTE(SUBSTITUTE(SUBSTITUTE(CLEAN(E245&amp;"")," ",""),".","")," ",""),"-",""))=8,LEN(SUBSTITUTE(SUBSTITUTE(SUBSTITUTE(SUBSTITUTE(CLEAN(E245&amp;"")," ",""),".","")," ",""),"-",""))=10),IFERROR(TEXT(VALUE(SUBSTITUTE(SUBSTITUTE(SUBSTITUTE(SUBSTITUTE(CLEAN(E245&amp;"")," ",""),".","")," ",""),"-","")),REPT("0",LEN(SUBSTITUTE(SUBSTITUTE(SUBSTITUTE(SUBSTITUTE(CLEAN(E245&amp;"")," ",""),".","")," ",""),"-",""))))=SUBSTITUTE(SUBSTITUTE(SUBSTITUTE(SUBSTITUTE(CLEAN(E245&amp;"")," ",""),".","")," ",""),"-",""),FALSE)),SUBSTITUTE(SUBSTITUTE(SUBSTITUTE(SUBSTITUTE(CLEAN(E245&amp;"")," ",""),".","")," ",""),"-",""),"CHECK: not 2, 4, 6, 8 or 10 digits"))</f>
        <v/>
      </c>
      <c r="G245" s="11" t="n"/>
      <c r="H245" s="8" t="n"/>
      <c r="I245" s="8" t="n"/>
      <c r="J245" s="10">
        <f>IF(SUBSTITUTE(SUBSTITUTE(SUBSTITUTE(SUBSTITUTE(CLEAN(I245&amp;"")," ",""),".","")," ",""),"-","")="","",IF(AND(OR(LEN(SUBSTITUTE(SUBSTITUTE(SUBSTITUTE(SUBSTITUTE(CLEAN(I245&amp;"")," ",""),".","")," ",""),"-",""))=2,LEN(SUBSTITUTE(SUBSTITUTE(SUBSTITUTE(SUBSTITUTE(CLEAN(I245&amp;"")," ",""),".","")," ",""),"-",""))=4,LEN(SUBSTITUTE(SUBSTITUTE(SUBSTITUTE(SUBSTITUTE(CLEAN(I245&amp;"")," ",""),".","")," ",""),"-",""))=6,LEN(SUBSTITUTE(SUBSTITUTE(SUBSTITUTE(SUBSTITUTE(CLEAN(I245&amp;"")," ",""),".","")," ",""),"-",""))=8,LEN(SUBSTITUTE(SUBSTITUTE(SUBSTITUTE(SUBSTITUTE(CLEAN(I245&amp;"")," ",""),".","")," ",""),"-",""))=10),IFERROR(TEXT(VALUE(SUBSTITUTE(SUBSTITUTE(SUBSTITUTE(SUBSTITUTE(CLEAN(I245&amp;"")," ",""),".","")," ",""),"-","")),REPT("0",LEN(SUBSTITUTE(SUBSTITUTE(SUBSTITUTE(SUBSTITUTE(CLEAN(I245&amp;"")," ",""),".","")," ",""),"-",""))))=SUBSTITUTE(SUBSTITUTE(SUBSTITUTE(SUBSTITUTE(CLEAN(I245&amp;"")," ",""),".","")," ",""),"-",""),FALSE)),SUBSTITUTE(SUBSTITUTE(SUBSTITUTE(SUBSTITUTE(CLEAN(I245&amp;"")," ",""),".","")," ",""),"-",""),"CHECK: not 2, 4, 6, 8 or 10 digits"))</f>
        <v/>
      </c>
      <c r="K245" s="11" t="n"/>
    </row>
    <row r="246">
      <c r="E246" s="8" t="n"/>
      <c r="F246" s="10">
        <f>IF(SUBSTITUTE(SUBSTITUTE(SUBSTITUTE(SUBSTITUTE(CLEAN(E246&amp;"")," ",""),".","")," ",""),"-","")="","",IF(AND(OR(LEN(SUBSTITUTE(SUBSTITUTE(SUBSTITUTE(SUBSTITUTE(CLEAN(E246&amp;"")," ",""),".","")," ",""),"-",""))=2,LEN(SUBSTITUTE(SUBSTITUTE(SUBSTITUTE(SUBSTITUTE(CLEAN(E246&amp;"")," ",""),".","")," ",""),"-",""))=4,LEN(SUBSTITUTE(SUBSTITUTE(SUBSTITUTE(SUBSTITUTE(CLEAN(E246&amp;"")," ",""),".","")," ",""),"-",""))=6,LEN(SUBSTITUTE(SUBSTITUTE(SUBSTITUTE(SUBSTITUTE(CLEAN(E246&amp;"")," ",""),".","")," ",""),"-",""))=8,LEN(SUBSTITUTE(SUBSTITUTE(SUBSTITUTE(SUBSTITUTE(CLEAN(E246&amp;"")," ",""),".","")," ",""),"-",""))=10),IFERROR(TEXT(VALUE(SUBSTITUTE(SUBSTITUTE(SUBSTITUTE(SUBSTITUTE(CLEAN(E246&amp;"")," ",""),".","")," ",""),"-","")),REPT("0",LEN(SUBSTITUTE(SUBSTITUTE(SUBSTITUTE(SUBSTITUTE(CLEAN(E246&amp;"")," ",""),".","")," ",""),"-",""))))=SUBSTITUTE(SUBSTITUTE(SUBSTITUTE(SUBSTITUTE(CLEAN(E246&amp;"")," ",""),".","")," ",""),"-",""),FALSE)),SUBSTITUTE(SUBSTITUTE(SUBSTITUTE(SUBSTITUTE(CLEAN(E246&amp;"")," ",""),".","")," ",""),"-",""),"CHECK: not 2, 4, 6, 8 or 10 digits"))</f>
        <v/>
      </c>
      <c r="G246" s="11" t="n"/>
      <c r="H246" s="8" t="n"/>
      <c r="I246" s="8" t="n"/>
      <c r="J246" s="10">
        <f>IF(SUBSTITUTE(SUBSTITUTE(SUBSTITUTE(SUBSTITUTE(CLEAN(I246&amp;"")," ",""),".","")," ",""),"-","")="","",IF(AND(OR(LEN(SUBSTITUTE(SUBSTITUTE(SUBSTITUTE(SUBSTITUTE(CLEAN(I246&amp;"")," ",""),".","")," ",""),"-",""))=2,LEN(SUBSTITUTE(SUBSTITUTE(SUBSTITUTE(SUBSTITUTE(CLEAN(I246&amp;"")," ",""),".","")," ",""),"-",""))=4,LEN(SUBSTITUTE(SUBSTITUTE(SUBSTITUTE(SUBSTITUTE(CLEAN(I246&amp;"")," ",""),".","")," ",""),"-",""))=6,LEN(SUBSTITUTE(SUBSTITUTE(SUBSTITUTE(SUBSTITUTE(CLEAN(I246&amp;"")," ",""),".","")," ",""),"-",""))=8,LEN(SUBSTITUTE(SUBSTITUTE(SUBSTITUTE(SUBSTITUTE(CLEAN(I246&amp;"")," ",""),".","")," ",""),"-",""))=10),IFERROR(TEXT(VALUE(SUBSTITUTE(SUBSTITUTE(SUBSTITUTE(SUBSTITUTE(CLEAN(I246&amp;"")," ",""),".","")," ",""),"-","")),REPT("0",LEN(SUBSTITUTE(SUBSTITUTE(SUBSTITUTE(SUBSTITUTE(CLEAN(I246&amp;"")," ",""),".","")," ",""),"-",""))))=SUBSTITUTE(SUBSTITUTE(SUBSTITUTE(SUBSTITUTE(CLEAN(I246&amp;"")," ",""),".","")," ",""),"-",""),FALSE)),SUBSTITUTE(SUBSTITUTE(SUBSTITUTE(SUBSTITUTE(CLEAN(I246&amp;"")," ",""),".","")," ",""),"-",""),"CHECK: not 2, 4, 6, 8 or 10 digits"))</f>
        <v/>
      </c>
      <c r="K246" s="11" t="n"/>
    </row>
    <row r="247">
      <c r="E247" s="8" t="n"/>
      <c r="F247" s="10">
        <f>IF(SUBSTITUTE(SUBSTITUTE(SUBSTITUTE(SUBSTITUTE(CLEAN(E247&amp;"")," ",""),".","")," ",""),"-","")="","",IF(AND(OR(LEN(SUBSTITUTE(SUBSTITUTE(SUBSTITUTE(SUBSTITUTE(CLEAN(E247&amp;"")," ",""),".","")," ",""),"-",""))=2,LEN(SUBSTITUTE(SUBSTITUTE(SUBSTITUTE(SUBSTITUTE(CLEAN(E247&amp;"")," ",""),".","")," ",""),"-",""))=4,LEN(SUBSTITUTE(SUBSTITUTE(SUBSTITUTE(SUBSTITUTE(CLEAN(E247&amp;"")," ",""),".","")," ",""),"-",""))=6,LEN(SUBSTITUTE(SUBSTITUTE(SUBSTITUTE(SUBSTITUTE(CLEAN(E247&amp;"")," ",""),".","")," ",""),"-",""))=8,LEN(SUBSTITUTE(SUBSTITUTE(SUBSTITUTE(SUBSTITUTE(CLEAN(E247&amp;"")," ",""),".","")," ",""),"-",""))=10),IFERROR(TEXT(VALUE(SUBSTITUTE(SUBSTITUTE(SUBSTITUTE(SUBSTITUTE(CLEAN(E247&amp;"")," ",""),".","")," ",""),"-","")),REPT("0",LEN(SUBSTITUTE(SUBSTITUTE(SUBSTITUTE(SUBSTITUTE(CLEAN(E247&amp;"")," ",""),".","")," ",""),"-",""))))=SUBSTITUTE(SUBSTITUTE(SUBSTITUTE(SUBSTITUTE(CLEAN(E247&amp;"")," ",""),".","")," ",""),"-",""),FALSE)),SUBSTITUTE(SUBSTITUTE(SUBSTITUTE(SUBSTITUTE(CLEAN(E247&amp;"")," ",""),".","")," ",""),"-",""),"CHECK: not 2, 4, 6, 8 or 10 digits"))</f>
        <v/>
      </c>
      <c r="G247" s="11" t="n"/>
      <c r="H247" s="8" t="n"/>
      <c r="I247" s="8" t="n"/>
      <c r="J247" s="10">
        <f>IF(SUBSTITUTE(SUBSTITUTE(SUBSTITUTE(SUBSTITUTE(CLEAN(I247&amp;"")," ",""),".","")," ",""),"-","")="","",IF(AND(OR(LEN(SUBSTITUTE(SUBSTITUTE(SUBSTITUTE(SUBSTITUTE(CLEAN(I247&amp;"")," ",""),".","")," ",""),"-",""))=2,LEN(SUBSTITUTE(SUBSTITUTE(SUBSTITUTE(SUBSTITUTE(CLEAN(I247&amp;"")," ",""),".","")," ",""),"-",""))=4,LEN(SUBSTITUTE(SUBSTITUTE(SUBSTITUTE(SUBSTITUTE(CLEAN(I247&amp;"")," ",""),".","")," ",""),"-",""))=6,LEN(SUBSTITUTE(SUBSTITUTE(SUBSTITUTE(SUBSTITUTE(CLEAN(I247&amp;"")," ",""),".","")," ",""),"-",""))=8,LEN(SUBSTITUTE(SUBSTITUTE(SUBSTITUTE(SUBSTITUTE(CLEAN(I247&amp;"")," ",""),".","")," ",""),"-",""))=10),IFERROR(TEXT(VALUE(SUBSTITUTE(SUBSTITUTE(SUBSTITUTE(SUBSTITUTE(CLEAN(I247&amp;"")," ",""),".","")," ",""),"-","")),REPT("0",LEN(SUBSTITUTE(SUBSTITUTE(SUBSTITUTE(SUBSTITUTE(CLEAN(I247&amp;"")," ",""),".","")," ",""),"-",""))))=SUBSTITUTE(SUBSTITUTE(SUBSTITUTE(SUBSTITUTE(CLEAN(I247&amp;"")," ",""),".","")," ",""),"-",""),FALSE)),SUBSTITUTE(SUBSTITUTE(SUBSTITUTE(SUBSTITUTE(CLEAN(I247&amp;"")," ",""),".","")," ",""),"-",""),"CHECK: not 2, 4, 6, 8 or 10 digits"))</f>
        <v/>
      </c>
      <c r="K247" s="11" t="n"/>
    </row>
    <row r="248">
      <c r="E248" s="8" t="n"/>
      <c r="F248" s="10">
        <f>IF(SUBSTITUTE(SUBSTITUTE(SUBSTITUTE(SUBSTITUTE(CLEAN(E248&amp;"")," ",""),".","")," ",""),"-","")="","",IF(AND(OR(LEN(SUBSTITUTE(SUBSTITUTE(SUBSTITUTE(SUBSTITUTE(CLEAN(E248&amp;"")," ",""),".","")," ",""),"-",""))=2,LEN(SUBSTITUTE(SUBSTITUTE(SUBSTITUTE(SUBSTITUTE(CLEAN(E248&amp;"")," ",""),".","")," ",""),"-",""))=4,LEN(SUBSTITUTE(SUBSTITUTE(SUBSTITUTE(SUBSTITUTE(CLEAN(E248&amp;"")," ",""),".","")," ",""),"-",""))=6,LEN(SUBSTITUTE(SUBSTITUTE(SUBSTITUTE(SUBSTITUTE(CLEAN(E248&amp;"")," ",""),".","")," ",""),"-",""))=8,LEN(SUBSTITUTE(SUBSTITUTE(SUBSTITUTE(SUBSTITUTE(CLEAN(E248&amp;"")," ",""),".","")," ",""),"-",""))=10),IFERROR(TEXT(VALUE(SUBSTITUTE(SUBSTITUTE(SUBSTITUTE(SUBSTITUTE(CLEAN(E248&amp;"")," ",""),".","")," ",""),"-","")),REPT("0",LEN(SUBSTITUTE(SUBSTITUTE(SUBSTITUTE(SUBSTITUTE(CLEAN(E248&amp;"")," ",""),".","")," ",""),"-",""))))=SUBSTITUTE(SUBSTITUTE(SUBSTITUTE(SUBSTITUTE(CLEAN(E248&amp;"")," ",""),".","")," ",""),"-",""),FALSE)),SUBSTITUTE(SUBSTITUTE(SUBSTITUTE(SUBSTITUTE(CLEAN(E248&amp;"")," ",""),".","")," ",""),"-",""),"CHECK: not 2, 4, 6, 8 or 10 digits"))</f>
        <v/>
      </c>
      <c r="G248" s="11" t="n"/>
      <c r="H248" s="8" t="n"/>
      <c r="I248" s="8" t="n"/>
      <c r="J248" s="10">
        <f>IF(SUBSTITUTE(SUBSTITUTE(SUBSTITUTE(SUBSTITUTE(CLEAN(I248&amp;"")," ",""),".","")," ",""),"-","")="","",IF(AND(OR(LEN(SUBSTITUTE(SUBSTITUTE(SUBSTITUTE(SUBSTITUTE(CLEAN(I248&amp;"")," ",""),".","")," ",""),"-",""))=2,LEN(SUBSTITUTE(SUBSTITUTE(SUBSTITUTE(SUBSTITUTE(CLEAN(I248&amp;"")," ",""),".","")," ",""),"-",""))=4,LEN(SUBSTITUTE(SUBSTITUTE(SUBSTITUTE(SUBSTITUTE(CLEAN(I248&amp;"")," ",""),".","")," ",""),"-",""))=6,LEN(SUBSTITUTE(SUBSTITUTE(SUBSTITUTE(SUBSTITUTE(CLEAN(I248&amp;"")," ",""),".","")," ",""),"-",""))=8,LEN(SUBSTITUTE(SUBSTITUTE(SUBSTITUTE(SUBSTITUTE(CLEAN(I248&amp;"")," ",""),".","")," ",""),"-",""))=10),IFERROR(TEXT(VALUE(SUBSTITUTE(SUBSTITUTE(SUBSTITUTE(SUBSTITUTE(CLEAN(I248&amp;"")," ",""),".","")," ",""),"-","")),REPT("0",LEN(SUBSTITUTE(SUBSTITUTE(SUBSTITUTE(SUBSTITUTE(CLEAN(I248&amp;"")," ",""),".","")," ",""),"-",""))))=SUBSTITUTE(SUBSTITUTE(SUBSTITUTE(SUBSTITUTE(CLEAN(I248&amp;"")," ",""),".","")," ",""),"-",""),FALSE)),SUBSTITUTE(SUBSTITUTE(SUBSTITUTE(SUBSTITUTE(CLEAN(I248&amp;"")," ",""),".","")," ",""),"-",""),"CHECK: not 2, 4, 6, 8 or 10 digits"))</f>
        <v/>
      </c>
      <c r="K248" s="11" t="n"/>
    </row>
    <row r="249">
      <c r="E249" s="8" t="n"/>
      <c r="F249" s="10">
        <f>IF(SUBSTITUTE(SUBSTITUTE(SUBSTITUTE(SUBSTITUTE(CLEAN(E249&amp;"")," ",""),".","")," ",""),"-","")="","",IF(AND(OR(LEN(SUBSTITUTE(SUBSTITUTE(SUBSTITUTE(SUBSTITUTE(CLEAN(E249&amp;"")," ",""),".","")," ",""),"-",""))=2,LEN(SUBSTITUTE(SUBSTITUTE(SUBSTITUTE(SUBSTITUTE(CLEAN(E249&amp;"")," ",""),".","")," ",""),"-",""))=4,LEN(SUBSTITUTE(SUBSTITUTE(SUBSTITUTE(SUBSTITUTE(CLEAN(E249&amp;"")," ",""),".","")," ",""),"-",""))=6,LEN(SUBSTITUTE(SUBSTITUTE(SUBSTITUTE(SUBSTITUTE(CLEAN(E249&amp;"")," ",""),".","")," ",""),"-",""))=8,LEN(SUBSTITUTE(SUBSTITUTE(SUBSTITUTE(SUBSTITUTE(CLEAN(E249&amp;"")," ",""),".","")," ",""),"-",""))=10),IFERROR(TEXT(VALUE(SUBSTITUTE(SUBSTITUTE(SUBSTITUTE(SUBSTITUTE(CLEAN(E249&amp;"")," ",""),".","")," ",""),"-","")),REPT("0",LEN(SUBSTITUTE(SUBSTITUTE(SUBSTITUTE(SUBSTITUTE(CLEAN(E249&amp;"")," ",""),".","")," ",""),"-",""))))=SUBSTITUTE(SUBSTITUTE(SUBSTITUTE(SUBSTITUTE(CLEAN(E249&amp;"")," ",""),".","")," ",""),"-",""),FALSE)),SUBSTITUTE(SUBSTITUTE(SUBSTITUTE(SUBSTITUTE(CLEAN(E249&amp;"")," ",""),".","")," ",""),"-",""),"CHECK: not 2, 4, 6, 8 or 10 digits"))</f>
        <v/>
      </c>
      <c r="G249" s="11" t="n"/>
      <c r="H249" s="8" t="n"/>
      <c r="I249" s="8" t="n"/>
      <c r="J249" s="10">
        <f>IF(SUBSTITUTE(SUBSTITUTE(SUBSTITUTE(SUBSTITUTE(CLEAN(I249&amp;"")," ",""),".","")," ",""),"-","")="","",IF(AND(OR(LEN(SUBSTITUTE(SUBSTITUTE(SUBSTITUTE(SUBSTITUTE(CLEAN(I249&amp;"")," ",""),".","")," ",""),"-",""))=2,LEN(SUBSTITUTE(SUBSTITUTE(SUBSTITUTE(SUBSTITUTE(CLEAN(I249&amp;"")," ",""),".","")," ",""),"-",""))=4,LEN(SUBSTITUTE(SUBSTITUTE(SUBSTITUTE(SUBSTITUTE(CLEAN(I249&amp;"")," ",""),".","")," ",""),"-",""))=6,LEN(SUBSTITUTE(SUBSTITUTE(SUBSTITUTE(SUBSTITUTE(CLEAN(I249&amp;"")," ",""),".","")," ",""),"-",""))=8,LEN(SUBSTITUTE(SUBSTITUTE(SUBSTITUTE(SUBSTITUTE(CLEAN(I249&amp;"")," ",""),".","")," ",""),"-",""))=10),IFERROR(TEXT(VALUE(SUBSTITUTE(SUBSTITUTE(SUBSTITUTE(SUBSTITUTE(CLEAN(I249&amp;"")," ",""),".","")," ",""),"-","")),REPT("0",LEN(SUBSTITUTE(SUBSTITUTE(SUBSTITUTE(SUBSTITUTE(CLEAN(I249&amp;"")," ",""),".","")," ",""),"-",""))))=SUBSTITUTE(SUBSTITUTE(SUBSTITUTE(SUBSTITUTE(CLEAN(I249&amp;"")," ",""),".","")," ",""),"-",""),FALSE)),SUBSTITUTE(SUBSTITUTE(SUBSTITUTE(SUBSTITUTE(CLEAN(I249&amp;"")," ",""),".","")," ",""),"-",""),"CHECK: not 2, 4, 6, 8 or 10 digits"))</f>
        <v/>
      </c>
      <c r="K249" s="11" t="n"/>
    </row>
    <row r="250">
      <c r="E250" s="8" t="n"/>
      <c r="F250" s="10">
        <f>IF(SUBSTITUTE(SUBSTITUTE(SUBSTITUTE(SUBSTITUTE(CLEAN(E250&amp;"")," ",""),".","")," ",""),"-","")="","",IF(AND(OR(LEN(SUBSTITUTE(SUBSTITUTE(SUBSTITUTE(SUBSTITUTE(CLEAN(E250&amp;"")," ",""),".","")," ",""),"-",""))=2,LEN(SUBSTITUTE(SUBSTITUTE(SUBSTITUTE(SUBSTITUTE(CLEAN(E250&amp;"")," ",""),".","")," ",""),"-",""))=4,LEN(SUBSTITUTE(SUBSTITUTE(SUBSTITUTE(SUBSTITUTE(CLEAN(E250&amp;"")," ",""),".","")," ",""),"-",""))=6,LEN(SUBSTITUTE(SUBSTITUTE(SUBSTITUTE(SUBSTITUTE(CLEAN(E250&amp;"")," ",""),".","")," ",""),"-",""))=8,LEN(SUBSTITUTE(SUBSTITUTE(SUBSTITUTE(SUBSTITUTE(CLEAN(E250&amp;"")," ",""),".","")," ",""),"-",""))=10),IFERROR(TEXT(VALUE(SUBSTITUTE(SUBSTITUTE(SUBSTITUTE(SUBSTITUTE(CLEAN(E250&amp;"")," ",""),".","")," ",""),"-","")),REPT("0",LEN(SUBSTITUTE(SUBSTITUTE(SUBSTITUTE(SUBSTITUTE(CLEAN(E250&amp;"")," ",""),".","")," ",""),"-",""))))=SUBSTITUTE(SUBSTITUTE(SUBSTITUTE(SUBSTITUTE(CLEAN(E250&amp;"")," ",""),".","")," ",""),"-",""),FALSE)),SUBSTITUTE(SUBSTITUTE(SUBSTITUTE(SUBSTITUTE(CLEAN(E250&amp;"")," ",""),".","")," ",""),"-",""),"CHECK: not 2, 4, 6, 8 or 10 digits"))</f>
        <v/>
      </c>
      <c r="G250" s="11" t="n"/>
      <c r="H250" s="8" t="n"/>
      <c r="I250" s="8" t="n"/>
      <c r="J250" s="10">
        <f>IF(SUBSTITUTE(SUBSTITUTE(SUBSTITUTE(SUBSTITUTE(CLEAN(I250&amp;"")," ",""),".","")," ",""),"-","")="","",IF(AND(OR(LEN(SUBSTITUTE(SUBSTITUTE(SUBSTITUTE(SUBSTITUTE(CLEAN(I250&amp;"")," ",""),".","")," ",""),"-",""))=2,LEN(SUBSTITUTE(SUBSTITUTE(SUBSTITUTE(SUBSTITUTE(CLEAN(I250&amp;"")," ",""),".","")," ",""),"-",""))=4,LEN(SUBSTITUTE(SUBSTITUTE(SUBSTITUTE(SUBSTITUTE(CLEAN(I250&amp;"")," ",""),".","")," ",""),"-",""))=6,LEN(SUBSTITUTE(SUBSTITUTE(SUBSTITUTE(SUBSTITUTE(CLEAN(I250&amp;"")," ",""),".","")," ",""),"-",""))=8,LEN(SUBSTITUTE(SUBSTITUTE(SUBSTITUTE(SUBSTITUTE(CLEAN(I250&amp;"")," ",""),".","")," ",""),"-",""))=10),IFERROR(TEXT(VALUE(SUBSTITUTE(SUBSTITUTE(SUBSTITUTE(SUBSTITUTE(CLEAN(I250&amp;"")," ",""),".","")," ",""),"-","")),REPT("0",LEN(SUBSTITUTE(SUBSTITUTE(SUBSTITUTE(SUBSTITUTE(CLEAN(I250&amp;"")," ",""),".","")," ",""),"-",""))))=SUBSTITUTE(SUBSTITUTE(SUBSTITUTE(SUBSTITUTE(CLEAN(I250&amp;"")," ",""),".","")," ",""),"-",""),FALSE)),SUBSTITUTE(SUBSTITUTE(SUBSTITUTE(SUBSTITUTE(CLEAN(I250&amp;"")," ",""),".","")," ",""),"-",""),"CHECK: not 2, 4, 6, 8 or 10 digits"))</f>
        <v/>
      </c>
      <c r="K250" s="11" t="n"/>
    </row>
    <row r="251">
      <c r="E251" s="8" t="n"/>
      <c r="F251" s="10">
        <f>IF(SUBSTITUTE(SUBSTITUTE(SUBSTITUTE(SUBSTITUTE(CLEAN(E251&amp;"")," ",""),".","")," ",""),"-","")="","",IF(AND(OR(LEN(SUBSTITUTE(SUBSTITUTE(SUBSTITUTE(SUBSTITUTE(CLEAN(E251&amp;"")," ",""),".","")," ",""),"-",""))=2,LEN(SUBSTITUTE(SUBSTITUTE(SUBSTITUTE(SUBSTITUTE(CLEAN(E251&amp;"")," ",""),".","")," ",""),"-",""))=4,LEN(SUBSTITUTE(SUBSTITUTE(SUBSTITUTE(SUBSTITUTE(CLEAN(E251&amp;"")," ",""),".","")," ",""),"-",""))=6,LEN(SUBSTITUTE(SUBSTITUTE(SUBSTITUTE(SUBSTITUTE(CLEAN(E251&amp;"")," ",""),".","")," ",""),"-",""))=8,LEN(SUBSTITUTE(SUBSTITUTE(SUBSTITUTE(SUBSTITUTE(CLEAN(E251&amp;"")," ",""),".","")," ",""),"-",""))=10),IFERROR(TEXT(VALUE(SUBSTITUTE(SUBSTITUTE(SUBSTITUTE(SUBSTITUTE(CLEAN(E251&amp;"")," ",""),".","")," ",""),"-","")),REPT("0",LEN(SUBSTITUTE(SUBSTITUTE(SUBSTITUTE(SUBSTITUTE(CLEAN(E251&amp;"")," ",""),".","")," ",""),"-",""))))=SUBSTITUTE(SUBSTITUTE(SUBSTITUTE(SUBSTITUTE(CLEAN(E251&amp;"")," ",""),".","")," ",""),"-",""),FALSE)),SUBSTITUTE(SUBSTITUTE(SUBSTITUTE(SUBSTITUTE(CLEAN(E251&amp;"")," ",""),".","")," ",""),"-",""),"CHECK: not 2, 4, 6, 8 or 10 digits"))</f>
        <v/>
      </c>
      <c r="G251" s="11" t="n"/>
      <c r="H251" s="8" t="n"/>
      <c r="I251" s="8" t="n"/>
      <c r="J251" s="10">
        <f>IF(SUBSTITUTE(SUBSTITUTE(SUBSTITUTE(SUBSTITUTE(CLEAN(I251&amp;"")," ",""),".","")," ",""),"-","")="","",IF(AND(OR(LEN(SUBSTITUTE(SUBSTITUTE(SUBSTITUTE(SUBSTITUTE(CLEAN(I251&amp;"")," ",""),".","")," ",""),"-",""))=2,LEN(SUBSTITUTE(SUBSTITUTE(SUBSTITUTE(SUBSTITUTE(CLEAN(I251&amp;"")," ",""),".","")," ",""),"-",""))=4,LEN(SUBSTITUTE(SUBSTITUTE(SUBSTITUTE(SUBSTITUTE(CLEAN(I251&amp;"")," ",""),".","")," ",""),"-",""))=6,LEN(SUBSTITUTE(SUBSTITUTE(SUBSTITUTE(SUBSTITUTE(CLEAN(I251&amp;"")," ",""),".","")," ",""),"-",""))=8,LEN(SUBSTITUTE(SUBSTITUTE(SUBSTITUTE(SUBSTITUTE(CLEAN(I251&amp;"")," ",""),".","")," ",""),"-",""))=10),IFERROR(TEXT(VALUE(SUBSTITUTE(SUBSTITUTE(SUBSTITUTE(SUBSTITUTE(CLEAN(I251&amp;"")," ",""),".","")," ",""),"-","")),REPT("0",LEN(SUBSTITUTE(SUBSTITUTE(SUBSTITUTE(SUBSTITUTE(CLEAN(I251&amp;"")," ",""),".","")," ",""),"-",""))))=SUBSTITUTE(SUBSTITUTE(SUBSTITUTE(SUBSTITUTE(CLEAN(I251&amp;"")," ",""),".","")," ",""),"-",""),FALSE)),SUBSTITUTE(SUBSTITUTE(SUBSTITUTE(SUBSTITUTE(CLEAN(I251&amp;"")," ",""),".","")," ",""),"-",""),"CHECK: not 2, 4, 6, 8 or 10 digits"))</f>
        <v/>
      </c>
      <c r="K251" s="11" t="n"/>
    </row>
    <row r="252">
      <c r="E252" s="8" t="n"/>
      <c r="F252" s="10">
        <f>IF(SUBSTITUTE(SUBSTITUTE(SUBSTITUTE(SUBSTITUTE(CLEAN(E252&amp;"")," ",""),".","")," ",""),"-","")="","",IF(AND(OR(LEN(SUBSTITUTE(SUBSTITUTE(SUBSTITUTE(SUBSTITUTE(CLEAN(E252&amp;"")," ",""),".","")," ",""),"-",""))=2,LEN(SUBSTITUTE(SUBSTITUTE(SUBSTITUTE(SUBSTITUTE(CLEAN(E252&amp;"")," ",""),".","")," ",""),"-",""))=4,LEN(SUBSTITUTE(SUBSTITUTE(SUBSTITUTE(SUBSTITUTE(CLEAN(E252&amp;"")," ",""),".","")," ",""),"-",""))=6,LEN(SUBSTITUTE(SUBSTITUTE(SUBSTITUTE(SUBSTITUTE(CLEAN(E252&amp;"")," ",""),".","")," ",""),"-",""))=8,LEN(SUBSTITUTE(SUBSTITUTE(SUBSTITUTE(SUBSTITUTE(CLEAN(E252&amp;"")," ",""),".","")," ",""),"-",""))=10),IFERROR(TEXT(VALUE(SUBSTITUTE(SUBSTITUTE(SUBSTITUTE(SUBSTITUTE(CLEAN(E252&amp;"")," ",""),".","")," ",""),"-","")),REPT("0",LEN(SUBSTITUTE(SUBSTITUTE(SUBSTITUTE(SUBSTITUTE(CLEAN(E252&amp;"")," ",""),".","")," ",""),"-",""))))=SUBSTITUTE(SUBSTITUTE(SUBSTITUTE(SUBSTITUTE(CLEAN(E252&amp;"")," ",""),".","")," ",""),"-",""),FALSE)),SUBSTITUTE(SUBSTITUTE(SUBSTITUTE(SUBSTITUTE(CLEAN(E252&amp;"")," ",""),".","")," ",""),"-",""),"CHECK: not 2, 4, 6, 8 or 10 digits"))</f>
        <v/>
      </c>
      <c r="G252" s="11" t="n"/>
      <c r="H252" s="8" t="n"/>
      <c r="I252" s="8" t="n"/>
      <c r="J252" s="10">
        <f>IF(SUBSTITUTE(SUBSTITUTE(SUBSTITUTE(SUBSTITUTE(CLEAN(I252&amp;"")," ",""),".","")," ",""),"-","")="","",IF(AND(OR(LEN(SUBSTITUTE(SUBSTITUTE(SUBSTITUTE(SUBSTITUTE(CLEAN(I252&amp;"")," ",""),".","")," ",""),"-",""))=2,LEN(SUBSTITUTE(SUBSTITUTE(SUBSTITUTE(SUBSTITUTE(CLEAN(I252&amp;"")," ",""),".","")," ",""),"-",""))=4,LEN(SUBSTITUTE(SUBSTITUTE(SUBSTITUTE(SUBSTITUTE(CLEAN(I252&amp;"")," ",""),".","")," ",""),"-",""))=6,LEN(SUBSTITUTE(SUBSTITUTE(SUBSTITUTE(SUBSTITUTE(CLEAN(I252&amp;"")," ",""),".","")," ",""),"-",""))=8,LEN(SUBSTITUTE(SUBSTITUTE(SUBSTITUTE(SUBSTITUTE(CLEAN(I252&amp;"")," ",""),".","")," ",""),"-",""))=10),IFERROR(TEXT(VALUE(SUBSTITUTE(SUBSTITUTE(SUBSTITUTE(SUBSTITUTE(CLEAN(I252&amp;"")," ",""),".","")," ",""),"-","")),REPT("0",LEN(SUBSTITUTE(SUBSTITUTE(SUBSTITUTE(SUBSTITUTE(CLEAN(I252&amp;"")," ",""),".","")," ",""),"-",""))))=SUBSTITUTE(SUBSTITUTE(SUBSTITUTE(SUBSTITUTE(CLEAN(I252&amp;"")," ",""),".","")," ",""),"-",""),FALSE)),SUBSTITUTE(SUBSTITUTE(SUBSTITUTE(SUBSTITUTE(CLEAN(I252&amp;"")," ",""),".","")," ",""),"-",""),"CHECK: not 2, 4, 6, 8 or 10 digits"))</f>
        <v/>
      </c>
      <c r="K252" s="11" t="n"/>
    </row>
    <row r="253">
      <c r="E253" s="8" t="n"/>
      <c r="F253" s="10">
        <f>IF(SUBSTITUTE(SUBSTITUTE(SUBSTITUTE(SUBSTITUTE(CLEAN(E253&amp;"")," ",""),".","")," ",""),"-","")="","",IF(AND(OR(LEN(SUBSTITUTE(SUBSTITUTE(SUBSTITUTE(SUBSTITUTE(CLEAN(E253&amp;"")," ",""),".","")," ",""),"-",""))=2,LEN(SUBSTITUTE(SUBSTITUTE(SUBSTITUTE(SUBSTITUTE(CLEAN(E253&amp;"")," ",""),".","")," ",""),"-",""))=4,LEN(SUBSTITUTE(SUBSTITUTE(SUBSTITUTE(SUBSTITUTE(CLEAN(E253&amp;"")," ",""),".","")," ",""),"-",""))=6,LEN(SUBSTITUTE(SUBSTITUTE(SUBSTITUTE(SUBSTITUTE(CLEAN(E253&amp;"")," ",""),".","")," ",""),"-",""))=8,LEN(SUBSTITUTE(SUBSTITUTE(SUBSTITUTE(SUBSTITUTE(CLEAN(E253&amp;"")," ",""),".","")," ",""),"-",""))=10),IFERROR(TEXT(VALUE(SUBSTITUTE(SUBSTITUTE(SUBSTITUTE(SUBSTITUTE(CLEAN(E253&amp;"")," ",""),".","")," ",""),"-","")),REPT("0",LEN(SUBSTITUTE(SUBSTITUTE(SUBSTITUTE(SUBSTITUTE(CLEAN(E253&amp;"")," ",""),".","")," ",""),"-",""))))=SUBSTITUTE(SUBSTITUTE(SUBSTITUTE(SUBSTITUTE(CLEAN(E253&amp;"")," ",""),".","")," ",""),"-",""),FALSE)),SUBSTITUTE(SUBSTITUTE(SUBSTITUTE(SUBSTITUTE(CLEAN(E253&amp;"")," ",""),".","")," ",""),"-",""),"CHECK: not 2, 4, 6, 8 or 10 digits"))</f>
        <v/>
      </c>
      <c r="G253" s="11" t="n"/>
      <c r="H253" s="8" t="n"/>
      <c r="I253" s="8" t="n"/>
      <c r="J253" s="10">
        <f>IF(SUBSTITUTE(SUBSTITUTE(SUBSTITUTE(SUBSTITUTE(CLEAN(I253&amp;"")," ",""),".","")," ",""),"-","")="","",IF(AND(OR(LEN(SUBSTITUTE(SUBSTITUTE(SUBSTITUTE(SUBSTITUTE(CLEAN(I253&amp;"")," ",""),".","")," ",""),"-",""))=2,LEN(SUBSTITUTE(SUBSTITUTE(SUBSTITUTE(SUBSTITUTE(CLEAN(I253&amp;"")," ",""),".","")," ",""),"-",""))=4,LEN(SUBSTITUTE(SUBSTITUTE(SUBSTITUTE(SUBSTITUTE(CLEAN(I253&amp;"")," ",""),".","")," ",""),"-",""))=6,LEN(SUBSTITUTE(SUBSTITUTE(SUBSTITUTE(SUBSTITUTE(CLEAN(I253&amp;"")," ",""),".","")," ",""),"-",""))=8,LEN(SUBSTITUTE(SUBSTITUTE(SUBSTITUTE(SUBSTITUTE(CLEAN(I253&amp;"")," ",""),".","")," ",""),"-",""))=10),IFERROR(TEXT(VALUE(SUBSTITUTE(SUBSTITUTE(SUBSTITUTE(SUBSTITUTE(CLEAN(I253&amp;"")," ",""),".","")," ",""),"-","")),REPT("0",LEN(SUBSTITUTE(SUBSTITUTE(SUBSTITUTE(SUBSTITUTE(CLEAN(I253&amp;"")," ",""),".","")," ",""),"-",""))))=SUBSTITUTE(SUBSTITUTE(SUBSTITUTE(SUBSTITUTE(CLEAN(I253&amp;"")," ",""),".","")," ",""),"-",""),FALSE)),SUBSTITUTE(SUBSTITUTE(SUBSTITUTE(SUBSTITUTE(CLEAN(I253&amp;"")," ",""),".","")," ",""),"-",""),"CHECK: not 2, 4, 6, 8 or 10 digits"))</f>
        <v/>
      </c>
      <c r="K253" s="11" t="n"/>
    </row>
    <row r="254">
      <c r="E254" s="8" t="n"/>
      <c r="F254" s="10">
        <f>IF(SUBSTITUTE(SUBSTITUTE(SUBSTITUTE(SUBSTITUTE(CLEAN(E254&amp;"")," ",""),".","")," ",""),"-","")="","",IF(AND(OR(LEN(SUBSTITUTE(SUBSTITUTE(SUBSTITUTE(SUBSTITUTE(CLEAN(E254&amp;"")," ",""),".","")," ",""),"-",""))=2,LEN(SUBSTITUTE(SUBSTITUTE(SUBSTITUTE(SUBSTITUTE(CLEAN(E254&amp;"")," ",""),".","")," ",""),"-",""))=4,LEN(SUBSTITUTE(SUBSTITUTE(SUBSTITUTE(SUBSTITUTE(CLEAN(E254&amp;"")," ",""),".","")," ",""),"-",""))=6,LEN(SUBSTITUTE(SUBSTITUTE(SUBSTITUTE(SUBSTITUTE(CLEAN(E254&amp;"")," ",""),".","")," ",""),"-",""))=8,LEN(SUBSTITUTE(SUBSTITUTE(SUBSTITUTE(SUBSTITUTE(CLEAN(E254&amp;"")," ",""),".","")," ",""),"-",""))=10),IFERROR(TEXT(VALUE(SUBSTITUTE(SUBSTITUTE(SUBSTITUTE(SUBSTITUTE(CLEAN(E254&amp;"")," ",""),".","")," ",""),"-","")),REPT("0",LEN(SUBSTITUTE(SUBSTITUTE(SUBSTITUTE(SUBSTITUTE(CLEAN(E254&amp;"")," ",""),".","")," ",""),"-",""))))=SUBSTITUTE(SUBSTITUTE(SUBSTITUTE(SUBSTITUTE(CLEAN(E254&amp;"")," ",""),".","")," ",""),"-",""),FALSE)),SUBSTITUTE(SUBSTITUTE(SUBSTITUTE(SUBSTITUTE(CLEAN(E254&amp;"")," ",""),".","")," ",""),"-",""),"CHECK: not 2, 4, 6, 8 or 10 digits"))</f>
        <v/>
      </c>
      <c r="G254" s="11" t="n"/>
      <c r="H254" s="8" t="n"/>
      <c r="I254" s="8" t="n"/>
      <c r="J254" s="10">
        <f>IF(SUBSTITUTE(SUBSTITUTE(SUBSTITUTE(SUBSTITUTE(CLEAN(I254&amp;"")," ",""),".","")," ",""),"-","")="","",IF(AND(OR(LEN(SUBSTITUTE(SUBSTITUTE(SUBSTITUTE(SUBSTITUTE(CLEAN(I254&amp;"")," ",""),".","")," ",""),"-",""))=2,LEN(SUBSTITUTE(SUBSTITUTE(SUBSTITUTE(SUBSTITUTE(CLEAN(I254&amp;"")," ",""),".","")," ",""),"-",""))=4,LEN(SUBSTITUTE(SUBSTITUTE(SUBSTITUTE(SUBSTITUTE(CLEAN(I254&amp;"")," ",""),".","")," ",""),"-",""))=6,LEN(SUBSTITUTE(SUBSTITUTE(SUBSTITUTE(SUBSTITUTE(CLEAN(I254&amp;"")," ",""),".","")," ",""),"-",""))=8,LEN(SUBSTITUTE(SUBSTITUTE(SUBSTITUTE(SUBSTITUTE(CLEAN(I254&amp;"")," ",""),".","")," ",""),"-",""))=10),IFERROR(TEXT(VALUE(SUBSTITUTE(SUBSTITUTE(SUBSTITUTE(SUBSTITUTE(CLEAN(I254&amp;"")," ",""),".","")," ",""),"-","")),REPT("0",LEN(SUBSTITUTE(SUBSTITUTE(SUBSTITUTE(SUBSTITUTE(CLEAN(I254&amp;"")," ",""),".","")," ",""),"-",""))))=SUBSTITUTE(SUBSTITUTE(SUBSTITUTE(SUBSTITUTE(CLEAN(I254&amp;"")," ",""),".","")," ",""),"-",""),FALSE)),SUBSTITUTE(SUBSTITUTE(SUBSTITUTE(SUBSTITUTE(CLEAN(I254&amp;"")," ",""),".","")," ",""),"-",""),"CHECK: not 2, 4, 6, 8 or 10 digits"))</f>
        <v/>
      </c>
      <c r="K254" s="11" t="n"/>
    </row>
    <row r="255">
      <c r="E255" s="8" t="n"/>
      <c r="F255" s="10">
        <f>IF(SUBSTITUTE(SUBSTITUTE(SUBSTITUTE(SUBSTITUTE(CLEAN(E255&amp;"")," ",""),".","")," ",""),"-","")="","",IF(AND(OR(LEN(SUBSTITUTE(SUBSTITUTE(SUBSTITUTE(SUBSTITUTE(CLEAN(E255&amp;"")," ",""),".","")," ",""),"-",""))=2,LEN(SUBSTITUTE(SUBSTITUTE(SUBSTITUTE(SUBSTITUTE(CLEAN(E255&amp;"")," ",""),".","")," ",""),"-",""))=4,LEN(SUBSTITUTE(SUBSTITUTE(SUBSTITUTE(SUBSTITUTE(CLEAN(E255&amp;"")," ",""),".","")," ",""),"-",""))=6,LEN(SUBSTITUTE(SUBSTITUTE(SUBSTITUTE(SUBSTITUTE(CLEAN(E255&amp;"")," ",""),".","")," ",""),"-",""))=8,LEN(SUBSTITUTE(SUBSTITUTE(SUBSTITUTE(SUBSTITUTE(CLEAN(E255&amp;"")," ",""),".","")," ",""),"-",""))=10),IFERROR(TEXT(VALUE(SUBSTITUTE(SUBSTITUTE(SUBSTITUTE(SUBSTITUTE(CLEAN(E255&amp;"")," ",""),".","")," ",""),"-","")),REPT("0",LEN(SUBSTITUTE(SUBSTITUTE(SUBSTITUTE(SUBSTITUTE(CLEAN(E255&amp;"")," ",""),".","")," ",""),"-",""))))=SUBSTITUTE(SUBSTITUTE(SUBSTITUTE(SUBSTITUTE(CLEAN(E255&amp;"")," ",""),".","")," ",""),"-",""),FALSE)),SUBSTITUTE(SUBSTITUTE(SUBSTITUTE(SUBSTITUTE(CLEAN(E255&amp;"")," ",""),".","")," ",""),"-",""),"CHECK: not 2, 4, 6, 8 or 10 digits"))</f>
        <v/>
      </c>
      <c r="G255" s="11" t="n"/>
      <c r="H255" s="8" t="n"/>
      <c r="I255" s="8" t="n"/>
      <c r="J255" s="10">
        <f>IF(SUBSTITUTE(SUBSTITUTE(SUBSTITUTE(SUBSTITUTE(CLEAN(I255&amp;"")," ",""),".","")," ",""),"-","")="","",IF(AND(OR(LEN(SUBSTITUTE(SUBSTITUTE(SUBSTITUTE(SUBSTITUTE(CLEAN(I255&amp;"")," ",""),".","")," ",""),"-",""))=2,LEN(SUBSTITUTE(SUBSTITUTE(SUBSTITUTE(SUBSTITUTE(CLEAN(I255&amp;"")," ",""),".","")," ",""),"-",""))=4,LEN(SUBSTITUTE(SUBSTITUTE(SUBSTITUTE(SUBSTITUTE(CLEAN(I255&amp;"")," ",""),".","")," ",""),"-",""))=6,LEN(SUBSTITUTE(SUBSTITUTE(SUBSTITUTE(SUBSTITUTE(CLEAN(I255&amp;"")," ",""),".","")," ",""),"-",""))=8,LEN(SUBSTITUTE(SUBSTITUTE(SUBSTITUTE(SUBSTITUTE(CLEAN(I255&amp;"")," ",""),".","")," ",""),"-",""))=10),IFERROR(TEXT(VALUE(SUBSTITUTE(SUBSTITUTE(SUBSTITUTE(SUBSTITUTE(CLEAN(I255&amp;"")," ",""),".","")," ",""),"-","")),REPT("0",LEN(SUBSTITUTE(SUBSTITUTE(SUBSTITUTE(SUBSTITUTE(CLEAN(I255&amp;"")," ",""),".","")," ",""),"-",""))))=SUBSTITUTE(SUBSTITUTE(SUBSTITUTE(SUBSTITUTE(CLEAN(I255&amp;"")," ",""),".","")," ",""),"-",""),FALSE)),SUBSTITUTE(SUBSTITUTE(SUBSTITUTE(SUBSTITUTE(CLEAN(I255&amp;"")," ",""),".","")," ",""),"-",""),"CHECK: not 2, 4, 6, 8 or 10 digits"))</f>
        <v/>
      </c>
      <c r="K255" s="11" t="n"/>
    </row>
    <row r="256">
      <c r="E256" s="8" t="n"/>
      <c r="F256" s="10">
        <f>IF(SUBSTITUTE(SUBSTITUTE(SUBSTITUTE(SUBSTITUTE(CLEAN(E256&amp;"")," ",""),".","")," ",""),"-","")="","",IF(AND(OR(LEN(SUBSTITUTE(SUBSTITUTE(SUBSTITUTE(SUBSTITUTE(CLEAN(E256&amp;"")," ",""),".","")," ",""),"-",""))=2,LEN(SUBSTITUTE(SUBSTITUTE(SUBSTITUTE(SUBSTITUTE(CLEAN(E256&amp;"")," ",""),".","")," ",""),"-",""))=4,LEN(SUBSTITUTE(SUBSTITUTE(SUBSTITUTE(SUBSTITUTE(CLEAN(E256&amp;"")," ",""),".","")," ",""),"-",""))=6,LEN(SUBSTITUTE(SUBSTITUTE(SUBSTITUTE(SUBSTITUTE(CLEAN(E256&amp;"")," ",""),".","")," ",""),"-",""))=8,LEN(SUBSTITUTE(SUBSTITUTE(SUBSTITUTE(SUBSTITUTE(CLEAN(E256&amp;"")," ",""),".","")," ",""),"-",""))=10),IFERROR(TEXT(VALUE(SUBSTITUTE(SUBSTITUTE(SUBSTITUTE(SUBSTITUTE(CLEAN(E256&amp;"")," ",""),".","")," ",""),"-","")),REPT("0",LEN(SUBSTITUTE(SUBSTITUTE(SUBSTITUTE(SUBSTITUTE(CLEAN(E256&amp;"")," ",""),".","")," ",""),"-",""))))=SUBSTITUTE(SUBSTITUTE(SUBSTITUTE(SUBSTITUTE(CLEAN(E256&amp;"")," ",""),".","")," ",""),"-",""),FALSE)),SUBSTITUTE(SUBSTITUTE(SUBSTITUTE(SUBSTITUTE(CLEAN(E256&amp;"")," ",""),".","")," ",""),"-",""),"CHECK: not 2, 4, 6, 8 or 10 digits"))</f>
        <v/>
      </c>
      <c r="G256" s="11" t="n"/>
      <c r="H256" s="8" t="n"/>
      <c r="I256" s="8" t="n"/>
      <c r="J256" s="10">
        <f>IF(SUBSTITUTE(SUBSTITUTE(SUBSTITUTE(SUBSTITUTE(CLEAN(I256&amp;"")," ",""),".","")," ",""),"-","")="","",IF(AND(OR(LEN(SUBSTITUTE(SUBSTITUTE(SUBSTITUTE(SUBSTITUTE(CLEAN(I256&amp;"")," ",""),".","")," ",""),"-",""))=2,LEN(SUBSTITUTE(SUBSTITUTE(SUBSTITUTE(SUBSTITUTE(CLEAN(I256&amp;"")," ",""),".","")," ",""),"-",""))=4,LEN(SUBSTITUTE(SUBSTITUTE(SUBSTITUTE(SUBSTITUTE(CLEAN(I256&amp;"")," ",""),".","")," ",""),"-",""))=6,LEN(SUBSTITUTE(SUBSTITUTE(SUBSTITUTE(SUBSTITUTE(CLEAN(I256&amp;"")," ",""),".","")," ",""),"-",""))=8,LEN(SUBSTITUTE(SUBSTITUTE(SUBSTITUTE(SUBSTITUTE(CLEAN(I256&amp;"")," ",""),".","")," ",""),"-",""))=10),IFERROR(TEXT(VALUE(SUBSTITUTE(SUBSTITUTE(SUBSTITUTE(SUBSTITUTE(CLEAN(I256&amp;"")," ",""),".","")," ",""),"-","")),REPT("0",LEN(SUBSTITUTE(SUBSTITUTE(SUBSTITUTE(SUBSTITUTE(CLEAN(I256&amp;"")," ",""),".","")," ",""),"-",""))))=SUBSTITUTE(SUBSTITUTE(SUBSTITUTE(SUBSTITUTE(CLEAN(I256&amp;"")," ",""),".","")," ",""),"-",""),FALSE)),SUBSTITUTE(SUBSTITUTE(SUBSTITUTE(SUBSTITUTE(CLEAN(I256&amp;"")," ",""),".","")," ",""),"-",""),"CHECK: not 2, 4, 6, 8 or 10 digits"))</f>
        <v/>
      </c>
      <c r="K256" s="11" t="n"/>
    </row>
    <row r="257">
      <c r="E257" s="8" t="n"/>
      <c r="F257" s="10">
        <f>IF(SUBSTITUTE(SUBSTITUTE(SUBSTITUTE(SUBSTITUTE(CLEAN(E257&amp;"")," ",""),".","")," ",""),"-","")="","",IF(AND(OR(LEN(SUBSTITUTE(SUBSTITUTE(SUBSTITUTE(SUBSTITUTE(CLEAN(E257&amp;"")," ",""),".","")," ",""),"-",""))=2,LEN(SUBSTITUTE(SUBSTITUTE(SUBSTITUTE(SUBSTITUTE(CLEAN(E257&amp;"")," ",""),".","")," ",""),"-",""))=4,LEN(SUBSTITUTE(SUBSTITUTE(SUBSTITUTE(SUBSTITUTE(CLEAN(E257&amp;"")," ",""),".","")," ",""),"-",""))=6,LEN(SUBSTITUTE(SUBSTITUTE(SUBSTITUTE(SUBSTITUTE(CLEAN(E257&amp;"")," ",""),".","")," ",""),"-",""))=8,LEN(SUBSTITUTE(SUBSTITUTE(SUBSTITUTE(SUBSTITUTE(CLEAN(E257&amp;"")," ",""),".","")," ",""),"-",""))=10),IFERROR(TEXT(VALUE(SUBSTITUTE(SUBSTITUTE(SUBSTITUTE(SUBSTITUTE(CLEAN(E257&amp;"")," ",""),".","")," ",""),"-","")),REPT("0",LEN(SUBSTITUTE(SUBSTITUTE(SUBSTITUTE(SUBSTITUTE(CLEAN(E257&amp;"")," ",""),".","")," ",""),"-",""))))=SUBSTITUTE(SUBSTITUTE(SUBSTITUTE(SUBSTITUTE(CLEAN(E257&amp;"")," ",""),".","")," ",""),"-",""),FALSE)),SUBSTITUTE(SUBSTITUTE(SUBSTITUTE(SUBSTITUTE(CLEAN(E257&amp;"")," ",""),".","")," ",""),"-",""),"CHECK: not 2, 4, 6, 8 or 10 digits"))</f>
        <v/>
      </c>
      <c r="G257" s="11" t="n"/>
      <c r="H257" s="8" t="n"/>
      <c r="I257" s="8" t="n"/>
      <c r="J257" s="10">
        <f>IF(SUBSTITUTE(SUBSTITUTE(SUBSTITUTE(SUBSTITUTE(CLEAN(I257&amp;"")," ",""),".","")," ",""),"-","")="","",IF(AND(OR(LEN(SUBSTITUTE(SUBSTITUTE(SUBSTITUTE(SUBSTITUTE(CLEAN(I257&amp;"")," ",""),".","")," ",""),"-",""))=2,LEN(SUBSTITUTE(SUBSTITUTE(SUBSTITUTE(SUBSTITUTE(CLEAN(I257&amp;"")," ",""),".","")," ",""),"-",""))=4,LEN(SUBSTITUTE(SUBSTITUTE(SUBSTITUTE(SUBSTITUTE(CLEAN(I257&amp;"")," ",""),".","")," ",""),"-",""))=6,LEN(SUBSTITUTE(SUBSTITUTE(SUBSTITUTE(SUBSTITUTE(CLEAN(I257&amp;"")," ",""),".","")," ",""),"-",""))=8,LEN(SUBSTITUTE(SUBSTITUTE(SUBSTITUTE(SUBSTITUTE(CLEAN(I257&amp;"")," ",""),".","")," ",""),"-",""))=10),IFERROR(TEXT(VALUE(SUBSTITUTE(SUBSTITUTE(SUBSTITUTE(SUBSTITUTE(CLEAN(I257&amp;"")," ",""),".","")," ",""),"-","")),REPT("0",LEN(SUBSTITUTE(SUBSTITUTE(SUBSTITUTE(SUBSTITUTE(CLEAN(I257&amp;"")," ",""),".","")," ",""),"-",""))))=SUBSTITUTE(SUBSTITUTE(SUBSTITUTE(SUBSTITUTE(CLEAN(I257&amp;"")," ",""),".","")," ",""),"-",""),FALSE)),SUBSTITUTE(SUBSTITUTE(SUBSTITUTE(SUBSTITUTE(CLEAN(I257&amp;"")," ",""),".","")," ",""),"-",""),"CHECK: not 2, 4, 6, 8 or 10 digits"))</f>
        <v/>
      </c>
      <c r="K257" s="11" t="n"/>
    </row>
    <row r="258">
      <c r="E258" s="8" t="n"/>
      <c r="F258" s="10">
        <f>IF(SUBSTITUTE(SUBSTITUTE(SUBSTITUTE(SUBSTITUTE(CLEAN(E258&amp;"")," ",""),".","")," ",""),"-","")="","",IF(AND(OR(LEN(SUBSTITUTE(SUBSTITUTE(SUBSTITUTE(SUBSTITUTE(CLEAN(E258&amp;"")," ",""),".","")," ",""),"-",""))=2,LEN(SUBSTITUTE(SUBSTITUTE(SUBSTITUTE(SUBSTITUTE(CLEAN(E258&amp;"")," ",""),".","")," ",""),"-",""))=4,LEN(SUBSTITUTE(SUBSTITUTE(SUBSTITUTE(SUBSTITUTE(CLEAN(E258&amp;"")," ",""),".","")," ",""),"-",""))=6,LEN(SUBSTITUTE(SUBSTITUTE(SUBSTITUTE(SUBSTITUTE(CLEAN(E258&amp;"")," ",""),".","")," ",""),"-",""))=8,LEN(SUBSTITUTE(SUBSTITUTE(SUBSTITUTE(SUBSTITUTE(CLEAN(E258&amp;"")," ",""),".","")," ",""),"-",""))=10),IFERROR(TEXT(VALUE(SUBSTITUTE(SUBSTITUTE(SUBSTITUTE(SUBSTITUTE(CLEAN(E258&amp;"")," ",""),".","")," ",""),"-","")),REPT("0",LEN(SUBSTITUTE(SUBSTITUTE(SUBSTITUTE(SUBSTITUTE(CLEAN(E258&amp;"")," ",""),".","")," ",""),"-",""))))=SUBSTITUTE(SUBSTITUTE(SUBSTITUTE(SUBSTITUTE(CLEAN(E258&amp;"")," ",""),".","")," ",""),"-",""),FALSE)),SUBSTITUTE(SUBSTITUTE(SUBSTITUTE(SUBSTITUTE(CLEAN(E258&amp;"")," ",""),".","")," ",""),"-",""),"CHECK: not 2, 4, 6, 8 or 10 digits"))</f>
        <v/>
      </c>
      <c r="G258" s="11" t="n"/>
      <c r="H258" s="8" t="n"/>
      <c r="I258" s="8" t="n"/>
      <c r="J258" s="10">
        <f>IF(SUBSTITUTE(SUBSTITUTE(SUBSTITUTE(SUBSTITUTE(CLEAN(I258&amp;"")," ",""),".","")," ",""),"-","")="","",IF(AND(OR(LEN(SUBSTITUTE(SUBSTITUTE(SUBSTITUTE(SUBSTITUTE(CLEAN(I258&amp;"")," ",""),".","")," ",""),"-",""))=2,LEN(SUBSTITUTE(SUBSTITUTE(SUBSTITUTE(SUBSTITUTE(CLEAN(I258&amp;"")," ",""),".","")," ",""),"-",""))=4,LEN(SUBSTITUTE(SUBSTITUTE(SUBSTITUTE(SUBSTITUTE(CLEAN(I258&amp;"")," ",""),".","")," ",""),"-",""))=6,LEN(SUBSTITUTE(SUBSTITUTE(SUBSTITUTE(SUBSTITUTE(CLEAN(I258&amp;"")," ",""),".","")," ",""),"-",""))=8,LEN(SUBSTITUTE(SUBSTITUTE(SUBSTITUTE(SUBSTITUTE(CLEAN(I258&amp;"")," ",""),".","")," ",""),"-",""))=10),IFERROR(TEXT(VALUE(SUBSTITUTE(SUBSTITUTE(SUBSTITUTE(SUBSTITUTE(CLEAN(I258&amp;"")," ",""),".","")," ",""),"-","")),REPT("0",LEN(SUBSTITUTE(SUBSTITUTE(SUBSTITUTE(SUBSTITUTE(CLEAN(I258&amp;"")," ",""),".","")," ",""),"-",""))))=SUBSTITUTE(SUBSTITUTE(SUBSTITUTE(SUBSTITUTE(CLEAN(I258&amp;"")," ",""),".","")," ",""),"-",""),FALSE)),SUBSTITUTE(SUBSTITUTE(SUBSTITUTE(SUBSTITUTE(CLEAN(I258&amp;"")," ",""),".","")," ",""),"-",""),"CHECK: not 2, 4, 6, 8 or 10 digits"))</f>
        <v/>
      </c>
      <c r="K258" s="11" t="n"/>
    </row>
    <row r="259">
      <c r="E259" s="8" t="n"/>
      <c r="F259" s="10">
        <f>IF(SUBSTITUTE(SUBSTITUTE(SUBSTITUTE(SUBSTITUTE(CLEAN(E259&amp;"")," ",""),".","")," ",""),"-","")="","",IF(AND(OR(LEN(SUBSTITUTE(SUBSTITUTE(SUBSTITUTE(SUBSTITUTE(CLEAN(E259&amp;"")," ",""),".","")," ",""),"-",""))=2,LEN(SUBSTITUTE(SUBSTITUTE(SUBSTITUTE(SUBSTITUTE(CLEAN(E259&amp;"")," ",""),".","")," ",""),"-",""))=4,LEN(SUBSTITUTE(SUBSTITUTE(SUBSTITUTE(SUBSTITUTE(CLEAN(E259&amp;"")," ",""),".","")," ",""),"-",""))=6,LEN(SUBSTITUTE(SUBSTITUTE(SUBSTITUTE(SUBSTITUTE(CLEAN(E259&amp;"")," ",""),".","")," ",""),"-",""))=8,LEN(SUBSTITUTE(SUBSTITUTE(SUBSTITUTE(SUBSTITUTE(CLEAN(E259&amp;"")," ",""),".","")," ",""),"-",""))=10),IFERROR(TEXT(VALUE(SUBSTITUTE(SUBSTITUTE(SUBSTITUTE(SUBSTITUTE(CLEAN(E259&amp;"")," ",""),".","")," ",""),"-","")),REPT("0",LEN(SUBSTITUTE(SUBSTITUTE(SUBSTITUTE(SUBSTITUTE(CLEAN(E259&amp;"")," ",""),".","")," ",""),"-",""))))=SUBSTITUTE(SUBSTITUTE(SUBSTITUTE(SUBSTITUTE(CLEAN(E259&amp;"")," ",""),".","")," ",""),"-",""),FALSE)),SUBSTITUTE(SUBSTITUTE(SUBSTITUTE(SUBSTITUTE(CLEAN(E259&amp;"")," ",""),".","")," ",""),"-",""),"CHECK: not 2, 4, 6, 8 or 10 digits"))</f>
        <v/>
      </c>
      <c r="G259" s="11" t="n"/>
      <c r="H259" s="8" t="n"/>
      <c r="I259" s="8" t="n"/>
      <c r="J259" s="10">
        <f>IF(SUBSTITUTE(SUBSTITUTE(SUBSTITUTE(SUBSTITUTE(CLEAN(I259&amp;"")," ",""),".","")," ",""),"-","")="","",IF(AND(OR(LEN(SUBSTITUTE(SUBSTITUTE(SUBSTITUTE(SUBSTITUTE(CLEAN(I259&amp;"")," ",""),".","")," ",""),"-",""))=2,LEN(SUBSTITUTE(SUBSTITUTE(SUBSTITUTE(SUBSTITUTE(CLEAN(I259&amp;"")," ",""),".","")," ",""),"-",""))=4,LEN(SUBSTITUTE(SUBSTITUTE(SUBSTITUTE(SUBSTITUTE(CLEAN(I259&amp;"")," ",""),".","")," ",""),"-",""))=6,LEN(SUBSTITUTE(SUBSTITUTE(SUBSTITUTE(SUBSTITUTE(CLEAN(I259&amp;"")," ",""),".","")," ",""),"-",""))=8,LEN(SUBSTITUTE(SUBSTITUTE(SUBSTITUTE(SUBSTITUTE(CLEAN(I259&amp;"")," ",""),".","")," ",""),"-",""))=10),IFERROR(TEXT(VALUE(SUBSTITUTE(SUBSTITUTE(SUBSTITUTE(SUBSTITUTE(CLEAN(I259&amp;"")," ",""),".","")," ",""),"-","")),REPT("0",LEN(SUBSTITUTE(SUBSTITUTE(SUBSTITUTE(SUBSTITUTE(CLEAN(I259&amp;"")," ",""),".","")," ",""),"-",""))))=SUBSTITUTE(SUBSTITUTE(SUBSTITUTE(SUBSTITUTE(CLEAN(I259&amp;"")," ",""),".","")," ",""),"-",""),FALSE)),SUBSTITUTE(SUBSTITUTE(SUBSTITUTE(SUBSTITUTE(CLEAN(I259&amp;"")," ",""),".","")," ",""),"-",""),"CHECK: not 2, 4, 6, 8 or 10 digits"))</f>
        <v/>
      </c>
      <c r="K259" s="11" t="n"/>
    </row>
    <row r="260">
      <c r="E260" s="8" t="n"/>
      <c r="F260" s="10">
        <f>IF(SUBSTITUTE(SUBSTITUTE(SUBSTITUTE(SUBSTITUTE(CLEAN(E260&amp;"")," ",""),".","")," ",""),"-","")="","",IF(AND(OR(LEN(SUBSTITUTE(SUBSTITUTE(SUBSTITUTE(SUBSTITUTE(CLEAN(E260&amp;"")," ",""),".","")," ",""),"-",""))=2,LEN(SUBSTITUTE(SUBSTITUTE(SUBSTITUTE(SUBSTITUTE(CLEAN(E260&amp;"")," ",""),".","")," ",""),"-",""))=4,LEN(SUBSTITUTE(SUBSTITUTE(SUBSTITUTE(SUBSTITUTE(CLEAN(E260&amp;"")," ",""),".","")," ",""),"-",""))=6,LEN(SUBSTITUTE(SUBSTITUTE(SUBSTITUTE(SUBSTITUTE(CLEAN(E260&amp;"")," ",""),".","")," ",""),"-",""))=8,LEN(SUBSTITUTE(SUBSTITUTE(SUBSTITUTE(SUBSTITUTE(CLEAN(E260&amp;"")," ",""),".","")," ",""),"-",""))=10),IFERROR(TEXT(VALUE(SUBSTITUTE(SUBSTITUTE(SUBSTITUTE(SUBSTITUTE(CLEAN(E260&amp;"")," ",""),".","")," ",""),"-","")),REPT("0",LEN(SUBSTITUTE(SUBSTITUTE(SUBSTITUTE(SUBSTITUTE(CLEAN(E260&amp;"")," ",""),".","")," ",""),"-",""))))=SUBSTITUTE(SUBSTITUTE(SUBSTITUTE(SUBSTITUTE(CLEAN(E260&amp;"")," ",""),".","")," ",""),"-",""),FALSE)),SUBSTITUTE(SUBSTITUTE(SUBSTITUTE(SUBSTITUTE(CLEAN(E260&amp;"")," ",""),".","")," ",""),"-",""),"CHECK: not 2, 4, 6, 8 or 10 digits"))</f>
        <v/>
      </c>
      <c r="G260" s="11" t="n"/>
      <c r="H260" s="8" t="n"/>
      <c r="I260" s="8" t="n"/>
      <c r="J260" s="10">
        <f>IF(SUBSTITUTE(SUBSTITUTE(SUBSTITUTE(SUBSTITUTE(CLEAN(I260&amp;"")," ",""),".","")," ",""),"-","")="","",IF(AND(OR(LEN(SUBSTITUTE(SUBSTITUTE(SUBSTITUTE(SUBSTITUTE(CLEAN(I260&amp;"")," ",""),".","")," ",""),"-",""))=2,LEN(SUBSTITUTE(SUBSTITUTE(SUBSTITUTE(SUBSTITUTE(CLEAN(I260&amp;"")," ",""),".","")," ",""),"-",""))=4,LEN(SUBSTITUTE(SUBSTITUTE(SUBSTITUTE(SUBSTITUTE(CLEAN(I260&amp;"")," ",""),".","")," ",""),"-",""))=6,LEN(SUBSTITUTE(SUBSTITUTE(SUBSTITUTE(SUBSTITUTE(CLEAN(I260&amp;"")," ",""),".","")," ",""),"-",""))=8,LEN(SUBSTITUTE(SUBSTITUTE(SUBSTITUTE(SUBSTITUTE(CLEAN(I260&amp;"")," ",""),".","")," ",""),"-",""))=10),IFERROR(TEXT(VALUE(SUBSTITUTE(SUBSTITUTE(SUBSTITUTE(SUBSTITUTE(CLEAN(I260&amp;"")," ",""),".","")," ",""),"-","")),REPT("0",LEN(SUBSTITUTE(SUBSTITUTE(SUBSTITUTE(SUBSTITUTE(CLEAN(I260&amp;"")," ",""),".","")," ",""),"-",""))))=SUBSTITUTE(SUBSTITUTE(SUBSTITUTE(SUBSTITUTE(CLEAN(I260&amp;"")," ",""),".","")," ",""),"-",""),FALSE)),SUBSTITUTE(SUBSTITUTE(SUBSTITUTE(SUBSTITUTE(CLEAN(I260&amp;"")," ",""),".","")," ",""),"-",""),"CHECK: not 2, 4, 6, 8 or 10 digits"))</f>
        <v/>
      </c>
      <c r="K260" s="11" t="n"/>
    </row>
    <row r="261">
      <c r="E261" s="8" t="n"/>
      <c r="F261" s="10">
        <f>IF(SUBSTITUTE(SUBSTITUTE(SUBSTITUTE(SUBSTITUTE(CLEAN(E261&amp;"")," ",""),".","")," ",""),"-","")="","",IF(AND(OR(LEN(SUBSTITUTE(SUBSTITUTE(SUBSTITUTE(SUBSTITUTE(CLEAN(E261&amp;"")," ",""),".","")," ",""),"-",""))=2,LEN(SUBSTITUTE(SUBSTITUTE(SUBSTITUTE(SUBSTITUTE(CLEAN(E261&amp;"")," ",""),".","")," ",""),"-",""))=4,LEN(SUBSTITUTE(SUBSTITUTE(SUBSTITUTE(SUBSTITUTE(CLEAN(E261&amp;"")," ",""),".","")," ",""),"-",""))=6,LEN(SUBSTITUTE(SUBSTITUTE(SUBSTITUTE(SUBSTITUTE(CLEAN(E261&amp;"")," ",""),".","")," ",""),"-",""))=8,LEN(SUBSTITUTE(SUBSTITUTE(SUBSTITUTE(SUBSTITUTE(CLEAN(E261&amp;"")," ",""),".","")," ",""),"-",""))=10),IFERROR(TEXT(VALUE(SUBSTITUTE(SUBSTITUTE(SUBSTITUTE(SUBSTITUTE(CLEAN(E261&amp;"")," ",""),".","")," ",""),"-","")),REPT("0",LEN(SUBSTITUTE(SUBSTITUTE(SUBSTITUTE(SUBSTITUTE(CLEAN(E261&amp;"")," ",""),".","")," ",""),"-",""))))=SUBSTITUTE(SUBSTITUTE(SUBSTITUTE(SUBSTITUTE(CLEAN(E261&amp;"")," ",""),".","")," ",""),"-",""),FALSE)),SUBSTITUTE(SUBSTITUTE(SUBSTITUTE(SUBSTITUTE(CLEAN(E261&amp;"")," ",""),".","")," ",""),"-",""),"CHECK: not 2, 4, 6, 8 or 10 digits"))</f>
        <v/>
      </c>
      <c r="G261" s="11" t="n"/>
      <c r="H261" s="8" t="n"/>
      <c r="I261" s="8" t="n"/>
      <c r="J261" s="10">
        <f>IF(SUBSTITUTE(SUBSTITUTE(SUBSTITUTE(SUBSTITUTE(CLEAN(I261&amp;"")," ",""),".","")," ",""),"-","")="","",IF(AND(OR(LEN(SUBSTITUTE(SUBSTITUTE(SUBSTITUTE(SUBSTITUTE(CLEAN(I261&amp;"")," ",""),".","")," ",""),"-",""))=2,LEN(SUBSTITUTE(SUBSTITUTE(SUBSTITUTE(SUBSTITUTE(CLEAN(I261&amp;"")," ",""),".","")," ",""),"-",""))=4,LEN(SUBSTITUTE(SUBSTITUTE(SUBSTITUTE(SUBSTITUTE(CLEAN(I261&amp;"")," ",""),".","")," ",""),"-",""))=6,LEN(SUBSTITUTE(SUBSTITUTE(SUBSTITUTE(SUBSTITUTE(CLEAN(I261&amp;"")," ",""),".","")," ",""),"-",""))=8,LEN(SUBSTITUTE(SUBSTITUTE(SUBSTITUTE(SUBSTITUTE(CLEAN(I261&amp;"")," ",""),".","")," ",""),"-",""))=10),IFERROR(TEXT(VALUE(SUBSTITUTE(SUBSTITUTE(SUBSTITUTE(SUBSTITUTE(CLEAN(I261&amp;"")," ",""),".","")," ",""),"-","")),REPT("0",LEN(SUBSTITUTE(SUBSTITUTE(SUBSTITUTE(SUBSTITUTE(CLEAN(I261&amp;"")," ",""),".","")," ",""),"-",""))))=SUBSTITUTE(SUBSTITUTE(SUBSTITUTE(SUBSTITUTE(CLEAN(I261&amp;"")," ",""),".","")," ",""),"-",""),FALSE)),SUBSTITUTE(SUBSTITUTE(SUBSTITUTE(SUBSTITUTE(CLEAN(I261&amp;"")," ",""),".","")," ",""),"-",""),"CHECK: not 2, 4, 6, 8 or 10 digits"))</f>
        <v/>
      </c>
      <c r="K261" s="11" t="n"/>
    </row>
    <row r="262">
      <c r="E262" s="8" t="n"/>
      <c r="F262" s="10">
        <f>IF(SUBSTITUTE(SUBSTITUTE(SUBSTITUTE(SUBSTITUTE(CLEAN(E262&amp;"")," ",""),".","")," ",""),"-","")="","",IF(AND(OR(LEN(SUBSTITUTE(SUBSTITUTE(SUBSTITUTE(SUBSTITUTE(CLEAN(E262&amp;"")," ",""),".","")," ",""),"-",""))=2,LEN(SUBSTITUTE(SUBSTITUTE(SUBSTITUTE(SUBSTITUTE(CLEAN(E262&amp;"")," ",""),".","")," ",""),"-",""))=4,LEN(SUBSTITUTE(SUBSTITUTE(SUBSTITUTE(SUBSTITUTE(CLEAN(E262&amp;"")," ",""),".","")," ",""),"-",""))=6,LEN(SUBSTITUTE(SUBSTITUTE(SUBSTITUTE(SUBSTITUTE(CLEAN(E262&amp;"")," ",""),".","")," ",""),"-",""))=8,LEN(SUBSTITUTE(SUBSTITUTE(SUBSTITUTE(SUBSTITUTE(CLEAN(E262&amp;"")," ",""),".","")," ",""),"-",""))=10),IFERROR(TEXT(VALUE(SUBSTITUTE(SUBSTITUTE(SUBSTITUTE(SUBSTITUTE(CLEAN(E262&amp;"")," ",""),".","")," ",""),"-","")),REPT("0",LEN(SUBSTITUTE(SUBSTITUTE(SUBSTITUTE(SUBSTITUTE(CLEAN(E262&amp;"")," ",""),".","")," ",""),"-",""))))=SUBSTITUTE(SUBSTITUTE(SUBSTITUTE(SUBSTITUTE(CLEAN(E262&amp;"")," ",""),".","")," ",""),"-",""),FALSE)),SUBSTITUTE(SUBSTITUTE(SUBSTITUTE(SUBSTITUTE(CLEAN(E262&amp;"")," ",""),".","")," ",""),"-",""),"CHECK: not 2, 4, 6, 8 or 10 digits"))</f>
        <v/>
      </c>
      <c r="G262" s="11" t="n"/>
      <c r="H262" s="8" t="n"/>
      <c r="I262" s="8" t="n"/>
      <c r="J262" s="10">
        <f>IF(SUBSTITUTE(SUBSTITUTE(SUBSTITUTE(SUBSTITUTE(CLEAN(I262&amp;"")," ",""),".","")," ",""),"-","")="","",IF(AND(OR(LEN(SUBSTITUTE(SUBSTITUTE(SUBSTITUTE(SUBSTITUTE(CLEAN(I262&amp;"")," ",""),".","")," ",""),"-",""))=2,LEN(SUBSTITUTE(SUBSTITUTE(SUBSTITUTE(SUBSTITUTE(CLEAN(I262&amp;"")," ",""),".","")," ",""),"-",""))=4,LEN(SUBSTITUTE(SUBSTITUTE(SUBSTITUTE(SUBSTITUTE(CLEAN(I262&amp;"")," ",""),".","")," ",""),"-",""))=6,LEN(SUBSTITUTE(SUBSTITUTE(SUBSTITUTE(SUBSTITUTE(CLEAN(I262&amp;"")," ",""),".","")," ",""),"-",""))=8,LEN(SUBSTITUTE(SUBSTITUTE(SUBSTITUTE(SUBSTITUTE(CLEAN(I262&amp;"")," ",""),".","")," ",""),"-",""))=10),IFERROR(TEXT(VALUE(SUBSTITUTE(SUBSTITUTE(SUBSTITUTE(SUBSTITUTE(CLEAN(I262&amp;"")," ",""),".","")," ",""),"-","")),REPT("0",LEN(SUBSTITUTE(SUBSTITUTE(SUBSTITUTE(SUBSTITUTE(CLEAN(I262&amp;"")," ",""),".","")," ",""),"-",""))))=SUBSTITUTE(SUBSTITUTE(SUBSTITUTE(SUBSTITUTE(CLEAN(I262&amp;"")," ",""),".","")," ",""),"-",""),FALSE)),SUBSTITUTE(SUBSTITUTE(SUBSTITUTE(SUBSTITUTE(CLEAN(I262&amp;"")," ",""),".","")," ",""),"-",""),"CHECK: not 2, 4, 6, 8 or 10 digits"))</f>
        <v/>
      </c>
      <c r="K262" s="11" t="n"/>
    </row>
    <row r="263">
      <c r="E263" s="8" t="n"/>
      <c r="F263" s="10">
        <f>IF(SUBSTITUTE(SUBSTITUTE(SUBSTITUTE(SUBSTITUTE(CLEAN(E263&amp;"")," ",""),".","")," ",""),"-","")="","",IF(AND(OR(LEN(SUBSTITUTE(SUBSTITUTE(SUBSTITUTE(SUBSTITUTE(CLEAN(E263&amp;"")," ",""),".","")," ",""),"-",""))=2,LEN(SUBSTITUTE(SUBSTITUTE(SUBSTITUTE(SUBSTITUTE(CLEAN(E263&amp;"")," ",""),".","")," ",""),"-",""))=4,LEN(SUBSTITUTE(SUBSTITUTE(SUBSTITUTE(SUBSTITUTE(CLEAN(E263&amp;"")," ",""),".","")," ",""),"-",""))=6,LEN(SUBSTITUTE(SUBSTITUTE(SUBSTITUTE(SUBSTITUTE(CLEAN(E263&amp;"")," ",""),".","")," ",""),"-",""))=8,LEN(SUBSTITUTE(SUBSTITUTE(SUBSTITUTE(SUBSTITUTE(CLEAN(E263&amp;"")," ",""),".","")," ",""),"-",""))=10),IFERROR(TEXT(VALUE(SUBSTITUTE(SUBSTITUTE(SUBSTITUTE(SUBSTITUTE(CLEAN(E263&amp;"")," ",""),".","")," ",""),"-","")),REPT("0",LEN(SUBSTITUTE(SUBSTITUTE(SUBSTITUTE(SUBSTITUTE(CLEAN(E263&amp;"")," ",""),".","")," ",""),"-",""))))=SUBSTITUTE(SUBSTITUTE(SUBSTITUTE(SUBSTITUTE(CLEAN(E263&amp;"")," ",""),".","")," ",""),"-",""),FALSE)),SUBSTITUTE(SUBSTITUTE(SUBSTITUTE(SUBSTITUTE(CLEAN(E263&amp;"")," ",""),".","")," ",""),"-",""),"CHECK: not 2, 4, 6, 8 or 10 digits"))</f>
        <v/>
      </c>
      <c r="G263" s="11" t="n"/>
      <c r="H263" s="8" t="n"/>
      <c r="I263" s="8" t="n"/>
      <c r="J263" s="10">
        <f>IF(SUBSTITUTE(SUBSTITUTE(SUBSTITUTE(SUBSTITUTE(CLEAN(I263&amp;"")," ",""),".","")," ",""),"-","")="","",IF(AND(OR(LEN(SUBSTITUTE(SUBSTITUTE(SUBSTITUTE(SUBSTITUTE(CLEAN(I263&amp;"")," ",""),".","")," ",""),"-",""))=2,LEN(SUBSTITUTE(SUBSTITUTE(SUBSTITUTE(SUBSTITUTE(CLEAN(I263&amp;"")," ",""),".","")," ",""),"-",""))=4,LEN(SUBSTITUTE(SUBSTITUTE(SUBSTITUTE(SUBSTITUTE(CLEAN(I263&amp;"")," ",""),".","")," ",""),"-",""))=6,LEN(SUBSTITUTE(SUBSTITUTE(SUBSTITUTE(SUBSTITUTE(CLEAN(I263&amp;"")," ",""),".","")," ",""),"-",""))=8,LEN(SUBSTITUTE(SUBSTITUTE(SUBSTITUTE(SUBSTITUTE(CLEAN(I263&amp;"")," ",""),".","")," ",""),"-",""))=10),IFERROR(TEXT(VALUE(SUBSTITUTE(SUBSTITUTE(SUBSTITUTE(SUBSTITUTE(CLEAN(I263&amp;"")," ",""),".","")," ",""),"-","")),REPT("0",LEN(SUBSTITUTE(SUBSTITUTE(SUBSTITUTE(SUBSTITUTE(CLEAN(I263&amp;"")," ",""),".","")," ",""),"-",""))))=SUBSTITUTE(SUBSTITUTE(SUBSTITUTE(SUBSTITUTE(CLEAN(I263&amp;"")," ",""),".","")," ",""),"-",""),FALSE)),SUBSTITUTE(SUBSTITUTE(SUBSTITUTE(SUBSTITUTE(CLEAN(I263&amp;"")," ",""),".","")," ",""),"-",""),"CHECK: not 2, 4, 6, 8 or 10 digits"))</f>
        <v/>
      </c>
      <c r="K263" s="11" t="n"/>
    </row>
    <row r="264">
      <c r="E264" s="8" t="n"/>
      <c r="F264" s="10">
        <f>IF(SUBSTITUTE(SUBSTITUTE(SUBSTITUTE(SUBSTITUTE(CLEAN(E264&amp;"")," ",""),".","")," ",""),"-","")="","",IF(AND(OR(LEN(SUBSTITUTE(SUBSTITUTE(SUBSTITUTE(SUBSTITUTE(CLEAN(E264&amp;"")," ",""),".","")," ",""),"-",""))=2,LEN(SUBSTITUTE(SUBSTITUTE(SUBSTITUTE(SUBSTITUTE(CLEAN(E264&amp;"")," ",""),".","")," ",""),"-",""))=4,LEN(SUBSTITUTE(SUBSTITUTE(SUBSTITUTE(SUBSTITUTE(CLEAN(E264&amp;"")," ",""),".","")," ",""),"-",""))=6,LEN(SUBSTITUTE(SUBSTITUTE(SUBSTITUTE(SUBSTITUTE(CLEAN(E264&amp;"")," ",""),".","")," ",""),"-",""))=8,LEN(SUBSTITUTE(SUBSTITUTE(SUBSTITUTE(SUBSTITUTE(CLEAN(E264&amp;"")," ",""),".","")," ",""),"-",""))=10),IFERROR(TEXT(VALUE(SUBSTITUTE(SUBSTITUTE(SUBSTITUTE(SUBSTITUTE(CLEAN(E264&amp;"")," ",""),".","")," ",""),"-","")),REPT("0",LEN(SUBSTITUTE(SUBSTITUTE(SUBSTITUTE(SUBSTITUTE(CLEAN(E264&amp;"")," ",""),".","")," ",""),"-",""))))=SUBSTITUTE(SUBSTITUTE(SUBSTITUTE(SUBSTITUTE(CLEAN(E264&amp;"")," ",""),".","")," ",""),"-",""),FALSE)),SUBSTITUTE(SUBSTITUTE(SUBSTITUTE(SUBSTITUTE(CLEAN(E264&amp;"")," ",""),".","")," ",""),"-",""),"CHECK: not 2, 4, 6, 8 or 10 digits"))</f>
        <v/>
      </c>
      <c r="G264" s="11" t="n"/>
      <c r="H264" s="8" t="n"/>
      <c r="I264" s="8" t="n"/>
      <c r="J264" s="10">
        <f>IF(SUBSTITUTE(SUBSTITUTE(SUBSTITUTE(SUBSTITUTE(CLEAN(I264&amp;"")," ",""),".","")," ",""),"-","")="","",IF(AND(OR(LEN(SUBSTITUTE(SUBSTITUTE(SUBSTITUTE(SUBSTITUTE(CLEAN(I264&amp;"")," ",""),".","")," ",""),"-",""))=2,LEN(SUBSTITUTE(SUBSTITUTE(SUBSTITUTE(SUBSTITUTE(CLEAN(I264&amp;"")," ",""),".","")," ",""),"-",""))=4,LEN(SUBSTITUTE(SUBSTITUTE(SUBSTITUTE(SUBSTITUTE(CLEAN(I264&amp;"")," ",""),".","")," ",""),"-",""))=6,LEN(SUBSTITUTE(SUBSTITUTE(SUBSTITUTE(SUBSTITUTE(CLEAN(I264&amp;"")," ",""),".","")," ",""),"-",""))=8,LEN(SUBSTITUTE(SUBSTITUTE(SUBSTITUTE(SUBSTITUTE(CLEAN(I264&amp;"")," ",""),".","")," ",""),"-",""))=10),IFERROR(TEXT(VALUE(SUBSTITUTE(SUBSTITUTE(SUBSTITUTE(SUBSTITUTE(CLEAN(I264&amp;"")," ",""),".","")," ",""),"-","")),REPT("0",LEN(SUBSTITUTE(SUBSTITUTE(SUBSTITUTE(SUBSTITUTE(CLEAN(I264&amp;"")," ",""),".","")," ",""),"-",""))))=SUBSTITUTE(SUBSTITUTE(SUBSTITUTE(SUBSTITUTE(CLEAN(I264&amp;"")," ",""),".","")," ",""),"-",""),FALSE)),SUBSTITUTE(SUBSTITUTE(SUBSTITUTE(SUBSTITUTE(CLEAN(I264&amp;"")," ",""),".","")," ",""),"-",""),"CHECK: not 2, 4, 6, 8 or 10 digits"))</f>
        <v/>
      </c>
      <c r="K264" s="11" t="n"/>
    </row>
    <row r="265">
      <c r="E265" s="8" t="n"/>
      <c r="F265" s="10">
        <f>IF(SUBSTITUTE(SUBSTITUTE(SUBSTITUTE(SUBSTITUTE(CLEAN(E265&amp;"")," ",""),".","")," ",""),"-","")="","",IF(AND(OR(LEN(SUBSTITUTE(SUBSTITUTE(SUBSTITUTE(SUBSTITUTE(CLEAN(E265&amp;"")," ",""),".","")," ",""),"-",""))=2,LEN(SUBSTITUTE(SUBSTITUTE(SUBSTITUTE(SUBSTITUTE(CLEAN(E265&amp;"")," ",""),".","")," ",""),"-",""))=4,LEN(SUBSTITUTE(SUBSTITUTE(SUBSTITUTE(SUBSTITUTE(CLEAN(E265&amp;"")," ",""),".","")," ",""),"-",""))=6,LEN(SUBSTITUTE(SUBSTITUTE(SUBSTITUTE(SUBSTITUTE(CLEAN(E265&amp;"")," ",""),".","")," ",""),"-",""))=8,LEN(SUBSTITUTE(SUBSTITUTE(SUBSTITUTE(SUBSTITUTE(CLEAN(E265&amp;"")," ",""),".","")," ",""),"-",""))=10),IFERROR(TEXT(VALUE(SUBSTITUTE(SUBSTITUTE(SUBSTITUTE(SUBSTITUTE(CLEAN(E265&amp;"")," ",""),".","")," ",""),"-","")),REPT("0",LEN(SUBSTITUTE(SUBSTITUTE(SUBSTITUTE(SUBSTITUTE(CLEAN(E265&amp;"")," ",""),".","")," ",""),"-",""))))=SUBSTITUTE(SUBSTITUTE(SUBSTITUTE(SUBSTITUTE(CLEAN(E265&amp;"")," ",""),".","")," ",""),"-",""),FALSE)),SUBSTITUTE(SUBSTITUTE(SUBSTITUTE(SUBSTITUTE(CLEAN(E265&amp;"")," ",""),".","")," ",""),"-",""),"CHECK: not 2, 4, 6, 8 or 10 digits"))</f>
        <v/>
      </c>
      <c r="G265" s="11" t="n"/>
      <c r="H265" s="8" t="n"/>
      <c r="I265" s="8" t="n"/>
      <c r="J265" s="10">
        <f>IF(SUBSTITUTE(SUBSTITUTE(SUBSTITUTE(SUBSTITUTE(CLEAN(I265&amp;"")," ",""),".","")," ",""),"-","")="","",IF(AND(OR(LEN(SUBSTITUTE(SUBSTITUTE(SUBSTITUTE(SUBSTITUTE(CLEAN(I265&amp;"")," ",""),".","")," ",""),"-",""))=2,LEN(SUBSTITUTE(SUBSTITUTE(SUBSTITUTE(SUBSTITUTE(CLEAN(I265&amp;"")," ",""),".","")," ",""),"-",""))=4,LEN(SUBSTITUTE(SUBSTITUTE(SUBSTITUTE(SUBSTITUTE(CLEAN(I265&amp;"")," ",""),".","")," ",""),"-",""))=6,LEN(SUBSTITUTE(SUBSTITUTE(SUBSTITUTE(SUBSTITUTE(CLEAN(I265&amp;"")," ",""),".","")," ",""),"-",""))=8,LEN(SUBSTITUTE(SUBSTITUTE(SUBSTITUTE(SUBSTITUTE(CLEAN(I265&amp;"")," ",""),".","")," ",""),"-",""))=10),IFERROR(TEXT(VALUE(SUBSTITUTE(SUBSTITUTE(SUBSTITUTE(SUBSTITUTE(CLEAN(I265&amp;"")," ",""),".","")," ",""),"-","")),REPT("0",LEN(SUBSTITUTE(SUBSTITUTE(SUBSTITUTE(SUBSTITUTE(CLEAN(I265&amp;"")," ",""),".","")," ",""),"-",""))))=SUBSTITUTE(SUBSTITUTE(SUBSTITUTE(SUBSTITUTE(CLEAN(I265&amp;"")," ",""),".","")," ",""),"-",""),FALSE)),SUBSTITUTE(SUBSTITUTE(SUBSTITUTE(SUBSTITUTE(CLEAN(I265&amp;"")," ",""),".","")," ",""),"-",""),"CHECK: not 2, 4, 6, 8 or 10 digits"))</f>
        <v/>
      </c>
      <c r="K265" s="11" t="n"/>
    </row>
    <row r="266">
      <c r="E266" s="8" t="n"/>
      <c r="F266" s="10">
        <f>IF(SUBSTITUTE(SUBSTITUTE(SUBSTITUTE(SUBSTITUTE(CLEAN(E266&amp;"")," ",""),".","")," ",""),"-","")="","",IF(AND(OR(LEN(SUBSTITUTE(SUBSTITUTE(SUBSTITUTE(SUBSTITUTE(CLEAN(E266&amp;"")," ",""),".","")," ",""),"-",""))=2,LEN(SUBSTITUTE(SUBSTITUTE(SUBSTITUTE(SUBSTITUTE(CLEAN(E266&amp;"")," ",""),".","")," ",""),"-",""))=4,LEN(SUBSTITUTE(SUBSTITUTE(SUBSTITUTE(SUBSTITUTE(CLEAN(E266&amp;"")," ",""),".","")," ",""),"-",""))=6,LEN(SUBSTITUTE(SUBSTITUTE(SUBSTITUTE(SUBSTITUTE(CLEAN(E266&amp;"")," ",""),".","")," ",""),"-",""))=8,LEN(SUBSTITUTE(SUBSTITUTE(SUBSTITUTE(SUBSTITUTE(CLEAN(E266&amp;"")," ",""),".","")," ",""),"-",""))=10),IFERROR(TEXT(VALUE(SUBSTITUTE(SUBSTITUTE(SUBSTITUTE(SUBSTITUTE(CLEAN(E266&amp;"")," ",""),".","")," ",""),"-","")),REPT("0",LEN(SUBSTITUTE(SUBSTITUTE(SUBSTITUTE(SUBSTITUTE(CLEAN(E266&amp;"")," ",""),".","")," ",""),"-",""))))=SUBSTITUTE(SUBSTITUTE(SUBSTITUTE(SUBSTITUTE(CLEAN(E266&amp;"")," ",""),".","")," ",""),"-",""),FALSE)),SUBSTITUTE(SUBSTITUTE(SUBSTITUTE(SUBSTITUTE(CLEAN(E266&amp;"")," ",""),".","")," ",""),"-",""),"CHECK: not 2, 4, 6, 8 or 10 digits"))</f>
        <v/>
      </c>
      <c r="G266" s="11" t="n"/>
      <c r="H266" s="8" t="n"/>
      <c r="I266" s="8" t="n"/>
      <c r="J266" s="10">
        <f>IF(SUBSTITUTE(SUBSTITUTE(SUBSTITUTE(SUBSTITUTE(CLEAN(I266&amp;"")," ",""),".","")," ",""),"-","")="","",IF(AND(OR(LEN(SUBSTITUTE(SUBSTITUTE(SUBSTITUTE(SUBSTITUTE(CLEAN(I266&amp;"")," ",""),".","")," ",""),"-",""))=2,LEN(SUBSTITUTE(SUBSTITUTE(SUBSTITUTE(SUBSTITUTE(CLEAN(I266&amp;"")," ",""),".","")," ",""),"-",""))=4,LEN(SUBSTITUTE(SUBSTITUTE(SUBSTITUTE(SUBSTITUTE(CLEAN(I266&amp;"")," ",""),".","")," ",""),"-",""))=6,LEN(SUBSTITUTE(SUBSTITUTE(SUBSTITUTE(SUBSTITUTE(CLEAN(I266&amp;"")," ",""),".","")," ",""),"-",""))=8,LEN(SUBSTITUTE(SUBSTITUTE(SUBSTITUTE(SUBSTITUTE(CLEAN(I266&amp;"")," ",""),".","")," ",""),"-",""))=10),IFERROR(TEXT(VALUE(SUBSTITUTE(SUBSTITUTE(SUBSTITUTE(SUBSTITUTE(CLEAN(I266&amp;"")," ",""),".","")," ",""),"-","")),REPT("0",LEN(SUBSTITUTE(SUBSTITUTE(SUBSTITUTE(SUBSTITUTE(CLEAN(I266&amp;"")," ",""),".","")," ",""),"-",""))))=SUBSTITUTE(SUBSTITUTE(SUBSTITUTE(SUBSTITUTE(CLEAN(I266&amp;"")," ",""),".","")," ",""),"-",""),FALSE)),SUBSTITUTE(SUBSTITUTE(SUBSTITUTE(SUBSTITUTE(CLEAN(I266&amp;"")," ",""),".","")," ",""),"-",""),"CHECK: not 2, 4, 6, 8 or 10 digits"))</f>
        <v/>
      </c>
      <c r="K266" s="11" t="n"/>
    </row>
    <row r="267">
      <c r="E267" s="8" t="n"/>
      <c r="F267" s="10">
        <f>IF(SUBSTITUTE(SUBSTITUTE(SUBSTITUTE(SUBSTITUTE(CLEAN(E267&amp;"")," ",""),".","")," ",""),"-","")="","",IF(AND(OR(LEN(SUBSTITUTE(SUBSTITUTE(SUBSTITUTE(SUBSTITUTE(CLEAN(E267&amp;"")," ",""),".","")," ",""),"-",""))=2,LEN(SUBSTITUTE(SUBSTITUTE(SUBSTITUTE(SUBSTITUTE(CLEAN(E267&amp;"")," ",""),".","")," ",""),"-",""))=4,LEN(SUBSTITUTE(SUBSTITUTE(SUBSTITUTE(SUBSTITUTE(CLEAN(E267&amp;"")," ",""),".","")," ",""),"-",""))=6,LEN(SUBSTITUTE(SUBSTITUTE(SUBSTITUTE(SUBSTITUTE(CLEAN(E267&amp;"")," ",""),".","")," ",""),"-",""))=8,LEN(SUBSTITUTE(SUBSTITUTE(SUBSTITUTE(SUBSTITUTE(CLEAN(E267&amp;"")," ",""),".","")," ",""),"-",""))=10),IFERROR(TEXT(VALUE(SUBSTITUTE(SUBSTITUTE(SUBSTITUTE(SUBSTITUTE(CLEAN(E267&amp;"")," ",""),".","")," ",""),"-","")),REPT("0",LEN(SUBSTITUTE(SUBSTITUTE(SUBSTITUTE(SUBSTITUTE(CLEAN(E267&amp;"")," ",""),".","")," ",""),"-",""))))=SUBSTITUTE(SUBSTITUTE(SUBSTITUTE(SUBSTITUTE(CLEAN(E267&amp;"")," ",""),".","")," ",""),"-",""),FALSE)),SUBSTITUTE(SUBSTITUTE(SUBSTITUTE(SUBSTITUTE(CLEAN(E267&amp;"")," ",""),".","")," ",""),"-",""),"CHECK: not 2, 4, 6, 8 or 10 digits"))</f>
        <v/>
      </c>
      <c r="G267" s="11" t="n"/>
      <c r="H267" s="8" t="n"/>
      <c r="I267" s="8" t="n"/>
      <c r="J267" s="10">
        <f>IF(SUBSTITUTE(SUBSTITUTE(SUBSTITUTE(SUBSTITUTE(CLEAN(I267&amp;"")," ",""),".","")," ",""),"-","")="","",IF(AND(OR(LEN(SUBSTITUTE(SUBSTITUTE(SUBSTITUTE(SUBSTITUTE(CLEAN(I267&amp;"")," ",""),".","")," ",""),"-",""))=2,LEN(SUBSTITUTE(SUBSTITUTE(SUBSTITUTE(SUBSTITUTE(CLEAN(I267&amp;"")," ",""),".","")," ",""),"-",""))=4,LEN(SUBSTITUTE(SUBSTITUTE(SUBSTITUTE(SUBSTITUTE(CLEAN(I267&amp;"")," ",""),".","")," ",""),"-",""))=6,LEN(SUBSTITUTE(SUBSTITUTE(SUBSTITUTE(SUBSTITUTE(CLEAN(I267&amp;"")," ",""),".","")," ",""),"-",""))=8,LEN(SUBSTITUTE(SUBSTITUTE(SUBSTITUTE(SUBSTITUTE(CLEAN(I267&amp;"")," ",""),".","")," ",""),"-",""))=10),IFERROR(TEXT(VALUE(SUBSTITUTE(SUBSTITUTE(SUBSTITUTE(SUBSTITUTE(CLEAN(I267&amp;"")," ",""),".","")," ",""),"-","")),REPT("0",LEN(SUBSTITUTE(SUBSTITUTE(SUBSTITUTE(SUBSTITUTE(CLEAN(I267&amp;"")," ",""),".","")," ",""),"-",""))))=SUBSTITUTE(SUBSTITUTE(SUBSTITUTE(SUBSTITUTE(CLEAN(I267&amp;"")," ",""),".","")," ",""),"-",""),FALSE)),SUBSTITUTE(SUBSTITUTE(SUBSTITUTE(SUBSTITUTE(CLEAN(I267&amp;"")," ",""),".","")," ",""),"-",""),"CHECK: not 2, 4, 6, 8 or 10 digits"))</f>
        <v/>
      </c>
      <c r="K267" s="11" t="n"/>
    </row>
    <row r="268">
      <c r="E268" s="8" t="n"/>
      <c r="F268" s="10">
        <f>IF(SUBSTITUTE(SUBSTITUTE(SUBSTITUTE(SUBSTITUTE(CLEAN(E268&amp;"")," ",""),".","")," ",""),"-","")="","",IF(AND(OR(LEN(SUBSTITUTE(SUBSTITUTE(SUBSTITUTE(SUBSTITUTE(CLEAN(E268&amp;"")," ",""),".","")," ",""),"-",""))=2,LEN(SUBSTITUTE(SUBSTITUTE(SUBSTITUTE(SUBSTITUTE(CLEAN(E268&amp;"")," ",""),".","")," ",""),"-",""))=4,LEN(SUBSTITUTE(SUBSTITUTE(SUBSTITUTE(SUBSTITUTE(CLEAN(E268&amp;"")," ",""),".","")," ",""),"-",""))=6,LEN(SUBSTITUTE(SUBSTITUTE(SUBSTITUTE(SUBSTITUTE(CLEAN(E268&amp;"")," ",""),".","")," ",""),"-",""))=8,LEN(SUBSTITUTE(SUBSTITUTE(SUBSTITUTE(SUBSTITUTE(CLEAN(E268&amp;"")," ",""),".","")," ",""),"-",""))=10),IFERROR(TEXT(VALUE(SUBSTITUTE(SUBSTITUTE(SUBSTITUTE(SUBSTITUTE(CLEAN(E268&amp;"")," ",""),".","")," ",""),"-","")),REPT("0",LEN(SUBSTITUTE(SUBSTITUTE(SUBSTITUTE(SUBSTITUTE(CLEAN(E268&amp;"")," ",""),".","")," ",""),"-",""))))=SUBSTITUTE(SUBSTITUTE(SUBSTITUTE(SUBSTITUTE(CLEAN(E268&amp;"")," ",""),".","")," ",""),"-",""),FALSE)),SUBSTITUTE(SUBSTITUTE(SUBSTITUTE(SUBSTITUTE(CLEAN(E268&amp;"")," ",""),".","")," ",""),"-",""),"CHECK: not 2, 4, 6, 8 or 10 digits"))</f>
        <v/>
      </c>
      <c r="G268" s="11" t="n"/>
      <c r="H268" s="8" t="n"/>
      <c r="I268" s="8" t="n"/>
      <c r="J268" s="10">
        <f>IF(SUBSTITUTE(SUBSTITUTE(SUBSTITUTE(SUBSTITUTE(CLEAN(I268&amp;"")," ",""),".","")," ",""),"-","")="","",IF(AND(OR(LEN(SUBSTITUTE(SUBSTITUTE(SUBSTITUTE(SUBSTITUTE(CLEAN(I268&amp;"")," ",""),".","")," ",""),"-",""))=2,LEN(SUBSTITUTE(SUBSTITUTE(SUBSTITUTE(SUBSTITUTE(CLEAN(I268&amp;"")," ",""),".","")," ",""),"-",""))=4,LEN(SUBSTITUTE(SUBSTITUTE(SUBSTITUTE(SUBSTITUTE(CLEAN(I268&amp;"")," ",""),".","")," ",""),"-",""))=6,LEN(SUBSTITUTE(SUBSTITUTE(SUBSTITUTE(SUBSTITUTE(CLEAN(I268&amp;"")," ",""),".","")," ",""),"-",""))=8,LEN(SUBSTITUTE(SUBSTITUTE(SUBSTITUTE(SUBSTITUTE(CLEAN(I268&amp;"")," ",""),".","")," ",""),"-",""))=10),IFERROR(TEXT(VALUE(SUBSTITUTE(SUBSTITUTE(SUBSTITUTE(SUBSTITUTE(CLEAN(I268&amp;"")," ",""),".","")," ",""),"-","")),REPT("0",LEN(SUBSTITUTE(SUBSTITUTE(SUBSTITUTE(SUBSTITUTE(CLEAN(I268&amp;"")," ",""),".","")," ",""),"-",""))))=SUBSTITUTE(SUBSTITUTE(SUBSTITUTE(SUBSTITUTE(CLEAN(I268&amp;"")," ",""),".","")," ",""),"-",""),FALSE)),SUBSTITUTE(SUBSTITUTE(SUBSTITUTE(SUBSTITUTE(CLEAN(I268&amp;"")," ",""),".","")," ",""),"-",""),"CHECK: not 2, 4, 6, 8 or 10 digits"))</f>
        <v/>
      </c>
      <c r="K268" s="11" t="n"/>
    </row>
    <row r="269">
      <c r="E269" s="8" t="n"/>
      <c r="F269" s="10">
        <f>IF(SUBSTITUTE(SUBSTITUTE(SUBSTITUTE(SUBSTITUTE(CLEAN(E269&amp;"")," ",""),".","")," ",""),"-","")="","",IF(AND(OR(LEN(SUBSTITUTE(SUBSTITUTE(SUBSTITUTE(SUBSTITUTE(CLEAN(E269&amp;"")," ",""),".","")," ",""),"-",""))=2,LEN(SUBSTITUTE(SUBSTITUTE(SUBSTITUTE(SUBSTITUTE(CLEAN(E269&amp;"")," ",""),".","")," ",""),"-",""))=4,LEN(SUBSTITUTE(SUBSTITUTE(SUBSTITUTE(SUBSTITUTE(CLEAN(E269&amp;"")," ",""),".","")," ",""),"-",""))=6,LEN(SUBSTITUTE(SUBSTITUTE(SUBSTITUTE(SUBSTITUTE(CLEAN(E269&amp;"")," ",""),".","")," ",""),"-",""))=8,LEN(SUBSTITUTE(SUBSTITUTE(SUBSTITUTE(SUBSTITUTE(CLEAN(E269&amp;"")," ",""),".","")," ",""),"-",""))=10),IFERROR(TEXT(VALUE(SUBSTITUTE(SUBSTITUTE(SUBSTITUTE(SUBSTITUTE(CLEAN(E269&amp;"")," ",""),".","")," ",""),"-","")),REPT("0",LEN(SUBSTITUTE(SUBSTITUTE(SUBSTITUTE(SUBSTITUTE(CLEAN(E269&amp;"")," ",""),".","")," ",""),"-",""))))=SUBSTITUTE(SUBSTITUTE(SUBSTITUTE(SUBSTITUTE(CLEAN(E269&amp;"")," ",""),".","")," ",""),"-",""),FALSE)),SUBSTITUTE(SUBSTITUTE(SUBSTITUTE(SUBSTITUTE(CLEAN(E269&amp;"")," ",""),".","")," ",""),"-",""),"CHECK: not 2, 4, 6, 8 or 10 digits"))</f>
        <v/>
      </c>
      <c r="G269" s="11" t="n"/>
      <c r="H269" s="8" t="n"/>
      <c r="I269" s="8" t="n"/>
      <c r="J269" s="10">
        <f>IF(SUBSTITUTE(SUBSTITUTE(SUBSTITUTE(SUBSTITUTE(CLEAN(I269&amp;"")," ",""),".","")," ",""),"-","")="","",IF(AND(OR(LEN(SUBSTITUTE(SUBSTITUTE(SUBSTITUTE(SUBSTITUTE(CLEAN(I269&amp;"")," ",""),".","")," ",""),"-",""))=2,LEN(SUBSTITUTE(SUBSTITUTE(SUBSTITUTE(SUBSTITUTE(CLEAN(I269&amp;"")," ",""),".","")," ",""),"-",""))=4,LEN(SUBSTITUTE(SUBSTITUTE(SUBSTITUTE(SUBSTITUTE(CLEAN(I269&amp;"")," ",""),".","")," ",""),"-",""))=6,LEN(SUBSTITUTE(SUBSTITUTE(SUBSTITUTE(SUBSTITUTE(CLEAN(I269&amp;"")," ",""),".","")," ",""),"-",""))=8,LEN(SUBSTITUTE(SUBSTITUTE(SUBSTITUTE(SUBSTITUTE(CLEAN(I269&amp;"")," ",""),".","")," ",""),"-",""))=10),IFERROR(TEXT(VALUE(SUBSTITUTE(SUBSTITUTE(SUBSTITUTE(SUBSTITUTE(CLEAN(I269&amp;"")," ",""),".","")," ",""),"-","")),REPT("0",LEN(SUBSTITUTE(SUBSTITUTE(SUBSTITUTE(SUBSTITUTE(CLEAN(I269&amp;"")," ",""),".","")," ",""),"-",""))))=SUBSTITUTE(SUBSTITUTE(SUBSTITUTE(SUBSTITUTE(CLEAN(I269&amp;"")," ",""),".","")," ",""),"-",""),FALSE)),SUBSTITUTE(SUBSTITUTE(SUBSTITUTE(SUBSTITUTE(CLEAN(I269&amp;"")," ",""),".","")," ",""),"-",""),"CHECK: not 2, 4, 6, 8 or 10 digits"))</f>
        <v/>
      </c>
      <c r="K269" s="11" t="n"/>
    </row>
    <row r="270">
      <c r="E270" s="8" t="n"/>
      <c r="F270" s="10">
        <f>IF(SUBSTITUTE(SUBSTITUTE(SUBSTITUTE(SUBSTITUTE(CLEAN(E270&amp;"")," ",""),".","")," ",""),"-","")="","",IF(AND(OR(LEN(SUBSTITUTE(SUBSTITUTE(SUBSTITUTE(SUBSTITUTE(CLEAN(E270&amp;"")," ",""),".","")," ",""),"-",""))=2,LEN(SUBSTITUTE(SUBSTITUTE(SUBSTITUTE(SUBSTITUTE(CLEAN(E270&amp;"")," ",""),".","")," ",""),"-",""))=4,LEN(SUBSTITUTE(SUBSTITUTE(SUBSTITUTE(SUBSTITUTE(CLEAN(E270&amp;"")," ",""),".","")," ",""),"-",""))=6,LEN(SUBSTITUTE(SUBSTITUTE(SUBSTITUTE(SUBSTITUTE(CLEAN(E270&amp;"")," ",""),".","")," ",""),"-",""))=8,LEN(SUBSTITUTE(SUBSTITUTE(SUBSTITUTE(SUBSTITUTE(CLEAN(E270&amp;"")," ",""),".","")," ",""),"-",""))=10),IFERROR(TEXT(VALUE(SUBSTITUTE(SUBSTITUTE(SUBSTITUTE(SUBSTITUTE(CLEAN(E270&amp;"")," ",""),".","")," ",""),"-","")),REPT("0",LEN(SUBSTITUTE(SUBSTITUTE(SUBSTITUTE(SUBSTITUTE(CLEAN(E270&amp;"")," ",""),".","")," ",""),"-",""))))=SUBSTITUTE(SUBSTITUTE(SUBSTITUTE(SUBSTITUTE(CLEAN(E270&amp;"")," ",""),".","")," ",""),"-",""),FALSE)),SUBSTITUTE(SUBSTITUTE(SUBSTITUTE(SUBSTITUTE(CLEAN(E270&amp;"")," ",""),".","")," ",""),"-",""),"CHECK: not 2, 4, 6, 8 or 10 digits"))</f>
        <v/>
      </c>
      <c r="G270" s="11" t="n"/>
      <c r="H270" s="8" t="n"/>
      <c r="I270" s="8" t="n"/>
      <c r="J270" s="10">
        <f>IF(SUBSTITUTE(SUBSTITUTE(SUBSTITUTE(SUBSTITUTE(CLEAN(I270&amp;"")," ",""),".","")," ",""),"-","")="","",IF(AND(OR(LEN(SUBSTITUTE(SUBSTITUTE(SUBSTITUTE(SUBSTITUTE(CLEAN(I270&amp;"")," ",""),".","")," ",""),"-",""))=2,LEN(SUBSTITUTE(SUBSTITUTE(SUBSTITUTE(SUBSTITUTE(CLEAN(I270&amp;"")," ",""),".","")," ",""),"-",""))=4,LEN(SUBSTITUTE(SUBSTITUTE(SUBSTITUTE(SUBSTITUTE(CLEAN(I270&amp;"")," ",""),".","")," ",""),"-",""))=6,LEN(SUBSTITUTE(SUBSTITUTE(SUBSTITUTE(SUBSTITUTE(CLEAN(I270&amp;"")," ",""),".","")," ",""),"-",""))=8,LEN(SUBSTITUTE(SUBSTITUTE(SUBSTITUTE(SUBSTITUTE(CLEAN(I270&amp;"")," ",""),".","")," ",""),"-",""))=10),IFERROR(TEXT(VALUE(SUBSTITUTE(SUBSTITUTE(SUBSTITUTE(SUBSTITUTE(CLEAN(I270&amp;"")," ",""),".","")," ",""),"-","")),REPT("0",LEN(SUBSTITUTE(SUBSTITUTE(SUBSTITUTE(SUBSTITUTE(CLEAN(I270&amp;"")," ",""),".","")," ",""),"-",""))))=SUBSTITUTE(SUBSTITUTE(SUBSTITUTE(SUBSTITUTE(CLEAN(I270&amp;"")," ",""),".","")," ",""),"-",""),FALSE)),SUBSTITUTE(SUBSTITUTE(SUBSTITUTE(SUBSTITUTE(CLEAN(I270&amp;"")," ",""),".","")," ",""),"-",""),"CHECK: not 2, 4, 6, 8 or 10 digits"))</f>
        <v/>
      </c>
      <c r="K270" s="11" t="n"/>
    </row>
    <row r="271">
      <c r="E271" s="8" t="n"/>
      <c r="F271" s="10">
        <f>IF(SUBSTITUTE(SUBSTITUTE(SUBSTITUTE(SUBSTITUTE(CLEAN(E271&amp;"")," ",""),".","")," ",""),"-","")="","",IF(AND(OR(LEN(SUBSTITUTE(SUBSTITUTE(SUBSTITUTE(SUBSTITUTE(CLEAN(E271&amp;"")," ",""),".","")," ",""),"-",""))=2,LEN(SUBSTITUTE(SUBSTITUTE(SUBSTITUTE(SUBSTITUTE(CLEAN(E271&amp;"")," ",""),".","")," ",""),"-",""))=4,LEN(SUBSTITUTE(SUBSTITUTE(SUBSTITUTE(SUBSTITUTE(CLEAN(E271&amp;"")," ",""),".","")," ",""),"-",""))=6,LEN(SUBSTITUTE(SUBSTITUTE(SUBSTITUTE(SUBSTITUTE(CLEAN(E271&amp;"")," ",""),".","")," ",""),"-",""))=8,LEN(SUBSTITUTE(SUBSTITUTE(SUBSTITUTE(SUBSTITUTE(CLEAN(E271&amp;"")," ",""),".","")," ",""),"-",""))=10),IFERROR(TEXT(VALUE(SUBSTITUTE(SUBSTITUTE(SUBSTITUTE(SUBSTITUTE(CLEAN(E271&amp;"")," ",""),".","")," ",""),"-","")),REPT("0",LEN(SUBSTITUTE(SUBSTITUTE(SUBSTITUTE(SUBSTITUTE(CLEAN(E271&amp;"")," ",""),".","")," ",""),"-",""))))=SUBSTITUTE(SUBSTITUTE(SUBSTITUTE(SUBSTITUTE(CLEAN(E271&amp;"")," ",""),".","")," ",""),"-",""),FALSE)),SUBSTITUTE(SUBSTITUTE(SUBSTITUTE(SUBSTITUTE(CLEAN(E271&amp;"")," ",""),".","")," ",""),"-",""),"CHECK: not 2, 4, 6, 8 or 10 digits"))</f>
        <v/>
      </c>
      <c r="G271" s="11" t="n"/>
      <c r="H271" s="8" t="n"/>
      <c r="I271" s="8" t="n"/>
      <c r="J271" s="10">
        <f>IF(SUBSTITUTE(SUBSTITUTE(SUBSTITUTE(SUBSTITUTE(CLEAN(I271&amp;"")," ",""),".","")," ",""),"-","")="","",IF(AND(OR(LEN(SUBSTITUTE(SUBSTITUTE(SUBSTITUTE(SUBSTITUTE(CLEAN(I271&amp;"")," ",""),".","")," ",""),"-",""))=2,LEN(SUBSTITUTE(SUBSTITUTE(SUBSTITUTE(SUBSTITUTE(CLEAN(I271&amp;"")," ",""),".","")," ",""),"-",""))=4,LEN(SUBSTITUTE(SUBSTITUTE(SUBSTITUTE(SUBSTITUTE(CLEAN(I271&amp;"")," ",""),".","")," ",""),"-",""))=6,LEN(SUBSTITUTE(SUBSTITUTE(SUBSTITUTE(SUBSTITUTE(CLEAN(I271&amp;"")," ",""),".","")," ",""),"-",""))=8,LEN(SUBSTITUTE(SUBSTITUTE(SUBSTITUTE(SUBSTITUTE(CLEAN(I271&amp;"")," ",""),".","")," ",""),"-",""))=10),IFERROR(TEXT(VALUE(SUBSTITUTE(SUBSTITUTE(SUBSTITUTE(SUBSTITUTE(CLEAN(I271&amp;"")," ",""),".","")," ",""),"-","")),REPT("0",LEN(SUBSTITUTE(SUBSTITUTE(SUBSTITUTE(SUBSTITUTE(CLEAN(I271&amp;"")," ",""),".","")," ",""),"-",""))))=SUBSTITUTE(SUBSTITUTE(SUBSTITUTE(SUBSTITUTE(CLEAN(I271&amp;"")," ",""),".","")," ",""),"-",""),FALSE)),SUBSTITUTE(SUBSTITUTE(SUBSTITUTE(SUBSTITUTE(CLEAN(I271&amp;"")," ",""),".","")," ",""),"-",""),"CHECK: not 2, 4, 6, 8 or 10 digits"))</f>
        <v/>
      </c>
      <c r="K271" s="11" t="n"/>
    </row>
    <row r="272">
      <c r="E272" s="8" t="n"/>
      <c r="F272" s="10">
        <f>IF(SUBSTITUTE(SUBSTITUTE(SUBSTITUTE(SUBSTITUTE(CLEAN(E272&amp;"")," ",""),".","")," ",""),"-","")="","",IF(AND(OR(LEN(SUBSTITUTE(SUBSTITUTE(SUBSTITUTE(SUBSTITUTE(CLEAN(E272&amp;"")," ",""),".","")," ",""),"-",""))=2,LEN(SUBSTITUTE(SUBSTITUTE(SUBSTITUTE(SUBSTITUTE(CLEAN(E272&amp;"")," ",""),".","")," ",""),"-",""))=4,LEN(SUBSTITUTE(SUBSTITUTE(SUBSTITUTE(SUBSTITUTE(CLEAN(E272&amp;"")," ",""),".","")," ",""),"-",""))=6,LEN(SUBSTITUTE(SUBSTITUTE(SUBSTITUTE(SUBSTITUTE(CLEAN(E272&amp;"")," ",""),".","")," ",""),"-",""))=8,LEN(SUBSTITUTE(SUBSTITUTE(SUBSTITUTE(SUBSTITUTE(CLEAN(E272&amp;"")," ",""),".","")," ",""),"-",""))=10),IFERROR(TEXT(VALUE(SUBSTITUTE(SUBSTITUTE(SUBSTITUTE(SUBSTITUTE(CLEAN(E272&amp;"")," ",""),".","")," ",""),"-","")),REPT("0",LEN(SUBSTITUTE(SUBSTITUTE(SUBSTITUTE(SUBSTITUTE(CLEAN(E272&amp;"")," ",""),".","")," ",""),"-",""))))=SUBSTITUTE(SUBSTITUTE(SUBSTITUTE(SUBSTITUTE(CLEAN(E272&amp;"")," ",""),".","")," ",""),"-",""),FALSE)),SUBSTITUTE(SUBSTITUTE(SUBSTITUTE(SUBSTITUTE(CLEAN(E272&amp;"")," ",""),".","")," ",""),"-",""),"CHECK: not 2, 4, 6, 8 or 10 digits"))</f>
        <v/>
      </c>
      <c r="G272" s="11" t="n"/>
      <c r="H272" s="8" t="n"/>
      <c r="I272" s="8" t="n"/>
      <c r="J272" s="10">
        <f>IF(SUBSTITUTE(SUBSTITUTE(SUBSTITUTE(SUBSTITUTE(CLEAN(I272&amp;"")," ",""),".","")," ",""),"-","")="","",IF(AND(OR(LEN(SUBSTITUTE(SUBSTITUTE(SUBSTITUTE(SUBSTITUTE(CLEAN(I272&amp;"")," ",""),".","")," ",""),"-",""))=2,LEN(SUBSTITUTE(SUBSTITUTE(SUBSTITUTE(SUBSTITUTE(CLEAN(I272&amp;"")," ",""),".","")," ",""),"-",""))=4,LEN(SUBSTITUTE(SUBSTITUTE(SUBSTITUTE(SUBSTITUTE(CLEAN(I272&amp;"")," ",""),".","")," ",""),"-",""))=6,LEN(SUBSTITUTE(SUBSTITUTE(SUBSTITUTE(SUBSTITUTE(CLEAN(I272&amp;"")," ",""),".","")," ",""),"-",""))=8,LEN(SUBSTITUTE(SUBSTITUTE(SUBSTITUTE(SUBSTITUTE(CLEAN(I272&amp;"")," ",""),".","")," ",""),"-",""))=10),IFERROR(TEXT(VALUE(SUBSTITUTE(SUBSTITUTE(SUBSTITUTE(SUBSTITUTE(CLEAN(I272&amp;"")," ",""),".","")," ",""),"-","")),REPT("0",LEN(SUBSTITUTE(SUBSTITUTE(SUBSTITUTE(SUBSTITUTE(CLEAN(I272&amp;"")," ",""),".","")," ",""),"-",""))))=SUBSTITUTE(SUBSTITUTE(SUBSTITUTE(SUBSTITUTE(CLEAN(I272&amp;"")," ",""),".","")," ",""),"-",""),FALSE)),SUBSTITUTE(SUBSTITUTE(SUBSTITUTE(SUBSTITUTE(CLEAN(I272&amp;"")," ",""),".","")," ",""),"-",""),"CHECK: not 2, 4, 6, 8 or 10 digits"))</f>
        <v/>
      </c>
      <c r="K272" s="11" t="n"/>
    </row>
    <row r="273">
      <c r="E273" s="8" t="n"/>
      <c r="F273" s="10">
        <f>IF(SUBSTITUTE(SUBSTITUTE(SUBSTITUTE(SUBSTITUTE(CLEAN(E273&amp;"")," ",""),".","")," ",""),"-","")="","",IF(AND(OR(LEN(SUBSTITUTE(SUBSTITUTE(SUBSTITUTE(SUBSTITUTE(CLEAN(E273&amp;"")," ",""),".","")," ",""),"-",""))=2,LEN(SUBSTITUTE(SUBSTITUTE(SUBSTITUTE(SUBSTITUTE(CLEAN(E273&amp;"")," ",""),".","")," ",""),"-",""))=4,LEN(SUBSTITUTE(SUBSTITUTE(SUBSTITUTE(SUBSTITUTE(CLEAN(E273&amp;"")," ",""),".","")," ",""),"-",""))=6,LEN(SUBSTITUTE(SUBSTITUTE(SUBSTITUTE(SUBSTITUTE(CLEAN(E273&amp;"")," ",""),".","")," ",""),"-",""))=8,LEN(SUBSTITUTE(SUBSTITUTE(SUBSTITUTE(SUBSTITUTE(CLEAN(E273&amp;"")," ",""),".","")," ",""),"-",""))=10),IFERROR(TEXT(VALUE(SUBSTITUTE(SUBSTITUTE(SUBSTITUTE(SUBSTITUTE(CLEAN(E273&amp;"")," ",""),".","")," ",""),"-","")),REPT("0",LEN(SUBSTITUTE(SUBSTITUTE(SUBSTITUTE(SUBSTITUTE(CLEAN(E273&amp;"")," ",""),".","")," ",""),"-",""))))=SUBSTITUTE(SUBSTITUTE(SUBSTITUTE(SUBSTITUTE(CLEAN(E273&amp;"")," ",""),".","")," ",""),"-",""),FALSE)),SUBSTITUTE(SUBSTITUTE(SUBSTITUTE(SUBSTITUTE(CLEAN(E273&amp;"")," ",""),".","")," ",""),"-",""),"CHECK: not 2, 4, 6, 8 or 10 digits"))</f>
        <v/>
      </c>
      <c r="G273" s="11" t="n"/>
      <c r="H273" s="8" t="n"/>
      <c r="I273" s="8" t="n"/>
      <c r="J273" s="10">
        <f>IF(SUBSTITUTE(SUBSTITUTE(SUBSTITUTE(SUBSTITUTE(CLEAN(I273&amp;"")," ",""),".","")," ",""),"-","")="","",IF(AND(OR(LEN(SUBSTITUTE(SUBSTITUTE(SUBSTITUTE(SUBSTITUTE(CLEAN(I273&amp;"")," ",""),".","")," ",""),"-",""))=2,LEN(SUBSTITUTE(SUBSTITUTE(SUBSTITUTE(SUBSTITUTE(CLEAN(I273&amp;"")," ",""),".","")," ",""),"-",""))=4,LEN(SUBSTITUTE(SUBSTITUTE(SUBSTITUTE(SUBSTITUTE(CLEAN(I273&amp;"")," ",""),".","")," ",""),"-",""))=6,LEN(SUBSTITUTE(SUBSTITUTE(SUBSTITUTE(SUBSTITUTE(CLEAN(I273&amp;"")," ",""),".","")," ",""),"-",""))=8,LEN(SUBSTITUTE(SUBSTITUTE(SUBSTITUTE(SUBSTITUTE(CLEAN(I273&amp;"")," ",""),".","")," ",""),"-",""))=10),IFERROR(TEXT(VALUE(SUBSTITUTE(SUBSTITUTE(SUBSTITUTE(SUBSTITUTE(CLEAN(I273&amp;"")," ",""),".","")," ",""),"-","")),REPT("0",LEN(SUBSTITUTE(SUBSTITUTE(SUBSTITUTE(SUBSTITUTE(CLEAN(I273&amp;"")," ",""),".","")," ",""),"-",""))))=SUBSTITUTE(SUBSTITUTE(SUBSTITUTE(SUBSTITUTE(CLEAN(I273&amp;"")," ",""),".","")," ",""),"-",""),FALSE)),SUBSTITUTE(SUBSTITUTE(SUBSTITUTE(SUBSTITUTE(CLEAN(I273&amp;"")," ",""),".","")," ",""),"-",""),"CHECK: not 2, 4, 6, 8 or 10 digits"))</f>
        <v/>
      </c>
      <c r="K273" s="11" t="n"/>
    </row>
    <row r="274">
      <c r="E274" s="8" t="n"/>
      <c r="F274" s="10">
        <f>IF(SUBSTITUTE(SUBSTITUTE(SUBSTITUTE(SUBSTITUTE(CLEAN(E274&amp;"")," ",""),".","")," ",""),"-","")="","",IF(AND(OR(LEN(SUBSTITUTE(SUBSTITUTE(SUBSTITUTE(SUBSTITUTE(CLEAN(E274&amp;"")," ",""),".","")," ",""),"-",""))=2,LEN(SUBSTITUTE(SUBSTITUTE(SUBSTITUTE(SUBSTITUTE(CLEAN(E274&amp;"")," ",""),".","")," ",""),"-",""))=4,LEN(SUBSTITUTE(SUBSTITUTE(SUBSTITUTE(SUBSTITUTE(CLEAN(E274&amp;"")," ",""),".","")," ",""),"-",""))=6,LEN(SUBSTITUTE(SUBSTITUTE(SUBSTITUTE(SUBSTITUTE(CLEAN(E274&amp;"")," ",""),".","")," ",""),"-",""))=8,LEN(SUBSTITUTE(SUBSTITUTE(SUBSTITUTE(SUBSTITUTE(CLEAN(E274&amp;"")," ",""),".","")," ",""),"-",""))=10),IFERROR(TEXT(VALUE(SUBSTITUTE(SUBSTITUTE(SUBSTITUTE(SUBSTITUTE(CLEAN(E274&amp;"")," ",""),".","")," ",""),"-","")),REPT("0",LEN(SUBSTITUTE(SUBSTITUTE(SUBSTITUTE(SUBSTITUTE(CLEAN(E274&amp;"")," ",""),".","")," ",""),"-",""))))=SUBSTITUTE(SUBSTITUTE(SUBSTITUTE(SUBSTITUTE(CLEAN(E274&amp;"")," ",""),".","")," ",""),"-",""),FALSE)),SUBSTITUTE(SUBSTITUTE(SUBSTITUTE(SUBSTITUTE(CLEAN(E274&amp;"")," ",""),".","")," ",""),"-",""),"CHECK: not 2, 4, 6, 8 or 10 digits"))</f>
        <v/>
      </c>
      <c r="G274" s="11" t="n"/>
      <c r="H274" s="8" t="n"/>
      <c r="I274" s="8" t="n"/>
      <c r="J274" s="10">
        <f>IF(SUBSTITUTE(SUBSTITUTE(SUBSTITUTE(SUBSTITUTE(CLEAN(I274&amp;"")," ",""),".","")," ",""),"-","")="","",IF(AND(OR(LEN(SUBSTITUTE(SUBSTITUTE(SUBSTITUTE(SUBSTITUTE(CLEAN(I274&amp;"")," ",""),".","")," ",""),"-",""))=2,LEN(SUBSTITUTE(SUBSTITUTE(SUBSTITUTE(SUBSTITUTE(CLEAN(I274&amp;"")," ",""),".","")," ",""),"-",""))=4,LEN(SUBSTITUTE(SUBSTITUTE(SUBSTITUTE(SUBSTITUTE(CLEAN(I274&amp;"")," ",""),".","")," ",""),"-",""))=6,LEN(SUBSTITUTE(SUBSTITUTE(SUBSTITUTE(SUBSTITUTE(CLEAN(I274&amp;"")," ",""),".","")," ",""),"-",""))=8,LEN(SUBSTITUTE(SUBSTITUTE(SUBSTITUTE(SUBSTITUTE(CLEAN(I274&amp;"")," ",""),".","")," ",""),"-",""))=10),IFERROR(TEXT(VALUE(SUBSTITUTE(SUBSTITUTE(SUBSTITUTE(SUBSTITUTE(CLEAN(I274&amp;"")," ",""),".","")," ",""),"-","")),REPT("0",LEN(SUBSTITUTE(SUBSTITUTE(SUBSTITUTE(SUBSTITUTE(CLEAN(I274&amp;"")," ",""),".","")," ",""),"-",""))))=SUBSTITUTE(SUBSTITUTE(SUBSTITUTE(SUBSTITUTE(CLEAN(I274&amp;"")," ",""),".","")," ",""),"-",""),FALSE)),SUBSTITUTE(SUBSTITUTE(SUBSTITUTE(SUBSTITUTE(CLEAN(I274&amp;"")," ",""),".","")," ",""),"-",""),"CHECK: not 2, 4, 6, 8 or 10 digits"))</f>
        <v/>
      </c>
      <c r="K274" s="11" t="n"/>
    </row>
    <row r="275">
      <c r="E275" s="8" t="n"/>
      <c r="F275" s="10">
        <f>IF(SUBSTITUTE(SUBSTITUTE(SUBSTITUTE(SUBSTITUTE(CLEAN(E275&amp;"")," ",""),".","")," ",""),"-","")="","",IF(AND(OR(LEN(SUBSTITUTE(SUBSTITUTE(SUBSTITUTE(SUBSTITUTE(CLEAN(E275&amp;"")," ",""),".","")," ",""),"-",""))=2,LEN(SUBSTITUTE(SUBSTITUTE(SUBSTITUTE(SUBSTITUTE(CLEAN(E275&amp;"")," ",""),".","")," ",""),"-",""))=4,LEN(SUBSTITUTE(SUBSTITUTE(SUBSTITUTE(SUBSTITUTE(CLEAN(E275&amp;"")," ",""),".","")," ",""),"-",""))=6,LEN(SUBSTITUTE(SUBSTITUTE(SUBSTITUTE(SUBSTITUTE(CLEAN(E275&amp;"")," ",""),".","")," ",""),"-",""))=8,LEN(SUBSTITUTE(SUBSTITUTE(SUBSTITUTE(SUBSTITUTE(CLEAN(E275&amp;"")," ",""),".","")," ",""),"-",""))=10),IFERROR(TEXT(VALUE(SUBSTITUTE(SUBSTITUTE(SUBSTITUTE(SUBSTITUTE(CLEAN(E275&amp;"")," ",""),".","")," ",""),"-","")),REPT("0",LEN(SUBSTITUTE(SUBSTITUTE(SUBSTITUTE(SUBSTITUTE(CLEAN(E275&amp;"")," ",""),".","")," ",""),"-",""))))=SUBSTITUTE(SUBSTITUTE(SUBSTITUTE(SUBSTITUTE(CLEAN(E275&amp;"")," ",""),".","")," ",""),"-",""),FALSE)),SUBSTITUTE(SUBSTITUTE(SUBSTITUTE(SUBSTITUTE(CLEAN(E275&amp;"")," ",""),".","")," ",""),"-",""),"CHECK: not 2, 4, 6, 8 or 10 digits"))</f>
        <v/>
      </c>
      <c r="G275" s="11" t="n"/>
      <c r="H275" s="8" t="n"/>
      <c r="I275" s="8" t="n"/>
      <c r="J275" s="10">
        <f>IF(SUBSTITUTE(SUBSTITUTE(SUBSTITUTE(SUBSTITUTE(CLEAN(I275&amp;"")," ",""),".","")," ",""),"-","")="","",IF(AND(OR(LEN(SUBSTITUTE(SUBSTITUTE(SUBSTITUTE(SUBSTITUTE(CLEAN(I275&amp;"")," ",""),".","")," ",""),"-",""))=2,LEN(SUBSTITUTE(SUBSTITUTE(SUBSTITUTE(SUBSTITUTE(CLEAN(I275&amp;"")," ",""),".","")," ",""),"-",""))=4,LEN(SUBSTITUTE(SUBSTITUTE(SUBSTITUTE(SUBSTITUTE(CLEAN(I275&amp;"")," ",""),".","")," ",""),"-",""))=6,LEN(SUBSTITUTE(SUBSTITUTE(SUBSTITUTE(SUBSTITUTE(CLEAN(I275&amp;"")," ",""),".","")," ",""),"-",""))=8,LEN(SUBSTITUTE(SUBSTITUTE(SUBSTITUTE(SUBSTITUTE(CLEAN(I275&amp;"")," ",""),".","")," ",""),"-",""))=10),IFERROR(TEXT(VALUE(SUBSTITUTE(SUBSTITUTE(SUBSTITUTE(SUBSTITUTE(CLEAN(I275&amp;"")," ",""),".","")," ",""),"-","")),REPT("0",LEN(SUBSTITUTE(SUBSTITUTE(SUBSTITUTE(SUBSTITUTE(CLEAN(I275&amp;"")," ",""),".","")," ",""),"-",""))))=SUBSTITUTE(SUBSTITUTE(SUBSTITUTE(SUBSTITUTE(CLEAN(I275&amp;"")," ",""),".","")," ",""),"-",""),FALSE)),SUBSTITUTE(SUBSTITUTE(SUBSTITUTE(SUBSTITUTE(CLEAN(I275&amp;"")," ",""),".","")," ",""),"-",""),"CHECK: not 2, 4, 6, 8 or 10 digits"))</f>
        <v/>
      </c>
      <c r="K275" s="11" t="n"/>
    </row>
    <row r="276">
      <c r="E276" s="8" t="n"/>
      <c r="F276" s="10">
        <f>IF(SUBSTITUTE(SUBSTITUTE(SUBSTITUTE(SUBSTITUTE(CLEAN(E276&amp;"")," ",""),".","")," ",""),"-","")="","",IF(AND(OR(LEN(SUBSTITUTE(SUBSTITUTE(SUBSTITUTE(SUBSTITUTE(CLEAN(E276&amp;"")," ",""),".","")," ",""),"-",""))=2,LEN(SUBSTITUTE(SUBSTITUTE(SUBSTITUTE(SUBSTITUTE(CLEAN(E276&amp;"")," ",""),".","")," ",""),"-",""))=4,LEN(SUBSTITUTE(SUBSTITUTE(SUBSTITUTE(SUBSTITUTE(CLEAN(E276&amp;"")," ",""),".","")," ",""),"-",""))=6,LEN(SUBSTITUTE(SUBSTITUTE(SUBSTITUTE(SUBSTITUTE(CLEAN(E276&amp;"")," ",""),".","")," ",""),"-",""))=8,LEN(SUBSTITUTE(SUBSTITUTE(SUBSTITUTE(SUBSTITUTE(CLEAN(E276&amp;"")," ",""),".","")," ",""),"-",""))=10),IFERROR(TEXT(VALUE(SUBSTITUTE(SUBSTITUTE(SUBSTITUTE(SUBSTITUTE(CLEAN(E276&amp;"")," ",""),".","")," ",""),"-","")),REPT("0",LEN(SUBSTITUTE(SUBSTITUTE(SUBSTITUTE(SUBSTITUTE(CLEAN(E276&amp;"")," ",""),".","")," ",""),"-",""))))=SUBSTITUTE(SUBSTITUTE(SUBSTITUTE(SUBSTITUTE(CLEAN(E276&amp;"")," ",""),".","")," ",""),"-",""),FALSE)),SUBSTITUTE(SUBSTITUTE(SUBSTITUTE(SUBSTITUTE(CLEAN(E276&amp;"")," ",""),".","")," ",""),"-",""),"CHECK: not 2, 4, 6, 8 or 10 digits"))</f>
        <v/>
      </c>
      <c r="G276" s="11" t="n"/>
      <c r="H276" s="8" t="n"/>
      <c r="I276" s="8" t="n"/>
      <c r="J276" s="10">
        <f>IF(SUBSTITUTE(SUBSTITUTE(SUBSTITUTE(SUBSTITUTE(CLEAN(I276&amp;"")," ",""),".","")," ",""),"-","")="","",IF(AND(OR(LEN(SUBSTITUTE(SUBSTITUTE(SUBSTITUTE(SUBSTITUTE(CLEAN(I276&amp;"")," ",""),".","")," ",""),"-",""))=2,LEN(SUBSTITUTE(SUBSTITUTE(SUBSTITUTE(SUBSTITUTE(CLEAN(I276&amp;"")," ",""),".","")," ",""),"-",""))=4,LEN(SUBSTITUTE(SUBSTITUTE(SUBSTITUTE(SUBSTITUTE(CLEAN(I276&amp;"")," ",""),".","")," ",""),"-",""))=6,LEN(SUBSTITUTE(SUBSTITUTE(SUBSTITUTE(SUBSTITUTE(CLEAN(I276&amp;"")," ",""),".","")," ",""),"-",""))=8,LEN(SUBSTITUTE(SUBSTITUTE(SUBSTITUTE(SUBSTITUTE(CLEAN(I276&amp;"")," ",""),".","")," ",""),"-",""))=10),IFERROR(TEXT(VALUE(SUBSTITUTE(SUBSTITUTE(SUBSTITUTE(SUBSTITUTE(CLEAN(I276&amp;"")," ",""),".","")," ",""),"-","")),REPT("0",LEN(SUBSTITUTE(SUBSTITUTE(SUBSTITUTE(SUBSTITUTE(CLEAN(I276&amp;"")," ",""),".","")," ",""),"-",""))))=SUBSTITUTE(SUBSTITUTE(SUBSTITUTE(SUBSTITUTE(CLEAN(I276&amp;"")," ",""),".","")," ",""),"-",""),FALSE)),SUBSTITUTE(SUBSTITUTE(SUBSTITUTE(SUBSTITUTE(CLEAN(I276&amp;"")," ",""),".","")," ",""),"-",""),"CHECK: not 2, 4, 6, 8 or 10 digits"))</f>
        <v/>
      </c>
      <c r="K276" s="11" t="n"/>
    </row>
    <row r="277">
      <c r="E277" s="8" t="n"/>
      <c r="F277" s="10">
        <f>IF(SUBSTITUTE(SUBSTITUTE(SUBSTITUTE(SUBSTITUTE(CLEAN(E277&amp;"")," ",""),".","")," ",""),"-","")="","",IF(AND(OR(LEN(SUBSTITUTE(SUBSTITUTE(SUBSTITUTE(SUBSTITUTE(CLEAN(E277&amp;"")," ",""),".","")," ",""),"-",""))=2,LEN(SUBSTITUTE(SUBSTITUTE(SUBSTITUTE(SUBSTITUTE(CLEAN(E277&amp;"")," ",""),".","")," ",""),"-",""))=4,LEN(SUBSTITUTE(SUBSTITUTE(SUBSTITUTE(SUBSTITUTE(CLEAN(E277&amp;"")," ",""),".","")," ",""),"-",""))=6,LEN(SUBSTITUTE(SUBSTITUTE(SUBSTITUTE(SUBSTITUTE(CLEAN(E277&amp;"")," ",""),".","")," ",""),"-",""))=8,LEN(SUBSTITUTE(SUBSTITUTE(SUBSTITUTE(SUBSTITUTE(CLEAN(E277&amp;"")," ",""),".","")," ",""),"-",""))=10),IFERROR(TEXT(VALUE(SUBSTITUTE(SUBSTITUTE(SUBSTITUTE(SUBSTITUTE(CLEAN(E277&amp;"")," ",""),".","")," ",""),"-","")),REPT("0",LEN(SUBSTITUTE(SUBSTITUTE(SUBSTITUTE(SUBSTITUTE(CLEAN(E277&amp;"")," ",""),".","")," ",""),"-",""))))=SUBSTITUTE(SUBSTITUTE(SUBSTITUTE(SUBSTITUTE(CLEAN(E277&amp;"")," ",""),".","")," ",""),"-",""),FALSE)),SUBSTITUTE(SUBSTITUTE(SUBSTITUTE(SUBSTITUTE(CLEAN(E277&amp;"")," ",""),".","")," ",""),"-",""),"CHECK: not 2, 4, 6, 8 or 10 digits"))</f>
        <v/>
      </c>
      <c r="G277" s="11" t="n"/>
      <c r="H277" s="8" t="n"/>
      <c r="I277" s="8" t="n"/>
      <c r="J277" s="10">
        <f>IF(SUBSTITUTE(SUBSTITUTE(SUBSTITUTE(SUBSTITUTE(CLEAN(I277&amp;"")," ",""),".","")," ",""),"-","")="","",IF(AND(OR(LEN(SUBSTITUTE(SUBSTITUTE(SUBSTITUTE(SUBSTITUTE(CLEAN(I277&amp;"")," ",""),".","")," ",""),"-",""))=2,LEN(SUBSTITUTE(SUBSTITUTE(SUBSTITUTE(SUBSTITUTE(CLEAN(I277&amp;"")," ",""),".","")," ",""),"-",""))=4,LEN(SUBSTITUTE(SUBSTITUTE(SUBSTITUTE(SUBSTITUTE(CLEAN(I277&amp;"")," ",""),".","")," ",""),"-",""))=6,LEN(SUBSTITUTE(SUBSTITUTE(SUBSTITUTE(SUBSTITUTE(CLEAN(I277&amp;"")," ",""),".","")," ",""),"-",""))=8,LEN(SUBSTITUTE(SUBSTITUTE(SUBSTITUTE(SUBSTITUTE(CLEAN(I277&amp;"")," ",""),".","")," ",""),"-",""))=10),IFERROR(TEXT(VALUE(SUBSTITUTE(SUBSTITUTE(SUBSTITUTE(SUBSTITUTE(CLEAN(I277&amp;"")," ",""),".","")," ",""),"-","")),REPT("0",LEN(SUBSTITUTE(SUBSTITUTE(SUBSTITUTE(SUBSTITUTE(CLEAN(I277&amp;"")," ",""),".","")," ",""),"-",""))))=SUBSTITUTE(SUBSTITUTE(SUBSTITUTE(SUBSTITUTE(CLEAN(I277&amp;"")," ",""),".","")," ",""),"-",""),FALSE)),SUBSTITUTE(SUBSTITUTE(SUBSTITUTE(SUBSTITUTE(CLEAN(I277&amp;"")," ",""),".","")," ",""),"-",""),"CHECK: not 2, 4, 6, 8 or 10 digits"))</f>
        <v/>
      </c>
      <c r="K277" s="11" t="n"/>
    </row>
    <row r="278">
      <c r="E278" s="8" t="n"/>
      <c r="F278" s="10">
        <f>IF(SUBSTITUTE(SUBSTITUTE(SUBSTITUTE(SUBSTITUTE(CLEAN(E278&amp;"")," ",""),".","")," ",""),"-","")="","",IF(AND(OR(LEN(SUBSTITUTE(SUBSTITUTE(SUBSTITUTE(SUBSTITUTE(CLEAN(E278&amp;"")," ",""),".","")," ",""),"-",""))=2,LEN(SUBSTITUTE(SUBSTITUTE(SUBSTITUTE(SUBSTITUTE(CLEAN(E278&amp;"")," ",""),".","")," ",""),"-",""))=4,LEN(SUBSTITUTE(SUBSTITUTE(SUBSTITUTE(SUBSTITUTE(CLEAN(E278&amp;"")," ",""),".","")," ",""),"-",""))=6,LEN(SUBSTITUTE(SUBSTITUTE(SUBSTITUTE(SUBSTITUTE(CLEAN(E278&amp;"")," ",""),".","")," ",""),"-",""))=8,LEN(SUBSTITUTE(SUBSTITUTE(SUBSTITUTE(SUBSTITUTE(CLEAN(E278&amp;"")," ",""),".","")," ",""),"-",""))=10),IFERROR(TEXT(VALUE(SUBSTITUTE(SUBSTITUTE(SUBSTITUTE(SUBSTITUTE(CLEAN(E278&amp;"")," ",""),".","")," ",""),"-","")),REPT("0",LEN(SUBSTITUTE(SUBSTITUTE(SUBSTITUTE(SUBSTITUTE(CLEAN(E278&amp;"")," ",""),".","")," ",""),"-",""))))=SUBSTITUTE(SUBSTITUTE(SUBSTITUTE(SUBSTITUTE(CLEAN(E278&amp;"")," ",""),".","")," ",""),"-",""),FALSE)),SUBSTITUTE(SUBSTITUTE(SUBSTITUTE(SUBSTITUTE(CLEAN(E278&amp;"")," ",""),".","")," ",""),"-",""),"CHECK: not 2, 4, 6, 8 or 10 digits"))</f>
        <v/>
      </c>
      <c r="G278" s="11" t="n"/>
      <c r="H278" s="8" t="n"/>
      <c r="I278" s="8" t="n"/>
      <c r="J278" s="10">
        <f>IF(SUBSTITUTE(SUBSTITUTE(SUBSTITUTE(SUBSTITUTE(CLEAN(I278&amp;"")," ",""),".","")," ",""),"-","")="","",IF(AND(OR(LEN(SUBSTITUTE(SUBSTITUTE(SUBSTITUTE(SUBSTITUTE(CLEAN(I278&amp;"")," ",""),".","")," ",""),"-",""))=2,LEN(SUBSTITUTE(SUBSTITUTE(SUBSTITUTE(SUBSTITUTE(CLEAN(I278&amp;"")," ",""),".","")," ",""),"-",""))=4,LEN(SUBSTITUTE(SUBSTITUTE(SUBSTITUTE(SUBSTITUTE(CLEAN(I278&amp;"")," ",""),".","")," ",""),"-",""))=6,LEN(SUBSTITUTE(SUBSTITUTE(SUBSTITUTE(SUBSTITUTE(CLEAN(I278&amp;"")," ",""),".","")," ",""),"-",""))=8,LEN(SUBSTITUTE(SUBSTITUTE(SUBSTITUTE(SUBSTITUTE(CLEAN(I278&amp;"")," ",""),".","")," ",""),"-",""))=10),IFERROR(TEXT(VALUE(SUBSTITUTE(SUBSTITUTE(SUBSTITUTE(SUBSTITUTE(CLEAN(I278&amp;"")," ",""),".","")," ",""),"-","")),REPT("0",LEN(SUBSTITUTE(SUBSTITUTE(SUBSTITUTE(SUBSTITUTE(CLEAN(I278&amp;"")," ",""),".","")," ",""),"-",""))))=SUBSTITUTE(SUBSTITUTE(SUBSTITUTE(SUBSTITUTE(CLEAN(I278&amp;"")," ",""),".","")," ",""),"-",""),FALSE)),SUBSTITUTE(SUBSTITUTE(SUBSTITUTE(SUBSTITUTE(CLEAN(I278&amp;"")," ",""),".","")," ",""),"-",""),"CHECK: not 2, 4, 6, 8 or 10 digits"))</f>
        <v/>
      </c>
      <c r="K278" s="11" t="n"/>
    </row>
    <row r="279">
      <c r="E279" s="8" t="n"/>
      <c r="F279" s="10">
        <f>IF(SUBSTITUTE(SUBSTITUTE(SUBSTITUTE(SUBSTITUTE(CLEAN(E279&amp;"")," ",""),".","")," ",""),"-","")="","",IF(AND(OR(LEN(SUBSTITUTE(SUBSTITUTE(SUBSTITUTE(SUBSTITUTE(CLEAN(E279&amp;"")," ",""),".","")," ",""),"-",""))=2,LEN(SUBSTITUTE(SUBSTITUTE(SUBSTITUTE(SUBSTITUTE(CLEAN(E279&amp;"")," ",""),".","")," ",""),"-",""))=4,LEN(SUBSTITUTE(SUBSTITUTE(SUBSTITUTE(SUBSTITUTE(CLEAN(E279&amp;"")," ",""),".","")," ",""),"-",""))=6,LEN(SUBSTITUTE(SUBSTITUTE(SUBSTITUTE(SUBSTITUTE(CLEAN(E279&amp;"")," ",""),".","")," ",""),"-",""))=8,LEN(SUBSTITUTE(SUBSTITUTE(SUBSTITUTE(SUBSTITUTE(CLEAN(E279&amp;"")," ",""),".","")," ",""),"-",""))=10),IFERROR(TEXT(VALUE(SUBSTITUTE(SUBSTITUTE(SUBSTITUTE(SUBSTITUTE(CLEAN(E279&amp;"")," ",""),".","")," ",""),"-","")),REPT("0",LEN(SUBSTITUTE(SUBSTITUTE(SUBSTITUTE(SUBSTITUTE(CLEAN(E279&amp;"")," ",""),".","")," ",""),"-",""))))=SUBSTITUTE(SUBSTITUTE(SUBSTITUTE(SUBSTITUTE(CLEAN(E279&amp;"")," ",""),".","")," ",""),"-",""),FALSE)),SUBSTITUTE(SUBSTITUTE(SUBSTITUTE(SUBSTITUTE(CLEAN(E279&amp;"")," ",""),".","")," ",""),"-",""),"CHECK: not 2, 4, 6, 8 or 10 digits"))</f>
        <v/>
      </c>
      <c r="G279" s="11" t="n"/>
      <c r="H279" s="8" t="n"/>
      <c r="I279" s="8" t="n"/>
      <c r="J279" s="10">
        <f>IF(SUBSTITUTE(SUBSTITUTE(SUBSTITUTE(SUBSTITUTE(CLEAN(I279&amp;"")," ",""),".","")," ",""),"-","")="","",IF(AND(OR(LEN(SUBSTITUTE(SUBSTITUTE(SUBSTITUTE(SUBSTITUTE(CLEAN(I279&amp;"")," ",""),".","")," ",""),"-",""))=2,LEN(SUBSTITUTE(SUBSTITUTE(SUBSTITUTE(SUBSTITUTE(CLEAN(I279&amp;"")," ",""),".","")," ",""),"-",""))=4,LEN(SUBSTITUTE(SUBSTITUTE(SUBSTITUTE(SUBSTITUTE(CLEAN(I279&amp;"")," ",""),".","")," ",""),"-",""))=6,LEN(SUBSTITUTE(SUBSTITUTE(SUBSTITUTE(SUBSTITUTE(CLEAN(I279&amp;"")," ",""),".","")," ",""),"-",""))=8,LEN(SUBSTITUTE(SUBSTITUTE(SUBSTITUTE(SUBSTITUTE(CLEAN(I279&amp;"")," ",""),".","")," ",""),"-",""))=10),IFERROR(TEXT(VALUE(SUBSTITUTE(SUBSTITUTE(SUBSTITUTE(SUBSTITUTE(CLEAN(I279&amp;"")," ",""),".","")," ",""),"-","")),REPT("0",LEN(SUBSTITUTE(SUBSTITUTE(SUBSTITUTE(SUBSTITUTE(CLEAN(I279&amp;"")," ",""),".","")," ",""),"-",""))))=SUBSTITUTE(SUBSTITUTE(SUBSTITUTE(SUBSTITUTE(CLEAN(I279&amp;"")," ",""),".","")," ",""),"-",""),FALSE)),SUBSTITUTE(SUBSTITUTE(SUBSTITUTE(SUBSTITUTE(CLEAN(I279&amp;"")," ",""),".","")," ",""),"-",""),"CHECK: not 2, 4, 6, 8 or 10 digits"))</f>
        <v/>
      </c>
      <c r="K279" s="11" t="n"/>
    </row>
    <row r="280">
      <c r="E280" s="8" t="n"/>
      <c r="F280" s="10">
        <f>IF(SUBSTITUTE(SUBSTITUTE(SUBSTITUTE(SUBSTITUTE(CLEAN(E280&amp;"")," ",""),".","")," ",""),"-","")="","",IF(AND(OR(LEN(SUBSTITUTE(SUBSTITUTE(SUBSTITUTE(SUBSTITUTE(CLEAN(E280&amp;"")," ",""),".","")," ",""),"-",""))=2,LEN(SUBSTITUTE(SUBSTITUTE(SUBSTITUTE(SUBSTITUTE(CLEAN(E280&amp;"")," ",""),".","")," ",""),"-",""))=4,LEN(SUBSTITUTE(SUBSTITUTE(SUBSTITUTE(SUBSTITUTE(CLEAN(E280&amp;"")," ",""),".","")," ",""),"-",""))=6,LEN(SUBSTITUTE(SUBSTITUTE(SUBSTITUTE(SUBSTITUTE(CLEAN(E280&amp;"")," ",""),".","")," ",""),"-",""))=8,LEN(SUBSTITUTE(SUBSTITUTE(SUBSTITUTE(SUBSTITUTE(CLEAN(E280&amp;"")," ",""),".","")," ",""),"-",""))=10),IFERROR(TEXT(VALUE(SUBSTITUTE(SUBSTITUTE(SUBSTITUTE(SUBSTITUTE(CLEAN(E280&amp;"")," ",""),".","")," ",""),"-","")),REPT("0",LEN(SUBSTITUTE(SUBSTITUTE(SUBSTITUTE(SUBSTITUTE(CLEAN(E280&amp;"")," ",""),".","")," ",""),"-",""))))=SUBSTITUTE(SUBSTITUTE(SUBSTITUTE(SUBSTITUTE(CLEAN(E280&amp;"")," ",""),".","")," ",""),"-",""),FALSE)),SUBSTITUTE(SUBSTITUTE(SUBSTITUTE(SUBSTITUTE(CLEAN(E280&amp;"")," ",""),".","")," ",""),"-",""),"CHECK: not 2, 4, 6, 8 or 10 digits"))</f>
        <v/>
      </c>
      <c r="G280" s="11" t="n"/>
      <c r="H280" s="8" t="n"/>
      <c r="I280" s="8" t="n"/>
      <c r="J280" s="10">
        <f>IF(SUBSTITUTE(SUBSTITUTE(SUBSTITUTE(SUBSTITUTE(CLEAN(I280&amp;"")," ",""),".","")," ",""),"-","")="","",IF(AND(OR(LEN(SUBSTITUTE(SUBSTITUTE(SUBSTITUTE(SUBSTITUTE(CLEAN(I280&amp;"")," ",""),".","")," ",""),"-",""))=2,LEN(SUBSTITUTE(SUBSTITUTE(SUBSTITUTE(SUBSTITUTE(CLEAN(I280&amp;"")," ",""),".","")," ",""),"-",""))=4,LEN(SUBSTITUTE(SUBSTITUTE(SUBSTITUTE(SUBSTITUTE(CLEAN(I280&amp;"")," ",""),".","")," ",""),"-",""))=6,LEN(SUBSTITUTE(SUBSTITUTE(SUBSTITUTE(SUBSTITUTE(CLEAN(I280&amp;"")," ",""),".","")," ",""),"-",""))=8,LEN(SUBSTITUTE(SUBSTITUTE(SUBSTITUTE(SUBSTITUTE(CLEAN(I280&amp;"")," ",""),".","")," ",""),"-",""))=10),IFERROR(TEXT(VALUE(SUBSTITUTE(SUBSTITUTE(SUBSTITUTE(SUBSTITUTE(CLEAN(I280&amp;"")," ",""),".","")," ",""),"-","")),REPT("0",LEN(SUBSTITUTE(SUBSTITUTE(SUBSTITUTE(SUBSTITUTE(CLEAN(I280&amp;"")," ",""),".","")," ",""),"-",""))))=SUBSTITUTE(SUBSTITUTE(SUBSTITUTE(SUBSTITUTE(CLEAN(I280&amp;"")," ",""),".","")," ",""),"-",""),FALSE)),SUBSTITUTE(SUBSTITUTE(SUBSTITUTE(SUBSTITUTE(CLEAN(I280&amp;"")," ",""),".","")," ",""),"-",""),"CHECK: not 2, 4, 6, 8 or 10 digits"))</f>
        <v/>
      </c>
      <c r="K280" s="11" t="n"/>
    </row>
    <row r="281">
      <c r="E281" s="8" t="n"/>
      <c r="F281" s="10">
        <f>IF(SUBSTITUTE(SUBSTITUTE(SUBSTITUTE(SUBSTITUTE(CLEAN(E281&amp;"")," ",""),".","")," ",""),"-","")="","",IF(AND(OR(LEN(SUBSTITUTE(SUBSTITUTE(SUBSTITUTE(SUBSTITUTE(CLEAN(E281&amp;"")," ",""),".","")," ",""),"-",""))=2,LEN(SUBSTITUTE(SUBSTITUTE(SUBSTITUTE(SUBSTITUTE(CLEAN(E281&amp;"")," ",""),".","")," ",""),"-",""))=4,LEN(SUBSTITUTE(SUBSTITUTE(SUBSTITUTE(SUBSTITUTE(CLEAN(E281&amp;"")," ",""),".","")," ",""),"-",""))=6,LEN(SUBSTITUTE(SUBSTITUTE(SUBSTITUTE(SUBSTITUTE(CLEAN(E281&amp;"")," ",""),".","")," ",""),"-",""))=8,LEN(SUBSTITUTE(SUBSTITUTE(SUBSTITUTE(SUBSTITUTE(CLEAN(E281&amp;"")," ",""),".","")," ",""),"-",""))=10),IFERROR(TEXT(VALUE(SUBSTITUTE(SUBSTITUTE(SUBSTITUTE(SUBSTITUTE(CLEAN(E281&amp;"")," ",""),".","")," ",""),"-","")),REPT("0",LEN(SUBSTITUTE(SUBSTITUTE(SUBSTITUTE(SUBSTITUTE(CLEAN(E281&amp;"")," ",""),".","")," ",""),"-",""))))=SUBSTITUTE(SUBSTITUTE(SUBSTITUTE(SUBSTITUTE(CLEAN(E281&amp;"")," ",""),".","")," ",""),"-",""),FALSE)),SUBSTITUTE(SUBSTITUTE(SUBSTITUTE(SUBSTITUTE(CLEAN(E281&amp;"")," ",""),".","")," ",""),"-",""),"CHECK: not 2, 4, 6, 8 or 10 digits"))</f>
        <v/>
      </c>
      <c r="G281" s="11" t="n"/>
      <c r="H281" s="8" t="n"/>
      <c r="I281" s="8" t="n"/>
      <c r="J281" s="10">
        <f>IF(SUBSTITUTE(SUBSTITUTE(SUBSTITUTE(SUBSTITUTE(CLEAN(I281&amp;"")," ",""),".","")," ",""),"-","")="","",IF(AND(OR(LEN(SUBSTITUTE(SUBSTITUTE(SUBSTITUTE(SUBSTITUTE(CLEAN(I281&amp;"")," ",""),".","")," ",""),"-",""))=2,LEN(SUBSTITUTE(SUBSTITUTE(SUBSTITUTE(SUBSTITUTE(CLEAN(I281&amp;"")," ",""),".","")," ",""),"-",""))=4,LEN(SUBSTITUTE(SUBSTITUTE(SUBSTITUTE(SUBSTITUTE(CLEAN(I281&amp;"")," ",""),".","")," ",""),"-",""))=6,LEN(SUBSTITUTE(SUBSTITUTE(SUBSTITUTE(SUBSTITUTE(CLEAN(I281&amp;"")," ",""),".","")," ",""),"-",""))=8,LEN(SUBSTITUTE(SUBSTITUTE(SUBSTITUTE(SUBSTITUTE(CLEAN(I281&amp;"")," ",""),".","")," ",""),"-",""))=10),IFERROR(TEXT(VALUE(SUBSTITUTE(SUBSTITUTE(SUBSTITUTE(SUBSTITUTE(CLEAN(I281&amp;"")," ",""),".","")," ",""),"-","")),REPT("0",LEN(SUBSTITUTE(SUBSTITUTE(SUBSTITUTE(SUBSTITUTE(CLEAN(I281&amp;"")," ",""),".","")," ",""),"-",""))))=SUBSTITUTE(SUBSTITUTE(SUBSTITUTE(SUBSTITUTE(CLEAN(I281&amp;"")," ",""),".","")," ",""),"-",""),FALSE)),SUBSTITUTE(SUBSTITUTE(SUBSTITUTE(SUBSTITUTE(CLEAN(I281&amp;"")," ",""),".","")," ",""),"-",""),"CHECK: not 2, 4, 6, 8 or 10 digits"))</f>
        <v/>
      </c>
      <c r="K281" s="11" t="n"/>
    </row>
    <row r="282">
      <c r="E282" s="8" t="n"/>
      <c r="F282" s="10">
        <f>IF(SUBSTITUTE(SUBSTITUTE(SUBSTITUTE(SUBSTITUTE(CLEAN(E282&amp;"")," ",""),".","")," ",""),"-","")="","",IF(AND(OR(LEN(SUBSTITUTE(SUBSTITUTE(SUBSTITUTE(SUBSTITUTE(CLEAN(E282&amp;"")," ",""),".","")," ",""),"-",""))=2,LEN(SUBSTITUTE(SUBSTITUTE(SUBSTITUTE(SUBSTITUTE(CLEAN(E282&amp;"")," ",""),".","")," ",""),"-",""))=4,LEN(SUBSTITUTE(SUBSTITUTE(SUBSTITUTE(SUBSTITUTE(CLEAN(E282&amp;"")," ",""),".","")," ",""),"-",""))=6,LEN(SUBSTITUTE(SUBSTITUTE(SUBSTITUTE(SUBSTITUTE(CLEAN(E282&amp;"")," ",""),".","")," ",""),"-",""))=8,LEN(SUBSTITUTE(SUBSTITUTE(SUBSTITUTE(SUBSTITUTE(CLEAN(E282&amp;"")," ",""),".","")," ",""),"-",""))=10),IFERROR(TEXT(VALUE(SUBSTITUTE(SUBSTITUTE(SUBSTITUTE(SUBSTITUTE(CLEAN(E282&amp;"")," ",""),".","")," ",""),"-","")),REPT("0",LEN(SUBSTITUTE(SUBSTITUTE(SUBSTITUTE(SUBSTITUTE(CLEAN(E282&amp;"")," ",""),".","")," ",""),"-",""))))=SUBSTITUTE(SUBSTITUTE(SUBSTITUTE(SUBSTITUTE(CLEAN(E282&amp;"")," ",""),".","")," ",""),"-",""),FALSE)),SUBSTITUTE(SUBSTITUTE(SUBSTITUTE(SUBSTITUTE(CLEAN(E282&amp;"")," ",""),".","")," ",""),"-",""),"CHECK: not 2, 4, 6, 8 or 10 digits"))</f>
        <v/>
      </c>
      <c r="G282" s="11" t="n"/>
      <c r="H282" s="8" t="n"/>
      <c r="I282" s="8" t="n"/>
      <c r="J282" s="10">
        <f>IF(SUBSTITUTE(SUBSTITUTE(SUBSTITUTE(SUBSTITUTE(CLEAN(I282&amp;"")," ",""),".","")," ",""),"-","")="","",IF(AND(OR(LEN(SUBSTITUTE(SUBSTITUTE(SUBSTITUTE(SUBSTITUTE(CLEAN(I282&amp;"")," ",""),".","")," ",""),"-",""))=2,LEN(SUBSTITUTE(SUBSTITUTE(SUBSTITUTE(SUBSTITUTE(CLEAN(I282&amp;"")," ",""),".","")," ",""),"-",""))=4,LEN(SUBSTITUTE(SUBSTITUTE(SUBSTITUTE(SUBSTITUTE(CLEAN(I282&amp;"")," ",""),".","")," ",""),"-",""))=6,LEN(SUBSTITUTE(SUBSTITUTE(SUBSTITUTE(SUBSTITUTE(CLEAN(I282&amp;"")," ",""),".","")," ",""),"-",""))=8,LEN(SUBSTITUTE(SUBSTITUTE(SUBSTITUTE(SUBSTITUTE(CLEAN(I282&amp;"")," ",""),".","")," ",""),"-",""))=10),IFERROR(TEXT(VALUE(SUBSTITUTE(SUBSTITUTE(SUBSTITUTE(SUBSTITUTE(CLEAN(I282&amp;"")," ",""),".","")," ",""),"-","")),REPT("0",LEN(SUBSTITUTE(SUBSTITUTE(SUBSTITUTE(SUBSTITUTE(CLEAN(I282&amp;"")," ",""),".","")," ",""),"-",""))))=SUBSTITUTE(SUBSTITUTE(SUBSTITUTE(SUBSTITUTE(CLEAN(I282&amp;"")," ",""),".","")," ",""),"-",""),FALSE)),SUBSTITUTE(SUBSTITUTE(SUBSTITUTE(SUBSTITUTE(CLEAN(I282&amp;"")," ",""),".","")," ",""),"-",""),"CHECK: not 2, 4, 6, 8 or 10 digits"))</f>
        <v/>
      </c>
      <c r="K282" s="11" t="n"/>
    </row>
    <row r="283">
      <c r="E283" s="8" t="n"/>
      <c r="F283" s="10">
        <f>IF(SUBSTITUTE(SUBSTITUTE(SUBSTITUTE(SUBSTITUTE(CLEAN(E283&amp;"")," ",""),".","")," ",""),"-","")="","",IF(AND(OR(LEN(SUBSTITUTE(SUBSTITUTE(SUBSTITUTE(SUBSTITUTE(CLEAN(E283&amp;"")," ",""),".","")," ",""),"-",""))=2,LEN(SUBSTITUTE(SUBSTITUTE(SUBSTITUTE(SUBSTITUTE(CLEAN(E283&amp;"")," ",""),".","")," ",""),"-",""))=4,LEN(SUBSTITUTE(SUBSTITUTE(SUBSTITUTE(SUBSTITUTE(CLEAN(E283&amp;"")," ",""),".","")," ",""),"-",""))=6,LEN(SUBSTITUTE(SUBSTITUTE(SUBSTITUTE(SUBSTITUTE(CLEAN(E283&amp;"")," ",""),".","")," ",""),"-",""))=8,LEN(SUBSTITUTE(SUBSTITUTE(SUBSTITUTE(SUBSTITUTE(CLEAN(E283&amp;"")," ",""),".","")," ",""),"-",""))=10),IFERROR(TEXT(VALUE(SUBSTITUTE(SUBSTITUTE(SUBSTITUTE(SUBSTITUTE(CLEAN(E283&amp;"")," ",""),".","")," ",""),"-","")),REPT("0",LEN(SUBSTITUTE(SUBSTITUTE(SUBSTITUTE(SUBSTITUTE(CLEAN(E283&amp;"")," ",""),".","")," ",""),"-",""))))=SUBSTITUTE(SUBSTITUTE(SUBSTITUTE(SUBSTITUTE(CLEAN(E283&amp;"")," ",""),".","")," ",""),"-",""),FALSE)),SUBSTITUTE(SUBSTITUTE(SUBSTITUTE(SUBSTITUTE(CLEAN(E283&amp;"")," ",""),".","")," ",""),"-",""),"CHECK: not 2, 4, 6, 8 or 10 digits"))</f>
        <v/>
      </c>
      <c r="G283" s="11" t="n"/>
      <c r="H283" s="8" t="n"/>
      <c r="I283" s="8" t="n"/>
      <c r="J283" s="10">
        <f>IF(SUBSTITUTE(SUBSTITUTE(SUBSTITUTE(SUBSTITUTE(CLEAN(I283&amp;"")," ",""),".","")," ",""),"-","")="","",IF(AND(OR(LEN(SUBSTITUTE(SUBSTITUTE(SUBSTITUTE(SUBSTITUTE(CLEAN(I283&amp;"")," ",""),".","")," ",""),"-",""))=2,LEN(SUBSTITUTE(SUBSTITUTE(SUBSTITUTE(SUBSTITUTE(CLEAN(I283&amp;"")," ",""),".","")," ",""),"-",""))=4,LEN(SUBSTITUTE(SUBSTITUTE(SUBSTITUTE(SUBSTITUTE(CLEAN(I283&amp;"")," ",""),".","")," ",""),"-",""))=6,LEN(SUBSTITUTE(SUBSTITUTE(SUBSTITUTE(SUBSTITUTE(CLEAN(I283&amp;"")," ",""),".","")," ",""),"-",""))=8,LEN(SUBSTITUTE(SUBSTITUTE(SUBSTITUTE(SUBSTITUTE(CLEAN(I283&amp;"")," ",""),".","")," ",""),"-",""))=10),IFERROR(TEXT(VALUE(SUBSTITUTE(SUBSTITUTE(SUBSTITUTE(SUBSTITUTE(CLEAN(I283&amp;"")," ",""),".","")," ",""),"-","")),REPT("0",LEN(SUBSTITUTE(SUBSTITUTE(SUBSTITUTE(SUBSTITUTE(CLEAN(I283&amp;"")," ",""),".","")," ",""),"-",""))))=SUBSTITUTE(SUBSTITUTE(SUBSTITUTE(SUBSTITUTE(CLEAN(I283&amp;"")," ",""),".","")," ",""),"-",""),FALSE)),SUBSTITUTE(SUBSTITUTE(SUBSTITUTE(SUBSTITUTE(CLEAN(I283&amp;"")," ",""),".","")," ",""),"-",""),"CHECK: not 2, 4, 6, 8 or 10 digits"))</f>
        <v/>
      </c>
      <c r="K283" s="11" t="n"/>
    </row>
    <row r="284">
      <c r="E284" s="8" t="n"/>
      <c r="F284" s="10">
        <f>IF(SUBSTITUTE(SUBSTITUTE(SUBSTITUTE(SUBSTITUTE(CLEAN(E284&amp;"")," ",""),".","")," ",""),"-","")="","",IF(AND(OR(LEN(SUBSTITUTE(SUBSTITUTE(SUBSTITUTE(SUBSTITUTE(CLEAN(E284&amp;"")," ",""),".","")," ",""),"-",""))=2,LEN(SUBSTITUTE(SUBSTITUTE(SUBSTITUTE(SUBSTITUTE(CLEAN(E284&amp;"")," ",""),".","")," ",""),"-",""))=4,LEN(SUBSTITUTE(SUBSTITUTE(SUBSTITUTE(SUBSTITUTE(CLEAN(E284&amp;"")," ",""),".","")," ",""),"-",""))=6,LEN(SUBSTITUTE(SUBSTITUTE(SUBSTITUTE(SUBSTITUTE(CLEAN(E284&amp;"")," ",""),".","")," ",""),"-",""))=8,LEN(SUBSTITUTE(SUBSTITUTE(SUBSTITUTE(SUBSTITUTE(CLEAN(E284&amp;"")," ",""),".","")," ",""),"-",""))=10),IFERROR(TEXT(VALUE(SUBSTITUTE(SUBSTITUTE(SUBSTITUTE(SUBSTITUTE(CLEAN(E284&amp;"")," ",""),".","")," ",""),"-","")),REPT("0",LEN(SUBSTITUTE(SUBSTITUTE(SUBSTITUTE(SUBSTITUTE(CLEAN(E284&amp;"")," ",""),".","")," ",""),"-",""))))=SUBSTITUTE(SUBSTITUTE(SUBSTITUTE(SUBSTITUTE(CLEAN(E284&amp;"")," ",""),".","")," ",""),"-",""),FALSE)),SUBSTITUTE(SUBSTITUTE(SUBSTITUTE(SUBSTITUTE(CLEAN(E284&amp;"")," ",""),".","")," ",""),"-",""),"CHECK: not 2, 4, 6, 8 or 10 digits"))</f>
        <v/>
      </c>
      <c r="G284" s="11" t="n"/>
      <c r="H284" s="8" t="n"/>
      <c r="I284" s="8" t="n"/>
      <c r="J284" s="10">
        <f>IF(SUBSTITUTE(SUBSTITUTE(SUBSTITUTE(SUBSTITUTE(CLEAN(I284&amp;"")," ",""),".","")," ",""),"-","")="","",IF(AND(OR(LEN(SUBSTITUTE(SUBSTITUTE(SUBSTITUTE(SUBSTITUTE(CLEAN(I284&amp;"")," ",""),".","")," ",""),"-",""))=2,LEN(SUBSTITUTE(SUBSTITUTE(SUBSTITUTE(SUBSTITUTE(CLEAN(I284&amp;"")," ",""),".","")," ",""),"-",""))=4,LEN(SUBSTITUTE(SUBSTITUTE(SUBSTITUTE(SUBSTITUTE(CLEAN(I284&amp;"")," ",""),".","")," ",""),"-",""))=6,LEN(SUBSTITUTE(SUBSTITUTE(SUBSTITUTE(SUBSTITUTE(CLEAN(I284&amp;"")," ",""),".","")," ",""),"-",""))=8,LEN(SUBSTITUTE(SUBSTITUTE(SUBSTITUTE(SUBSTITUTE(CLEAN(I284&amp;"")," ",""),".","")," ",""),"-",""))=10),IFERROR(TEXT(VALUE(SUBSTITUTE(SUBSTITUTE(SUBSTITUTE(SUBSTITUTE(CLEAN(I284&amp;"")," ",""),".","")," ",""),"-","")),REPT("0",LEN(SUBSTITUTE(SUBSTITUTE(SUBSTITUTE(SUBSTITUTE(CLEAN(I284&amp;"")," ",""),".","")," ",""),"-",""))))=SUBSTITUTE(SUBSTITUTE(SUBSTITUTE(SUBSTITUTE(CLEAN(I284&amp;"")," ",""),".","")," ",""),"-",""),FALSE)),SUBSTITUTE(SUBSTITUTE(SUBSTITUTE(SUBSTITUTE(CLEAN(I284&amp;"")," ",""),".","")," ",""),"-",""),"CHECK: not 2, 4, 6, 8 or 10 digits"))</f>
        <v/>
      </c>
      <c r="K284" s="11" t="n"/>
    </row>
    <row r="285">
      <c r="E285" s="8" t="n"/>
      <c r="F285" s="10">
        <f>IF(SUBSTITUTE(SUBSTITUTE(SUBSTITUTE(SUBSTITUTE(CLEAN(E285&amp;"")," ",""),".","")," ",""),"-","")="","",IF(AND(OR(LEN(SUBSTITUTE(SUBSTITUTE(SUBSTITUTE(SUBSTITUTE(CLEAN(E285&amp;"")," ",""),".","")," ",""),"-",""))=2,LEN(SUBSTITUTE(SUBSTITUTE(SUBSTITUTE(SUBSTITUTE(CLEAN(E285&amp;"")," ",""),".","")," ",""),"-",""))=4,LEN(SUBSTITUTE(SUBSTITUTE(SUBSTITUTE(SUBSTITUTE(CLEAN(E285&amp;"")," ",""),".","")," ",""),"-",""))=6,LEN(SUBSTITUTE(SUBSTITUTE(SUBSTITUTE(SUBSTITUTE(CLEAN(E285&amp;"")," ",""),".","")," ",""),"-",""))=8,LEN(SUBSTITUTE(SUBSTITUTE(SUBSTITUTE(SUBSTITUTE(CLEAN(E285&amp;"")," ",""),".","")," ",""),"-",""))=10),IFERROR(TEXT(VALUE(SUBSTITUTE(SUBSTITUTE(SUBSTITUTE(SUBSTITUTE(CLEAN(E285&amp;"")," ",""),".","")," ",""),"-","")),REPT("0",LEN(SUBSTITUTE(SUBSTITUTE(SUBSTITUTE(SUBSTITUTE(CLEAN(E285&amp;"")," ",""),".","")," ",""),"-",""))))=SUBSTITUTE(SUBSTITUTE(SUBSTITUTE(SUBSTITUTE(CLEAN(E285&amp;"")," ",""),".","")," ",""),"-",""),FALSE)),SUBSTITUTE(SUBSTITUTE(SUBSTITUTE(SUBSTITUTE(CLEAN(E285&amp;"")," ",""),".","")," ",""),"-",""),"CHECK: not 2, 4, 6, 8 or 10 digits"))</f>
        <v/>
      </c>
      <c r="G285" s="11" t="n"/>
      <c r="H285" s="8" t="n"/>
      <c r="I285" s="8" t="n"/>
      <c r="J285" s="10">
        <f>IF(SUBSTITUTE(SUBSTITUTE(SUBSTITUTE(SUBSTITUTE(CLEAN(I285&amp;"")," ",""),".","")," ",""),"-","")="","",IF(AND(OR(LEN(SUBSTITUTE(SUBSTITUTE(SUBSTITUTE(SUBSTITUTE(CLEAN(I285&amp;"")," ",""),".","")," ",""),"-",""))=2,LEN(SUBSTITUTE(SUBSTITUTE(SUBSTITUTE(SUBSTITUTE(CLEAN(I285&amp;"")," ",""),".","")," ",""),"-",""))=4,LEN(SUBSTITUTE(SUBSTITUTE(SUBSTITUTE(SUBSTITUTE(CLEAN(I285&amp;"")," ",""),".","")," ",""),"-",""))=6,LEN(SUBSTITUTE(SUBSTITUTE(SUBSTITUTE(SUBSTITUTE(CLEAN(I285&amp;"")," ",""),".","")," ",""),"-",""))=8,LEN(SUBSTITUTE(SUBSTITUTE(SUBSTITUTE(SUBSTITUTE(CLEAN(I285&amp;"")," ",""),".","")," ",""),"-",""))=10),IFERROR(TEXT(VALUE(SUBSTITUTE(SUBSTITUTE(SUBSTITUTE(SUBSTITUTE(CLEAN(I285&amp;"")," ",""),".","")," ",""),"-","")),REPT("0",LEN(SUBSTITUTE(SUBSTITUTE(SUBSTITUTE(SUBSTITUTE(CLEAN(I285&amp;"")," ",""),".","")," ",""),"-",""))))=SUBSTITUTE(SUBSTITUTE(SUBSTITUTE(SUBSTITUTE(CLEAN(I285&amp;"")," ",""),".","")," ",""),"-",""),FALSE)),SUBSTITUTE(SUBSTITUTE(SUBSTITUTE(SUBSTITUTE(CLEAN(I285&amp;"")," ",""),".","")," ",""),"-",""),"CHECK: not 2, 4, 6, 8 or 10 digits"))</f>
        <v/>
      </c>
      <c r="K285" s="11" t="n"/>
    </row>
    <row r="286">
      <c r="E286" s="8" t="n"/>
      <c r="F286" s="10">
        <f>IF(SUBSTITUTE(SUBSTITUTE(SUBSTITUTE(SUBSTITUTE(CLEAN(E286&amp;"")," ",""),".","")," ",""),"-","")="","",IF(AND(OR(LEN(SUBSTITUTE(SUBSTITUTE(SUBSTITUTE(SUBSTITUTE(CLEAN(E286&amp;"")," ",""),".","")," ",""),"-",""))=2,LEN(SUBSTITUTE(SUBSTITUTE(SUBSTITUTE(SUBSTITUTE(CLEAN(E286&amp;"")," ",""),".","")," ",""),"-",""))=4,LEN(SUBSTITUTE(SUBSTITUTE(SUBSTITUTE(SUBSTITUTE(CLEAN(E286&amp;"")," ",""),".","")," ",""),"-",""))=6,LEN(SUBSTITUTE(SUBSTITUTE(SUBSTITUTE(SUBSTITUTE(CLEAN(E286&amp;"")," ",""),".","")," ",""),"-",""))=8,LEN(SUBSTITUTE(SUBSTITUTE(SUBSTITUTE(SUBSTITUTE(CLEAN(E286&amp;"")," ",""),".","")," ",""),"-",""))=10),IFERROR(TEXT(VALUE(SUBSTITUTE(SUBSTITUTE(SUBSTITUTE(SUBSTITUTE(CLEAN(E286&amp;"")," ",""),".","")," ",""),"-","")),REPT("0",LEN(SUBSTITUTE(SUBSTITUTE(SUBSTITUTE(SUBSTITUTE(CLEAN(E286&amp;"")," ",""),".","")," ",""),"-",""))))=SUBSTITUTE(SUBSTITUTE(SUBSTITUTE(SUBSTITUTE(CLEAN(E286&amp;"")," ",""),".","")," ",""),"-",""),FALSE)),SUBSTITUTE(SUBSTITUTE(SUBSTITUTE(SUBSTITUTE(CLEAN(E286&amp;"")," ",""),".","")," ",""),"-",""),"CHECK: not 2, 4, 6, 8 or 10 digits"))</f>
        <v/>
      </c>
      <c r="G286" s="11" t="n"/>
      <c r="H286" s="8" t="n"/>
      <c r="I286" s="8" t="n"/>
      <c r="J286" s="10">
        <f>IF(SUBSTITUTE(SUBSTITUTE(SUBSTITUTE(SUBSTITUTE(CLEAN(I286&amp;"")," ",""),".","")," ",""),"-","")="","",IF(AND(OR(LEN(SUBSTITUTE(SUBSTITUTE(SUBSTITUTE(SUBSTITUTE(CLEAN(I286&amp;"")," ",""),".","")," ",""),"-",""))=2,LEN(SUBSTITUTE(SUBSTITUTE(SUBSTITUTE(SUBSTITUTE(CLEAN(I286&amp;"")," ",""),".","")," ",""),"-",""))=4,LEN(SUBSTITUTE(SUBSTITUTE(SUBSTITUTE(SUBSTITUTE(CLEAN(I286&amp;"")," ",""),".","")," ",""),"-",""))=6,LEN(SUBSTITUTE(SUBSTITUTE(SUBSTITUTE(SUBSTITUTE(CLEAN(I286&amp;"")," ",""),".","")," ",""),"-",""))=8,LEN(SUBSTITUTE(SUBSTITUTE(SUBSTITUTE(SUBSTITUTE(CLEAN(I286&amp;"")," ",""),".","")," ",""),"-",""))=10),IFERROR(TEXT(VALUE(SUBSTITUTE(SUBSTITUTE(SUBSTITUTE(SUBSTITUTE(CLEAN(I286&amp;"")," ",""),".","")," ",""),"-","")),REPT("0",LEN(SUBSTITUTE(SUBSTITUTE(SUBSTITUTE(SUBSTITUTE(CLEAN(I286&amp;"")," ",""),".","")," ",""),"-",""))))=SUBSTITUTE(SUBSTITUTE(SUBSTITUTE(SUBSTITUTE(CLEAN(I286&amp;"")," ",""),".","")," ",""),"-",""),FALSE)),SUBSTITUTE(SUBSTITUTE(SUBSTITUTE(SUBSTITUTE(CLEAN(I286&amp;"")," ",""),".","")," ",""),"-",""),"CHECK: not 2, 4, 6, 8 or 10 digits"))</f>
        <v/>
      </c>
      <c r="K286" s="11" t="n"/>
    </row>
    <row r="287">
      <c r="E287" s="8" t="n"/>
      <c r="F287" s="10">
        <f>IF(SUBSTITUTE(SUBSTITUTE(SUBSTITUTE(SUBSTITUTE(CLEAN(E287&amp;"")," ",""),".","")," ",""),"-","")="","",IF(AND(OR(LEN(SUBSTITUTE(SUBSTITUTE(SUBSTITUTE(SUBSTITUTE(CLEAN(E287&amp;"")," ",""),".","")," ",""),"-",""))=2,LEN(SUBSTITUTE(SUBSTITUTE(SUBSTITUTE(SUBSTITUTE(CLEAN(E287&amp;"")," ",""),".","")," ",""),"-",""))=4,LEN(SUBSTITUTE(SUBSTITUTE(SUBSTITUTE(SUBSTITUTE(CLEAN(E287&amp;"")," ",""),".","")," ",""),"-",""))=6,LEN(SUBSTITUTE(SUBSTITUTE(SUBSTITUTE(SUBSTITUTE(CLEAN(E287&amp;"")," ",""),".","")," ",""),"-",""))=8,LEN(SUBSTITUTE(SUBSTITUTE(SUBSTITUTE(SUBSTITUTE(CLEAN(E287&amp;"")," ",""),".","")," ",""),"-",""))=10),IFERROR(TEXT(VALUE(SUBSTITUTE(SUBSTITUTE(SUBSTITUTE(SUBSTITUTE(CLEAN(E287&amp;"")," ",""),".","")," ",""),"-","")),REPT("0",LEN(SUBSTITUTE(SUBSTITUTE(SUBSTITUTE(SUBSTITUTE(CLEAN(E287&amp;"")," ",""),".","")," ",""),"-",""))))=SUBSTITUTE(SUBSTITUTE(SUBSTITUTE(SUBSTITUTE(CLEAN(E287&amp;"")," ",""),".","")," ",""),"-",""),FALSE)),SUBSTITUTE(SUBSTITUTE(SUBSTITUTE(SUBSTITUTE(CLEAN(E287&amp;"")," ",""),".","")," ",""),"-",""),"CHECK: not 2, 4, 6, 8 or 10 digits"))</f>
        <v/>
      </c>
      <c r="G287" s="11" t="n"/>
      <c r="H287" s="8" t="n"/>
      <c r="I287" s="8" t="n"/>
      <c r="J287" s="10">
        <f>IF(SUBSTITUTE(SUBSTITUTE(SUBSTITUTE(SUBSTITUTE(CLEAN(I287&amp;"")," ",""),".","")," ",""),"-","")="","",IF(AND(OR(LEN(SUBSTITUTE(SUBSTITUTE(SUBSTITUTE(SUBSTITUTE(CLEAN(I287&amp;"")," ",""),".","")," ",""),"-",""))=2,LEN(SUBSTITUTE(SUBSTITUTE(SUBSTITUTE(SUBSTITUTE(CLEAN(I287&amp;"")," ",""),".","")," ",""),"-",""))=4,LEN(SUBSTITUTE(SUBSTITUTE(SUBSTITUTE(SUBSTITUTE(CLEAN(I287&amp;"")," ",""),".","")," ",""),"-",""))=6,LEN(SUBSTITUTE(SUBSTITUTE(SUBSTITUTE(SUBSTITUTE(CLEAN(I287&amp;"")," ",""),".","")," ",""),"-",""))=8,LEN(SUBSTITUTE(SUBSTITUTE(SUBSTITUTE(SUBSTITUTE(CLEAN(I287&amp;"")," ",""),".","")," ",""),"-",""))=10),IFERROR(TEXT(VALUE(SUBSTITUTE(SUBSTITUTE(SUBSTITUTE(SUBSTITUTE(CLEAN(I287&amp;"")," ",""),".","")," ",""),"-","")),REPT("0",LEN(SUBSTITUTE(SUBSTITUTE(SUBSTITUTE(SUBSTITUTE(CLEAN(I287&amp;"")," ",""),".","")," ",""),"-",""))))=SUBSTITUTE(SUBSTITUTE(SUBSTITUTE(SUBSTITUTE(CLEAN(I287&amp;"")," ",""),".","")," ",""),"-",""),FALSE)),SUBSTITUTE(SUBSTITUTE(SUBSTITUTE(SUBSTITUTE(CLEAN(I287&amp;"")," ",""),".","")," ",""),"-",""),"CHECK: not 2, 4, 6, 8 or 10 digits"))</f>
        <v/>
      </c>
      <c r="K287" s="11" t="n"/>
    </row>
    <row r="288">
      <c r="E288" s="8" t="n"/>
      <c r="F288" s="10">
        <f>IF(SUBSTITUTE(SUBSTITUTE(SUBSTITUTE(SUBSTITUTE(CLEAN(E288&amp;"")," ",""),".","")," ",""),"-","")="","",IF(AND(OR(LEN(SUBSTITUTE(SUBSTITUTE(SUBSTITUTE(SUBSTITUTE(CLEAN(E288&amp;"")," ",""),".","")," ",""),"-",""))=2,LEN(SUBSTITUTE(SUBSTITUTE(SUBSTITUTE(SUBSTITUTE(CLEAN(E288&amp;"")," ",""),".","")," ",""),"-",""))=4,LEN(SUBSTITUTE(SUBSTITUTE(SUBSTITUTE(SUBSTITUTE(CLEAN(E288&amp;"")," ",""),".","")," ",""),"-",""))=6,LEN(SUBSTITUTE(SUBSTITUTE(SUBSTITUTE(SUBSTITUTE(CLEAN(E288&amp;"")," ",""),".","")," ",""),"-",""))=8,LEN(SUBSTITUTE(SUBSTITUTE(SUBSTITUTE(SUBSTITUTE(CLEAN(E288&amp;"")," ",""),".","")," ",""),"-",""))=10),IFERROR(TEXT(VALUE(SUBSTITUTE(SUBSTITUTE(SUBSTITUTE(SUBSTITUTE(CLEAN(E288&amp;"")," ",""),".","")," ",""),"-","")),REPT("0",LEN(SUBSTITUTE(SUBSTITUTE(SUBSTITUTE(SUBSTITUTE(CLEAN(E288&amp;"")," ",""),".","")," ",""),"-",""))))=SUBSTITUTE(SUBSTITUTE(SUBSTITUTE(SUBSTITUTE(CLEAN(E288&amp;"")," ",""),".","")," ",""),"-",""),FALSE)),SUBSTITUTE(SUBSTITUTE(SUBSTITUTE(SUBSTITUTE(CLEAN(E288&amp;"")," ",""),".","")," ",""),"-",""),"CHECK: not 2, 4, 6, 8 or 10 digits"))</f>
        <v/>
      </c>
      <c r="G288" s="11" t="n"/>
      <c r="H288" s="8" t="n"/>
      <c r="I288" s="8" t="n"/>
      <c r="J288" s="10">
        <f>IF(SUBSTITUTE(SUBSTITUTE(SUBSTITUTE(SUBSTITUTE(CLEAN(I288&amp;"")," ",""),".","")," ",""),"-","")="","",IF(AND(OR(LEN(SUBSTITUTE(SUBSTITUTE(SUBSTITUTE(SUBSTITUTE(CLEAN(I288&amp;"")," ",""),".","")," ",""),"-",""))=2,LEN(SUBSTITUTE(SUBSTITUTE(SUBSTITUTE(SUBSTITUTE(CLEAN(I288&amp;"")," ",""),".","")," ",""),"-",""))=4,LEN(SUBSTITUTE(SUBSTITUTE(SUBSTITUTE(SUBSTITUTE(CLEAN(I288&amp;"")," ",""),".","")," ",""),"-",""))=6,LEN(SUBSTITUTE(SUBSTITUTE(SUBSTITUTE(SUBSTITUTE(CLEAN(I288&amp;"")," ",""),".","")," ",""),"-",""))=8,LEN(SUBSTITUTE(SUBSTITUTE(SUBSTITUTE(SUBSTITUTE(CLEAN(I288&amp;"")," ",""),".","")," ",""),"-",""))=10),IFERROR(TEXT(VALUE(SUBSTITUTE(SUBSTITUTE(SUBSTITUTE(SUBSTITUTE(CLEAN(I288&amp;"")," ",""),".","")," ",""),"-","")),REPT("0",LEN(SUBSTITUTE(SUBSTITUTE(SUBSTITUTE(SUBSTITUTE(CLEAN(I288&amp;"")," ",""),".","")," ",""),"-",""))))=SUBSTITUTE(SUBSTITUTE(SUBSTITUTE(SUBSTITUTE(CLEAN(I288&amp;"")," ",""),".","")," ",""),"-",""),FALSE)),SUBSTITUTE(SUBSTITUTE(SUBSTITUTE(SUBSTITUTE(CLEAN(I288&amp;"")," ",""),".","")," ",""),"-",""),"CHECK: not 2, 4, 6, 8 or 10 digits"))</f>
        <v/>
      </c>
      <c r="K288" s="11" t="n"/>
    </row>
    <row r="289">
      <c r="E289" s="8" t="n"/>
      <c r="F289" s="10">
        <f>IF(SUBSTITUTE(SUBSTITUTE(SUBSTITUTE(SUBSTITUTE(CLEAN(E289&amp;"")," ",""),".","")," ",""),"-","")="","",IF(AND(OR(LEN(SUBSTITUTE(SUBSTITUTE(SUBSTITUTE(SUBSTITUTE(CLEAN(E289&amp;"")," ",""),".","")," ",""),"-",""))=2,LEN(SUBSTITUTE(SUBSTITUTE(SUBSTITUTE(SUBSTITUTE(CLEAN(E289&amp;"")," ",""),".","")," ",""),"-",""))=4,LEN(SUBSTITUTE(SUBSTITUTE(SUBSTITUTE(SUBSTITUTE(CLEAN(E289&amp;"")," ",""),".","")," ",""),"-",""))=6,LEN(SUBSTITUTE(SUBSTITUTE(SUBSTITUTE(SUBSTITUTE(CLEAN(E289&amp;"")," ",""),".","")," ",""),"-",""))=8,LEN(SUBSTITUTE(SUBSTITUTE(SUBSTITUTE(SUBSTITUTE(CLEAN(E289&amp;"")," ",""),".","")," ",""),"-",""))=10),IFERROR(TEXT(VALUE(SUBSTITUTE(SUBSTITUTE(SUBSTITUTE(SUBSTITUTE(CLEAN(E289&amp;"")," ",""),".","")," ",""),"-","")),REPT("0",LEN(SUBSTITUTE(SUBSTITUTE(SUBSTITUTE(SUBSTITUTE(CLEAN(E289&amp;"")," ",""),".","")," ",""),"-",""))))=SUBSTITUTE(SUBSTITUTE(SUBSTITUTE(SUBSTITUTE(CLEAN(E289&amp;"")," ",""),".","")," ",""),"-",""),FALSE)),SUBSTITUTE(SUBSTITUTE(SUBSTITUTE(SUBSTITUTE(CLEAN(E289&amp;"")," ",""),".","")," ",""),"-",""),"CHECK: not 2, 4, 6, 8 or 10 digits"))</f>
        <v/>
      </c>
      <c r="G289" s="11" t="n"/>
      <c r="H289" s="8" t="n"/>
      <c r="I289" s="8" t="n"/>
      <c r="J289" s="10">
        <f>IF(SUBSTITUTE(SUBSTITUTE(SUBSTITUTE(SUBSTITUTE(CLEAN(I289&amp;"")," ",""),".","")," ",""),"-","")="","",IF(AND(OR(LEN(SUBSTITUTE(SUBSTITUTE(SUBSTITUTE(SUBSTITUTE(CLEAN(I289&amp;"")," ",""),".","")," ",""),"-",""))=2,LEN(SUBSTITUTE(SUBSTITUTE(SUBSTITUTE(SUBSTITUTE(CLEAN(I289&amp;"")," ",""),".","")," ",""),"-",""))=4,LEN(SUBSTITUTE(SUBSTITUTE(SUBSTITUTE(SUBSTITUTE(CLEAN(I289&amp;"")," ",""),".","")," ",""),"-",""))=6,LEN(SUBSTITUTE(SUBSTITUTE(SUBSTITUTE(SUBSTITUTE(CLEAN(I289&amp;"")," ",""),".","")," ",""),"-",""))=8,LEN(SUBSTITUTE(SUBSTITUTE(SUBSTITUTE(SUBSTITUTE(CLEAN(I289&amp;"")," ",""),".","")," ",""),"-",""))=10),IFERROR(TEXT(VALUE(SUBSTITUTE(SUBSTITUTE(SUBSTITUTE(SUBSTITUTE(CLEAN(I289&amp;"")," ",""),".","")," ",""),"-","")),REPT("0",LEN(SUBSTITUTE(SUBSTITUTE(SUBSTITUTE(SUBSTITUTE(CLEAN(I289&amp;"")," ",""),".","")," ",""),"-",""))))=SUBSTITUTE(SUBSTITUTE(SUBSTITUTE(SUBSTITUTE(CLEAN(I289&amp;"")," ",""),".","")," ",""),"-",""),FALSE)),SUBSTITUTE(SUBSTITUTE(SUBSTITUTE(SUBSTITUTE(CLEAN(I289&amp;"")," ",""),".","")," ",""),"-",""),"CHECK: not 2, 4, 6, 8 or 10 digits"))</f>
        <v/>
      </c>
      <c r="K289" s="11" t="n"/>
    </row>
    <row r="290">
      <c r="E290" s="8" t="n"/>
      <c r="F290" s="10">
        <f>IF(SUBSTITUTE(SUBSTITUTE(SUBSTITUTE(SUBSTITUTE(CLEAN(E290&amp;"")," ",""),".","")," ",""),"-","")="","",IF(AND(OR(LEN(SUBSTITUTE(SUBSTITUTE(SUBSTITUTE(SUBSTITUTE(CLEAN(E290&amp;"")," ",""),".","")," ",""),"-",""))=2,LEN(SUBSTITUTE(SUBSTITUTE(SUBSTITUTE(SUBSTITUTE(CLEAN(E290&amp;"")," ",""),".","")," ",""),"-",""))=4,LEN(SUBSTITUTE(SUBSTITUTE(SUBSTITUTE(SUBSTITUTE(CLEAN(E290&amp;"")," ",""),".","")," ",""),"-",""))=6,LEN(SUBSTITUTE(SUBSTITUTE(SUBSTITUTE(SUBSTITUTE(CLEAN(E290&amp;"")," ",""),".","")," ",""),"-",""))=8,LEN(SUBSTITUTE(SUBSTITUTE(SUBSTITUTE(SUBSTITUTE(CLEAN(E290&amp;"")," ",""),".","")," ",""),"-",""))=10),IFERROR(TEXT(VALUE(SUBSTITUTE(SUBSTITUTE(SUBSTITUTE(SUBSTITUTE(CLEAN(E290&amp;"")," ",""),".","")," ",""),"-","")),REPT("0",LEN(SUBSTITUTE(SUBSTITUTE(SUBSTITUTE(SUBSTITUTE(CLEAN(E290&amp;"")," ",""),".","")," ",""),"-",""))))=SUBSTITUTE(SUBSTITUTE(SUBSTITUTE(SUBSTITUTE(CLEAN(E290&amp;"")," ",""),".","")," ",""),"-",""),FALSE)),SUBSTITUTE(SUBSTITUTE(SUBSTITUTE(SUBSTITUTE(CLEAN(E290&amp;"")," ",""),".","")," ",""),"-",""),"CHECK: not 2, 4, 6, 8 or 10 digits"))</f>
        <v/>
      </c>
      <c r="G290" s="11" t="n"/>
      <c r="H290" s="8" t="n"/>
      <c r="I290" s="8" t="n"/>
      <c r="J290" s="10">
        <f>IF(SUBSTITUTE(SUBSTITUTE(SUBSTITUTE(SUBSTITUTE(CLEAN(I290&amp;"")," ",""),".","")," ",""),"-","")="","",IF(AND(OR(LEN(SUBSTITUTE(SUBSTITUTE(SUBSTITUTE(SUBSTITUTE(CLEAN(I290&amp;"")," ",""),".","")," ",""),"-",""))=2,LEN(SUBSTITUTE(SUBSTITUTE(SUBSTITUTE(SUBSTITUTE(CLEAN(I290&amp;"")," ",""),".","")," ",""),"-",""))=4,LEN(SUBSTITUTE(SUBSTITUTE(SUBSTITUTE(SUBSTITUTE(CLEAN(I290&amp;"")," ",""),".","")," ",""),"-",""))=6,LEN(SUBSTITUTE(SUBSTITUTE(SUBSTITUTE(SUBSTITUTE(CLEAN(I290&amp;"")," ",""),".","")," ",""),"-",""))=8,LEN(SUBSTITUTE(SUBSTITUTE(SUBSTITUTE(SUBSTITUTE(CLEAN(I290&amp;"")," ",""),".","")," ",""),"-",""))=10),IFERROR(TEXT(VALUE(SUBSTITUTE(SUBSTITUTE(SUBSTITUTE(SUBSTITUTE(CLEAN(I290&amp;"")," ",""),".","")," ",""),"-","")),REPT("0",LEN(SUBSTITUTE(SUBSTITUTE(SUBSTITUTE(SUBSTITUTE(CLEAN(I290&amp;"")," ",""),".","")," ",""),"-",""))))=SUBSTITUTE(SUBSTITUTE(SUBSTITUTE(SUBSTITUTE(CLEAN(I290&amp;"")," ",""),".","")," ",""),"-",""),FALSE)),SUBSTITUTE(SUBSTITUTE(SUBSTITUTE(SUBSTITUTE(CLEAN(I290&amp;"")," ",""),".","")," ",""),"-",""),"CHECK: not 2, 4, 6, 8 or 10 digits"))</f>
        <v/>
      </c>
      <c r="K290" s="11" t="n"/>
    </row>
    <row r="291">
      <c r="E291" s="8" t="n"/>
      <c r="F291" s="10">
        <f>IF(SUBSTITUTE(SUBSTITUTE(SUBSTITUTE(SUBSTITUTE(CLEAN(E291&amp;"")," ",""),".","")," ",""),"-","")="","",IF(AND(OR(LEN(SUBSTITUTE(SUBSTITUTE(SUBSTITUTE(SUBSTITUTE(CLEAN(E291&amp;"")," ",""),".","")," ",""),"-",""))=2,LEN(SUBSTITUTE(SUBSTITUTE(SUBSTITUTE(SUBSTITUTE(CLEAN(E291&amp;"")," ",""),".","")," ",""),"-",""))=4,LEN(SUBSTITUTE(SUBSTITUTE(SUBSTITUTE(SUBSTITUTE(CLEAN(E291&amp;"")," ",""),".","")," ",""),"-",""))=6,LEN(SUBSTITUTE(SUBSTITUTE(SUBSTITUTE(SUBSTITUTE(CLEAN(E291&amp;"")," ",""),".","")," ",""),"-",""))=8,LEN(SUBSTITUTE(SUBSTITUTE(SUBSTITUTE(SUBSTITUTE(CLEAN(E291&amp;"")," ",""),".","")," ",""),"-",""))=10),IFERROR(TEXT(VALUE(SUBSTITUTE(SUBSTITUTE(SUBSTITUTE(SUBSTITUTE(CLEAN(E291&amp;"")," ",""),".","")," ",""),"-","")),REPT("0",LEN(SUBSTITUTE(SUBSTITUTE(SUBSTITUTE(SUBSTITUTE(CLEAN(E291&amp;"")," ",""),".","")," ",""),"-",""))))=SUBSTITUTE(SUBSTITUTE(SUBSTITUTE(SUBSTITUTE(CLEAN(E291&amp;"")," ",""),".","")," ",""),"-",""),FALSE)),SUBSTITUTE(SUBSTITUTE(SUBSTITUTE(SUBSTITUTE(CLEAN(E291&amp;"")," ",""),".","")," ",""),"-",""),"CHECK: not 2, 4, 6, 8 or 10 digits"))</f>
        <v/>
      </c>
      <c r="G291" s="11" t="n"/>
      <c r="H291" s="8" t="n"/>
      <c r="I291" s="8" t="n"/>
      <c r="J291" s="10">
        <f>IF(SUBSTITUTE(SUBSTITUTE(SUBSTITUTE(SUBSTITUTE(CLEAN(I291&amp;"")," ",""),".","")," ",""),"-","")="","",IF(AND(OR(LEN(SUBSTITUTE(SUBSTITUTE(SUBSTITUTE(SUBSTITUTE(CLEAN(I291&amp;"")," ",""),".","")," ",""),"-",""))=2,LEN(SUBSTITUTE(SUBSTITUTE(SUBSTITUTE(SUBSTITUTE(CLEAN(I291&amp;"")," ",""),".","")," ",""),"-",""))=4,LEN(SUBSTITUTE(SUBSTITUTE(SUBSTITUTE(SUBSTITUTE(CLEAN(I291&amp;"")," ",""),".","")," ",""),"-",""))=6,LEN(SUBSTITUTE(SUBSTITUTE(SUBSTITUTE(SUBSTITUTE(CLEAN(I291&amp;"")," ",""),".","")," ",""),"-",""))=8,LEN(SUBSTITUTE(SUBSTITUTE(SUBSTITUTE(SUBSTITUTE(CLEAN(I291&amp;"")," ",""),".","")," ",""),"-",""))=10),IFERROR(TEXT(VALUE(SUBSTITUTE(SUBSTITUTE(SUBSTITUTE(SUBSTITUTE(CLEAN(I291&amp;"")," ",""),".","")," ",""),"-","")),REPT("0",LEN(SUBSTITUTE(SUBSTITUTE(SUBSTITUTE(SUBSTITUTE(CLEAN(I291&amp;"")," ",""),".","")," ",""),"-",""))))=SUBSTITUTE(SUBSTITUTE(SUBSTITUTE(SUBSTITUTE(CLEAN(I291&amp;"")," ",""),".","")," ",""),"-",""),FALSE)),SUBSTITUTE(SUBSTITUTE(SUBSTITUTE(SUBSTITUTE(CLEAN(I291&amp;"")," ",""),".","")," ",""),"-",""),"CHECK: not 2, 4, 6, 8 or 10 digits"))</f>
        <v/>
      </c>
      <c r="K291" s="11" t="n"/>
    </row>
    <row r="292">
      <c r="E292" s="8" t="n"/>
      <c r="F292" s="10">
        <f>IF(SUBSTITUTE(SUBSTITUTE(SUBSTITUTE(SUBSTITUTE(CLEAN(E292&amp;"")," ",""),".","")," ",""),"-","")="","",IF(AND(OR(LEN(SUBSTITUTE(SUBSTITUTE(SUBSTITUTE(SUBSTITUTE(CLEAN(E292&amp;"")," ",""),".","")," ",""),"-",""))=2,LEN(SUBSTITUTE(SUBSTITUTE(SUBSTITUTE(SUBSTITUTE(CLEAN(E292&amp;"")," ",""),".","")," ",""),"-",""))=4,LEN(SUBSTITUTE(SUBSTITUTE(SUBSTITUTE(SUBSTITUTE(CLEAN(E292&amp;"")," ",""),".","")," ",""),"-",""))=6,LEN(SUBSTITUTE(SUBSTITUTE(SUBSTITUTE(SUBSTITUTE(CLEAN(E292&amp;"")," ",""),".","")," ",""),"-",""))=8,LEN(SUBSTITUTE(SUBSTITUTE(SUBSTITUTE(SUBSTITUTE(CLEAN(E292&amp;"")," ",""),".","")," ",""),"-",""))=10),IFERROR(TEXT(VALUE(SUBSTITUTE(SUBSTITUTE(SUBSTITUTE(SUBSTITUTE(CLEAN(E292&amp;"")," ",""),".","")," ",""),"-","")),REPT("0",LEN(SUBSTITUTE(SUBSTITUTE(SUBSTITUTE(SUBSTITUTE(CLEAN(E292&amp;"")," ",""),".","")," ",""),"-",""))))=SUBSTITUTE(SUBSTITUTE(SUBSTITUTE(SUBSTITUTE(CLEAN(E292&amp;"")," ",""),".","")," ",""),"-",""),FALSE)),SUBSTITUTE(SUBSTITUTE(SUBSTITUTE(SUBSTITUTE(CLEAN(E292&amp;"")," ",""),".","")," ",""),"-",""),"CHECK: not 2, 4, 6, 8 or 10 digits"))</f>
        <v/>
      </c>
      <c r="G292" s="11" t="n"/>
      <c r="H292" s="8" t="n"/>
      <c r="I292" s="8" t="n"/>
      <c r="J292" s="10">
        <f>IF(SUBSTITUTE(SUBSTITUTE(SUBSTITUTE(SUBSTITUTE(CLEAN(I292&amp;"")," ",""),".","")," ",""),"-","")="","",IF(AND(OR(LEN(SUBSTITUTE(SUBSTITUTE(SUBSTITUTE(SUBSTITUTE(CLEAN(I292&amp;"")," ",""),".","")," ",""),"-",""))=2,LEN(SUBSTITUTE(SUBSTITUTE(SUBSTITUTE(SUBSTITUTE(CLEAN(I292&amp;"")," ",""),".","")," ",""),"-",""))=4,LEN(SUBSTITUTE(SUBSTITUTE(SUBSTITUTE(SUBSTITUTE(CLEAN(I292&amp;"")," ",""),".","")," ",""),"-",""))=6,LEN(SUBSTITUTE(SUBSTITUTE(SUBSTITUTE(SUBSTITUTE(CLEAN(I292&amp;"")," ",""),".","")," ",""),"-",""))=8,LEN(SUBSTITUTE(SUBSTITUTE(SUBSTITUTE(SUBSTITUTE(CLEAN(I292&amp;"")," ",""),".","")," ",""),"-",""))=10),IFERROR(TEXT(VALUE(SUBSTITUTE(SUBSTITUTE(SUBSTITUTE(SUBSTITUTE(CLEAN(I292&amp;"")," ",""),".","")," ",""),"-","")),REPT("0",LEN(SUBSTITUTE(SUBSTITUTE(SUBSTITUTE(SUBSTITUTE(CLEAN(I292&amp;"")," ",""),".","")," ",""),"-",""))))=SUBSTITUTE(SUBSTITUTE(SUBSTITUTE(SUBSTITUTE(CLEAN(I292&amp;"")," ",""),".","")," ",""),"-",""),FALSE)),SUBSTITUTE(SUBSTITUTE(SUBSTITUTE(SUBSTITUTE(CLEAN(I292&amp;"")," ",""),".","")," ",""),"-",""),"CHECK: not 2, 4, 6, 8 or 10 digits"))</f>
        <v/>
      </c>
      <c r="K292" s="11" t="n"/>
    </row>
    <row r="293">
      <c r="E293" s="8" t="n"/>
      <c r="F293" s="10">
        <f>IF(SUBSTITUTE(SUBSTITUTE(SUBSTITUTE(SUBSTITUTE(CLEAN(E293&amp;"")," ",""),".","")," ",""),"-","")="","",IF(AND(OR(LEN(SUBSTITUTE(SUBSTITUTE(SUBSTITUTE(SUBSTITUTE(CLEAN(E293&amp;"")," ",""),".","")," ",""),"-",""))=2,LEN(SUBSTITUTE(SUBSTITUTE(SUBSTITUTE(SUBSTITUTE(CLEAN(E293&amp;"")," ",""),".","")," ",""),"-",""))=4,LEN(SUBSTITUTE(SUBSTITUTE(SUBSTITUTE(SUBSTITUTE(CLEAN(E293&amp;"")," ",""),".","")," ",""),"-",""))=6,LEN(SUBSTITUTE(SUBSTITUTE(SUBSTITUTE(SUBSTITUTE(CLEAN(E293&amp;"")," ",""),".","")," ",""),"-",""))=8,LEN(SUBSTITUTE(SUBSTITUTE(SUBSTITUTE(SUBSTITUTE(CLEAN(E293&amp;"")," ",""),".","")," ",""),"-",""))=10),IFERROR(TEXT(VALUE(SUBSTITUTE(SUBSTITUTE(SUBSTITUTE(SUBSTITUTE(CLEAN(E293&amp;"")," ",""),".","")," ",""),"-","")),REPT("0",LEN(SUBSTITUTE(SUBSTITUTE(SUBSTITUTE(SUBSTITUTE(CLEAN(E293&amp;"")," ",""),".","")," ",""),"-",""))))=SUBSTITUTE(SUBSTITUTE(SUBSTITUTE(SUBSTITUTE(CLEAN(E293&amp;"")," ",""),".","")," ",""),"-",""),FALSE)),SUBSTITUTE(SUBSTITUTE(SUBSTITUTE(SUBSTITUTE(CLEAN(E293&amp;"")," ",""),".","")," ",""),"-",""),"CHECK: not 2, 4, 6, 8 or 10 digits"))</f>
        <v/>
      </c>
      <c r="G293" s="11" t="n"/>
      <c r="H293" s="8" t="n"/>
      <c r="I293" s="8" t="n"/>
      <c r="J293" s="10">
        <f>IF(SUBSTITUTE(SUBSTITUTE(SUBSTITUTE(SUBSTITUTE(CLEAN(I293&amp;"")," ",""),".","")," ",""),"-","")="","",IF(AND(OR(LEN(SUBSTITUTE(SUBSTITUTE(SUBSTITUTE(SUBSTITUTE(CLEAN(I293&amp;"")," ",""),".","")," ",""),"-",""))=2,LEN(SUBSTITUTE(SUBSTITUTE(SUBSTITUTE(SUBSTITUTE(CLEAN(I293&amp;"")," ",""),".","")," ",""),"-",""))=4,LEN(SUBSTITUTE(SUBSTITUTE(SUBSTITUTE(SUBSTITUTE(CLEAN(I293&amp;"")," ",""),".","")," ",""),"-",""))=6,LEN(SUBSTITUTE(SUBSTITUTE(SUBSTITUTE(SUBSTITUTE(CLEAN(I293&amp;"")," ",""),".","")," ",""),"-",""))=8,LEN(SUBSTITUTE(SUBSTITUTE(SUBSTITUTE(SUBSTITUTE(CLEAN(I293&amp;"")," ",""),".","")," ",""),"-",""))=10),IFERROR(TEXT(VALUE(SUBSTITUTE(SUBSTITUTE(SUBSTITUTE(SUBSTITUTE(CLEAN(I293&amp;"")," ",""),".","")," ",""),"-","")),REPT("0",LEN(SUBSTITUTE(SUBSTITUTE(SUBSTITUTE(SUBSTITUTE(CLEAN(I293&amp;"")," ",""),".","")," ",""),"-",""))))=SUBSTITUTE(SUBSTITUTE(SUBSTITUTE(SUBSTITUTE(CLEAN(I293&amp;"")," ",""),".","")," ",""),"-",""),FALSE)),SUBSTITUTE(SUBSTITUTE(SUBSTITUTE(SUBSTITUTE(CLEAN(I293&amp;"")," ",""),".","")," ",""),"-",""),"CHECK: not 2, 4, 6, 8 or 10 digits"))</f>
        <v/>
      </c>
      <c r="K293" s="11" t="n"/>
    </row>
    <row r="294">
      <c r="E294" s="8" t="n"/>
      <c r="F294" s="10">
        <f>IF(SUBSTITUTE(SUBSTITUTE(SUBSTITUTE(SUBSTITUTE(CLEAN(E294&amp;"")," ",""),".","")," ",""),"-","")="","",IF(AND(OR(LEN(SUBSTITUTE(SUBSTITUTE(SUBSTITUTE(SUBSTITUTE(CLEAN(E294&amp;"")," ",""),".","")," ",""),"-",""))=2,LEN(SUBSTITUTE(SUBSTITUTE(SUBSTITUTE(SUBSTITUTE(CLEAN(E294&amp;"")," ",""),".","")," ",""),"-",""))=4,LEN(SUBSTITUTE(SUBSTITUTE(SUBSTITUTE(SUBSTITUTE(CLEAN(E294&amp;"")," ",""),".","")," ",""),"-",""))=6,LEN(SUBSTITUTE(SUBSTITUTE(SUBSTITUTE(SUBSTITUTE(CLEAN(E294&amp;"")," ",""),".","")," ",""),"-",""))=8,LEN(SUBSTITUTE(SUBSTITUTE(SUBSTITUTE(SUBSTITUTE(CLEAN(E294&amp;"")," ",""),".","")," ",""),"-",""))=10),IFERROR(TEXT(VALUE(SUBSTITUTE(SUBSTITUTE(SUBSTITUTE(SUBSTITUTE(CLEAN(E294&amp;"")," ",""),".","")," ",""),"-","")),REPT("0",LEN(SUBSTITUTE(SUBSTITUTE(SUBSTITUTE(SUBSTITUTE(CLEAN(E294&amp;"")," ",""),".","")," ",""),"-",""))))=SUBSTITUTE(SUBSTITUTE(SUBSTITUTE(SUBSTITUTE(CLEAN(E294&amp;"")," ",""),".","")," ",""),"-",""),FALSE)),SUBSTITUTE(SUBSTITUTE(SUBSTITUTE(SUBSTITUTE(CLEAN(E294&amp;"")," ",""),".","")," ",""),"-",""),"CHECK: not 2, 4, 6, 8 or 10 digits"))</f>
        <v/>
      </c>
      <c r="G294" s="11" t="n"/>
      <c r="H294" s="8" t="n"/>
      <c r="I294" s="8" t="n"/>
      <c r="J294" s="10">
        <f>IF(SUBSTITUTE(SUBSTITUTE(SUBSTITUTE(SUBSTITUTE(CLEAN(I294&amp;"")," ",""),".","")," ",""),"-","")="","",IF(AND(OR(LEN(SUBSTITUTE(SUBSTITUTE(SUBSTITUTE(SUBSTITUTE(CLEAN(I294&amp;"")," ",""),".","")," ",""),"-",""))=2,LEN(SUBSTITUTE(SUBSTITUTE(SUBSTITUTE(SUBSTITUTE(CLEAN(I294&amp;"")," ",""),".","")," ",""),"-",""))=4,LEN(SUBSTITUTE(SUBSTITUTE(SUBSTITUTE(SUBSTITUTE(CLEAN(I294&amp;"")," ",""),".","")," ",""),"-",""))=6,LEN(SUBSTITUTE(SUBSTITUTE(SUBSTITUTE(SUBSTITUTE(CLEAN(I294&amp;"")," ",""),".","")," ",""),"-",""))=8,LEN(SUBSTITUTE(SUBSTITUTE(SUBSTITUTE(SUBSTITUTE(CLEAN(I294&amp;"")," ",""),".","")," ",""),"-",""))=10),IFERROR(TEXT(VALUE(SUBSTITUTE(SUBSTITUTE(SUBSTITUTE(SUBSTITUTE(CLEAN(I294&amp;"")," ",""),".","")," ",""),"-","")),REPT("0",LEN(SUBSTITUTE(SUBSTITUTE(SUBSTITUTE(SUBSTITUTE(CLEAN(I294&amp;"")," ",""),".","")," ",""),"-",""))))=SUBSTITUTE(SUBSTITUTE(SUBSTITUTE(SUBSTITUTE(CLEAN(I294&amp;"")," ",""),".","")," ",""),"-",""),FALSE)),SUBSTITUTE(SUBSTITUTE(SUBSTITUTE(SUBSTITUTE(CLEAN(I294&amp;"")," ",""),".","")," ",""),"-",""),"CHECK: not 2, 4, 6, 8 or 10 digits"))</f>
        <v/>
      </c>
      <c r="K294" s="11" t="n"/>
    </row>
    <row r="295">
      <c r="E295" s="8" t="n"/>
      <c r="F295" s="10">
        <f>IF(SUBSTITUTE(SUBSTITUTE(SUBSTITUTE(SUBSTITUTE(CLEAN(E295&amp;"")," ",""),".","")," ",""),"-","")="","",IF(AND(OR(LEN(SUBSTITUTE(SUBSTITUTE(SUBSTITUTE(SUBSTITUTE(CLEAN(E295&amp;"")," ",""),".","")," ",""),"-",""))=2,LEN(SUBSTITUTE(SUBSTITUTE(SUBSTITUTE(SUBSTITUTE(CLEAN(E295&amp;"")," ",""),".","")," ",""),"-",""))=4,LEN(SUBSTITUTE(SUBSTITUTE(SUBSTITUTE(SUBSTITUTE(CLEAN(E295&amp;"")," ",""),".","")," ",""),"-",""))=6,LEN(SUBSTITUTE(SUBSTITUTE(SUBSTITUTE(SUBSTITUTE(CLEAN(E295&amp;"")," ",""),".","")," ",""),"-",""))=8,LEN(SUBSTITUTE(SUBSTITUTE(SUBSTITUTE(SUBSTITUTE(CLEAN(E295&amp;"")," ",""),".","")," ",""),"-",""))=10),IFERROR(TEXT(VALUE(SUBSTITUTE(SUBSTITUTE(SUBSTITUTE(SUBSTITUTE(CLEAN(E295&amp;"")," ",""),".","")," ",""),"-","")),REPT("0",LEN(SUBSTITUTE(SUBSTITUTE(SUBSTITUTE(SUBSTITUTE(CLEAN(E295&amp;"")," ",""),".","")," ",""),"-",""))))=SUBSTITUTE(SUBSTITUTE(SUBSTITUTE(SUBSTITUTE(CLEAN(E295&amp;"")," ",""),".","")," ",""),"-",""),FALSE)),SUBSTITUTE(SUBSTITUTE(SUBSTITUTE(SUBSTITUTE(CLEAN(E295&amp;"")," ",""),".","")," ",""),"-",""),"CHECK: not 2, 4, 6, 8 or 10 digits"))</f>
        <v/>
      </c>
      <c r="G295" s="11" t="n"/>
      <c r="H295" s="8" t="n"/>
      <c r="I295" s="8" t="n"/>
      <c r="J295" s="10">
        <f>IF(SUBSTITUTE(SUBSTITUTE(SUBSTITUTE(SUBSTITUTE(CLEAN(I295&amp;"")," ",""),".","")," ",""),"-","")="","",IF(AND(OR(LEN(SUBSTITUTE(SUBSTITUTE(SUBSTITUTE(SUBSTITUTE(CLEAN(I295&amp;"")," ",""),".","")," ",""),"-",""))=2,LEN(SUBSTITUTE(SUBSTITUTE(SUBSTITUTE(SUBSTITUTE(CLEAN(I295&amp;"")," ",""),".","")," ",""),"-",""))=4,LEN(SUBSTITUTE(SUBSTITUTE(SUBSTITUTE(SUBSTITUTE(CLEAN(I295&amp;"")," ",""),".","")," ",""),"-",""))=6,LEN(SUBSTITUTE(SUBSTITUTE(SUBSTITUTE(SUBSTITUTE(CLEAN(I295&amp;"")," ",""),".","")," ",""),"-",""))=8,LEN(SUBSTITUTE(SUBSTITUTE(SUBSTITUTE(SUBSTITUTE(CLEAN(I295&amp;"")," ",""),".","")," ",""),"-",""))=10),IFERROR(TEXT(VALUE(SUBSTITUTE(SUBSTITUTE(SUBSTITUTE(SUBSTITUTE(CLEAN(I295&amp;"")," ",""),".","")," ",""),"-","")),REPT("0",LEN(SUBSTITUTE(SUBSTITUTE(SUBSTITUTE(SUBSTITUTE(CLEAN(I295&amp;"")," ",""),".","")," ",""),"-",""))))=SUBSTITUTE(SUBSTITUTE(SUBSTITUTE(SUBSTITUTE(CLEAN(I295&amp;"")," ",""),".","")," ",""),"-",""),FALSE)),SUBSTITUTE(SUBSTITUTE(SUBSTITUTE(SUBSTITUTE(CLEAN(I295&amp;"")," ",""),".","")," ",""),"-",""),"CHECK: not 2, 4, 6, 8 or 10 digits"))</f>
        <v/>
      </c>
      <c r="K295" s="11" t="n"/>
    </row>
    <row r="296">
      <c r="E296" s="8" t="n"/>
      <c r="F296" s="10">
        <f>IF(SUBSTITUTE(SUBSTITUTE(SUBSTITUTE(SUBSTITUTE(CLEAN(E296&amp;"")," ",""),".","")," ",""),"-","")="","",IF(AND(OR(LEN(SUBSTITUTE(SUBSTITUTE(SUBSTITUTE(SUBSTITUTE(CLEAN(E296&amp;"")," ",""),".","")," ",""),"-",""))=2,LEN(SUBSTITUTE(SUBSTITUTE(SUBSTITUTE(SUBSTITUTE(CLEAN(E296&amp;"")," ",""),".","")," ",""),"-",""))=4,LEN(SUBSTITUTE(SUBSTITUTE(SUBSTITUTE(SUBSTITUTE(CLEAN(E296&amp;"")," ",""),".","")," ",""),"-",""))=6,LEN(SUBSTITUTE(SUBSTITUTE(SUBSTITUTE(SUBSTITUTE(CLEAN(E296&amp;"")," ",""),".","")," ",""),"-",""))=8,LEN(SUBSTITUTE(SUBSTITUTE(SUBSTITUTE(SUBSTITUTE(CLEAN(E296&amp;"")," ",""),".","")," ",""),"-",""))=10),IFERROR(TEXT(VALUE(SUBSTITUTE(SUBSTITUTE(SUBSTITUTE(SUBSTITUTE(CLEAN(E296&amp;"")," ",""),".","")," ",""),"-","")),REPT("0",LEN(SUBSTITUTE(SUBSTITUTE(SUBSTITUTE(SUBSTITUTE(CLEAN(E296&amp;"")," ",""),".","")," ",""),"-",""))))=SUBSTITUTE(SUBSTITUTE(SUBSTITUTE(SUBSTITUTE(CLEAN(E296&amp;"")," ",""),".","")," ",""),"-",""),FALSE)),SUBSTITUTE(SUBSTITUTE(SUBSTITUTE(SUBSTITUTE(CLEAN(E296&amp;"")," ",""),".","")," ",""),"-",""),"CHECK: not 2, 4, 6, 8 or 10 digits"))</f>
        <v/>
      </c>
      <c r="G296" s="11" t="n"/>
      <c r="H296" s="8" t="n"/>
      <c r="I296" s="8" t="n"/>
      <c r="J296" s="10">
        <f>IF(SUBSTITUTE(SUBSTITUTE(SUBSTITUTE(SUBSTITUTE(CLEAN(I296&amp;"")," ",""),".","")," ",""),"-","")="","",IF(AND(OR(LEN(SUBSTITUTE(SUBSTITUTE(SUBSTITUTE(SUBSTITUTE(CLEAN(I296&amp;"")," ",""),".","")," ",""),"-",""))=2,LEN(SUBSTITUTE(SUBSTITUTE(SUBSTITUTE(SUBSTITUTE(CLEAN(I296&amp;"")," ",""),".","")," ",""),"-",""))=4,LEN(SUBSTITUTE(SUBSTITUTE(SUBSTITUTE(SUBSTITUTE(CLEAN(I296&amp;"")," ",""),".","")," ",""),"-",""))=6,LEN(SUBSTITUTE(SUBSTITUTE(SUBSTITUTE(SUBSTITUTE(CLEAN(I296&amp;"")," ",""),".","")," ",""),"-",""))=8,LEN(SUBSTITUTE(SUBSTITUTE(SUBSTITUTE(SUBSTITUTE(CLEAN(I296&amp;"")," ",""),".","")," ",""),"-",""))=10),IFERROR(TEXT(VALUE(SUBSTITUTE(SUBSTITUTE(SUBSTITUTE(SUBSTITUTE(CLEAN(I296&amp;"")," ",""),".","")," ",""),"-","")),REPT("0",LEN(SUBSTITUTE(SUBSTITUTE(SUBSTITUTE(SUBSTITUTE(CLEAN(I296&amp;"")," ",""),".","")," ",""),"-",""))))=SUBSTITUTE(SUBSTITUTE(SUBSTITUTE(SUBSTITUTE(CLEAN(I296&amp;"")," ",""),".","")," ",""),"-",""),FALSE)),SUBSTITUTE(SUBSTITUTE(SUBSTITUTE(SUBSTITUTE(CLEAN(I296&amp;"")," ",""),".","")," ",""),"-",""),"CHECK: not 2, 4, 6, 8 or 10 digits"))</f>
        <v/>
      </c>
      <c r="K296" s="11" t="n"/>
    </row>
    <row r="297">
      <c r="E297" s="8" t="n"/>
      <c r="F297" s="10">
        <f>IF(SUBSTITUTE(SUBSTITUTE(SUBSTITUTE(SUBSTITUTE(CLEAN(E297&amp;"")," ",""),".","")," ",""),"-","")="","",IF(AND(OR(LEN(SUBSTITUTE(SUBSTITUTE(SUBSTITUTE(SUBSTITUTE(CLEAN(E297&amp;"")," ",""),".","")," ",""),"-",""))=2,LEN(SUBSTITUTE(SUBSTITUTE(SUBSTITUTE(SUBSTITUTE(CLEAN(E297&amp;"")," ",""),".","")," ",""),"-",""))=4,LEN(SUBSTITUTE(SUBSTITUTE(SUBSTITUTE(SUBSTITUTE(CLEAN(E297&amp;"")," ",""),".","")," ",""),"-",""))=6,LEN(SUBSTITUTE(SUBSTITUTE(SUBSTITUTE(SUBSTITUTE(CLEAN(E297&amp;"")," ",""),".","")," ",""),"-",""))=8,LEN(SUBSTITUTE(SUBSTITUTE(SUBSTITUTE(SUBSTITUTE(CLEAN(E297&amp;"")," ",""),".","")," ",""),"-",""))=10),IFERROR(TEXT(VALUE(SUBSTITUTE(SUBSTITUTE(SUBSTITUTE(SUBSTITUTE(CLEAN(E297&amp;"")," ",""),".","")," ",""),"-","")),REPT("0",LEN(SUBSTITUTE(SUBSTITUTE(SUBSTITUTE(SUBSTITUTE(CLEAN(E297&amp;"")," ",""),".","")," ",""),"-",""))))=SUBSTITUTE(SUBSTITUTE(SUBSTITUTE(SUBSTITUTE(CLEAN(E297&amp;"")," ",""),".","")," ",""),"-",""),FALSE)),SUBSTITUTE(SUBSTITUTE(SUBSTITUTE(SUBSTITUTE(CLEAN(E297&amp;"")," ",""),".","")," ",""),"-",""),"CHECK: not 2, 4, 6, 8 or 10 digits"))</f>
        <v/>
      </c>
      <c r="G297" s="11" t="n"/>
      <c r="H297" s="8" t="n"/>
      <c r="I297" s="8" t="n"/>
      <c r="J297" s="10">
        <f>IF(SUBSTITUTE(SUBSTITUTE(SUBSTITUTE(SUBSTITUTE(CLEAN(I297&amp;"")," ",""),".","")," ",""),"-","")="","",IF(AND(OR(LEN(SUBSTITUTE(SUBSTITUTE(SUBSTITUTE(SUBSTITUTE(CLEAN(I297&amp;"")," ",""),".","")," ",""),"-",""))=2,LEN(SUBSTITUTE(SUBSTITUTE(SUBSTITUTE(SUBSTITUTE(CLEAN(I297&amp;"")," ",""),".","")," ",""),"-",""))=4,LEN(SUBSTITUTE(SUBSTITUTE(SUBSTITUTE(SUBSTITUTE(CLEAN(I297&amp;"")," ",""),".","")," ",""),"-",""))=6,LEN(SUBSTITUTE(SUBSTITUTE(SUBSTITUTE(SUBSTITUTE(CLEAN(I297&amp;"")," ",""),".","")," ",""),"-",""))=8,LEN(SUBSTITUTE(SUBSTITUTE(SUBSTITUTE(SUBSTITUTE(CLEAN(I297&amp;"")," ",""),".","")," ",""),"-",""))=10),IFERROR(TEXT(VALUE(SUBSTITUTE(SUBSTITUTE(SUBSTITUTE(SUBSTITUTE(CLEAN(I297&amp;"")," ",""),".","")," ",""),"-","")),REPT("0",LEN(SUBSTITUTE(SUBSTITUTE(SUBSTITUTE(SUBSTITUTE(CLEAN(I297&amp;"")," ",""),".","")," ",""),"-",""))))=SUBSTITUTE(SUBSTITUTE(SUBSTITUTE(SUBSTITUTE(CLEAN(I297&amp;"")," ",""),".","")," ",""),"-",""),FALSE)),SUBSTITUTE(SUBSTITUTE(SUBSTITUTE(SUBSTITUTE(CLEAN(I297&amp;"")," ",""),".","")," ",""),"-",""),"CHECK: not 2, 4, 6, 8 or 10 digits"))</f>
        <v/>
      </c>
      <c r="K297" s="11" t="n"/>
    </row>
    <row r="298">
      <c r="E298" s="8" t="n"/>
      <c r="F298" s="10">
        <f>IF(SUBSTITUTE(SUBSTITUTE(SUBSTITUTE(SUBSTITUTE(CLEAN(E298&amp;"")," ",""),".","")," ",""),"-","")="","",IF(AND(OR(LEN(SUBSTITUTE(SUBSTITUTE(SUBSTITUTE(SUBSTITUTE(CLEAN(E298&amp;"")," ",""),".","")," ",""),"-",""))=2,LEN(SUBSTITUTE(SUBSTITUTE(SUBSTITUTE(SUBSTITUTE(CLEAN(E298&amp;"")," ",""),".","")," ",""),"-",""))=4,LEN(SUBSTITUTE(SUBSTITUTE(SUBSTITUTE(SUBSTITUTE(CLEAN(E298&amp;"")," ",""),".","")," ",""),"-",""))=6,LEN(SUBSTITUTE(SUBSTITUTE(SUBSTITUTE(SUBSTITUTE(CLEAN(E298&amp;"")," ",""),".","")," ",""),"-",""))=8,LEN(SUBSTITUTE(SUBSTITUTE(SUBSTITUTE(SUBSTITUTE(CLEAN(E298&amp;"")," ",""),".","")," ",""),"-",""))=10),IFERROR(TEXT(VALUE(SUBSTITUTE(SUBSTITUTE(SUBSTITUTE(SUBSTITUTE(CLEAN(E298&amp;"")," ",""),".","")," ",""),"-","")),REPT("0",LEN(SUBSTITUTE(SUBSTITUTE(SUBSTITUTE(SUBSTITUTE(CLEAN(E298&amp;"")," ",""),".","")," ",""),"-",""))))=SUBSTITUTE(SUBSTITUTE(SUBSTITUTE(SUBSTITUTE(CLEAN(E298&amp;"")," ",""),".","")," ",""),"-",""),FALSE)),SUBSTITUTE(SUBSTITUTE(SUBSTITUTE(SUBSTITUTE(CLEAN(E298&amp;"")," ",""),".","")," ",""),"-",""),"CHECK: not 2, 4, 6, 8 or 10 digits"))</f>
        <v/>
      </c>
      <c r="G298" s="11" t="n"/>
      <c r="H298" s="8" t="n"/>
      <c r="I298" s="8" t="n"/>
      <c r="J298" s="10">
        <f>IF(SUBSTITUTE(SUBSTITUTE(SUBSTITUTE(SUBSTITUTE(CLEAN(I298&amp;"")," ",""),".","")," ",""),"-","")="","",IF(AND(OR(LEN(SUBSTITUTE(SUBSTITUTE(SUBSTITUTE(SUBSTITUTE(CLEAN(I298&amp;"")," ",""),".","")," ",""),"-",""))=2,LEN(SUBSTITUTE(SUBSTITUTE(SUBSTITUTE(SUBSTITUTE(CLEAN(I298&amp;"")," ",""),".","")," ",""),"-",""))=4,LEN(SUBSTITUTE(SUBSTITUTE(SUBSTITUTE(SUBSTITUTE(CLEAN(I298&amp;"")," ",""),".","")," ",""),"-",""))=6,LEN(SUBSTITUTE(SUBSTITUTE(SUBSTITUTE(SUBSTITUTE(CLEAN(I298&amp;"")," ",""),".","")," ",""),"-",""))=8,LEN(SUBSTITUTE(SUBSTITUTE(SUBSTITUTE(SUBSTITUTE(CLEAN(I298&amp;"")," ",""),".","")," ",""),"-",""))=10),IFERROR(TEXT(VALUE(SUBSTITUTE(SUBSTITUTE(SUBSTITUTE(SUBSTITUTE(CLEAN(I298&amp;"")," ",""),".","")," ",""),"-","")),REPT("0",LEN(SUBSTITUTE(SUBSTITUTE(SUBSTITUTE(SUBSTITUTE(CLEAN(I298&amp;"")," ",""),".","")," ",""),"-",""))))=SUBSTITUTE(SUBSTITUTE(SUBSTITUTE(SUBSTITUTE(CLEAN(I298&amp;"")," ",""),".","")," ",""),"-",""),FALSE)),SUBSTITUTE(SUBSTITUTE(SUBSTITUTE(SUBSTITUTE(CLEAN(I298&amp;"")," ",""),".","")," ",""),"-",""),"CHECK: not 2, 4, 6, 8 or 10 digits"))</f>
        <v/>
      </c>
      <c r="K298" s="11" t="n"/>
    </row>
    <row r="299">
      <c r="E299" s="8" t="n"/>
      <c r="F299" s="10">
        <f>IF(SUBSTITUTE(SUBSTITUTE(SUBSTITUTE(SUBSTITUTE(CLEAN(E299&amp;"")," ",""),".","")," ",""),"-","")="","",IF(AND(OR(LEN(SUBSTITUTE(SUBSTITUTE(SUBSTITUTE(SUBSTITUTE(CLEAN(E299&amp;"")," ",""),".","")," ",""),"-",""))=2,LEN(SUBSTITUTE(SUBSTITUTE(SUBSTITUTE(SUBSTITUTE(CLEAN(E299&amp;"")," ",""),".","")," ",""),"-",""))=4,LEN(SUBSTITUTE(SUBSTITUTE(SUBSTITUTE(SUBSTITUTE(CLEAN(E299&amp;"")," ",""),".","")," ",""),"-",""))=6,LEN(SUBSTITUTE(SUBSTITUTE(SUBSTITUTE(SUBSTITUTE(CLEAN(E299&amp;"")," ",""),".","")," ",""),"-",""))=8,LEN(SUBSTITUTE(SUBSTITUTE(SUBSTITUTE(SUBSTITUTE(CLEAN(E299&amp;"")," ",""),".","")," ",""),"-",""))=10),IFERROR(TEXT(VALUE(SUBSTITUTE(SUBSTITUTE(SUBSTITUTE(SUBSTITUTE(CLEAN(E299&amp;"")," ",""),".","")," ",""),"-","")),REPT("0",LEN(SUBSTITUTE(SUBSTITUTE(SUBSTITUTE(SUBSTITUTE(CLEAN(E299&amp;"")," ",""),".","")," ",""),"-",""))))=SUBSTITUTE(SUBSTITUTE(SUBSTITUTE(SUBSTITUTE(CLEAN(E299&amp;"")," ",""),".","")," ",""),"-",""),FALSE)),SUBSTITUTE(SUBSTITUTE(SUBSTITUTE(SUBSTITUTE(CLEAN(E299&amp;"")," ",""),".","")," ",""),"-",""),"CHECK: not 2, 4, 6, 8 or 10 digits"))</f>
        <v/>
      </c>
      <c r="G299" s="11" t="n"/>
      <c r="H299" s="8" t="n"/>
      <c r="I299" s="8" t="n"/>
      <c r="J299" s="10">
        <f>IF(SUBSTITUTE(SUBSTITUTE(SUBSTITUTE(SUBSTITUTE(CLEAN(I299&amp;"")," ",""),".","")," ",""),"-","")="","",IF(AND(OR(LEN(SUBSTITUTE(SUBSTITUTE(SUBSTITUTE(SUBSTITUTE(CLEAN(I299&amp;"")," ",""),".","")," ",""),"-",""))=2,LEN(SUBSTITUTE(SUBSTITUTE(SUBSTITUTE(SUBSTITUTE(CLEAN(I299&amp;"")," ",""),".","")," ",""),"-",""))=4,LEN(SUBSTITUTE(SUBSTITUTE(SUBSTITUTE(SUBSTITUTE(CLEAN(I299&amp;"")," ",""),".","")," ",""),"-",""))=6,LEN(SUBSTITUTE(SUBSTITUTE(SUBSTITUTE(SUBSTITUTE(CLEAN(I299&amp;"")," ",""),".","")," ",""),"-",""))=8,LEN(SUBSTITUTE(SUBSTITUTE(SUBSTITUTE(SUBSTITUTE(CLEAN(I299&amp;"")," ",""),".","")," ",""),"-",""))=10),IFERROR(TEXT(VALUE(SUBSTITUTE(SUBSTITUTE(SUBSTITUTE(SUBSTITUTE(CLEAN(I299&amp;"")," ",""),".","")," ",""),"-","")),REPT("0",LEN(SUBSTITUTE(SUBSTITUTE(SUBSTITUTE(SUBSTITUTE(CLEAN(I299&amp;"")," ",""),".","")," ",""),"-",""))))=SUBSTITUTE(SUBSTITUTE(SUBSTITUTE(SUBSTITUTE(CLEAN(I299&amp;"")," ",""),".","")," ",""),"-",""),FALSE)),SUBSTITUTE(SUBSTITUTE(SUBSTITUTE(SUBSTITUTE(CLEAN(I299&amp;"")," ",""),".","")," ",""),"-",""),"CHECK: not 2, 4, 6, 8 or 10 digits"))</f>
        <v/>
      </c>
      <c r="K299" s="11" t="n"/>
    </row>
    <row r="300">
      <c r="E300" s="8" t="n"/>
      <c r="F300" s="10">
        <f>IF(SUBSTITUTE(SUBSTITUTE(SUBSTITUTE(SUBSTITUTE(CLEAN(E300&amp;"")," ",""),".","")," ",""),"-","")="","",IF(AND(OR(LEN(SUBSTITUTE(SUBSTITUTE(SUBSTITUTE(SUBSTITUTE(CLEAN(E300&amp;"")," ",""),".","")," ",""),"-",""))=2,LEN(SUBSTITUTE(SUBSTITUTE(SUBSTITUTE(SUBSTITUTE(CLEAN(E300&amp;"")," ",""),".","")," ",""),"-",""))=4,LEN(SUBSTITUTE(SUBSTITUTE(SUBSTITUTE(SUBSTITUTE(CLEAN(E300&amp;"")," ",""),".","")," ",""),"-",""))=6,LEN(SUBSTITUTE(SUBSTITUTE(SUBSTITUTE(SUBSTITUTE(CLEAN(E300&amp;"")," ",""),".","")," ",""),"-",""))=8,LEN(SUBSTITUTE(SUBSTITUTE(SUBSTITUTE(SUBSTITUTE(CLEAN(E300&amp;"")," ",""),".","")," ",""),"-",""))=10),IFERROR(TEXT(VALUE(SUBSTITUTE(SUBSTITUTE(SUBSTITUTE(SUBSTITUTE(CLEAN(E300&amp;"")," ",""),".","")," ",""),"-","")),REPT("0",LEN(SUBSTITUTE(SUBSTITUTE(SUBSTITUTE(SUBSTITUTE(CLEAN(E300&amp;"")," ",""),".","")," ",""),"-",""))))=SUBSTITUTE(SUBSTITUTE(SUBSTITUTE(SUBSTITUTE(CLEAN(E300&amp;"")," ",""),".","")," ",""),"-",""),FALSE)),SUBSTITUTE(SUBSTITUTE(SUBSTITUTE(SUBSTITUTE(CLEAN(E300&amp;"")," ",""),".","")," ",""),"-",""),"CHECK: not 2, 4, 6, 8 or 10 digits"))</f>
        <v/>
      </c>
      <c r="G300" s="11" t="n"/>
      <c r="H300" s="8" t="n"/>
      <c r="I300" s="8" t="n"/>
      <c r="J300" s="10">
        <f>IF(SUBSTITUTE(SUBSTITUTE(SUBSTITUTE(SUBSTITUTE(CLEAN(I300&amp;"")," ",""),".","")," ",""),"-","")="","",IF(AND(OR(LEN(SUBSTITUTE(SUBSTITUTE(SUBSTITUTE(SUBSTITUTE(CLEAN(I300&amp;"")," ",""),".","")," ",""),"-",""))=2,LEN(SUBSTITUTE(SUBSTITUTE(SUBSTITUTE(SUBSTITUTE(CLEAN(I300&amp;"")," ",""),".","")," ",""),"-",""))=4,LEN(SUBSTITUTE(SUBSTITUTE(SUBSTITUTE(SUBSTITUTE(CLEAN(I300&amp;"")," ",""),".","")," ",""),"-",""))=6,LEN(SUBSTITUTE(SUBSTITUTE(SUBSTITUTE(SUBSTITUTE(CLEAN(I300&amp;"")," ",""),".","")," ",""),"-",""))=8,LEN(SUBSTITUTE(SUBSTITUTE(SUBSTITUTE(SUBSTITUTE(CLEAN(I300&amp;"")," ",""),".","")," ",""),"-",""))=10),IFERROR(TEXT(VALUE(SUBSTITUTE(SUBSTITUTE(SUBSTITUTE(SUBSTITUTE(CLEAN(I300&amp;"")," ",""),".","")," ",""),"-","")),REPT("0",LEN(SUBSTITUTE(SUBSTITUTE(SUBSTITUTE(SUBSTITUTE(CLEAN(I300&amp;"")," ",""),".","")," ",""),"-",""))))=SUBSTITUTE(SUBSTITUTE(SUBSTITUTE(SUBSTITUTE(CLEAN(I300&amp;"")," ",""),".","")," ",""),"-",""),FALSE)),SUBSTITUTE(SUBSTITUTE(SUBSTITUTE(SUBSTITUTE(CLEAN(I300&amp;"")," ",""),".","")," ",""),"-",""),"CHECK: not 2, 4, 6, 8 or 10 digits"))</f>
        <v/>
      </c>
      <c r="K300" s="11" t="n"/>
    </row>
    <row r="301">
      <c r="E301" s="8" t="n"/>
      <c r="F301" s="10">
        <f>IF(SUBSTITUTE(SUBSTITUTE(SUBSTITUTE(SUBSTITUTE(CLEAN(E301&amp;"")," ",""),".","")," ",""),"-","")="","",IF(AND(OR(LEN(SUBSTITUTE(SUBSTITUTE(SUBSTITUTE(SUBSTITUTE(CLEAN(E301&amp;"")," ",""),".","")," ",""),"-",""))=2,LEN(SUBSTITUTE(SUBSTITUTE(SUBSTITUTE(SUBSTITUTE(CLEAN(E301&amp;"")," ",""),".","")," ",""),"-",""))=4,LEN(SUBSTITUTE(SUBSTITUTE(SUBSTITUTE(SUBSTITUTE(CLEAN(E301&amp;"")," ",""),".","")," ",""),"-",""))=6,LEN(SUBSTITUTE(SUBSTITUTE(SUBSTITUTE(SUBSTITUTE(CLEAN(E301&amp;"")," ",""),".","")," ",""),"-",""))=8,LEN(SUBSTITUTE(SUBSTITUTE(SUBSTITUTE(SUBSTITUTE(CLEAN(E301&amp;"")," ",""),".","")," ",""),"-",""))=10),IFERROR(TEXT(VALUE(SUBSTITUTE(SUBSTITUTE(SUBSTITUTE(SUBSTITUTE(CLEAN(E301&amp;"")," ",""),".","")," ",""),"-","")),REPT("0",LEN(SUBSTITUTE(SUBSTITUTE(SUBSTITUTE(SUBSTITUTE(CLEAN(E301&amp;"")," ",""),".","")," ",""),"-",""))))=SUBSTITUTE(SUBSTITUTE(SUBSTITUTE(SUBSTITUTE(CLEAN(E301&amp;"")," ",""),".","")," ",""),"-",""),FALSE)),SUBSTITUTE(SUBSTITUTE(SUBSTITUTE(SUBSTITUTE(CLEAN(E301&amp;"")," ",""),".","")," ",""),"-",""),"CHECK: not 2, 4, 6, 8 or 10 digits"))</f>
        <v/>
      </c>
      <c r="G301" s="11" t="n"/>
      <c r="H301" s="8" t="n"/>
      <c r="I301" s="8" t="n"/>
      <c r="J301" s="10">
        <f>IF(SUBSTITUTE(SUBSTITUTE(SUBSTITUTE(SUBSTITUTE(CLEAN(I301&amp;"")," ",""),".","")," ",""),"-","")="","",IF(AND(OR(LEN(SUBSTITUTE(SUBSTITUTE(SUBSTITUTE(SUBSTITUTE(CLEAN(I301&amp;"")," ",""),".","")," ",""),"-",""))=2,LEN(SUBSTITUTE(SUBSTITUTE(SUBSTITUTE(SUBSTITUTE(CLEAN(I301&amp;"")," ",""),".","")," ",""),"-",""))=4,LEN(SUBSTITUTE(SUBSTITUTE(SUBSTITUTE(SUBSTITUTE(CLEAN(I301&amp;"")," ",""),".","")," ",""),"-",""))=6,LEN(SUBSTITUTE(SUBSTITUTE(SUBSTITUTE(SUBSTITUTE(CLEAN(I301&amp;"")," ",""),".","")," ",""),"-",""))=8,LEN(SUBSTITUTE(SUBSTITUTE(SUBSTITUTE(SUBSTITUTE(CLEAN(I301&amp;"")," ",""),".","")," ",""),"-",""))=10),IFERROR(TEXT(VALUE(SUBSTITUTE(SUBSTITUTE(SUBSTITUTE(SUBSTITUTE(CLEAN(I301&amp;"")," ",""),".","")," ",""),"-","")),REPT("0",LEN(SUBSTITUTE(SUBSTITUTE(SUBSTITUTE(SUBSTITUTE(CLEAN(I301&amp;"")," ",""),".","")," ",""),"-",""))))=SUBSTITUTE(SUBSTITUTE(SUBSTITUTE(SUBSTITUTE(CLEAN(I301&amp;"")," ",""),".","")," ",""),"-",""),FALSE)),SUBSTITUTE(SUBSTITUTE(SUBSTITUTE(SUBSTITUTE(CLEAN(I301&amp;"")," ",""),".","")," ",""),"-",""),"CHECK: not 2, 4, 6, 8 or 10 digits"))</f>
        <v/>
      </c>
      <c r="K301" s="11" t="n"/>
    </row>
    <row r="302">
      <c r="E302" s="8" t="n"/>
      <c r="F302" s="10">
        <f>IF(SUBSTITUTE(SUBSTITUTE(SUBSTITUTE(SUBSTITUTE(CLEAN(E302&amp;"")," ",""),".","")," ",""),"-","")="","",IF(AND(OR(LEN(SUBSTITUTE(SUBSTITUTE(SUBSTITUTE(SUBSTITUTE(CLEAN(E302&amp;"")," ",""),".","")," ",""),"-",""))=2,LEN(SUBSTITUTE(SUBSTITUTE(SUBSTITUTE(SUBSTITUTE(CLEAN(E302&amp;"")," ",""),".","")," ",""),"-",""))=4,LEN(SUBSTITUTE(SUBSTITUTE(SUBSTITUTE(SUBSTITUTE(CLEAN(E302&amp;"")," ",""),".","")," ",""),"-",""))=6,LEN(SUBSTITUTE(SUBSTITUTE(SUBSTITUTE(SUBSTITUTE(CLEAN(E302&amp;"")," ",""),".","")," ",""),"-",""))=8,LEN(SUBSTITUTE(SUBSTITUTE(SUBSTITUTE(SUBSTITUTE(CLEAN(E302&amp;"")," ",""),".","")," ",""),"-",""))=10),IFERROR(TEXT(VALUE(SUBSTITUTE(SUBSTITUTE(SUBSTITUTE(SUBSTITUTE(CLEAN(E302&amp;"")," ",""),".","")," ",""),"-","")),REPT("0",LEN(SUBSTITUTE(SUBSTITUTE(SUBSTITUTE(SUBSTITUTE(CLEAN(E302&amp;"")," ",""),".","")," ",""),"-",""))))=SUBSTITUTE(SUBSTITUTE(SUBSTITUTE(SUBSTITUTE(CLEAN(E302&amp;"")," ",""),".","")," ",""),"-",""),FALSE)),SUBSTITUTE(SUBSTITUTE(SUBSTITUTE(SUBSTITUTE(CLEAN(E302&amp;"")," ",""),".","")," ",""),"-",""),"CHECK: not 2, 4, 6, 8 or 10 digits"))</f>
        <v/>
      </c>
      <c r="G302" s="11" t="n"/>
      <c r="H302" s="8" t="n"/>
      <c r="I302" s="8" t="n"/>
      <c r="J302" s="10">
        <f>IF(SUBSTITUTE(SUBSTITUTE(SUBSTITUTE(SUBSTITUTE(CLEAN(I302&amp;"")," ",""),".","")," ",""),"-","")="","",IF(AND(OR(LEN(SUBSTITUTE(SUBSTITUTE(SUBSTITUTE(SUBSTITUTE(CLEAN(I302&amp;"")," ",""),".","")," ",""),"-",""))=2,LEN(SUBSTITUTE(SUBSTITUTE(SUBSTITUTE(SUBSTITUTE(CLEAN(I302&amp;"")," ",""),".","")," ",""),"-",""))=4,LEN(SUBSTITUTE(SUBSTITUTE(SUBSTITUTE(SUBSTITUTE(CLEAN(I302&amp;"")," ",""),".","")," ",""),"-",""))=6,LEN(SUBSTITUTE(SUBSTITUTE(SUBSTITUTE(SUBSTITUTE(CLEAN(I302&amp;"")," ",""),".","")," ",""),"-",""))=8,LEN(SUBSTITUTE(SUBSTITUTE(SUBSTITUTE(SUBSTITUTE(CLEAN(I302&amp;"")," ",""),".","")," ",""),"-",""))=10),IFERROR(TEXT(VALUE(SUBSTITUTE(SUBSTITUTE(SUBSTITUTE(SUBSTITUTE(CLEAN(I302&amp;"")," ",""),".","")," ",""),"-","")),REPT("0",LEN(SUBSTITUTE(SUBSTITUTE(SUBSTITUTE(SUBSTITUTE(CLEAN(I302&amp;"")," ",""),".","")," ",""),"-",""))))=SUBSTITUTE(SUBSTITUTE(SUBSTITUTE(SUBSTITUTE(CLEAN(I302&amp;"")," ",""),".","")," ",""),"-",""),FALSE)),SUBSTITUTE(SUBSTITUTE(SUBSTITUTE(SUBSTITUTE(CLEAN(I302&amp;"")," ",""),".","")," ",""),"-",""),"CHECK: not 2, 4, 6, 8 or 10 digits"))</f>
        <v/>
      </c>
      <c r="K302" s="11" t="n"/>
    </row>
    <row r="303">
      <c r="E303" s="8" t="n"/>
      <c r="F303" s="10">
        <f>IF(SUBSTITUTE(SUBSTITUTE(SUBSTITUTE(SUBSTITUTE(CLEAN(E303&amp;"")," ",""),".","")," ",""),"-","")="","",IF(AND(OR(LEN(SUBSTITUTE(SUBSTITUTE(SUBSTITUTE(SUBSTITUTE(CLEAN(E303&amp;"")," ",""),".","")," ",""),"-",""))=2,LEN(SUBSTITUTE(SUBSTITUTE(SUBSTITUTE(SUBSTITUTE(CLEAN(E303&amp;"")," ",""),".","")," ",""),"-",""))=4,LEN(SUBSTITUTE(SUBSTITUTE(SUBSTITUTE(SUBSTITUTE(CLEAN(E303&amp;"")," ",""),".","")," ",""),"-",""))=6,LEN(SUBSTITUTE(SUBSTITUTE(SUBSTITUTE(SUBSTITUTE(CLEAN(E303&amp;"")," ",""),".","")," ",""),"-",""))=8,LEN(SUBSTITUTE(SUBSTITUTE(SUBSTITUTE(SUBSTITUTE(CLEAN(E303&amp;"")," ",""),".","")," ",""),"-",""))=10),IFERROR(TEXT(VALUE(SUBSTITUTE(SUBSTITUTE(SUBSTITUTE(SUBSTITUTE(CLEAN(E303&amp;"")," ",""),".","")," ",""),"-","")),REPT("0",LEN(SUBSTITUTE(SUBSTITUTE(SUBSTITUTE(SUBSTITUTE(CLEAN(E303&amp;"")," ",""),".","")," ",""),"-",""))))=SUBSTITUTE(SUBSTITUTE(SUBSTITUTE(SUBSTITUTE(CLEAN(E303&amp;"")," ",""),".","")," ",""),"-",""),FALSE)),SUBSTITUTE(SUBSTITUTE(SUBSTITUTE(SUBSTITUTE(CLEAN(E303&amp;"")," ",""),".","")," ",""),"-",""),"CHECK: not 2, 4, 6, 8 or 10 digits"))</f>
        <v/>
      </c>
      <c r="G303" s="11" t="n"/>
      <c r="H303" s="8" t="n"/>
      <c r="I303" s="8" t="n"/>
      <c r="J303" s="10">
        <f>IF(SUBSTITUTE(SUBSTITUTE(SUBSTITUTE(SUBSTITUTE(CLEAN(I303&amp;"")," ",""),".","")," ",""),"-","")="","",IF(AND(OR(LEN(SUBSTITUTE(SUBSTITUTE(SUBSTITUTE(SUBSTITUTE(CLEAN(I303&amp;"")," ",""),".","")," ",""),"-",""))=2,LEN(SUBSTITUTE(SUBSTITUTE(SUBSTITUTE(SUBSTITUTE(CLEAN(I303&amp;"")," ",""),".","")," ",""),"-",""))=4,LEN(SUBSTITUTE(SUBSTITUTE(SUBSTITUTE(SUBSTITUTE(CLEAN(I303&amp;"")," ",""),".","")," ",""),"-",""))=6,LEN(SUBSTITUTE(SUBSTITUTE(SUBSTITUTE(SUBSTITUTE(CLEAN(I303&amp;"")," ",""),".","")," ",""),"-",""))=8,LEN(SUBSTITUTE(SUBSTITUTE(SUBSTITUTE(SUBSTITUTE(CLEAN(I303&amp;"")," ",""),".","")," ",""),"-",""))=10),IFERROR(TEXT(VALUE(SUBSTITUTE(SUBSTITUTE(SUBSTITUTE(SUBSTITUTE(CLEAN(I303&amp;"")," ",""),".","")," ",""),"-","")),REPT("0",LEN(SUBSTITUTE(SUBSTITUTE(SUBSTITUTE(SUBSTITUTE(CLEAN(I303&amp;"")," ",""),".","")," ",""),"-",""))))=SUBSTITUTE(SUBSTITUTE(SUBSTITUTE(SUBSTITUTE(CLEAN(I303&amp;"")," ",""),".","")," ",""),"-",""),FALSE)),SUBSTITUTE(SUBSTITUTE(SUBSTITUTE(SUBSTITUTE(CLEAN(I303&amp;"")," ",""),".","")," ",""),"-",""),"CHECK: not 2, 4, 6, 8 or 10 digits"))</f>
        <v/>
      </c>
      <c r="K303" s="11" t="n"/>
    </row>
    <row r="304">
      <c r="E304" s="8" t="n"/>
      <c r="F304" s="10">
        <f>IF(SUBSTITUTE(SUBSTITUTE(SUBSTITUTE(SUBSTITUTE(CLEAN(E304&amp;"")," ",""),".","")," ",""),"-","")="","",IF(AND(OR(LEN(SUBSTITUTE(SUBSTITUTE(SUBSTITUTE(SUBSTITUTE(CLEAN(E304&amp;"")," ",""),".","")," ",""),"-",""))=2,LEN(SUBSTITUTE(SUBSTITUTE(SUBSTITUTE(SUBSTITUTE(CLEAN(E304&amp;"")," ",""),".","")," ",""),"-",""))=4,LEN(SUBSTITUTE(SUBSTITUTE(SUBSTITUTE(SUBSTITUTE(CLEAN(E304&amp;"")," ",""),".","")," ",""),"-",""))=6,LEN(SUBSTITUTE(SUBSTITUTE(SUBSTITUTE(SUBSTITUTE(CLEAN(E304&amp;"")," ",""),".","")," ",""),"-",""))=8,LEN(SUBSTITUTE(SUBSTITUTE(SUBSTITUTE(SUBSTITUTE(CLEAN(E304&amp;"")," ",""),".","")," ",""),"-",""))=10),IFERROR(TEXT(VALUE(SUBSTITUTE(SUBSTITUTE(SUBSTITUTE(SUBSTITUTE(CLEAN(E304&amp;"")," ",""),".","")," ",""),"-","")),REPT("0",LEN(SUBSTITUTE(SUBSTITUTE(SUBSTITUTE(SUBSTITUTE(CLEAN(E304&amp;"")," ",""),".","")," ",""),"-",""))))=SUBSTITUTE(SUBSTITUTE(SUBSTITUTE(SUBSTITUTE(CLEAN(E304&amp;"")," ",""),".","")," ",""),"-",""),FALSE)),SUBSTITUTE(SUBSTITUTE(SUBSTITUTE(SUBSTITUTE(CLEAN(E304&amp;"")," ",""),".","")," ",""),"-",""),"CHECK: not 2, 4, 6, 8 or 10 digits"))</f>
        <v/>
      </c>
      <c r="G304" s="11" t="n"/>
      <c r="H304" s="8" t="n"/>
      <c r="I304" s="8" t="n"/>
      <c r="J304" s="10">
        <f>IF(SUBSTITUTE(SUBSTITUTE(SUBSTITUTE(SUBSTITUTE(CLEAN(I304&amp;"")," ",""),".","")," ",""),"-","")="","",IF(AND(OR(LEN(SUBSTITUTE(SUBSTITUTE(SUBSTITUTE(SUBSTITUTE(CLEAN(I304&amp;"")," ",""),".","")," ",""),"-",""))=2,LEN(SUBSTITUTE(SUBSTITUTE(SUBSTITUTE(SUBSTITUTE(CLEAN(I304&amp;"")," ",""),".","")," ",""),"-",""))=4,LEN(SUBSTITUTE(SUBSTITUTE(SUBSTITUTE(SUBSTITUTE(CLEAN(I304&amp;"")," ",""),".","")," ",""),"-",""))=6,LEN(SUBSTITUTE(SUBSTITUTE(SUBSTITUTE(SUBSTITUTE(CLEAN(I304&amp;"")," ",""),".","")," ",""),"-",""))=8,LEN(SUBSTITUTE(SUBSTITUTE(SUBSTITUTE(SUBSTITUTE(CLEAN(I304&amp;"")," ",""),".","")," ",""),"-",""))=10),IFERROR(TEXT(VALUE(SUBSTITUTE(SUBSTITUTE(SUBSTITUTE(SUBSTITUTE(CLEAN(I304&amp;"")," ",""),".","")," ",""),"-","")),REPT("0",LEN(SUBSTITUTE(SUBSTITUTE(SUBSTITUTE(SUBSTITUTE(CLEAN(I304&amp;"")," ",""),".","")," ",""),"-",""))))=SUBSTITUTE(SUBSTITUTE(SUBSTITUTE(SUBSTITUTE(CLEAN(I304&amp;"")," ",""),".","")," ",""),"-",""),FALSE)),SUBSTITUTE(SUBSTITUTE(SUBSTITUTE(SUBSTITUTE(CLEAN(I304&amp;"")," ",""),".","")," ",""),"-",""),"CHECK: not 2, 4, 6, 8 or 10 digits"))</f>
        <v/>
      </c>
      <c r="K304" s="11" t="n"/>
    </row>
  </sheetData>
  <sheetProtection selectLockedCells="0" selectUnlockedCells="0" sheet="1" objects="0" insertRows="1" insertHyperlinks="1" autoFilter="1" scenarios="0" formatColumns="0" deleteColumns="1" insertColumns="1" pivotTables="1" deleteRows="1" formatCells="1" formatRows="0" sort="1"/>
  <conditionalFormatting sqref="F5:F304">
    <cfRule type="expression" priority="1" dxfId="0">
      <formula>LEFT($F5,5)="CHECK"</formula>
    </cfRule>
  </conditionalFormatting>
  <conditionalFormatting sqref="J5:J304">
    <cfRule type="expression" priority="2" dxfId="0">
      <formula>LEFT($J5,5)="CHECK"</formula>
    </cfRule>
  </conditionalFormatting>
  <conditionalFormatting sqref="W5:W104">
    <cfRule type="expression" priority="3" dxfId="0">
      <formula>LEFT($W5,5)="CHECK"</formula>
    </cfRule>
    <cfRule type="expression" priority="4" dxfId="1">
      <formula>LEFT($W5,4)="WAIT"</formula>
    </cfRule>
  </conditionalFormatting>
  <conditionalFormatting sqref="AI5:AI34">
    <cfRule type="expression" priority="5" dxfId="0">
      <formula>LEFT($AI5,5)="CHECK"</formula>
    </cfRule>
    <cfRule type="expression" priority="6" dxfId="1">
      <formula>LEFT($AI5,4)="NOTE"</formula>
    </cfRule>
  </conditionalFormatting>
  <dataValidations count="20">
    <dataValidation sqref="B7" showDropDown="0" showInputMessage="0" showErrorMessage="1" allowBlank="1" errorTitle="Not allowed" error="Pick a value from the list." type="list">
      <formula1>"US,CA,MX"</formula1>
    </dataValidation>
    <dataValidation sqref="B8" showDropDown="0" showInputMessage="0" showErrorMessage="1" allowBlank="1" errorTitle="Not allowed" error="Pick a value from the list." type="list">
      <formula1>"Section 232,Section 301,Section 201,Section 122,Section 338,IEEPA,AD/CVD,Canada surtax order,Mexico decree (DOF),Other"</formula1>
    </dataValidation>
    <dataValidation sqref="B16" showDropDown="0" showInputMessage="1" showErrorMessage="1" allowBlank="1" errorTitle="Not allowed" error="Pick a value from the list." prompt="ADD = on top of the current rate. REPLACE = replaces this action's earlier rate." type="list">
      <formula1>"ADD,REPLACE"</formula1>
    </dataValidation>
    <dataValidation sqref="B18" showDropDown="0" showInputMessage="1" showErrorMessage="1" allowBlank="1" errorTitle="Not allowed" error="Pick a value from the list." prompt="Y = exempt. PARTIAL = relief through a rate line with USMCA = Y. N = no relief." type="list">
      <formula1>"Y,PARTIAL,N,N/A"</formula1>
    </dataValidation>
    <dataValidation sqref="B20" showDropDown="0" showInputMessage="0" showErrorMessage="1" allowBlank="1" errorTitle="Not allowed" error="Pick a value from the list." type="list">
      <formula1>"FULL,PART"</formula1>
    </dataValidation>
    <dataValidation sqref="B15" showDropDown="0" showInputMessage="0" showErrorMessage="1" allowBlank="1" errorTitle="Check the value" error="Enter a rate between 0% and 1000%, as a percentage." type="decimal" operator="between">
      <formula1>0</formula1>
      <formula2>10</formula2>
    </dataValidation>
    <dataValidation sqref="B17" showDropDown="0" showInputMessage="0" showErrorMessage="1" allowBlank="1" errorTitle="Check the value" error="Enter a rate between 0% and 1000%, as a percentage." type="decimal" operator="between">
      <formula1>0</formula1>
      <formula2>10</formula2>
    </dataValidation>
    <dataValidation sqref="B11" showDropDown="0" showInputMessage="0" showErrorMessage="1" allowBlank="1" errorTitle="Check the value" error="Enter a date (yyyy-mm-dd)." type="date" operator="between">
      <formula1>36526</formula1>
      <formula2>73051</formula2>
    </dataValidation>
    <dataValidation sqref="B14" showDropDown="0" showInputMessage="0" showErrorMessage="1" allowBlank="1" errorTitle="Check the value" error="Enter a date (yyyy-mm-dd)." type="date" operator="between">
      <formula1>36526</formula1>
      <formula2>73051</formula2>
    </dataValidation>
    <dataValidation sqref="B23" showDropDown="0" showInputMessage="0" showErrorMessage="1" allowBlank="1" errorTitle="Check the value" error="Enter a date (yyyy-mm-dd)." type="date" operator="between">
      <formula1>36526</formula1>
      <formula2>73051</formula2>
    </dataValidation>
    <dataValidation sqref="M5:M54" showDropDown="0" showInputMessage="0" showErrorMessage="1" allowBlank="1" errorTitle="Check the value" error="Use the 2-letter ISO country code, no spaces." type="textLength" operator="equal">
      <formula1>2</formula1>
    </dataValidation>
    <dataValidation sqref="Q5:Q104" showDropDown="0" showInputMessage="0" showErrorMessage="1" allowBlank="1" errorTitle="Not allowed" error="Pick a value from the list." type="list">
      <formula1>"US,CA,MX"</formula1>
    </dataValidation>
    <dataValidation sqref="R5:R104" showDropDown="0" showInputMessage="1" showErrorMessage="1" allowBlank="1" errorTitle="Not allowed" error="Pick a value from the list." prompt="Blank = the scope rules decide (use it to record a displaced duty only)." type="list">
      <formula1>"IN,OUT"</formula1>
    </dataValidation>
    <dataValidation sqref="S5:S104" showDropDown="0" showInputMessage="0" showErrorMessage="1" allowBlank="1" errorTitle="Check the value" error="Enter a rate as a percentage, for example 10%." type="decimal" operator="between">
      <formula1>0</formula1>
      <formula2>10</formula2>
    </dataValidation>
    <dataValidation sqref="AA5:AA34" showDropDown="0" showInputMessage="0" showErrorMessage="1" allowBlank="1" errorTitle="Check the value" error="Use the 2-letter ISO country code, no spaces." type="textLength" operator="equal">
      <formula1>2</formula1>
    </dataValidation>
    <dataValidation sqref="AB5:AB34" showDropDown="0" showInputMessage="1" showErrorMessage="1" allowBlank="1" errorTitle="Not allowed" error="Pick a value from the list." prompt="Y = only USMCA-qualifying items; N = only non-qualifying; blank = either." type="list">
      <formula1>"Y,N"</formula1>
    </dataValidation>
    <dataValidation sqref="AC5:AC34" showDropDown="0" showInputMessage="0" showErrorMessage="1" allowBlank="1" errorTitle="Check the value" error="Enter a rate as a percentage, for example 25%." type="decimal" operator="between">
      <formula1>0</formula1>
      <formula2>10</formula2>
    </dataValidation>
    <dataValidation sqref="AD5:AD34" showDropDown="0" showInputMessage="0" showErrorMessage="1" allowBlank="1" errorTitle="Check the value" error="Enter a rate as a percentage, for example 25%." type="decimal" operator="between">
      <formula1>0</formula1>
      <formula2>10</formula2>
    </dataValidation>
    <dataValidation sqref="AF5:AF34" showDropDown="0" showInputMessage="0" showErrorMessage="1" allowBlank="1" errorTitle="Check the value" error="Enter a rate as a percentage, for example 25%." type="decimal" operator="between">
      <formula1>0</formula1>
      <formula2>10</formula2>
    </dataValidation>
    <dataValidation sqref="AE5:AE34" showDropDown="0" showInputMessage="0" showErrorMessage="1" allowBlank="1" errorTitle="Not allowed" error="Pick a value from the list." type="list">
      <formula1>"FULL,PART"</formula1>
    </dataValidation>
  </dataValidations>
  <pageMargins left="0.75" right="0.75" top="1" bottom="1" header="0.5" footer="0.5"/>
</worksheet>
</file>

<file path=xl/worksheets/sheet3.xml><?xml version="1.0" encoding="utf-8"?>
<worksheet xmlns="http://schemas.openxmlformats.org/spreadsheetml/2006/main">
  <sheetPr>
    <tabColor rgb="00C55A11"/>
    <outlinePr summaryBelow="1" summaryRight="1"/>
    <pageSetUpPr/>
  </sheetPr>
  <dimension ref="A1:N25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38" customWidth="1" min="2" max="2"/>
    <col width="10" customWidth="1" min="3" max="3"/>
    <col width="15" customWidth="1" min="4" max="4"/>
    <col width="10" customWidth="1" min="5" max="5"/>
    <col width="10" customWidth="1" min="6" max="6"/>
    <col width="11" customWidth="1" min="7" max="7"/>
    <col width="12" customWidth="1" min="8" max="8"/>
    <col width="13" customWidth="1" min="9" max="9"/>
    <col width="15" customWidth="1" min="10" max="10"/>
    <col width="13" customWidth="1" min="11" max="11"/>
    <col width="13" customWidth="1" min="12" max="12"/>
    <col width="14" customWidth="1" min="13" max="13"/>
    <col width="34" customWidth="1" min="14" max="14"/>
  </cols>
  <sheetData>
    <row r="1">
      <c r="A1" s="1" t="inlineStr">
        <is>
          <t>Items: the $ inputs (Standard Cost fills this tab from the item extract)</t>
        </is>
      </c>
      <c r="J1" s="5" t="inlineStr">
        <is>
          <t>Quantity period (label)</t>
        </is>
      </c>
      <c r="K1" s="8" t="inlineStr">
        <is>
          <t>Annual</t>
        </is>
      </c>
      <c r="L1" s="9" t="inlineStr">
        <is>
          <t>Period the quantities in column I cover, for example Annual or Q2 2027. Shown on the Summary.</t>
        </is>
      </c>
    </row>
    <row r="2">
      <c r="A2" s="2" t="inlineStr">
        <is>
          <t>Source: [COMPANY: Oracle cost extract or warehouse query]. One row per item and import country. Values per Oracle primary UOM. Paste values only.</t>
        </is>
      </c>
      <c r="J2" s="5" t="inlineStr">
        <is>
          <t>Currency of all values</t>
        </is>
      </c>
      <c r="K2" s="8" t="inlineStr">
        <is>
          <t>USD</t>
        </is>
      </c>
      <c r="L2" s="9" t="inlineStr">
        <is>
          <t>[COMPANY: model currency]. Every value, cost and price on this tab is in this currency.</t>
        </is>
      </c>
    </row>
    <row r="3">
      <c r="A3" s="3" t="inlineStr">
        <is>
          <t>SAMPLE ROWS 5-18 ARE SYNTHETIC: invented items, values and rates; HTS last 4 digits are made up. Clear before real use.</t>
        </is>
      </c>
    </row>
    <row r="4" ht="58" customHeight="1">
      <c r="A4" s="7" t="inlineStr">
        <is>
          <t>Item number</t>
        </is>
      </c>
      <c r="B4" s="7" t="inlineStr">
        <is>
          <t>Description</t>
        </is>
      </c>
      <c r="C4" s="7" t="inlineStr">
        <is>
          <t>Import country (US, CA, MX)</t>
        </is>
      </c>
      <c r="D4" s="7" t="inlineStr">
        <is>
          <t>HTS, 10 digits (text)</t>
        </is>
      </c>
      <c r="E4" s="7" t="inlineStr">
        <is>
          <t>Country of origin (ISO 2)</t>
        </is>
      </c>
      <c r="F4" s="7" t="inlineStr">
        <is>
          <t>USMCA qualifying (Y/N)</t>
        </is>
      </c>
      <c r="G4" s="7" t="inlineStr">
        <is>
          <t>Unit of measure (Oracle primary UOM)</t>
        </is>
      </c>
      <c r="H4" s="7" t="inlineStr">
        <is>
          <t>Unit customs value (per unit in G)</t>
        </is>
      </c>
      <c r="I4" s="7" t="inlineStr">
        <is>
          <t>Quantity for the period (in unit G)</t>
        </is>
      </c>
      <c r="J4" s="7" t="inlineStr">
        <is>
          <t>Current duty rate (all duties now paid, % of customs value)</t>
        </is>
      </c>
      <c r="K4" s="7" t="inlineStr">
        <is>
          <t>Current standard cost (per unit in G)</t>
        </is>
      </c>
      <c r="L4" s="7" t="inlineStr">
        <is>
          <t>Sell price (per unit in G; blank if not sold)</t>
        </is>
      </c>
      <c r="M4" s="7" t="inlineStr">
        <is>
          <t>Dutiable share of customs value (PART base only; blank = 100%)</t>
        </is>
      </c>
      <c r="N4" s="7" t="inlineStr">
        <is>
          <t>Source and notes</t>
        </is>
      </c>
    </row>
    <row r="5">
      <c r="A5" s="8" t="inlineStr">
        <is>
          <t>SAMPLE-001</t>
        </is>
      </c>
      <c r="B5" s="11" t="inlineStr">
        <is>
          <t>Hex cap screw, steel, zinc plated</t>
        </is>
      </c>
      <c r="C5" s="8" t="inlineStr">
        <is>
          <t>US</t>
        </is>
      </c>
      <c r="D5" s="8" t="inlineStr">
        <is>
          <t>7318.15.9001</t>
        </is>
      </c>
      <c r="E5" s="8" t="inlineStr">
        <is>
          <t>XX</t>
        </is>
      </c>
      <c r="F5" s="8" t="inlineStr">
        <is>
          <t>N</t>
        </is>
      </c>
      <c r="G5" s="8" t="inlineStr">
        <is>
          <t>EA</t>
        </is>
      </c>
      <c r="H5" s="15" t="n">
        <v>4.2</v>
      </c>
      <c r="I5" s="16" t="n">
        <v>120000</v>
      </c>
      <c r="J5" s="12" t="n">
        <v>0.05</v>
      </c>
      <c r="K5" s="15" t="n">
        <v>4.95</v>
      </c>
      <c r="L5" s="15" t="n">
        <v>7.4</v>
      </c>
      <c r="M5" s="12" t="n"/>
      <c r="N5" s="11" t="inlineStr">
        <is>
          <t>In scope by rules</t>
        </is>
      </c>
    </row>
    <row r="6">
      <c r="A6" s="8" t="inlineStr">
        <is>
          <t>SAMPLE-002</t>
        </is>
      </c>
      <c r="B6" s="11" t="inlineStr">
        <is>
          <t>Hex nut, steel</t>
        </is>
      </c>
      <c r="C6" s="8" t="inlineStr">
        <is>
          <t>US</t>
        </is>
      </c>
      <c r="D6" s="8" t="inlineStr">
        <is>
          <t>7318169001</t>
        </is>
      </c>
      <c r="E6" s="8" t="inlineStr">
        <is>
          <t>XX</t>
        </is>
      </c>
      <c r="F6" s="8" t="inlineStr">
        <is>
          <t>N</t>
        </is>
      </c>
      <c r="G6" s="8" t="inlineStr">
        <is>
          <t>EA</t>
        </is>
      </c>
      <c r="H6" s="15" t="n">
        <v>0.85</v>
      </c>
      <c r="I6" s="16" t="n">
        <v>400000</v>
      </c>
      <c r="J6" s="12" t="n">
        <v>0</v>
      </c>
      <c r="K6" s="15" t="n">
        <v>1.02</v>
      </c>
      <c r="L6" s="15" t="n">
        <v>1.55</v>
      </c>
      <c r="M6" s="12" t="n"/>
      <c r="N6" s="11" t="inlineStr">
        <is>
          <t>In scope; HTS pasted without dots</t>
        </is>
      </c>
    </row>
    <row r="7">
      <c r="A7" s="8" t="inlineStr">
        <is>
          <t>SAMPLE-003</t>
        </is>
      </c>
      <c r="B7" s="11" t="inlineStr">
        <is>
          <t>Flat washer, steel</t>
        </is>
      </c>
      <c r="C7" s="8" t="inlineStr">
        <is>
          <t>US</t>
        </is>
      </c>
      <c r="D7" s="8" t="inlineStr">
        <is>
          <t>7318.22.9001</t>
        </is>
      </c>
      <c r="E7" s="8" t="inlineStr">
        <is>
          <t>XX</t>
        </is>
      </c>
      <c r="F7" s="8" t="inlineStr">
        <is>
          <t>N</t>
        </is>
      </c>
      <c r="G7" s="8" t="inlineStr">
        <is>
          <t>EA</t>
        </is>
      </c>
      <c r="H7" s="15" t="n">
        <v>0.12</v>
      </c>
      <c r="I7" s="16" t="n">
        <v>900000</v>
      </c>
      <c r="J7" s="12" t="n">
        <v>0.1</v>
      </c>
      <c r="K7" s="15" t="n">
        <v>0.16</v>
      </c>
      <c r="L7" s="15" t="n">
        <v>0.24</v>
      </c>
      <c r="M7" s="12" t="n"/>
      <c r="N7" s="11" t="inlineStr">
        <is>
          <t>In scope; current rate includes FICTIONAL 9903.YY.01 10%, which the action displaces</t>
        </is>
      </c>
    </row>
    <row r="8">
      <c r="A8" s="8" t="inlineStr">
        <is>
          <t>SAMPLE-004</t>
        </is>
      </c>
      <c r="B8" s="11" t="inlineStr">
        <is>
          <t>Cotter pin, steel</t>
        </is>
      </c>
      <c r="C8" s="8" t="inlineStr">
        <is>
          <t>US</t>
        </is>
      </c>
      <c r="D8" s="8" t="inlineStr">
        <is>
          <t>7318.24.9001</t>
        </is>
      </c>
      <c r="E8" s="8" t="inlineStr">
        <is>
          <t>XX</t>
        </is>
      </c>
      <c r="F8" s="8" t="inlineStr">
        <is>
          <t>N</t>
        </is>
      </c>
      <c r="G8" s="8" t="inlineStr">
        <is>
          <t>EA</t>
        </is>
      </c>
      <c r="H8" s="15" t="n">
        <v>0.3</v>
      </c>
      <c r="I8" s="16" t="n">
        <v>50000</v>
      </c>
      <c r="J8" s="12" t="n">
        <v>0</v>
      </c>
      <c r="K8" s="15" t="n">
        <v>0.36</v>
      </c>
      <c r="L8" s="15" t="n">
        <v>0.6</v>
      </c>
      <c r="M8" s="12" t="n"/>
      <c r="N8" s="11" t="inlineStr">
        <is>
          <t>Out: excluded subheading</t>
        </is>
      </c>
    </row>
    <row r="9">
      <c r="A9" s="8" t="inlineStr">
        <is>
          <t>SAMPLE-005</t>
        </is>
      </c>
      <c r="B9" s="11" t="inlineStr">
        <is>
          <t>Bolt certified for civil aircraft (certificate with every entry)</t>
        </is>
      </c>
      <c r="C9" s="8" t="inlineStr">
        <is>
          <t>US</t>
        </is>
      </c>
      <c r="D9" s="8" t="inlineStr">
        <is>
          <t>7318.15.9002</t>
        </is>
      </c>
      <c r="E9" s="8" t="inlineStr">
        <is>
          <t>XX</t>
        </is>
      </c>
      <c r="F9" s="8" t="inlineStr">
        <is>
          <t>N</t>
        </is>
      </c>
      <c r="G9" s="8" t="inlineStr">
        <is>
          <t>EA</t>
        </is>
      </c>
      <c r="H9" s="15" t="n">
        <v>12.5</v>
      </c>
      <c r="I9" s="16" t="n">
        <v>8000</v>
      </c>
      <c r="J9" s="12" t="n">
        <v>0.025</v>
      </c>
      <c r="K9" s="15" t="n">
        <v>14.1</v>
      </c>
      <c r="L9" s="15" t="n">
        <v>22</v>
      </c>
      <c r="M9" s="12" t="n"/>
      <c r="N9" s="11" t="inlineStr">
        <is>
          <t>Out: Research determination</t>
        </is>
      </c>
    </row>
    <row r="10">
      <c r="A10" s="8" t="inlineStr">
        <is>
          <t>SAMPLE-006</t>
        </is>
      </c>
      <c r="B10" s="11" t="inlineStr">
        <is>
          <t>Hex cap screw, steel, from Country Y</t>
        </is>
      </c>
      <c r="C10" s="8" t="inlineStr">
        <is>
          <t>US</t>
        </is>
      </c>
      <c r="D10" s="8" t="inlineStr">
        <is>
          <t>7318.15.9001</t>
        </is>
      </c>
      <c r="E10" s="8" t="inlineStr">
        <is>
          <t>XY</t>
        </is>
      </c>
      <c r="F10" s="8" t="inlineStr">
        <is>
          <t>N</t>
        </is>
      </c>
      <c r="G10" s="8" t="inlineStr">
        <is>
          <t>EA</t>
        </is>
      </c>
      <c r="H10" s="15" t="n">
        <v>3.9</v>
      </c>
      <c r="I10" s="16" t="n">
        <v>60000</v>
      </c>
      <c r="J10" s="12" t="n">
        <v>0.05</v>
      </c>
      <c r="K10" s="15" t="n">
        <v>4.6</v>
      </c>
      <c r="L10" s="15" t="n">
        <v>7.4</v>
      </c>
      <c r="M10" s="12" t="n"/>
      <c r="N10" s="11" t="inlineStr">
        <is>
          <t>Out: origin not listed</t>
        </is>
      </c>
    </row>
    <row r="11">
      <c r="A11" s="8" t="inlineStr">
        <is>
          <t>SAMPLE-007</t>
        </is>
      </c>
      <c r="B11" s="11" t="inlineStr">
        <is>
          <t>Carriage bolt, steel, from Mexico, USMCA</t>
        </is>
      </c>
      <c r="C11" s="8" t="inlineStr">
        <is>
          <t>US</t>
        </is>
      </c>
      <c r="D11" s="8" t="inlineStr">
        <is>
          <t>7318.15.9003</t>
        </is>
      </c>
      <c r="E11" s="8" t="inlineStr">
        <is>
          <t>MX</t>
        </is>
      </c>
      <c r="F11" s="8" t="inlineStr">
        <is>
          <t>Y</t>
        </is>
      </c>
      <c r="G11" s="8" t="inlineStr">
        <is>
          <t>EA</t>
        </is>
      </c>
      <c r="H11" s="15" t="n">
        <v>2.1</v>
      </c>
      <c r="I11" s="16" t="n">
        <v>150000</v>
      </c>
      <c r="J11" s="12" t="n">
        <v>0</v>
      </c>
      <c r="K11" s="15" t="n">
        <v>2.45</v>
      </c>
      <c r="L11" s="15" t="n">
        <v>3.9</v>
      </c>
      <c r="M11" s="12" t="n"/>
      <c r="N11" s="11" t="inlineStr">
        <is>
          <t>Out: origin not listed</t>
        </is>
      </c>
    </row>
    <row r="12">
      <c r="A12" s="8" t="inlineStr">
        <is>
          <t>SAMPLE-008</t>
        </is>
      </c>
      <c r="B12" s="11" t="inlineStr">
        <is>
          <t>Carriage bolt, steel, from Mexico, non-qualifying</t>
        </is>
      </c>
      <c r="C12" s="8" t="inlineStr">
        <is>
          <t>US</t>
        </is>
      </c>
      <c r="D12" s="8" t="inlineStr">
        <is>
          <t>7318.15.9003</t>
        </is>
      </c>
      <c r="E12" s="8" t="inlineStr">
        <is>
          <t>MX</t>
        </is>
      </c>
      <c r="F12" s="8" t="inlineStr">
        <is>
          <t>N</t>
        </is>
      </c>
      <c r="G12" s="8" t="inlineStr">
        <is>
          <t>EA</t>
        </is>
      </c>
      <c r="H12" s="15" t="n">
        <v>2.3</v>
      </c>
      <c r="I12" s="16" t="n">
        <v>40000</v>
      </c>
      <c r="J12" s="12" t="n">
        <v>0.05</v>
      </c>
      <c r="K12" s="15" t="n">
        <v>2.7</v>
      </c>
      <c r="L12" s="15" t="n">
        <v>3.9</v>
      </c>
      <c r="M12" s="12" t="n"/>
      <c r="N12" s="11" t="inlineStr">
        <is>
          <t>Out: origin not listed</t>
        </is>
      </c>
    </row>
    <row r="13">
      <c r="A13" s="8" t="inlineStr">
        <is>
          <t>SAMPLE-009</t>
        </is>
      </c>
      <c r="B13" s="11" t="inlineStr">
        <is>
          <t>Self-tapping screw, steel, from Canada</t>
        </is>
      </c>
      <c r="C13" s="8" t="inlineStr">
        <is>
          <t>US</t>
        </is>
      </c>
      <c r="D13" s="8" t="inlineStr">
        <is>
          <t>7318.14.9001</t>
        </is>
      </c>
      <c r="E13" s="8" t="inlineStr">
        <is>
          <t>CA</t>
        </is>
      </c>
      <c r="F13" s="8" t="inlineStr">
        <is>
          <t>N</t>
        </is>
      </c>
      <c r="G13" s="8" t="inlineStr">
        <is>
          <t>EA</t>
        </is>
      </c>
      <c r="H13" s="15" t="n">
        <v>0.4</v>
      </c>
      <c r="I13" s="16" t="n">
        <v>300000</v>
      </c>
      <c r="J13" s="12" t="n">
        <v>0.05</v>
      </c>
      <c r="K13" s="15" t="n">
        <v>0.47</v>
      </c>
      <c r="L13" s="15" t="n">
        <v>0.8</v>
      </c>
      <c r="M13" s="12" t="n"/>
      <c r="N13" s="11" t="inlineStr">
        <is>
          <t>Out: origin not listed</t>
        </is>
      </c>
    </row>
    <row r="14">
      <c r="A14" s="8" t="inlineStr">
        <is>
          <t>SAMPLE-010</t>
        </is>
      </c>
      <c r="B14" s="11" t="inlineStr">
        <is>
          <t>Mounting bracket kit, steel, with fasteners</t>
        </is>
      </c>
      <c r="C14" s="8" t="inlineStr">
        <is>
          <t>US</t>
        </is>
      </c>
      <c r="D14" s="8" t="inlineStr">
        <is>
          <t>7326.90.9001</t>
        </is>
      </c>
      <c r="E14" s="8" t="inlineStr">
        <is>
          <t>XX</t>
        </is>
      </c>
      <c r="F14" s="8" t="inlineStr">
        <is>
          <t>N</t>
        </is>
      </c>
      <c r="G14" s="8" t="inlineStr">
        <is>
          <t>EA</t>
        </is>
      </c>
      <c r="H14" s="15" t="n">
        <v>6</v>
      </c>
      <c r="I14" s="16" t="n">
        <v>20000</v>
      </c>
      <c r="J14" s="12" t="n">
        <v>0.029</v>
      </c>
      <c r="K14" s="15" t="n">
        <v>6.8</v>
      </c>
      <c r="L14" s="15" t="n">
        <v>11.5</v>
      </c>
      <c r="M14" s="12" t="n"/>
      <c r="N14" s="11" t="inlineStr">
        <is>
          <t>Out: HTS not listed</t>
        </is>
      </c>
    </row>
    <row r="15">
      <c r="A15" s="8" t="inlineStr">
        <is>
          <t>SAMPLE-011</t>
        </is>
      </c>
      <c r="B15" s="11" t="inlineStr">
        <is>
          <t>Ball valve, brass</t>
        </is>
      </c>
      <c r="C15" s="8" t="inlineStr">
        <is>
          <t>US</t>
        </is>
      </c>
      <c r="D15" s="8" t="inlineStr">
        <is>
          <t>8481.80.9001</t>
        </is>
      </c>
      <c r="E15" s="8" t="inlineStr">
        <is>
          <t>XX</t>
        </is>
      </c>
      <c r="F15" s="8" t="inlineStr">
        <is>
          <t>N</t>
        </is>
      </c>
      <c r="G15" s="8" t="inlineStr">
        <is>
          <t>EA</t>
        </is>
      </c>
      <c r="H15" s="15" t="n">
        <v>18</v>
      </c>
      <c r="I15" s="16" t="n">
        <v>5000</v>
      </c>
      <c r="J15" s="12" t="n">
        <v>0.04</v>
      </c>
      <c r="K15" s="15" t="n">
        <v>20.5</v>
      </c>
      <c r="L15" s="15" t="n">
        <v>34</v>
      </c>
      <c r="M15" s="12" t="n"/>
      <c r="N15" s="11" t="inlineStr">
        <is>
          <t>Out: HTS not listed</t>
        </is>
      </c>
    </row>
    <row r="16">
      <c r="A16" s="8" t="inlineStr">
        <is>
          <t>SAMPLE-012</t>
        </is>
      </c>
      <c r="B16" s="11" t="inlineStr">
        <is>
          <t>Rivet, steel</t>
        </is>
      </c>
      <c r="C16" s="8" t="inlineStr">
        <is>
          <t>US</t>
        </is>
      </c>
      <c r="D16" s="8" t="inlineStr">
        <is>
          <t>7318.23.9001</t>
        </is>
      </c>
      <c r="E16" s="8" t="inlineStr">
        <is>
          <t>XX</t>
        </is>
      </c>
      <c r="F16" s="8" t="inlineStr">
        <is>
          <t>N</t>
        </is>
      </c>
      <c r="G16" s="8" t="inlineStr">
        <is>
          <t>EA</t>
        </is>
      </c>
      <c r="H16" s="15" t="n">
        <v>0.05</v>
      </c>
      <c r="I16" s="16" t="n">
        <v>0</v>
      </c>
      <c r="J16" s="12" t="n">
        <v>0</v>
      </c>
      <c r="K16" s="15" t="n">
        <v>0.06</v>
      </c>
      <c r="L16" s="15" t="n">
        <v>0.1</v>
      </c>
      <c r="M16" s="12" t="n"/>
      <c r="N16" s="11" t="inlineStr">
        <is>
          <t>In scope; no forecast quantity</t>
        </is>
      </c>
    </row>
    <row r="17">
      <c r="A17" s="8" t="inlineStr">
        <is>
          <t>SAMPLE-013</t>
        </is>
      </c>
      <c r="B17" s="11" t="inlineStr">
        <is>
          <t>Hex cap screw, steel, imported into Canada</t>
        </is>
      </c>
      <c r="C17" s="8" t="inlineStr">
        <is>
          <t>CA</t>
        </is>
      </c>
      <c r="D17" s="8" t="inlineStr">
        <is>
          <t>7318.15.9001</t>
        </is>
      </c>
      <c r="E17" s="8" t="inlineStr">
        <is>
          <t>XX</t>
        </is>
      </c>
      <c r="F17" s="8" t="inlineStr">
        <is>
          <t>N</t>
        </is>
      </c>
      <c r="G17" s="8" t="inlineStr">
        <is>
          <t>EA</t>
        </is>
      </c>
      <c r="H17" s="15" t="n">
        <v>4.2</v>
      </c>
      <c r="I17" s="16" t="n">
        <v>30000</v>
      </c>
      <c r="J17" s="12" t="n">
        <v>0</v>
      </c>
      <c r="K17" s="15" t="n">
        <v>4.95</v>
      </c>
      <c r="L17" s="15" t="n">
        <v>7.4</v>
      </c>
      <c r="M17" s="12" t="n"/>
      <c r="N17" s="11" t="inlineStr">
        <is>
          <t>Out: different import country</t>
        </is>
      </c>
    </row>
    <row r="18">
      <c r="A18" s="8" t="inlineStr">
        <is>
          <t>SAMPLE-014</t>
        </is>
      </c>
      <c r="B18" s="11" t="inlineStr">
        <is>
          <t>Machine screw, steel, for internal use (not sold)</t>
        </is>
      </c>
      <c r="C18" s="8" t="inlineStr">
        <is>
          <t>US</t>
        </is>
      </c>
      <c r="D18" s="8" t="inlineStr">
        <is>
          <t>7318.15.9004</t>
        </is>
      </c>
      <c r="E18" s="8" t="inlineStr">
        <is>
          <t>XX</t>
        </is>
      </c>
      <c r="F18" s="8" t="inlineStr">
        <is>
          <t>N</t>
        </is>
      </c>
      <c r="G18" s="8" t="inlineStr">
        <is>
          <t>EA</t>
        </is>
      </c>
      <c r="H18" s="15" t="n">
        <v>0.5</v>
      </c>
      <c r="I18" s="16" t="n">
        <v>10000</v>
      </c>
      <c r="J18" s="12" t="n">
        <v>0.05</v>
      </c>
      <c r="K18" s="15" t="n">
        <v>0.6</v>
      </c>
      <c r="L18" s="15" t="n"/>
      <c r="M18" s="12" t="n"/>
      <c r="N18" s="11" t="inlineStr">
        <is>
          <t>In scope; no sell price</t>
        </is>
      </c>
    </row>
    <row r="19">
      <c r="A19" s="8" t="n"/>
      <c r="B19" s="11" t="n"/>
      <c r="C19" s="8" t="n"/>
      <c r="D19" s="8" t="n"/>
      <c r="E19" s="8" t="n"/>
      <c r="F19" s="8" t="n"/>
      <c r="G19" s="8" t="n"/>
      <c r="H19" s="15" t="n"/>
      <c r="I19" s="16" t="n"/>
      <c r="J19" s="12" t="n"/>
      <c r="K19" s="15" t="n"/>
      <c r="L19" s="15" t="n"/>
      <c r="M19" s="12" t="n"/>
      <c r="N19" s="11" t="n"/>
    </row>
    <row r="20">
      <c r="A20" s="8" t="n"/>
      <c r="B20" s="11" t="n"/>
      <c r="C20" s="8" t="n"/>
      <c r="D20" s="8" t="n"/>
      <c r="E20" s="8" t="n"/>
      <c r="F20" s="8" t="n"/>
      <c r="G20" s="8" t="n"/>
      <c r="H20" s="15" t="n"/>
      <c r="I20" s="16" t="n"/>
      <c r="J20" s="12" t="n"/>
      <c r="K20" s="15" t="n"/>
      <c r="L20" s="15" t="n"/>
      <c r="M20" s="12" t="n"/>
      <c r="N20" s="11" t="n"/>
    </row>
    <row r="21">
      <c r="A21" s="8" t="n"/>
      <c r="B21" s="11" t="n"/>
      <c r="C21" s="8" t="n"/>
      <c r="D21" s="8" t="n"/>
      <c r="E21" s="8" t="n"/>
      <c r="F21" s="8" t="n"/>
      <c r="G21" s="8" t="n"/>
      <c r="H21" s="15" t="n"/>
      <c r="I21" s="16" t="n"/>
      <c r="J21" s="12" t="n"/>
      <c r="K21" s="15" t="n"/>
      <c r="L21" s="15" t="n"/>
      <c r="M21" s="12" t="n"/>
      <c r="N21" s="11" t="n"/>
    </row>
    <row r="22">
      <c r="A22" s="8" t="n"/>
      <c r="B22" s="11" t="n"/>
      <c r="C22" s="8" t="n"/>
      <c r="D22" s="8" t="n"/>
      <c r="E22" s="8" t="n"/>
      <c r="F22" s="8" t="n"/>
      <c r="G22" s="8" t="n"/>
      <c r="H22" s="15" t="n"/>
      <c r="I22" s="16" t="n"/>
      <c r="J22" s="12" t="n"/>
      <c r="K22" s="15" t="n"/>
      <c r="L22" s="15" t="n"/>
      <c r="M22" s="12" t="n"/>
      <c r="N22" s="11" t="n"/>
    </row>
    <row r="23">
      <c r="A23" s="8" t="n"/>
      <c r="B23" s="11" t="n"/>
      <c r="C23" s="8" t="n"/>
      <c r="D23" s="8" t="n"/>
      <c r="E23" s="8" t="n"/>
      <c r="F23" s="8" t="n"/>
      <c r="G23" s="8" t="n"/>
      <c r="H23" s="15" t="n"/>
      <c r="I23" s="16" t="n"/>
      <c r="J23" s="12" t="n"/>
      <c r="K23" s="15" t="n"/>
      <c r="L23" s="15" t="n"/>
      <c r="M23" s="12" t="n"/>
      <c r="N23" s="11" t="n"/>
    </row>
    <row r="24">
      <c r="A24" s="8" t="n"/>
      <c r="B24" s="11" t="n"/>
      <c r="C24" s="8" t="n"/>
      <c r="D24" s="8" t="n"/>
      <c r="E24" s="8" t="n"/>
      <c r="F24" s="8" t="n"/>
      <c r="G24" s="8" t="n"/>
      <c r="H24" s="15" t="n"/>
      <c r="I24" s="16" t="n"/>
      <c r="J24" s="12" t="n"/>
      <c r="K24" s="15" t="n"/>
      <c r="L24" s="15" t="n"/>
      <c r="M24" s="12" t="n"/>
      <c r="N24" s="11" t="n"/>
    </row>
    <row r="25">
      <c r="A25" s="8" t="n"/>
      <c r="B25" s="11" t="n"/>
      <c r="C25" s="8" t="n"/>
      <c r="D25" s="8" t="n"/>
      <c r="E25" s="8" t="n"/>
      <c r="F25" s="8" t="n"/>
      <c r="G25" s="8" t="n"/>
      <c r="H25" s="15" t="n"/>
      <c r="I25" s="16" t="n"/>
      <c r="J25" s="12" t="n"/>
      <c r="K25" s="15" t="n"/>
      <c r="L25" s="15" t="n"/>
      <c r="M25" s="12" t="n"/>
      <c r="N25" s="11" t="n"/>
    </row>
    <row r="26">
      <c r="A26" s="8" t="n"/>
      <c r="B26" s="11" t="n"/>
      <c r="C26" s="8" t="n"/>
      <c r="D26" s="8" t="n"/>
      <c r="E26" s="8" t="n"/>
      <c r="F26" s="8" t="n"/>
      <c r="G26" s="8" t="n"/>
      <c r="H26" s="15" t="n"/>
      <c r="I26" s="16" t="n"/>
      <c r="J26" s="12" t="n"/>
      <c r="K26" s="15" t="n"/>
      <c r="L26" s="15" t="n"/>
      <c r="M26" s="12" t="n"/>
      <c r="N26" s="11" t="n"/>
    </row>
    <row r="27">
      <c r="A27" s="8" t="n"/>
      <c r="B27" s="11" t="n"/>
      <c r="C27" s="8" t="n"/>
      <c r="D27" s="8" t="n"/>
      <c r="E27" s="8" t="n"/>
      <c r="F27" s="8" t="n"/>
      <c r="G27" s="8" t="n"/>
      <c r="H27" s="15" t="n"/>
      <c r="I27" s="16" t="n"/>
      <c r="J27" s="12" t="n"/>
      <c r="K27" s="15" t="n"/>
      <c r="L27" s="15" t="n"/>
      <c r="M27" s="12" t="n"/>
      <c r="N27" s="11" t="n"/>
    </row>
    <row r="28">
      <c r="A28" s="8" t="n"/>
      <c r="B28" s="11" t="n"/>
      <c r="C28" s="8" t="n"/>
      <c r="D28" s="8" t="n"/>
      <c r="E28" s="8" t="n"/>
      <c r="F28" s="8" t="n"/>
      <c r="G28" s="8" t="n"/>
      <c r="H28" s="15" t="n"/>
      <c r="I28" s="16" t="n"/>
      <c r="J28" s="12" t="n"/>
      <c r="K28" s="15" t="n"/>
      <c r="L28" s="15" t="n"/>
      <c r="M28" s="12" t="n"/>
      <c r="N28" s="11" t="n"/>
    </row>
    <row r="29">
      <c r="A29" s="8" t="n"/>
      <c r="B29" s="11" t="n"/>
      <c r="C29" s="8" t="n"/>
      <c r="D29" s="8" t="n"/>
      <c r="E29" s="8" t="n"/>
      <c r="F29" s="8" t="n"/>
      <c r="G29" s="8" t="n"/>
      <c r="H29" s="15" t="n"/>
      <c r="I29" s="16" t="n"/>
      <c r="J29" s="12" t="n"/>
      <c r="K29" s="15" t="n"/>
      <c r="L29" s="15" t="n"/>
      <c r="M29" s="12" t="n"/>
      <c r="N29" s="11" t="n"/>
    </row>
    <row r="30">
      <c r="A30" s="8" t="n"/>
      <c r="B30" s="11" t="n"/>
      <c r="C30" s="8" t="n"/>
      <c r="D30" s="8" t="n"/>
      <c r="E30" s="8" t="n"/>
      <c r="F30" s="8" t="n"/>
      <c r="G30" s="8" t="n"/>
      <c r="H30" s="15" t="n"/>
      <c r="I30" s="16" t="n"/>
      <c r="J30" s="12" t="n"/>
      <c r="K30" s="15" t="n"/>
      <c r="L30" s="15" t="n"/>
      <c r="M30" s="12" t="n"/>
      <c r="N30" s="11" t="n"/>
    </row>
    <row r="31">
      <c r="A31" s="8" t="n"/>
      <c r="B31" s="11" t="n"/>
      <c r="C31" s="8" t="n"/>
      <c r="D31" s="8" t="n"/>
      <c r="E31" s="8" t="n"/>
      <c r="F31" s="8" t="n"/>
      <c r="G31" s="8" t="n"/>
      <c r="H31" s="15" t="n"/>
      <c r="I31" s="16" t="n"/>
      <c r="J31" s="12" t="n"/>
      <c r="K31" s="15" t="n"/>
      <c r="L31" s="15" t="n"/>
      <c r="M31" s="12" t="n"/>
      <c r="N31" s="11" t="n"/>
    </row>
    <row r="32">
      <c r="A32" s="8" t="n"/>
      <c r="B32" s="11" t="n"/>
      <c r="C32" s="8" t="n"/>
      <c r="D32" s="8" t="n"/>
      <c r="E32" s="8" t="n"/>
      <c r="F32" s="8" t="n"/>
      <c r="G32" s="8" t="n"/>
      <c r="H32" s="15" t="n"/>
      <c r="I32" s="16" t="n"/>
      <c r="J32" s="12" t="n"/>
      <c r="K32" s="15" t="n"/>
      <c r="L32" s="15" t="n"/>
      <c r="M32" s="12" t="n"/>
      <c r="N32" s="11" t="n"/>
    </row>
    <row r="33">
      <c r="A33" s="8" t="n"/>
      <c r="B33" s="11" t="n"/>
      <c r="C33" s="8" t="n"/>
      <c r="D33" s="8" t="n"/>
      <c r="E33" s="8" t="n"/>
      <c r="F33" s="8" t="n"/>
      <c r="G33" s="8" t="n"/>
      <c r="H33" s="15" t="n"/>
      <c r="I33" s="16" t="n"/>
      <c r="J33" s="12" t="n"/>
      <c r="K33" s="15" t="n"/>
      <c r="L33" s="15" t="n"/>
      <c r="M33" s="12" t="n"/>
      <c r="N33" s="11" t="n"/>
    </row>
    <row r="34">
      <c r="A34" s="8" t="n"/>
      <c r="B34" s="11" t="n"/>
      <c r="C34" s="8" t="n"/>
      <c r="D34" s="8" t="n"/>
      <c r="E34" s="8" t="n"/>
      <c r="F34" s="8" t="n"/>
      <c r="G34" s="8" t="n"/>
      <c r="H34" s="15" t="n"/>
      <c r="I34" s="16" t="n"/>
      <c r="J34" s="12" t="n"/>
      <c r="K34" s="15" t="n"/>
      <c r="L34" s="15" t="n"/>
      <c r="M34" s="12" t="n"/>
      <c r="N34" s="11" t="n"/>
    </row>
    <row r="35">
      <c r="A35" s="8" t="n"/>
      <c r="B35" s="11" t="n"/>
      <c r="C35" s="8" t="n"/>
      <c r="D35" s="8" t="n"/>
      <c r="E35" s="8" t="n"/>
      <c r="F35" s="8" t="n"/>
      <c r="G35" s="8" t="n"/>
      <c r="H35" s="15" t="n"/>
      <c r="I35" s="16" t="n"/>
      <c r="J35" s="12" t="n"/>
      <c r="K35" s="15" t="n"/>
      <c r="L35" s="15" t="n"/>
      <c r="M35" s="12" t="n"/>
      <c r="N35" s="11" t="n"/>
    </row>
    <row r="36">
      <c r="A36" s="8" t="n"/>
      <c r="B36" s="11" t="n"/>
      <c r="C36" s="8" t="n"/>
      <c r="D36" s="8" t="n"/>
      <c r="E36" s="8" t="n"/>
      <c r="F36" s="8" t="n"/>
      <c r="G36" s="8" t="n"/>
      <c r="H36" s="15" t="n"/>
      <c r="I36" s="16" t="n"/>
      <c r="J36" s="12" t="n"/>
      <c r="K36" s="15" t="n"/>
      <c r="L36" s="15" t="n"/>
      <c r="M36" s="12" t="n"/>
      <c r="N36" s="11" t="n"/>
    </row>
    <row r="37">
      <c r="A37" s="8" t="n"/>
      <c r="B37" s="11" t="n"/>
      <c r="C37" s="8" t="n"/>
      <c r="D37" s="8" t="n"/>
      <c r="E37" s="8" t="n"/>
      <c r="F37" s="8" t="n"/>
      <c r="G37" s="8" t="n"/>
      <c r="H37" s="15" t="n"/>
      <c r="I37" s="16" t="n"/>
      <c r="J37" s="12" t="n"/>
      <c r="K37" s="15" t="n"/>
      <c r="L37" s="15" t="n"/>
      <c r="M37" s="12" t="n"/>
      <c r="N37" s="11" t="n"/>
    </row>
    <row r="38">
      <c r="A38" s="8" t="n"/>
      <c r="B38" s="11" t="n"/>
      <c r="C38" s="8" t="n"/>
      <c r="D38" s="8" t="n"/>
      <c r="E38" s="8" t="n"/>
      <c r="F38" s="8" t="n"/>
      <c r="G38" s="8" t="n"/>
      <c r="H38" s="15" t="n"/>
      <c r="I38" s="16" t="n"/>
      <c r="J38" s="12" t="n"/>
      <c r="K38" s="15" t="n"/>
      <c r="L38" s="15" t="n"/>
      <c r="M38" s="12" t="n"/>
      <c r="N38" s="11" t="n"/>
    </row>
    <row r="39">
      <c r="A39" s="8" t="n"/>
      <c r="B39" s="11" t="n"/>
      <c r="C39" s="8" t="n"/>
      <c r="D39" s="8" t="n"/>
      <c r="E39" s="8" t="n"/>
      <c r="F39" s="8" t="n"/>
      <c r="G39" s="8" t="n"/>
      <c r="H39" s="15" t="n"/>
      <c r="I39" s="16" t="n"/>
      <c r="J39" s="12" t="n"/>
      <c r="K39" s="15" t="n"/>
      <c r="L39" s="15" t="n"/>
      <c r="M39" s="12" t="n"/>
      <c r="N39" s="11" t="n"/>
    </row>
    <row r="40">
      <c r="A40" s="8" t="n"/>
      <c r="B40" s="11" t="n"/>
      <c r="C40" s="8" t="n"/>
      <c r="D40" s="8" t="n"/>
      <c r="E40" s="8" t="n"/>
      <c r="F40" s="8" t="n"/>
      <c r="G40" s="8" t="n"/>
      <c r="H40" s="15" t="n"/>
      <c r="I40" s="16" t="n"/>
      <c r="J40" s="12" t="n"/>
      <c r="K40" s="15" t="n"/>
      <c r="L40" s="15" t="n"/>
      <c r="M40" s="12" t="n"/>
      <c r="N40" s="11" t="n"/>
    </row>
    <row r="41">
      <c r="A41" s="8" t="n"/>
      <c r="B41" s="11" t="n"/>
      <c r="C41" s="8" t="n"/>
      <c r="D41" s="8" t="n"/>
      <c r="E41" s="8" t="n"/>
      <c r="F41" s="8" t="n"/>
      <c r="G41" s="8" t="n"/>
      <c r="H41" s="15" t="n"/>
      <c r="I41" s="16" t="n"/>
      <c r="J41" s="12" t="n"/>
      <c r="K41" s="15" t="n"/>
      <c r="L41" s="15" t="n"/>
      <c r="M41" s="12" t="n"/>
      <c r="N41" s="11" t="n"/>
    </row>
    <row r="42">
      <c r="A42" s="8" t="n"/>
      <c r="B42" s="11" t="n"/>
      <c r="C42" s="8" t="n"/>
      <c r="D42" s="8" t="n"/>
      <c r="E42" s="8" t="n"/>
      <c r="F42" s="8" t="n"/>
      <c r="G42" s="8" t="n"/>
      <c r="H42" s="15" t="n"/>
      <c r="I42" s="16" t="n"/>
      <c r="J42" s="12" t="n"/>
      <c r="K42" s="15" t="n"/>
      <c r="L42" s="15" t="n"/>
      <c r="M42" s="12" t="n"/>
      <c r="N42" s="11" t="n"/>
    </row>
    <row r="43">
      <c r="A43" s="8" t="n"/>
      <c r="B43" s="11" t="n"/>
      <c r="C43" s="8" t="n"/>
      <c r="D43" s="8" t="n"/>
      <c r="E43" s="8" t="n"/>
      <c r="F43" s="8" t="n"/>
      <c r="G43" s="8" t="n"/>
      <c r="H43" s="15" t="n"/>
      <c r="I43" s="16" t="n"/>
      <c r="J43" s="12" t="n"/>
      <c r="K43" s="15" t="n"/>
      <c r="L43" s="15" t="n"/>
      <c r="M43" s="12" t="n"/>
      <c r="N43" s="11" t="n"/>
    </row>
    <row r="44">
      <c r="A44" s="8" t="n"/>
      <c r="B44" s="11" t="n"/>
      <c r="C44" s="8" t="n"/>
      <c r="D44" s="8" t="n"/>
      <c r="E44" s="8" t="n"/>
      <c r="F44" s="8" t="n"/>
      <c r="G44" s="8" t="n"/>
      <c r="H44" s="15" t="n"/>
      <c r="I44" s="16" t="n"/>
      <c r="J44" s="12" t="n"/>
      <c r="K44" s="15" t="n"/>
      <c r="L44" s="15" t="n"/>
      <c r="M44" s="12" t="n"/>
      <c r="N44" s="11" t="n"/>
    </row>
    <row r="45">
      <c r="A45" s="8" t="n"/>
      <c r="B45" s="11" t="n"/>
      <c r="C45" s="8" t="n"/>
      <c r="D45" s="8" t="n"/>
      <c r="E45" s="8" t="n"/>
      <c r="F45" s="8" t="n"/>
      <c r="G45" s="8" t="n"/>
      <c r="H45" s="15" t="n"/>
      <c r="I45" s="16" t="n"/>
      <c r="J45" s="12" t="n"/>
      <c r="K45" s="15" t="n"/>
      <c r="L45" s="15" t="n"/>
      <c r="M45" s="12" t="n"/>
      <c r="N45" s="11" t="n"/>
    </row>
    <row r="46">
      <c r="A46" s="8" t="n"/>
      <c r="B46" s="11" t="n"/>
      <c r="C46" s="8" t="n"/>
      <c r="D46" s="8" t="n"/>
      <c r="E46" s="8" t="n"/>
      <c r="F46" s="8" t="n"/>
      <c r="G46" s="8" t="n"/>
      <c r="H46" s="15" t="n"/>
      <c r="I46" s="16" t="n"/>
      <c r="J46" s="12" t="n"/>
      <c r="K46" s="15" t="n"/>
      <c r="L46" s="15" t="n"/>
      <c r="M46" s="12" t="n"/>
      <c r="N46" s="11" t="n"/>
    </row>
    <row r="47">
      <c r="A47" s="8" t="n"/>
      <c r="B47" s="11" t="n"/>
      <c r="C47" s="8" t="n"/>
      <c r="D47" s="8" t="n"/>
      <c r="E47" s="8" t="n"/>
      <c r="F47" s="8" t="n"/>
      <c r="G47" s="8" t="n"/>
      <c r="H47" s="15" t="n"/>
      <c r="I47" s="16" t="n"/>
      <c r="J47" s="12" t="n"/>
      <c r="K47" s="15" t="n"/>
      <c r="L47" s="15" t="n"/>
      <c r="M47" s="12" t="n"/>
      <c r="N47" s="11" t="n"/>
    </row>
    <row r="48">
      <c r="A48" s="8" t="n"/>
      <c r="B48" s="11" t="n"/>
      <c r="C48" s="8" t="n"/>
      <c r="D48" s="8" t="n"/>
      <c r="E48" s="8" t="n"/>
      <c r="F48" s="8" t="n"/>
      <c r="G48" s="8" t="n"/>
      <c r="H48" s="15" t="n"/>
      <c r="I48" s="16" t="n"/>
      <c r="J48" s="12" t="n"/>
      <c r="K48" s="15" t="n"/>
      <c r="L48" s="15" t="n"/>
      <c r="M48" s="12" t="n"/>
      <c r="N48" s="11" t="n"/>
    </row>
    <row r="49">
      <c r="A49" s="8" t="n"/>
      <c r="B49" s="11" t="n"/>
      <c r="C49" s="8" t="n"/>
      <c r="D49" s="8" t="n"/>
      <c r="E49" s="8" t="n"/>
      <c r="F49" s="8" t="n"/>
      <c r="G49" s="8" t="n"/>
      <c r="H49" s="15" t="n"/>
      <c r="I49" s="16" t="n"/>
      <c r="J49" s="12" t="n"/>
      <c r="K49" s="15" t="n"/>
      <c r="L49" s="15" t="n"/>
      <c r="M49" s="12" t="n"/>
      <c r="N49" s="11" t="n"/>
    </row>
    <row r="50">
      <c r="A50" s="8" t="n"/>
      <c r="B50" s="11" t="n"/>
      <c r="C50" s="8" t="n"/>
      <c r="D50" s="8" t="n"/>
      <c r="E50" s="8" t="n"/>
      <c r="F50" s="8" t="n"/>
      <c r="G50" s="8" t="n"/>
      <c r="H50" s="15" t="n"/>
      <c r="I50" s="16" t="n"/>
      <c r="J50" s="12" t="n"/>
      <c r="K50" s="15" t="n"/>
      <c r="L50" s="15" t="n"/>
      <c r="M50" s="12" t="n"/>
      <c r="N50" s="11" t="n"/>
    </row>
    <row r="51">
      <c r="A51" s="8" t="n"/>
      <c r="B51" s="11" t="n"/>
      <c r="C51" s="8" t="n"/>
      <c r="D51" s="8" t="n"/>
      <c r="E51" s="8" t="n"/>
      <c r="F51" s="8" t="n"/>
      <c r="G51" s="8" t="n"/>
      <c r="H51" s="15" t="n"/>
      <c r="I51" s="16" t="n"/>
      <c r="J51" s="12" t="n"/>
      <c r="K51" s="15" t="n"/>
      <c r="L51" s="15" t="n"/>
      <c r="M51" s="12" t="n"/>
      <c r="N51" s="11" t="n"/>
    </row>
    <row r="52">
      <c r="A52" s="8" t="n"/>
      <c r="B52" s="11" t="n"/>
      <c r="C52" s="8" t="n"/>
      <c r="D52" s="8" t="n"/>
      <c r="E52" s="8" t="n"/>
      <c r="F52" s="8" t="n"/>
      <c r="G52" s="8" t="n"/>
      <c r="H52" s="15" t="n"/>
      <c r="I52" s="16" t="n"/>
      <c r="J52" s="12" t="n"/>
      <c r="K52" s="15" t="n"/>
      <c r="L52" s="15" t="n"/>
      <c r="M52" s="12" t="n"/>
      <c r="N52" s="11" t="n"/>
    </row>
    <row r="53">
      <c r="A53" s="8" t="n"/>
      <c r="B53" s="11" t="n"/>
      <c r="C53" s="8" t="n"/>
      <c r="D53" s="8" t="n"/>
      <c r="E53" s="8" t="n"/>
      <c r="F53" s="8" t="n"/>
      <c r="G53" s="8" t="n"/>
      <c r="H53" s="15" t="n"/>
      <c r="I53" s="16" t="n"/>
      <c r="J53" s="12" t="n"/>
      <c r="K53" s="15" t="n"/>
      <c r="L53" s="15" t="n"/>
      <c r="M53" s="12" t="n"/>
      <c r="N53" s="11" t="n"/>
    </row>
    <row r="54">
      <c r="A54" s="8" t="n"/>
      <c r="B54" s="11" t="n"/>
      <c r="C54" s="8" t="n"/>
      <c r="D54" s="8" t="n"/>
      <c r="E54" s="8" t="n"/>
      <c r="F54" s="8" t="n"/>
      <c r="G54" s="8" t="n"/>
      <c r="H54" s="15" t="n"/>
      <c r="I54" s="16" t="n"/>
      <c r="J54" s="12" t="n"/>
      <c r="K54" s="15" t="n"/>
      <c r="L54" s="15" t="n"/>
      <c r="M54" s="12" t="n"/>
      <c r="N54" s="11" t="n"/>
    </row>
    <row r="55">
      <c r="A55" s="8" t="n"/>
      <c r="B55" s="11" t="n"/>
      <c r="C55" s="8" t="n"/>
      <c r="D55" s="8" t="n"/>
      <c r="E55" s="8" t="n"/>
      <c r="F55" s="8" t="n"/>
      <c r="G55" s="8" t="n"/>
      <c r="H55" s="15" t="n"/>
      <c r="I55" s="16" t="n"/>
      <c r="J55" s="12" t="n"/>
      <c r="K55" s="15" t="n"/>
      <c r="L55" s="15" t="n"/>
      <c r="M55" s="12" t="n"/>
      <c r="N55" s="11" t="n"/>
    </row>
    <row r="56">
      <c r="A56" s="8" t="n"/>
      <c r="B56" s="11" t="n"/>
      <c r="C56" s="8" t="n"/>
      <c r="D56" s="8" t="n"/>
      <c r="E56" s="8" t="n"/>
      <c r="F56" s="8" t="n"/>
      <c r="G56" s="8" t="n"/>
      <c r="H56" s="15" t="n"/>
      <c r="I56" s="16" t="n"/>
      <c r="J56" s="12" t="n"/>
      <c r="K56" s="15" t="n"/>
      <c r="L56" s="15" t="n"/>
      <c r="M56" s="12" t="n"/>
      <c r="N56" s="11" t="n"/>
    </row>
    <row r="57">
      <c r="A57" s="8" t="n"/>
      <c r="B57" s="11" t="n"/>
      <c r="C57" s="8" t="n"/>
      <c r="D57" s="8" t="n"/>
      <c r="E57" s="8" t="n"/>
      <c r="F57" s="8" t="n"/>
      <c r="G57" s="8" t="n"/>
      <c r="H57" s="15" t="n"/>
      <c r="I57" s="16" t="n"/>
      <c r="J57" s="12" t="n"/>
      <c r="K57" s="15" t="n"/>
      <c r="L57" s="15" t="n"/>
      <c r="M57" s="12" t="n"/>
      <c r="N57" s="11" t="n"/>
    </row>
    <row r="58">
      <c r="A58" s="8" t="n"/>
      <c r="B58" s="11" t="n"/>
      <c r="C58" s="8" t="n"/>
      <c r="D58" s="8" t="n"/>
      <c r="E58" s="8" t="n"/>
      <c r="F58" s="8" t="n"/>
      <c r="G58" s="8" t="n"/>
      <c r="H58" s="15" t="n"/>
      <c r="I58" s="16" t="n"/>
      <c r="J58" s="12" t="n"/>
      <c r="K58" s="15" t="n"/>
      <c r="L58" s="15" t="n"/>
      <c r="M58" s="12" t="n"/>
      <c r="N58" s="11" t="n"/>
    </row>
    <row r="59">
      <c r="A59" s="8" t="n"/>
      <c r="B59" s="11" t="n"/>
      <c r="C59" s="8" t="n"/>
      <c r="D59" s="8" t="n"/>
      <c r="E59" s="8" t="n"/>
      <c r="F59" s="8" t="n"/>
      <c r="G59" s="8" t="n"/>
      <c r="H59" s="15" t="n"/>
      <c r="I59" s="16" t="n"/>
      <c r="J59" s="12" t="n"/>
      <c r="K59" s="15" t="n"/>
      <c r="L59" s="15" t="n"/>
      <c r="M59" s="12" t="n"/>
      <c r="N59" s="11" t="n"/>
    </row>
    <row r="60">
      <c r="A60" s="8" t="n"/>
      <c r="B60" s="11" t="n"/>
      <c r="C60" s="8" t="n"/>
      <c r="D60" s="8" t="n"/>
      <c r="E60" s="8" t="n"/>
      <c r="F60" s="8" t="n"/>
      <c r="G60" s="8" t="n"/>
      <c r="H60" s="15" t="n"/>
      <c r="I60" s="16" t="n"/>
      <c r="J60" s="12" t="n"/>
      <c r="K60" s="15" t="n"/>
      <c r="L60" s="15" t="n"/>
      <c r="M60" s="12" t="n"/>
      <c r="N60" s="11" t="n"/>
    </row>
    <row r="61">
      <c r="A61" s="8" t="n"/>
      <c r="B61" s="11" t="n"/>
      <c r="C61" s="8" t="n"/>
      <c r="D61" s="8" t="n"/>
      <c r="E61" s="8" t="n"/>
      <c r="F61" s="8" t="n"/>
      <c r="G61" s="8" t="n"/>
      <c r="H61" s="15" t="n"/>
      <c r="I61" s="16" t="n"/>
      <c r="J61" s="12" t="n"/>
      <c r="K61" s="15" t="n"/>
      <c r="L61" s="15" t="n"/>
      <c r="M61" s="12" t="n"/>
      <c r="N61" s="11" t="n"/>
    </row>
    <row r="62">
      <c r="A62" s="8" t="n"/>
      <c r="B62" s="11" t="n"/>
      <c r="C62" s="8" t="n"/>
      <c r="D62" s="8" t="n"/>
      <c r="E62" s="8" t="n"/>
      <c r="F62" s="8" t="n"/>
      <c r="G62" s="8" t="n"/>
      <c r="H62" s="15" t="n"/>
      <c r="I62" s="16" t="n"/>
      <c r="J62" s="12" t="n"/>
      <c r="K62" s="15" t="n"/>
      <c r="L62" s="15" t="n"/>
      <c r="M62" s="12" t="n"/>
      <c r="N62" s="11" t="n"/>
    </row>
    <row r="63">
      <c r="A63" s="8" t="n"/>
      <c r="B63" s="11" t="n"/>
      <c r="C63" s="8" t="n"/>
      <c r="D63" s="8" t="n"/>
      <c r="E63" s="8" t="n"/>
      <c r="F63" s="8" t="n"/>
      <c r="G63" s="8" t="n"/>
      <c r="H63" s="15" t="n"/>
      <c r="I63" s="16" t="n"/>
      <c r="J63" s="12" t="n"/>
      <c r="K63" s="15" t="n"/>
      <c r="L63" s="15" t="n"/>
      <c r="M63" s="12" t="n"/>
      <c r="N63" s="11" t="n"/>
    </row>
    <row r="64">
      <c r="A64" s="8" t="n"/>
      <c r="B64" s="11" t="n"/>
      <c r="C64" s="8" t="n"/>
      <c r="D64" s="8" t="n"/>
      <c r="E64" s="8" t="n"/>
      <c r="F64" s="8" t="n"/>
      <c r="G64" s="8" t="n"/>
      <c r="H64" s="15" t="n"/>
      <c r="I64" s="16" t="n"/>
      <c r="J64" s="12" t="n"/>
      <c r="K64" s="15" t="n"/>
      <c r="L64" s="15" t="n"/>
      <c r="M64" s="12" t="n"/>
      <c r="N64" s="11" t="n"/>
    </row>
    <row r="65">
      <c r="A65" s="8" t="n"/>
      <c r="B65" s="11" t="n"/>
      <c r="C65" s="8" t="n"/>
      <c r="D65" s="8" t="n"/>
      <c r="E65" s="8" t="n"/>
      <c r="F65" s="8" t="n"/>
      <c r="G65" s="8" t="n"/>
      <c r="H65" s="15" t="n"/>
      <c r="I65" s="16" t="n"/>
      <c r="J65" s="12" t="n"/>
      <c r="K65" s="15" t="n"/>
      <c r="L65" s="15" t="n"/>
      <c r="M65" s="12" t="n"/>
      <c r="N65" s="11" t="n"/>
    </row>
    <row r="66">
      <c r="A66" s="8" t="n"/>
      <c r="B66" s="11" t="n"/>
      <c r="C66" s="8" t="n"/>
      <c r="D66" s="8" t="n"/>
      <c r="E66" s="8" t="n"/>
      <c r="F66" s="8" t="n"/>
      <c r="G66" s="8" t="n"/>
      <c r="H66" s="15" t="n"/>
      <c r="I66" s="16" t="n"/>
      <c r="J66" s="12" t="n"/>
      <c r="K66" s="15" t="n"/>
      <c r="L66" s="15" t="n"/>
      <c r="M66" s="12" t="n"/>
      <c r="N66" s="11" t="n"/>
    </row>
    <row r="67">
      <c r="A67" s="8" t="n"/>
      <c r="B67" s="11" t="n"/>
      <c r="C67" s="8" t="n"/>
      <c r="D67" s="8" t="n"/>
      <c r="E67" s="8" t="n"/>
      <c r="F67" s="8" t="n"/>
      <c r="G67" s="8" t="n"/>
      <c r="H67" s="15" t="n"/>
      <c r="I67" s="16" t="n"/>
      <c r="J67" s="12" t="n"/>
      <c r="K67" s="15" t="n"/>
      <c r="L67" s="15" t="n"/>
      <c r="M67" s="12" t="n"/>
      <c r="N67" s="11" t="n"/>
    </row>
    <row r="68">
      <c r="A68" s="8" t="n"/>
      <c r="B68" s="11" t="n"/>
      <c r="C68" s="8" t="n"/>
      <c r="D68" s="8" t="n"/>
      <c r="E68" s="8" t="n"/>
      <c r="F68" s="8" t="n"/>
      <c r="G68" s="8" t="n"/>
      <c r="H68" s="15" t="n"/>
      <c r="I68" s="16" t="n"/>
      <c r="J68" s="12" t="n"/>
      <c r="K68" s="15" t="n"/>
      <c r="L68" s="15" t="n"/>
      <c r="M68" s="12" t="n"/>
      <c r="N68" s="11" t="n"/>
    </row>
    <row r="69">
      <c r="A69" s="8" t="n"/>
      <c r="B69" s="11" t="n"/>
      <c r="C69" s="8" t="n"/>
      <c r="D69" s="8" t="n"/>
      <c r="E69" s="8" t="n"/>
      <c r="F69" s="8" t="n"/>
      <c r="G69" s="8" t="n"/>
      <c r="H69" s="15" t="n"/>
      <c r="I69" s="16" t="n"/>
      <c r="J69" s="12" t="n"/>
      <c r="K69" s="15" t="n"/>
      <c r="L69" s="15" t="n"/>
      <c r="M69" s="12" t="n"/>
      <c r="N69" s="11" t="n"/>
    </row>
    <row r="70">
      <c r="A70" s="8" t="n"/>
      <c r="B70" s="11" t="n"/>
      <c r="C70" s="8" t="n"/>
      <c r="D70" s="8" t="n"/>
      <c r="E70" s="8" t="n"/>
      <c r="F70" s="8" t="n"/>
      <c r="G70" s="8" t="n"/>
      <c r="H70" s="15" t="n"/>
      <c r="I70" s="16" t="n"/>
      <c r="J70" s="12" t="n"/>
      <c r="K70" s="15" t="n"/>
      <c r="L70" s="15" t="n"/>
      <c r="M70" s="12" t="n"/>
      <c r="N70" s="11" t="n"/>
    </row>
    <row r="71">
      <c r="A71" s="8" t="n"/>
      <c r="B71" s="11" t="n"/>
      <c r="C71" s="8" t="n"/>
      <c r="D71" s="8" t="n"/>
      <c r="E71" s="8" t="n"/>
      <c r="F71" s="8" t="n"/>
      <c r="G71" s="8" t="n"/>
      <c r="H71" s="15" t="n"/>
      <c r="I71" s="16" t="n"/>
      <c r="J71" s="12" t="n"/>
      <c r="K71" s="15" t="n"/>
      <c r="L71" s="15" t="n"/>
      <c r="M71" s="12" t="n"/>
      <c r="N71" s="11" t="n"/>
    </row>
    <row r="72">
      <c r="A72" s="8" t="n"/>
      <c r="B72" s="11" t="n"/>
      <c r="C72" s="8" t="n"/>
      <c r="D72" s="8" t="n"/>
      <c r="E72" s="8" t="n"/>
      <c r="F72" s="8" t="n"/>
      <c r="G72" s="8" t="n"/>
      <c r="H72" s="15" t="n"/>
      <c r="I72" s="16" t="n"/>
      <c r="J72" s="12" t="n"/>
      <c r="K72" s="15" t="n"/>
      <c r="L72" s="15" t="n"/>
      <c r="M72" s="12" t="n"/>
      <c r="N72" s="11" t="n"/>
    </row>
    <row r="73">
      <c r="A73" s="8" t="n"/>
      <c r="B73" s="11" t="n"/>
      <c r="C73" s="8" t="n"/>
      <c r="D73" s="8" t="n"/>
      <c r="E73" s="8" t="n"/>
      <c r="F73" s="8" t="n"/>
      <c r="G73" s="8" t="n"/>
      <c r="H73" s="15" t="n"/>
      <c r="I73" s="16" t="n"/>
      <c r="J73" s="12" t="n"/>
      <c r="K73" s="15" t="n"/>
      <c r="L73" s="15" t="n"/>
      <c r="M73" s="12" t="n"/>
      <c r="N73" s="11" t="n"/>
    </row>
    <row r="74">
      <c r="A74" s="8" t="n"/>
      <c r="B74" s="11" t="n"/>
      <c r="C74" s="8" t="n"/>
      <c r="D74" s="8" t="n"/>
      <c r="E74" s="8" t="n"/>
      <c r="F74" s="8" t="n"/>
      <c r="G74" s="8" t="n"/>
      <c r="H74" s="15" t="n"/>
      <c r="I74" s="16" t="n"/>
      <c r="J74" s="12" t="n"/>
      <c r="K74" s="15" t="n"/>
      <c r="L74" s="15" t="n"/>
      <c r="M74" s="12" t="n"/>
      <c r="N74" s="11" t="n"/>
    </row>
    <row r="75">
      <c r="A75" s="8" t="n"/>
      <c r="B75" s="11" t="n"/>
      <c r="C75" s="8" t="n"/>
      <c r="D75" s="8" t="n"/>
      <c r="E75" s="8" t="n"/>
      <c r="F75" s="8" t="n"/>
      <c r="G75" s="8" t="n"/>
      <c r="H75" s="15" t="n"/>
      <c r="I75" s="16" t="n"/>
      <c r="J75" s="12" t="n"/>
      <c r="K75" s="15" t="n"/>
      <c r="L75" s="15" t="n"/>
      <c r="M75" s="12" t="n"/>
      <c r="N75" s="11" t="n"/>
    </row>
    <row r="76">
      <c r="A76" s="8" t="n"/>
      <c r="B76" s="11" t="n"/>
      <c r="C76" s="8" t="n"/>
      <c r="D76" s="8" t="n"/>
      <c r="E76" s="8" t="n"/>
      <c r="F76" s="8" t="n"/>
      <c r="G76" s="8" t="n"/>
      <c r="H76" s="15" t="n"/>
      <c r="I76" s="16" t="n"/>
      <c r="J76" s="12" t="n"/>
      <c r="K76" s="15" t="n"/>
      <c r="L76" s="15" t="n"/>
      <c r="M76" s="12" t="n"/>
      <c r="N76" s="11" t="n"/>
    </row>
    <row r="77">
      <c r="A77" s="8" t="n"/>
      <c r="B77" s="11" t="n"/>
      <c r="C77" s="8" t="n"/>
      <c r="D77" s="8" t="n"/>
      <c r="E77" s="8" t="n"/>
      <c r="F77" s="8" t="n"/>
      <c r="G77" s="8" t="n"/>
      <c r="H77" s="15" t="n"/>
      <c r="I77" s="16" t="n"/>
      <c r="J77" s="12" t="n"/>
      <c r="K77" s="15" t="n"/>
      <c r="L77" s="15" t="n"/>
      <c r="M77" s="12" t="n"/>
      <c r="N77" s="11" t="n"/>
    </row>
    <row r="78">
      <c r="A78" s="8" t="n"/>
      <c r="B78" s="11" t="n"/>
      <c r="C78" s="8" t="n"/>
      <c r="D78" s="8" t="n"/>
      <c r="E78" s="8" t="n"/>
      <c r="F78" s="8" t="n"/>
      <c r="G78" s="8" t="n"/>
      <c r="H78" s="15" t="n"/>
      <c r="I78" s="16" t="n"/>
      <c r="J78" s="12" t="n"/>
      <c r="K78" s="15" t="n"/>
      <c r="L78" s="15" t="n"/>
      <c r="M78" s="12" t="n"/>
      <c r="N78" s="11" t="n"/>
    </row>
    <row r="79">
      <c r="A79" s="8" t="n"/>
      <c r="B79" s="11" t="n"/>
      <c r="C79" s="8" t="n"/>
      <c r="D79" s="8" t="n"/>
      <c r="E79" s="8" t="n"/>
      <c r="F79" s="8" t="n"/>
      <c r="G79" s="8" t="n"/>
      <c r="H79" s="15" t="n"/>
      <c r="I79" s="16" t="n"/>
      <c r="J79" s="12" t="n"/>
      <c r="K79" s="15" t="n"/>
      <c r="L79" s="15" t="n"/>
      <c r="M79" s="12" t="n"/>
      <c r="N79" s="11" t="n"/>
    </row>
    <row r="80">
      <c r="A80" s="8" t="n"/>
      <c r="B80" s="11" t="n"/>
      <c r="C80" s="8" t="n"/>
      <c r="D80" s="8" t="n"/>
      <c r="E80" s="8" t="n"/>
      <c r="F80" s="8" t="n"/>
      <c r="G80" s="8" t="n"/>
      <c r="H80" s="15" t="n"/>
      <c r="I80" s="16" t="n"/>
      <c r="J80" s="12" t="n"/>
      <c r="K80" s="15" t="n"/>
      <c r="L80" s="15" t="n"/>
      <c r="M80" s="12" t="n"/>
      <c r="N80" s="11" t="n"/>
    </row>
    <row r="81">
      <c r="A81" s="8" t="n"/>
      <c r="B81" s="11" t="n"/>
      <c r="C81" s="8" t="n"/>
      <c r="D81" s="8" t="n"/>
      <c r="E81" s="8" t="n"/>
      <c r="F81" s="8" t="n"/>
      <c r="G81" s="8" t="n"/>
      <c r="H81" s="15" t="n"/>
      <c r="I81" s="16" t="n"/>
      <c r="J81" s="12" t="n"/>
      <c r="K81" s="15" t="n"/>
      <c r="L81" s="15" t="n"/>
      <c r="M81" s="12" t="n"/>
      <c r="N81" s="11" t="n"/>
    </row>
    <row r="82">
      <c r="A82" s="8" t="n"/>
      <c r="B82" s="11" t="n"/>
      <c r="C82" s="8" t="n"/>
      <c r="D82" s="8" t="n"/>
      <c r="E82" s="8" t="n"/>
      <c r="F82" s="8" t="n"/>
      <c r="G82" s="8" t="n"/>
      <c r="H82" s="15" t="n"/>
      <c r="I82" s="16" t="n"/>
      <c r="J82" s="12" t="n"/>
      <c r="K82" s="15" t="n"/>
      <c r="L82" s="15" t="n"/>
      <c r="M82" s="12" t="n"/>
      <c r="N82" s="11" t="n"/>
    </row>
    <row r="83">
      <c r="A83" s="8" t="n"/>
      <c r="B83" s="11" t="n"/>
      <c r="C83" s="8" t="n"/>
      <c r="D83" s="8" t="n"/>
      <c r="E83" s="8" t="n"/>
      <c r="F83" s="8" t="n"/>
      <c r="G83" s="8" t="n"/>
      <c r="H83" s="15" t="n"/>
      <c r="I83" s="16" t="n"/>
      <c r="J83" s="12" t="n"/>
      <c r="K83" s="15" t="n"/>
      <c r="L83" s="15" t="n"/>
      <c r="M83" s="12" t="n"/>
      <c r="N83" s="11" t="n"/>
    </row>
    <row r="84">
      <c r="A84" s="8" t="n"/>
      <c r="B84" s="11" t="n"/>
      <c r="C84" s="8" t="n"/>
      <c r="D84" s="8" t="n"/>
      <c r="E84" s="8" t="n"/>
      <c r="F84" s="8" t="n"/>
      <c r="G84" s="8" t="n"/>
      <c r="H84" s="15" t="n"/>
      <c r="I84" s="16" t="n"/>
      <c r="J84" s="12" t="n"/>
      <c r="K84" s="15" t="n"/>
      <c r="L84" s="15" t="n"/>
      <c r="M84" s="12" t="n"/>
      <c r="N84" s="11" t="n"/>
    </row>
    <row r="85">
      <c r="A85" s="8" t="n"/>
      <c r="B85" s="11" t="n"/>
      <c r="C85" s="8" t="n"/>
      <c r="D85" s="8" t="n"/>
      <c r="E85" s="8" t="n"/>
      <c r="F85" s="8" t="n"/>
      <c r="G85" s="8" t="n"/>
      <c r="H85" s="15" t="n"/>
      <c r="I85" s="16" t="n"/>
      <c r="J85" s="12" t="n"/>
      <c r="K85" s="15" t="n"/>
      <c r="L85" s="15" t="n"/>
      <c r="M85" s="12" t="n"/>
      <c r="N85" s="11" t="n"/>
    </row>
    <row r="86">
      <c r="A86" s="8" t="n"/>
      <c r="B86" s="11" t="n"/>
      <c r="C86" s="8" t="n"/>
      <c r="D86" s="8" t="n"/>
      <c r="E86" s="8" t="n"/>
      <c r="F86" s="8" t="n"/>
      <c r="G86" s="8" t="n"/>
      <c r="H86" s="15" t="n"/>
      <c r="I86" s="16" t="n"/>
      <c r="J86" s="12" t="n"/>
      <c r="K86" s="15" t="n"/>
      <c r="L86" s="15" t="n"/>
      <c r="M86" s="12" t="n"/>
      <c r="N86" s="11" t="n"/>
    </row>
    <row r="87">
      <c r="A87" s="8" t="n"/>
      <c r="B87" s="11" t="n"/>
      <c r="C87" s="8" t="n"/>
      <c r="D87" s="8" t="n"/>
      <c r="E87" s="8" t="n"/>
      <c r="F87" s="8" t="n"/>
      <c r="G87" s="8" t="n"/>
      <c r="H87" s="15" t="n"/>
      <c r="I87" s="16" t="n"/>
      <c r="J87" s="12" t="n"/>
      <c r="K87" s="15" t="n"/>
      <c r="L87" s="15" t="n"/>
      <c r="M87" s="12" t="n"/>
      <c r="N87" s="11" t="n"/>
    </row>
    <row r="88">
      <c r="A88" s="8" t="n"/>
      <c r="B88" s="11" t="n"/>
      <c r="C88" s="8" t="n"/>
      <c r="D88" s="8" t="n"/>
      <c r="E88" s="8" t="n"/>
      <c r="F88" s="8" t="n"/>
      <c r="G88" s="8" t="n"/>
      <c r="H88" s="15" t="n"/>
      <c r="I88" s="16" t="n"/>
      <c r="J88" s="12" t="n"/>
      <c r="K88" s="15" t="n"/>
      <c r="L88" s="15" t="n"/>
      <c r="M88" s="12" t="n"/>
      <c r="N88" s="11" t="n"/>
    </row>
    <row r="89">
      <c r="A89" s="8" t="n"/>
      <c r="B89" s="11" t="n"/>
      <c r="C89" s="8" t="n"/>
      <c r="D89" s="8" t="n"/>
      <c r="E89" s="8" t="n"/>
      <c r="F89" s="8" t="n"/>
      <c r="G89" s="8" t="n"/>
      <c r="H89" s="15" t="n"/>
      <c r="I89" s="16" t="n"/>
      <c r="J89" s="12" t="n"/>
      <c r="K89" s="15" t="n"/>
      <c r="L89" s="15" t="n"/>
      <c r="M89" s="12" t="n"/>
      <c r="N89" s="11" t="n"/>
    </row>
    <row r="90">
      <c r="A90" s="8" t="n"/>
      <c r="B90" s="11" t="n"/>
      <c r="C90" s="8" t="n"/>
      <c r="D90" s="8" t="n"/>
      <c r="E90" s="8" t="n"/>
      <c r="F90" s="8" t="n"/>
      <c r="G90" s="8" t="n"/>
      <c r="H90" s="15" t="n"/>
      <c r="I90" s="16" t="n"/>
      <c r="J90" s="12" t="n"/>
      <c r="K90" s="15" t="n"/>
      <c r="L90" s="15" t="n"/>
      <c r="M90" s="12" t="n"/>
      <c r="N90" s="11" t="n"/>
    </row>
    <row r="91">
      <c r="A91" s="8" t="n"/>
      <c r="B91" s="11" t="n"/>
      <c r="C91" s="8" t="n"/>
      <c r="D91" s="8" t="n"/>
      <c r="E91" s="8" t="n"/>
      <c r="F91" s="8" t="n"/>
      <c r="G91" s="8" t="n"/>
      <c r="H91" s="15" t="n"/>
      <c r="I91" s="16" t="n"/>
      <c r="J91" s="12" t="n"/>
      <c r="K91" s="15" t="n"/>
      <c r="L91" s="15" t="n"/>
      <c r="M91" s="12" t="n"/>
      <c r="N91" s="11" t="n"/>
    </row>
    <row r="92">
      <c r="A92" s="8" t="n"/>
      <c r="B92" s="11" t="n"/>
      <c r="C92" s="8" t="n"/>
      <c r="D92" s="8" t="n"/>
      <c r="E92" s="8" t="n"/>
      <c r="F92" s="8" t="n"/>
      <c r="G92" s="8" t="n"/>
      <c r="H92" s="15" t="n"/>
      <c r="I92" s="16" t="n"/>
      <c r="J92" s="12" t="n"/>
      <c r="K92" s="15" t="n"/>
      <c r="L92" s="15" t="n"/>
      <c r="M92" s="12" t="n"/>
      <c r="N92" s="11" t="n"/>
    </row>
    <row r="93">
      <c r="A93" s="8" t="n"/>
      <c r="B93" s="11" t="n"/>
      <c r="C93" s="8" t="n"/>
      <c r="D93" s="8" t="n"/>
      <c r="E93" s="8" t="n"/>
      <c r="F93" s="8" t="n"/>
      <c r="G93" s="8" t="n"/>
      <c r="H93" s="15" t="n"/>
      <c r="I93" s="16" t="n"/>
      <c r="J93" s="12" t="n"/>
      <c r="K93" s="15" t="n"/>
      <c r="L93" s="15" t="n"/>
      <c r="M93" s="12" t="n"/>
      <c r="N93" s="11" t="n"/>
    </row>
    <row r="94">
      <c r="A94" s="8" t="n"/>
      <c r="B94" s="11" t="n"/>
      <c r="C94" s="8" t="n"/>
      <c r="D94" s="8" t="n"/>
      <c r="E94" s="8" t="n"/>
      <c r="F94" s="8" t="n"/>
      <c r="G94" s="8" t="n"/>
      <c r="H94" s="15" t="n"/>
      <c r="I94" s="16" t="n"/>
      <c r="J94" s="12" t="n"/>
      <c r="K94" s="15" t="n"/>
      <c r="L94" s="15" t="n"/>
      <c r="M94" s="12" t="n"/>
      <c r="N94" s="11" t="n"/>
    </row>
    <row r="95">
      <c r="A95" s="8" t="n"/>
      <c r="B95" s="11" t="n"/>
      <c r="C95" s="8" t="n"/>
      <c r="D95" s="8" t="n"/>
      <c r="E95" s="8" t="n"/>
      <c r="F95" s="8" t="n"/>
      <c r="G95" s="8" t="n"/>
      <c r="H95" s="15" t="n"/>
      <c r="I95" s="16" t="n"/>
      <c r="J95" s="12" t="n"/>
      <c r="K95" s="15" t="n"/>
      <c r="L95" s="15" t="n"/>
      <c r="M95" s="12" t="n"/>
      <c r="N95" s="11" t="n"/>
    </row>
    <row r="96">
      <c r="A96" s="8" t="n"/>
      <c r="B96" s="11" t="n"/>
      <c r="C96" s="8" t="n"/>
      <c r="D96" s="8" t="n"/>
      <c r="E96" s="8" t="n"/>
      <c r="F96" s="8" t="n"/>
      <c r="G96" s="8" t="n"/>
      <c r="H96" s="15" t="n"/>
      <c r="I96" s="16" t="n"/>
      <c r="J96" s="12" t="n"/>
      <c r="K96" s="15" t="n"/>
      <c r="L96" s="15" t="n"/>
      <c r="M96" s="12" t="n"/>
      <c r="N96" s="11" t="n"/>
    </row>
    <row r="97">
      <c r="A97" s="8" t="n"/>
      <c r="B97" s="11" t="n"/>
      <c r="C97" s="8" t="n"/>
      <c r="D97" s="8" t="n"/>
      <c r="E97" s="8" t="n"/>
      <c r="F97" s="8" t="n"/>
      <c r="G97" s="8" t="n"/>
      <c r="H97" s="15" t="n"/>
      <c r="I97" s="16" t="n"/>
      <c r="J97" s="12" t="n"/>
      <c r="K97" s="15" t="n"/>
      <c r="L97" s="15" t="n"/>
      <c r="M97" s="12" t="n"/>
      <c r="N97" s="11" t="n"/>
    </row>
    <row r="98">
      <c r="A98" s="8" t="n"/>
      <c r="B98" s="11" t="n"/>
      <c r="C98" s="8" t="n"/>
      <c r="D98" s="8" t="n"/>
      <c r="E98" s="8" t="n"/>
      <c r="F98" s="8" t="n"/>
      <c r="G98" s="8" t="n"/>
      <c r="H98" s="15" t="n"/>
      <c r="I98" s="16" t="n"/>
      <c r="J98" s="12" t="n"/>
      <c r="K98" s="15" t="n"/>
      <c r="L98" s="15" t="n"/>
      <c r="M98" s="12" t="n"/>
      <c r="N98" s="11" t="n"/>
    </row>
    <row r="99">
      <c r="A99" s="8" t="n"/>
      <c r="B99" s="11" t="n"/>
      <c r="C99" s="8" t="n"/>
      <c r="D99" s="8" t="n"/>
      <c r="E99" s="8" t="n"/>
      <c r="F99" s="8" t="n"/>
      <c r="G99" s="8" t="n"/>
      <c r="H99" s="15" t="n"/>
      <c r="I99" s="16" t="n"/>
      <c r="J99" s="12" t="n"/>
      <c r="K99" s="15" t="n"/>
      <c r="L99" s="15" t="n"/>
      <c r="M99" s="12" t="n"/>
      <c r="N99" s="11" t="n"/>
    </row>
    <row r="100">
      <c r="A100" s="8" t="n"/>
      <c r="B100" s="11" t="n"/>
      <c r="C100" s="8" t="n"/>
      <c r="D100" s="8" t="n"/>
      <c r="E100" s="8" t="n"/>
      <c r="F100" s="8" t="n"/>
      <c r="G100" s="8" t="n"/>
      <c r="H100" s="15" t="n"/>
      <c r="I100" s="16" t="n"/>
      <c r="J100" s="12" t="n"/>
      <c r="K100" s="15" t="n"/>
      <c r="L100" s="15" t="n"/>
      <c r="M100" s="12" t="n"/>
      <c r="N100" s="11" t="n"/>
    </row>
    <row r="101">
      <c r="A101" s="8" t="n"/>
      <c r="B101" s="11" t="n"/>
      <c r="C101" s="8" t="n"/>
      <c r="D101" s="8" t="n"/>
      <c r="E101" s="8" t="n"/>
      <c r="F101" s="8" t="n"/>
      <c r="G101" s="8" t="n"/>
      <c r="H101" s="15" t="n"/>
      <c r="I101" s="16" t="n"/>
      <c r="J101" s="12" t="n"/>
      <c r="K101" s="15" t="n"/>
      <c r="L101" s="15" t="n"/>
      <c r="M101" s="12" t="n"/>
      <c r="N101" s="11" t="n"/>
    </row>
    <row r="102">
      <c r="A102" s="8" t="n"/>
      <c r="B102" s="11" t="n"/>
      <c r="C102" s="8" t="n"/>
      <c r="D102" s="8" t="n"/>
      <c r="E102" s="8" t="n"/>
      <c r="F102" s="8" t="n"/>
      <c r="G102" s="8" t="n"/>
      <c r="H102" s="15" t="n"/>
      <c r="I102" s="16" t="n"/>
      <c r="J102" s="12" t="n"/>
      <c r="K102" s="15" t="n"/>
      <c r="L102" s="15" t="n"/>
      <c r="M102" s="12" t="n"/>
      <c r="N102" s="11" t="n"/>
    </row>
    <row r="103">
      <c r="A103" s="8" t="n"/>
      <c r="B103" s="11" t="n"/>
      <c r="C103" s="8" t="n"/>
      <c r="D103" s="8" t="n"/>
      <c r="E103" s="8" t="n"/>
      <c r="F103" s="8" t="n"/>
      <c r="G103" s="8" t="n"/>
      <c r="H103" s="15" t="n"/>
      <c r="I103" s="16" t="n"/>
      <c r="J103" s="12" t="n"/>
      <c r="K103" s="15" t="n"/>
      <c r="L103" s="15" t="n"/>
      <c r="M103" s="12" t="n"/>
      <c r="N103" s="11" t="n"/>
    </row>
    <row r="104">
      <c r="A104" s="8" t="n"/>
      <c r="B104" s="11" t="n"/>
      <c r="C104" s="8" t="n"/>
      <c r="D104" s="8" t="n"/>
      <c r="E104" s="8" t="n"/>
      <c r="F104" s="8" t="n"/>
      <c r="G104" s="8" t="n"/>
      <c r="H104" s="15" t="n"/>
      <c r="I104" s="16" t="n"/>
      <c r="J104" s="12" t="n"/>
      <c r="K104" s="15" t="n"/>
      <c r="L104" s="15" t="n"/>
      <c r="M104" s="12" t="n"/>
      <c r="N104" s="11" t="n"/>
    </row>
    <row r="105">
      <c r="A105" s="8" t="n"/>
      <c r="B105" s="11" t="n"/>
      <c r="C105" s="8" t="n"/>
      <c r="D105" s="8" t="n"/>
      <c r="E105" s="8" t="n"/>
      <c r="F105" s="8" t="n"/>
      <c r="G105" s="8" t="n"/>
      <c r="H105" s="15" t="n"/>
      <c r="I105" s="16" t="n"/>
      <c r="J105" s="12" t="n"/>
      <c r="K105" s="15" t="n"/>
      <c r="L105" s="15" t="n"/>
      <c r="M105" s="12" t="n"/>
      <c r="N105" s="11" t="n"/>
    </row>
    <row r="106">
      <c r="A106" s="8" t="n"/>
      <c r="B106" s="11" t="n"/>
      <c r="C106" s="8" t="n"/>
      <c r="D106" s="8" t="n"/>
      <c r="E106" s="8" t="n"/>
      <c r="F106" s="8" t="n"/>
      <c r="G106" s="8" t="n"/>
      <c r="H106" s="15" t="n"/>
      <c r="I106" s="16" t="n"/>
      <c r="J106" s="12" t="n"/>
      <c r="K106" s="15" t="n"/>
      <c r="L106" s="15" t="n"/>
      <c r="M106" s="12" t="n"/>
      <c r="N106" s="11" t="n"/>
    </row>
    <row r="107">
      <c r="A107" s="8" t="n"/>
      <c r="B107" s="11" t="n"/>
      <c r="C107" s="8" t="n"/>
      <c r="D107" s="8" t="n"/>
      <c r="E107" s="8" t="n"/>
      <c r="F107" s="8" t="n"/>
      <c r="G107" s="8" t="n"/>
      <c r="H107" s="15" t="n"/>
      <c r="I107" s="16" t="n"/>
      <c r="J107" s="12" t="n"/>
      <c r="K107" s="15" t="n"/>
      <c r="L107" s="15" t="n"/>
      <c r="M107" s="12" t="n"/>
      <c r="N107" s="11" t="n"/>
    </row>
    <row r="108">
      <c r="A108" s="8" t="n"/>
      <c r="B108" s="11" t="n"/>
      <c r="C108" s="8" t="n"/>
      <c r="D108" s="8" t="n"/>
      <c r="E108" s="8" t="n"/>
      <c r="F108" s="8" t="n"/>
      <c r="G108" s="8" t="n"/>
      <c r="H108" s="15" t="n"/>
      <c r="I108" s="16" t="n"/>
      <c r="J108" s="12" t="n"/>
      <c r="K108" s="15" t="n"/>
      <c r="L108" s="15" t="n"/>
      <c r="M108" s="12" t="n"/>
      <c r="N108" s="11" t="n"/>
    </row>
    <row r="109">
      <c r="A109" s="8" t="n"/>
      <c r="B109" s="11" t="n"/>
      <c r="C109" s="8" t="n"/>
      <c r="D109" s="8" t="n"/>
      <c r="E109" s="8" t="n"/>
      <c r="F109" s="8" t="n"/>
      <c r="G109" s="8" t="n"/>
      <c r="H109" s="15" t="n"/>
      <c r="I109" s="16" t="n"/>
      <c r="J109" s="12" t="n"/>
      <c r="K109" s="15" t="n"/>
      <c r="L109" s="15" t="n"/>
      <c r="M109" s="12" t="n"/>
      <c r="N109" s="11" t="n"/>
    </row>
    <row r="110">
      <c r="A110" s="8" t="n"/>
      <c r="B110" s="11" t="n"/>
      <c r="C110" s="8" t="n"/>
      <c r="D110" s="8" t="n"/>
      <c r="E110" s="8" t="n"/>
      <c r="F110" s="8" t="n"/>
      <c r="G110" s="8" t="n"/>
      <c r="H110" s="15" t="n"/>
      <c r="I110" s="16" t="n"/>
      <c r="J110" s="12" t="n"/>
      <c r="K110" s="15" t="n"/>
      <c r="L110" s="15" t="n"/>
      <c r="M110" s="12" t="n"/>
      <c r="N110" s="11" t="n"/>
    </row>
    <row r="111">
      <c r="A111" s="8" t="n"/>
      <c r="B111" s="11" t="n"/>
      <c r="C111" s="8" t="n"/>
      <c r="D111" s="8" t="n"/>
      <c r="E111" s="8" t="n"/>
      <c r="F111" s="8" t="n"/>
      <c r="G111" s="8" t="n"/>
      <c r="H111" s="15" t="n"/>
      <c r="I111" s="16" t="n"/>
      <c r="J111" s="12" t="n"/>
      <c r="K111" s="15" t="n"/>
      <c r="L111" s="15" t="n"/>
      <c r="M111" s="12" t="n"/>
      <c r="N111" s="11" t="n"/>
    </row>
    <row r="112">
      <c r="A112" s="8" t="n"/>
      <c r="B112" s="11" t="n"/>
      <c r="C112" s="8" t="n"/>
      <c r="D112" s="8" t="n"/>
      <c r="E112" s="8" t="n"/>
      <c r="F112" s="8" t="n"/>
      <c r="G112" s="8" t="n"/>
      <c r="H112" s="15" t="n"/>
      <c r="I112" s="16" t="n"/>
      <c r="J112" s="12" t="n"/>
      <c r="K112" s="15" t="n"/>
      <c r="L112" s="15" t="n"/>
      <c r="M112" s="12" t="n"/>
      <c r="N112" s="11" t="n"/>
    </row>
    <row r="113">
      <c r="A113" s="8" t="n"/>
      <c r="B113" s="11" t="n"/>
      <c r="C113" s="8" t="n"/>
      <c r="D113" s="8" t="n"/>
      <c r="E113" s="8" t="n"/>
      <c r="F113" s="8" t="n"/>
      <c r="G113" s="8" t="n"/>
      <c r="H113" s="15" t="n"/>
      <c r="I113" s="16" t="n"/>
      <c r="J113" s="12" t="n"/>
      <c r="K113" s="15" t="n"/>
      <c r="L113" s="15" t="n"/>
      <c r="M113" s="12" t="n"/>
      <c r="N113" s="11" t="n"/>
    </row>
    <row r="114">
      <c r="A114" s="8" t="n"/>
      <c r="B114" s="11" t="n"/>
      <c r="C114" s="8" t="n"/>
      <c r="D114" s="8" t="n"/>
      <c r="E114" s="8" t="n"/>
      <c r="F114" s="8" t="n"/>
      <c r="G114" s="8" t="n"/>
      <c r="H114" s="15" t="n"/>
      <c r="I114" s="16" t="n"/>
      <c r="J114" s="12" t="n"/>
      <c r="K114" s="15" t="n"/>
      <c r="L114" s="15" t="n"/>
      <c r="M114" s="12" t="n"/>
      <c r="N114" s="11" t="n"/>
    </row>
    <row r="115">
      <c r="A115" s="8" t="n"/>
      <c r="B115" s="11" t="n"/>
      <c r="C115" s="8" t="n"/>
      <c r="D115" s="8" t="n"/>
      <c r="E115" s="8" t="n"/>
      <c r="F115" s="8" t="n"/>
      <c r="G115" s="8" t="n"/>
      <c r="H115" s="15" t="n"/>
      <c r="I115" s="16" t="n"/>
      <c r="J115" s="12" t="n"/>
      <c r="K115" s="15" t="n"/>
      <c r="L115" s="15" t="n"/>
      <c r="M115" s="12" t="n"/>
      <c r="N115" s="11" t="n"/>
    </row>
    <row r="116">
      <c r="A116" s="8" t="n"/>
      <c r="B116" s="11" t="n"/>
      <c r="C116" s="8" t="n"/>
      <c r="D116" s="8" t="n"/>
      <c r="E116" s="8" t="n"/>
      <c r="F116" s="8" t="n"/>
      <c r="G116" s="8" t="n"/>
      <c r="H116" s="15" t="n"/>
      <c r="I116" s="16" t="n"/>
      <c r="J116" s="12" t="n"/>
      <c r="K116" s="15" t="n"/>
      <c r="L116" s="15" t="n"/>
      <c r="M116" s="12" t="n"/>
      <c r="N116" s="11" t="n"/>
    </row>
    <row r="117">
      <c r="A117" s="8" t="n"/>
      <c r="B117" s="11" t="n"/>
      <c r="C117" s="8" t="n"/>
      <c r="D117" s="8" t="n"/>
      <c r="E117" s="8" t="n"/>
      <c r="F117" s="8" t="n"/>
      <c r="G117" s="8" t="n"/>
      <c r="H117" s="15" t="n"/>
      <c r="I117" s="16" t="n"/>
      <c r="J117" s="12" t="n"/>
      <c r="K117" s="15" t="n"/>
      <c r="L117" s="15" t="n"/>
      <c r="M117" s="12" t="n"/>
      <c r="N117" s="11" t="n"/>
    </row>
    <row r="118">
      <c r="A118" s="8" t="n"/>
      <c r="B118" s="11" t="n"/>
      <c r="C118" s="8" t="n"/>
      <c r="D118" s="8" t="n"/>
      <c r="E118" s="8" t="n"/>
      <c r="F118" s="8" t="n"/>
      <c r="G118" s="8" t="n"/>
      <c r="H118" s="15" t="n"/>
      <c r="I118" s="16" t="n"/>
      <c r="J118" s="12" t="n"/>
      <c r="K118" s="15" t="n"/>
      <c r="L118" s="15" t="n"/>
      <c r="M118" s="12" t="n"/>
      <c r="N118" s="11" t="n"/>
    </row>
    <row r="119">
      <c r="A119" s="8" t="n"/>
      <c r="B119" s="11" t="n"/>
      <c r="C119" s="8" t="n"/>
      <c r="D119" s="8" t="n"/>
      <c r="E119" s="8" t="n"/>
      <c r="F119" s="8" t="n"/>
      <c r="G119" s="8" t="n"/>
      <c r="H119" s="15" t="n"/>
      <c r="I119" s="16" t="n"/>
      <c r="J119" s="12" t="n"/>
      <c r="K119" s="15" t="n"/>
      <c r="L119" s="15" t="n"/>
      <c r="M119" s="12" t="n"/>
      <c r="N119" s="11" t="n"/>
    </row>
    <row r="120">
      <c r="A120" s="8" t="n"/>
      <c r="B120" s="11" t="n"/>
      <c r="C120" s="8" t="n"/>
      <c r="D120" s="8" t="n"/>
      <c r="E120" s="8" t="n"/>
      <c r="F120" s="8" t="n"/>
      <c r="G120" s="8" t="n"/>
      <c r="H120" s="15" t="n"/>
      <c r="I120" s="16" t="n"/>
      <c r="J120" s="12" t="n"/>
      <c r="K120" s="15" t="n"/>
      <c r="L120" s="15" t="n"/>
      <c r="M120" s="12" t="n"/>
      <c r="N120" s="11" t="n"/>
    </row>
    <row r="121">
      <c r="A121" s="8" t="n"/>
      <c r="B121" s="11" t="n"/>
      <c r="C121" s="8" t="n"/>
      <c r="D121" s="8" t="n"/>
      <c r="E121" s="8" t="n"/>
      <c r="F121" s="8" t="n"/>
      <c r="G121" s="8" t="n"/>
      <c r="H121" s="15" t="n"/>
      <c r="I121" s="16" t="n"/>
      <c r="J121" s="12" t="n"/>
      <c r="K121" s="15" t="n"/>
      <c r="L121" s="15" t="n"/>
      <c r="M121" s="12" t="n"/>
      <c r="N121" s="11" t="n"/>
    </row>
    <row r="122">
      <c r="A122" s="8" t="n"/>
      <c r="B122" s="11" t="n"/>
      <c r="C122" s="8" t="n"/>
      <c r="D122" s="8" t="n"/>
      <c r="E122" s="8" t="n"/>
      <c r="F122" s="8" t="n"/>
      <c r="G122" s="8" t="n"/>
      <c r="H122" s="15" t="n"/>
      <c r="I122" s="16" t="n"/>
      <c r="J122" s="12" t="n"/>
      <c r="K122" s="15" t="n"/>
      <c r="L122" s="15" t="n"/>
      <c r="M122" s="12" t="n"/>
      <c r="N122" s="11" t="n"/>
    </row>
    <row r="123">
      <c r="A123" s="8" t="n"/>
      <c r="B123" s="11" t="n"/>
      <c r="C123" s="8" t="n"/>
      <c r="D123" s="8" t="n"/>
      <c r="E123" s="8" t="n"/>
      <c r="F123" s="8" t="n"/>
      <c r="G123" s="8" t="n"/>
      <c r="H123" s="15" t="n"/>
      <c r="I123" s="16" t="n"/>
      <c r="J123" s="12" t="n"/>
      <c r="K123" s="15" t="n"/>
      <c r="L123" s="15" t="n"/>
      <c r="M123" s="12" t="n"/>
      <c r="N123" s="11" t="n"/>
    </row>
    <row r="124">
      <c r="A124" s="8" t="n"/>
      <c r="B124" s="11" t="n"/>
      <c r="C124" s="8" t="n"/>
      <c r="D124" s="8" t="n"/>
      <c r="E124" s="8" t="n"/>
      <c r="F124" s="8" t="n"/>
      <c r="G124" s="8" t="n"/>
      <c r="H124" s="15" t="n"/>
      <c r="I124" s="16" t="n"/>
      <c r="J124" s="12" t="n"/>
      <c r="K124" s="15" t="n"/>
      <c r="L124" s="15" t="n"/>
      <c r="M124" s="12" t="n"/>
      <c r="N124" s="11" t="n"/>
    </row>
    <row r="125">
      <c r="A125" s="8" t="n"/>
      <c r="B125" s="11" t="n"/>
      <c r="C125" s="8" t="n"/>
      <c r="D125" s="8" t="n"/>
      <c r="E125" s="8" t="n"/>
      <c r="F125" s="8" t="n"/>
      <c r="G125" s="8" t="n"/>
      <c r="H125" s="15" t="n"/>
      <c r="I125" s="16" t="n"/>
      <c r="J125" s="12" t="n"/>
      <c r="K125" s="15" t="n"/>
      <c r="L125" s="15" t="n"/>
      <c r="M125" s="12" t="n"/>
      <c r="N125" s="11" t="n"/>
    </row>
    <row r="126">
      <c r="A126" s="8" t="n"/>
      <c r="B126" s="11" t="n"/>
      <c r="C126" s="8" t="n"/>
      <c r="D126" s="8" t="n"/>
      <c r="E126" s="8" t="n"/>
      <c r="F126" s="8" t="n"/>
      <c r="G126" s="8" t="n"/>
      <c r="H126" s="15" t="n"/>
      <c r="I126" s="16" t="n"/>
      <c r="J126" s="12" t="n"/>
      <c r="K126" s="15" t="n"/>
      <c r="L126" s="15" t="n"/>
      <c r="M126" s="12" t="n"/>
      <c r="N126" s="11" t="n"/>
    </row>
    <row r="127">
      <c r="A127" s="8" t="n"/>
      <c r="B127" s="11" t="n"/>
      <c r="C127" s="8" t="n"/>
      <c r="D127" s="8" t="n"/>
      <c r="E127" s="8" t="n"/>
      <c r="F127" s="8" t="n"/>
      <c r="G127" s="8" t="n"/>
      <c r="H127" s="15" t="n"/>
      <c r="I127" s="16" t="n"/>
      <c r="J127" s="12" t="n"/>
      <c r="K127" s="15" t="n"/>
      <c r="L127" s="15" t="n"/>
      <c r="M127" s="12" t="n"/>
      <c r="N127" s="11" t="n"/>
    </row>
    <row r="128">
      <c r="A128" s="8" t="n"/>
      <c r="B128" s="11" t="n"/>
      <c r="C128" s="8" t="n"/>
      <c r="D128" s="8" t="n"/>
      <c r="E128" s="8" t="n"/>
      <c r="F128" s="8" t="n"/>
      <c r="G128" s="8" t="n"/>
      <c r="H128" s="15" t="n"/>
      <c r="I128" s="16" t="n"/>
      <c r="J128" s="12" t="n"/>
      <c r="K128" s="15" t="n"/>
      <c r="L128" s="15" t="n"/>
      <c r="M128" s="12" t="n"/>
      <c r="N128" s="11" t="n"/>
    </row>
    <row r="129">
      <c r="A129" s="8" t="n"/>
      <c r="B129" s="11" t="n"/>
      <c r="C129" s="8" t="n"/>
      <c r="D129" s="8" t="n"/>
      <c r="E129" s="8" t="n"/>
      <c r="F129" s="8" t="n"/>
      <c r="G129" s="8" t="n"/>
      <c r="H129" s="15" t="n"/>
      <c r="I129" s="16" t="n"/>
      <c r="J129" s="12" t="n"/>
      <c r="K129" s="15" t="n"/>
      <c r="L129" s="15" t="n"/>
      <c r="M129" s="12" t="n"/>
      <c r="N129" s="11" t="n"/>
    </row>
    <row r="130">
      <c r="A130" s="8" t="n"/>
      <c r="B130" s="11" t="n"/>
      <c r="C130" s="8" t="n"/>
      <c r="D130" s="8" t="n"/>
      <c r="E130" s="8" t="n"/>
      <c r="F130" s="8" t="n"/>
      <c r="G130" s="8" t="n"/>
      <c r="H130" s="15" t="n"/>
      <c r="I130" s="16" t="n"/>
      <c r="J130" s="12" t="n"/>
      <c r="K130" s="15" t="n"/>
      <c r="L130" s="15" t="n"/>
      <c r="M130" s="12" t="n"/>
      <c r="N130" s="11" t="n"/>
    </row>
    <row r="131">
      <c r="A131" s="8" t="n"/>
      <c r="B131" s="11" t="n"/>
      <c r="C131" s="8" t="n"/>
      <c r="D131" s="8" t="n"/>
      <c r="E131" s="8" t="n"/>
      <c r="F131" s="8" t="n"/>
      <c r="G131" s="8" t="n"/>
      <c r="H131" s="15" t="n"/>
      <c r="I131" s="16" t="n"/>
      <c r="J131" s="12" t="n"/>
      <c r="K131" s="15" t="n"/>
      <c r="L131" s="15" t="n"/>
      <c r="M131" s="12" t="n"/>
      <c r="N131" s="11" t="n"/>
    </row>
    <row r="132">
      <c r="A132" s="8" t="n"/>
      <c r="B132" s="11" t="n"/>
      <c r="C132" s="8" t="n"/>
      <c r="D132" s="8" t="n"/>
      <c r="E132" s="8" t="n"/>
      <c r="F132" s="8" t="n"/>
      <c r="G132" s="8" t="n"/>
      <c r="H132" s="15" t="n"/>
      <c r="I132" s="16" t="n"/>
      <c r="J132" s="12" t="n"/>
      <c r="K132" s="15" t="n"/>
      <c r="L132" s="15" t="n"/>
      <c r="M132" s="12" t="n"/>
      <c r="N132" s="11" t="n"/>
    </row>
    <row r="133">
      <c r="A133" s="8" t="n"/>
      <c r="B133" s="11" t="n"/>
      <c r="C133" s="8" t="n"/>
      <c r="D133" s="8" t="n"/>
      <c r="E133" s="8" t="n"/>
      <c r="F133" s="8" t="n"/>
      <c r="G133" s="8" t="n"/>
      <c r="H133" s="15" t="n"/>
      <c r="I133" s="16" t="n"/>
      <c r="J133" s="12" t="n"/>
      <c r="K133" s="15" t="n"/>
      <c r="L133" s="15" t="n"/>
      <c r="M133" s="12" t="n"/>
      <c r="N133" s="11" t="n"/>
    </row>
    <row r="134">
      <c r="A134" s="8" t="n"/>
      <c r="B134" s="11" t="n"/>
      <c r="C134" s="8" t="n"/>
      <c r="D134" s="8" t="n"/>
      <c r="E134" s="8" t="n"/>
      <c r="F134" s="8" t="n"/>
      <c r="G134" s="8" t="n"/>
      <c r="H134" s="15" t="n"/>
      <c r="I134" s="16" t="n"/>
      <c r="J134" s="12" t="n"/>
      <c r="K134" s="15" t="n"/>
      <c r="L134" s="15" t="n"/>
      <c r="M134" s="12" t="n"/>
      <c r="N134" s="11" t="n"/>
    </row>
    <row r="135">
      <c r="A135" s="8" t="n"/>
      <c r="B135" s="11" t="n"/>
      <c r="C135" s="8" t="n"/>
      <c r="D135" s="8" t="n"/>
      <c r="E135" s="8" t="n"/>
      <c r="F135" s="8" t="n"/>
      <c r="G135" s="8" t="n"/>
      <c r="H135" s="15" t="n"/>
      <c r="I135" s="16" t="n"/>
      <c r="J135" s="12" t="n"/>
      <c r="K135" s="15" t="n"/>
      <c r="L135" s="15" t="n"/>
      <c r="M135" s="12" t="n"/>
      <c r="N135" s="11" t="n"/>
    </row>
    <row r="136">
      <c r="A136" s="8" t="n"/>
      <c r="B136" s="11" t="n"/>
      <c r="C136" s="8" t="n"/>
      <c r="D136" s="8" t="n"/>
      <c r="E136" s="8" t="n"/>
      <c r="F136" s="8" t="n"/>
      <c r="G136" s="8" t="n"/>
      <c r="H136" s="15" t="n"/>
      <c r="I136" s="16" t="n"/>
      <c r="J136" s="12" t="n"/>
      <c r="K136" s="15" t="n"/>
      <c r="L136" s="15" t="n"/>
      <c r="M136" s="12" t="n"/>
      <c r="N136" s="11" t="n"/>
    </row>
    <row r="137">
      <c r="A137" s="8" t="n"/>
      <c r="B137" s="11" t="n"/>
      <c r="C137" s="8" t="n"/>
      <c r="D137" s="8" t="n"/>
      <c r="E137" s="8" t="n"/>
      <c r="F137" s="8" t="n"/>
      <c r="G137" s="8" t="n"/>
      <c r="H137" s="15" t="n"/>
      <c r="I137" s="16" t="n"/>
      <c r="J137" s="12" t="n"/>
      <c r="K137" s="15" t="n"/>
      <c r="L137" s="15" t="n"/>
      <c r="M137" s="12" t="n"/>
      <c r="N137" s="11" t="n"/>
    </row>
    <row r="138">
      <c r="A138" s="8" t="n"/>
      <c r="B138" s="11" t="n"/>
      <c r="C138" s="8" t="n"/>
      <c r="D138" s="8" t="n"/>
      <c r="E138" s="8" t="n"/>
      <c r="F138" s="8" t="n"/>
      <c r="G138" s="8" t="n"/>
      <c r="H138" s="15" t="n"/>
      <c r="I138" s="16" t="n"/>
      <c r="J138" s="12" t="n"/>
      <c r="K138" s="15" t="n"/>
      <c r="L138" s="15" t="n"/>
      <c r="M138" s="12" t="n"/>
      <c r="N138" s="11" t="n"/>
    </row>
    <row r="139">
      <c r="A139" s="8" t="n"/>
      <c r="B139" s="11" t="n"/>
      <c r="C139" s="8" t="n"/>
      <c r="D139" s="8" t="n"/>
      <c r="E139" s="8" t="n"/>
      <c r="F139" s="8" t="n"/>
      <c r="G139" s="8" t="n"/>
      <c r="H139" s="15" t="n"/>
      <c r="I139" s="16" t="n"/>
      <c r="J139" s="12" t="n"/>
      <c r="K139" s="15" t="n"/>
      <c r="L139" s="15" t="n"/>
      <c r="M139" s="12" t="n"/>
      <c r="N139" s="11" t="n"/>
    </row>
    <row r="140">
      <c r="A140" s="8" t="n"/>
      <c r="B140" s="11" t="n"/>
      <c r="C140" s="8" t="n"/>
      <c r="D140" s="8" t="n"/>
      <c r="E140" s="8" t="n"/>
      <c r="F140" s="8" t="n"/>
      <c r="G140" s="8" t="n"/>
      <c r="H140" s="15" t="n"/>
      <c r="I140" s="16" t="n"/>
      <c r="J140" s="12" t="n"/>
      <c r="K140" s="15" t="n"/>
      <c r="L140" s="15" t="n"/>
      <c r="M140" s="12" t="n"/>
      <c r="N140" s="11" t="n"/>
    </row>
    <row r="141">
      <c r="A141" s="8" t="n"/>
      <c r="B141" s="11" t="n"/>
      <c r="C141" s="8" t="n"/>
      <c r="D141" s="8" t="n"/>
      <c r="E141" s="8" t="n"/>
      <c r="F141" s="8" t="n"/>
      <c r="G141" s="8" t="n"/>
      <c r="H141" s="15" t="n"/>
      <c r="I141" s="16" t="n"/>
      <c r="J141" s="12" t="n"/>
      <c r="K141" s="15" t="n"/>
      <c r="L141" s="15" t="n"/>
      <c r="M141" s="12" t="n"/>
      <c r="N141" s="11" t="n"/>
    </row>
    <row r="142">
      <c r="A142" s="8" t="n"/>
      <c r="B142" s="11" t="n"/>
      <c r="C142" s="8" t="n"/>
      <c r="D142" s="8" t="n"/>
      <c r="E142" s="8" t="n"/>
      <c r="F142" s="8" t="n"/>
      <c r="G142" s="8" t="n"/>
      <c r="H142" s="15" t="n"/>
      <c r="I142" s="16" t="n"/>
      <c r="J142" s="12" t="n"/>
      <c r="K142" s="15" t="n"/>
      <c r="L142" s="15" t="n"/>
      <c r="M142" s="12" t="n"/>
      <c r="N142" s="11" t="n"/>
    </row>
    <row r="143">
      <c r="A143" s="8" t="n"/>
      <c r="B143" s="11" t="n"/>
      <c r="C143" s="8" t="n"/>
      <c r="D143" s="8" t="n"/>
      <c r="E143" s="8" t="n"/>
      <c r="F143" s="8" t="n"/>
      <c r="G143" s="8" t="n"/>
      <c r="H143" s="15" t="n"/>
      <c r="I143" s="16" t="n"/>
      <c r="J143" s="12" t="n"/>
      <c r="K143" s="15" t="n"/>
      <c r="L143" s="15" t="n"/>
      <c r="M143" s="12" t="n"/>
      <c r="N143" s="11" t="n"/>
    </row>
    <row r="144">
      <c r="A144" s="8" t="n"/>
      <c r="B144" s="11" t="n"/>
      <c r="C144" s="8" t="n"/>
      <c r="D144" s="8" t="n"/>
      <c r="E144" s="8" t="n"/>
      <c r="F144" s="8" t="n"/>
      <c r="G144" s="8" t="n"/>
      <c r="H144" s="15" t="n"/>
      <c r="I144" s="16" t="n"/>
      <c r="J144" s="12" t="n"/>
      <c r="K144" s="15" t="n"/>
      <c r="L144" s="15" t="n"/>
      <c r="M144" s="12" t="n"/>
      <c r="N144" s="11" t="n"/>
    </row>
    <row r="145">
      <c r="A145" s="8" t="n"/>
      <c r="B145" s="11" t="n"/>
      <c r="C145" s="8" t="n"/>
      <c r="D145" s="8" t="n"/>
      <c r="E145" s="8" t="n"/>
      <c r="F145" s="8" t="n"/>
      <c r="G145" s="8" t="n"/>
      <c r="H145" s="15" t="n"/>
      <c r="I145" s="16" t="n"/>
      <c r="J145" s="12" t="n"/>
      <c r="K145" s="15" t="n"/>
      <c r="L145" s="15" t="n"/>
      <c r="M145" s="12" t="n"/>
      <c r="N145" s="11" t="n"/>
    </row>
    <row r="146">
      <c r="A146" s="8" t="n"/>
      <c r="B146" s="11" t="n"/>
      <c r="C146" s="8" t="n"/>
      <c r="D146" s="8" t="n"/>
      <c r="E146" s="8" t="n"/>
      <c r="F146" s="8" t="n"/>
      <c r="G146" s="8" t="n"/>
      <c r="H146" s="15" t="n"/>
      <c r="I146" s="16" t="n"/>
      <c r="J146" s="12" t="n"/>
      <c r="K146" s="15" t="n"/>
      <c r="L146" s="15" t="n"/>
      <c r="M146" s="12" t="n"/>
      <c r="N146" s="11" t="n"/>
    </row>
    <row r="147">
      <c r="A147" s="8" t="n"/>
      <c r="B147" s="11" t="n"/>
      <c r="C147" s="8" t="n"/>
      <c r="D147" s="8" t="n"/>
      <c r="E147" s="8" t="n"/>
      <c r="F147" s="8" t="n"/>
      <c r="G147" s="8" t="n"/>
      <c r="H147" s="15" t="n"/>
      <c r="I147" s="16" t="n"/>
      <c r="J147" s="12" t="n"/>
      <c r="K147" s="15" t="n"/>
      <c r="L147" s="15" t="n"/>
      <c r="M147" s="12" t="n"/>
      <c r="N147" s="11" t="n"/>
    </row>
    <row r="148">
      <c r="A148" s="8" t="n"/>
      <c r="B148" s="11" t="n"/>
      <c r="C148" s="8" t="n"/>
      <c r="D148" s="8" t="n"/>
      <c r="E148" s="8" t="n"/>
      <c r="F148" s="8" t="n"/>
      <c r="G148" s="8" t="n"/>
      <c r="H148" s="15" t="n"/>
      <c r="I148" s="16" t="n"/>
      <c r="J148" s="12" t="n"/>
      <c r="K148" s="15" t="n"/>
      <c r="L148" s="15" t="n"/>
      <c r="M148" s="12" t="n"/>
      <c r="N148" s="11" t="n"/>
    </row>
    <row r="149">
      <c r="A149" s="8" t="n"/>
      <c r="B149" s="11" t="n"/>
      <c r="C149" s="8" t="n"/>
      <c r="D149" s="8" t="n"/>
      <c r="E149" s="8" t="n"/>
      <c r="F149" s="8" t="n"/>
      <c r="G149" s="8" t="n"/>
      <c r="H149" s="15" t="n"/>
      <c r="I149" s="16" t="n"/>
      <c r="J149" s="12" t="n"/>
      <c r="K149" s="15" t="n"/>
      <c r="L149" s="15" t="n"/>
      <c r="M149" s="12" t="n"/>
      <c r="N149" s="11" t="n"/>
    </row>
    <row r="150">
      <c r="A150" s="8" t="n"/>
      <c r="B150" s="11" t="n"/>
      <c r="C150" s="8" t="n"/>
      <c r="D150" s="8" t="n"/>
      <c r="E150" s="8" t="n"/>
      <c r="F150" s="8" t="n"/>
      <c r="G150" s="8" t="n"/>
      <c r="H150" s="15" t="n"/>
      <c r="I150" s="16" t="n"/>
      <c r="J150" s="12" t="n"/>
      <c r="K150" s="15" t="n"/>
      <c r="L150" s="15" t="n"/>
      <c r="M150" s="12" t="n"/>
      <c r="N150" s="11" t="n"/>
    </row>
    <row r="151">
      <c r="A151" s="8" t="n"/>
      <c r="B151" s="11" t="n"/>
      <c r="C151" s="8" t="n"/>
      <c r="D151" s="8" t="n"/>
      <c r="E151" s="8" t="n"/>
      <c r="F151" s="8" t="n"/>
      <c r="G151" s="8" t="n"/>
      <c r="H151" s="15" t="n"/>
      <c r="I151" s="16" t="n"/>
      <c r="J151" s="12" t="n"/>
      <c r="K151" s="15" t="n"/>
      <c r="L151" s="15" t="n"/>
      <c r="M151" s="12" t="n"/>
      <c r="N151" s="11" t="n"/>
    </row>
    <row r="152">
      <c r="A152" s="8" t="n"/>
      <c r="B152" s="11" t="n"/>
      <c r="C152" s="8" t="n"/>
      <c r="D152" s="8" t="n"/>
      <c r="E152" s="8" t="n"/>
      <c r="F152" s="8" t="n"/>
      <c r="G152" s="8" t="n"/>
      <c r="H152" s="15" t="n"/>
      <c r="I152" s="16" t="n"/>
      <c r="J152" s="12" t="n"/>
      <c r="K152" s="15" t="n"/>
      <c r="L152" s="15" t="n"/>
      <c r="M152" s="12" t="n"/>
      <c r="N152" s="11" t="n"/>
    </row>
    <row r="153">
      <c r="A153" s="8" t="n"/>
      <c r="B153" s="11" t="n"/>
      <c r="C153" s="8" t="n"/>
      <c r="D153" s="8" t="n"/>
      <c r="E153" s="8" t="n"/>
      <c r="F153" s="8" t="n"/>
      <c r="G153" s="8" t="n"/>
      <c r="H153" s="15" t="n"/>
      <c r="I153" s="16" t="n"/>
      <c r="J153" s="12" t="n"/>
      <c r="K153" s="15" t="n"/>
      <c r="L153" s="15" t="n"/>
      <c r="M153" s="12" t="n"/>
      <c r="N153" s="11" t="n"/>
    </row>
    <row r="154">
      <c r="A154" s="8" t="n"/>
      <c r="B154" s="11" t="n"/>
      <c r="C154" s="8" t="n"/>
      <c r="D154" s="8" t="n"/>
      <c r="E154" s="8" t="n"/>
      <c r="F154" s="8" t="n"/>
      <c r="G154" s="8" t="n"/>
      <c r="H154" s="15" t="n"/>
      <c r="I154" s="16" t="n"/>
      <c r="J154" s="12" t="n"/>
      <c r="K154" s="15" t="n"/>
      <c r="L154" s="15" t="n"/>
      <c r="M154" s="12" t="n"/>
      <c r="N154" s="11" t="n"/>
    </row>
    <row r="155">
      <c r="A155" s="8" t="n"/>
      <c r="B155" s="11" t="n"/>
      <c r="C155" s="8" t="n"/>
      <c r="D155" s="8" t="n"/>
      <c r="E155" s="8" t="n"/>
      <c r="F155" s="8" t="n"/>
      <c r="G155" s="8" t="n"/>
      <c r="H155" s="15" t="n"/>
      <c r="I155" s="16" t="n"/>
      <c r="J155" s="12" t="n"/>
      <c r="K155" s="15" t="n"/>
      <c r="L155" s="15" t="n"/>
      <c r="M155" s="12" t="n"/>
      <c r="N155" s="11" t="n"/>
    </row>
    <row r="156">
      <c r="A156" s="8" t="n"/>
      <c r="B156" s="11" t="n"/>
      <c r="C156" s="8" t="n"/>
      <c r="D156" s="8" t="n"/>
      <c r="E156" s="8" t="n"/>
      <c r="F156" s="8" t="n"/>
      <c r="G156" s="8" t="n"/>
      <c r="H156" s="15" t="n"/>
      <c r="I156" s="16" t="n"/>
      <c r="J156" s="12" t="n"/>
      <c r="K156" s="15" t="n"/>
      <c r="L156" s="15" t="n"/>
      <c r="M156" s="12" t="n"/>
      <c r="N156" s="11" t="n"/>
    </row>
    <row r="157">
      <c r="A157" s="8" t="n"/>
      <c r="B157" s="11" t="n"/>
      <c r="C157" s="8" t="n"/>
      <c r="D157" s="8" t="n"/>
      <c r="E157" s="8" t="n"/>
      <c r="F157" s="8" t="n"/>
      <c r="G157" s="8" t="n"/>
      <c r="H157" s="15" t="n"/>
      <c r="I157" s="16" t="n"/>
      <c r="J157" s="12" t="n"/>
      <c r="K157" s="15" t="n"/>
      <c r="L157" s="15" t="n"/>
      <c r="M157" s="12" t="n"/>
      <c r="N157" s="11" t="n"/>
    </row>
    <row r="158">
      <c r="A158" s="8" t="n"/>
      <c r="B158" s="11" t="n"/>
      <c r="C158" s="8" t="n"/>
      <c r="D158" s="8" t="n"/>
      <c r="E158" s="8" t="n"/>
      <c r="F158" s="8" t="n"/>
      <c r="G158" s="8" t="n"/>
      <c r="H158" s="15" t="n"/>
      <c r="I158" s="16" t="n"/>
      <c r="J158" s="12" t="n"/>
      <c r="K158" s="15" t="n"/>
      <c r="L158" s="15" t="n"/>
      <c r="M158" s="12" t="n"/>
      <c r="N158" s="11" t="n"/>
    </row>
    <row r="159">
      <c r="A159" s="8" t="n"/>
      <c r="B159" s="11" t="n"/>
      <c r="C159" s="8" t="n"/>
      <c r="D159" s="8" t="n"/>
      <c r="E159" s="8" t="n"/>
      <c r="F159" s="8" t="n"/>
      <c r="G159" s="8" t="n"/>
      <c r="H159" s="15" t="n"/>
      <c r="I159" s="16" t="n"/>
      <c r="J159" s="12" t="n"/>
      <c r="K159" s="15" t="n"/>
      <c r="L159" s="15" t="n"/>
      <c r="M159" s="12" t="n"/>
      <c r="N159" s="11" t="n"/>
    </row>
    <row r="160">
      <c r="A160" s="8" t="n"/>
      <c r="B160" s="11" t="n"/>
      <c r="C160" s="8" t="n"/>
      <c r="D160" s="8" t="n"/>
      <c r="E160" s="8" t="n"/>
      <c r="F160" s="8" t="n"/>
      <c r="G160" s="8" t="n"/>
      <c r="H160" s="15" t="n"/>
      <c r="I160" s="16" t="n"/>
      <c r="J160" s="12" t="n"/>
      <c r="K160" s="15" t="n"/>
      <c r="L160" s="15" t="n"/>
      <c r="M160" s="12" t="n"/>
      <c r="N160" s="11" t="n"/>
    </row>
    <row r="161">
      <c r="A161" s="8" t="n"/>
      <c r="B161" s="11" t="n"/>
      <c r="C161" s="8" t="n"/>
      <c r="D161" s="8" t="n"/>
      <c r="E161" s="8" t="n"/>
      <c r="F161" s="8" t="n"/>
      <c r="G161" s="8" t="n"/>
      <c r="H161" s="15" t="n"/>
      <c r="I161" s="16" t="n"/>
      <c r="J161" s="12" t="n"/>
      <c r="K161" s="15" t="n"/>
      <c r="L161" s="15" t="n"/>
      <c r="M161" s="12" t="n"/>
      <c r="N161" s="11" t="n"/>
    </row>
    <row r="162">
      <c r="A162" s="8" t="n"/>
      <c r="B162" s="11" t="n"/>
      <c r="C162" s="8" t="n"/>
      <c r="D162" s="8" t="n"/>
      <c r="E162" s="8" t="n"/>
      <c r="F162" s="8" t="n"/>
      <c r="G162" s="8" t="n"/>
      <c r="H162" s="15" t="n"/>
      <c r="I162" s="16" t="n"/>
      <c r="J162" s="12" t="n"/>
      <c r="K162" s="15" t="n"/>
      <c r="L162" s="15" t="n"/>
      <c r="M162" s="12" t="n"/>
      <c r="N162" s="11" t="n"/>
    </row>
    <row r="163">
      <c r="A163" s="8" t="n"/>
      <c r="B163" s="11" t="n"/>
      <c r="C163" s="8" t="n"/>
      <c r="D163" s="8" t="n"/>
      <c r="E163" s="8" t="n"/>
      <c r="F163" s="8" t="n"/>
      <c r="G163" s="8" t="n"/>
      <c r="H163" s="15" t="n"/>
      <c r="I163" s="16" t="n"/>
      <c r="J163" s="12" t="n"/>
      <c r="K163" s="15" t="n"/>
      <c r="L163" s="15" t="n"/>
      <c r="M163" s="12" t="n"/>
      <c r="N163" s="11" t="n"/>
    </row>
    <row r="164">
      <c r="A164" s="8" t="n"/>
      <c r="B164" s="11" t="n"/>
      <c r="C164" s="8" t="n"/>
      <c r="D164" s="8" t="n"/>
      <c r="E164" s="8" t="n"/>
      <c r="F164" s="8" t="n"/>
      <c r="G164" s="8" t="n"/>
      <c r="H164" s="15" t="n"/>
      <c r="I164" s="16" t="n"/>
      <c r="J164" s="12" t="n"/>
      <c r="K164" s="15" t="n"/>
      <c r="L164" s="15" t="n"/>
      <c r="M164" s="12" t="n"/>
      <c r="N164" s="11" t="n"/>
    </row>
    <row r="165">
      <c r="A165" s="8" t="n"/>
      <c r="B165" s="11" t="n"/>
      <c r="C165" s="8" t="n"/>
      <c r="D165" s="8" t="n"/>
      <c r="E165" s="8" t="n"/>
      <c r="F165" s="8" t="n"/>
      <c r="G165" s="8" t="n"/>
      <c r="H165" s="15" t="n"/>
      <c r="I165" s="16" t="n"/>
      <c r="J165" s="12" t="n"/>
      <c r="K165" s="15" t="n"/>
      <c r="L165" s="15" t="n"/>
      <c r="M165" s="12" t="n"/>
      <c r="N165" s="11" t="n"/>
    </row>
    <row r="166">
      <c r="A166" s="8" t="n"/>
      <c r="B166" s="11" t="n"/>
      <c r="C166" s="8" t="n"/>
      <c r="D166" s="8" t="n"/>
      <c r="E166" s="8" t="n"/>
      <c r="F166" s="8" t="n"/>
      <c r="G166" s="8" t="n"/>
      <c r="H166" s="15" t="n"/>
      <c r="I166" s="16" t="n"/>
      <c r="J166" s="12" t="n"/>
      <c r="K166" s="15" t="n"/>
      <c r="L166" s="15" t="n"/>
      <c r="M166" s="12" t="n"/>
      <c r="N166" s="11" t="n"/>
    </row>
    <row r="167">
      <c r="A167" s="8" t="n"/>
      <c r="B167" s="11" t="n"/>
      <c r="C167" s="8" t="n"/>
      <c r="D167" s="8" t="n"/>
      <c r="E167" s="8" t="n"/>
      <c r="F167" s="8" t="n"/>
      <c r="G167" s="8" t="n"/>
      <c r="H167" s="15" t="n"/>
      <c r="I167" s="16" t="n"/>
      <c r="J167" s="12" t="n"/>
      <c r="K167" s="15" t="n"/>
      <c r="L167" s="15" t="n"/>
      <c r="M167" s="12" t="n"/>
      <c r="N167" s="11" t="n"/>
    </row>
    <row r="168">
      <c r="A168" s="8" t="n"/>
      <c r="B168" s="11" t="n"/>
      <c r="C168" s="8" t="n"/>
      <c r="D168" s="8" t="n"/>
      <c r="E168" s="8" t="n"/>
      <c r="F168" s="8" t="n"/>
      <c r="G168" s="8" t="n"/>
      <c r="H168" s="15" t="n"/>
      <c r="I168" s="16" t="n"/>
      <c r="J168" s="12" t="n"/>
      <c r="K168" s="15" t="n"/>
      <c r="L168" s="15" t="n"/>
      <c r="M168" s="12" t="n"/>
      <c r="N168" s="11" t="n"/>
    </row>
    <row r="169">
      <c r="A169" s="8" t="n"/>
      <c r="B169" s="11" t="n"/>
      <c r="C169" s="8" t="n"/>
      <c r="D169" s="8" t="n"/>
      <c r="E169" s="8" t="n"/>
      <c r="F169" s="8" t="n"/>
      <c r="G169" s="8" t="n"/>
      <c r="H169" s="15" t="n"/>
      <c r="I169" s="16" t="n"/>
      <c r="J169" s="12" t="n"/>
      <c r="K169" s="15" t="n"/>
      <c r="L169" s="15" t="n"/>
      <c r="M169" s="12" t="n"/>
      <c r="N169" s="11" t="n"/>
    </row>
    <row r="170">
      <c r="A170" s="8" t="n"/>
      <c r="B170" s="11" t="n"/>
      <c r="C170" s="8" t="n"/>
      <c r="D170" s="8" t="n"/>
      <c r="E170" s="8" t="n"/>
      <c r="F170" s="8" t="n"/>
      <c r="G170" s="8" t="n"/>
      <c r="H170" s="15" t="n"/>
      <c r="I170" s="16" t="n"/>
      <c r="J170" s="12" t="n"/>
      <c r="K170" s="15" t="n"/>
      <c r="L170" s="15" t="n"/>
      <c r="M170" s="12" t="n"/>
      <c r="N170" s="11" t="n"/>
    </row>
    <row r="171">
      <c r="A171" s="8" t="n"/>
      <c r="B171" s="11" t="n"/>
      <c r="C171" s="8" t="n"/>
      <c r="D171" s="8" t="n"/>
      <c r="E171" s="8" t="n"/>
      <c r="F171" s="8" t="n"/>
      <c r="G171" s="8" t="n"/>
      <c r="H171" s="15" t="n"/>
      <c r="I171" s="16" t="n"/>
      <c r="J171" s="12" t="n"/>
      <c r="K171" s="15" t="n"/>
      <c r="L171" s="15" t="n"/>
      <c r="M171" s="12" t="n"/>
      <c r="N171" s="11" t="n"/>
    </row>
    <row r="172">
      <c r="A172" s="8" t="n"/>
      <c r="B172" s="11" t="n"/>
      <c r="C172" s="8" t="n"/>
      <c r="D172" s="8" t="n"/>
      <c r="E172" s="8" t="n"/>
      <c r="F172" s="8" t="n"/>
      <c r="G172" s="8" t="n"/>
      <c r="H172" s="15" t="n"/>
      <c r="I172" s="16" t="n"/>
      <c r="J172" s="12" t="n"/>
      <c r="K172" s="15" t="n"/>
      <c r="L172" s="15" t="n"/>
      <c r="M172" s="12" t="n"/>
      <c r="N172" s="11" t="n"/>
    </row>
    <row r="173">
      <c r="A173" s="8" t="n"/>
      <c r="B173" s="11" t="n"/>
      <c r="C173" s="8" t="n"/>
      <c r="D173" s="8" t="n"/>
      <c r="E173" s="8" t="n"/>
      <c r="F173" s="8" t="n"/>
      <c r="G173" s="8" t="n"/>
      <c r="H173" s="15" t="n"/>
      <c r="I173" s="16" t="n"/>
      <c r="J173" s="12" t="n"/>
      <c r="K173" s="15" t="n"/>
      <c r="L173" s="15" t="n"/>
      <c r="M173" s="12" t="n"/>
      <c r="N173" s="11" t="n"/>
    </row>
    <row r="174">
      <c r="A174" s="8" t="n"/>
      <c r="B174" s="11" t="n"/>
      <c r="C174" s="8" t="n"/>
      <c r="D174" s="8" t="n"/>
      <c r="E174" s="8" t="n"/>
      <c r="F174" s="8" t="n"/>
      <c r="G174" s="8" t="n"/>
      <c r="H174" s="15" t="n"/>
      <c r="I174" s="16" t="n"/>
      <c r="J174" s="12" t="n"/>
      <c r="K174" s="15" t="n"/>
      <c r="L174" s="15" t="n"/>
      <c r="M174" s="12" t="n"/>
      <c r="N174" s="11" t="n"/>
    </row>
    <row r="175">
      <c r="A175" s="8" t="n"/>
      <c r="B175" s="11" t="n"/>
      <c r="C175" s="8" t="n"/>
      <c r="D175" s="8" t="n"/>
      <c r="E175" s="8" t="n"/>
      <c r="F175" s="8" t="n"/>
      <c r="G175" s="8" t="n"/>
      <c r="H175" s="15" t="n"/>
      <c r="I175" s="16" t="n"/>
      <c r="J175" s="12" t="n"/>
      <c r="K175" s="15" t="n"/>
      <c r="L175" s="15" t="n"/>
      <c r="M175" s="12" t="n"/>
      <c r="N175" s="11" t="n"/>
    </row>
    <row r="176">
      <c r="A176" s="8" t="n"/>
      <c r="B176" s="11" t="n"/>
      <c r="C176" s="8" t="n"/>
      <c r="D176" s="8" t="n"/>
      <c r="E176" s="8" t="n"/>
      <c r="F176" s="8" t="n"/>
      <c r="G176" s="8" t="n"/>
      <c r="H176" s="15" t="n"/>
      <c r="I176" s="16" t="n"/>
      <c r="J176" s="12" t="n"/>
      <c r="K176" s="15" t="n"/>
      <c r="L176" s="15" t="n"/>
      <c r="M176" s="12" t="n"/>
      <c r="N176" s="11" t="n"/>
    </row>
    <row r="177">
      <c r="A177" s="8" t="n"/>
      <c r="B177" s="11" t="n"/>
      <c r="C177" s="8" t="n"/>
      <c r="D177" s="8" t="n"/>
      <c r="E177" s="8" t="n"/>
      <c r="F177" s="8" t="n"/>
      <c r="G177" s="8" t="n"/>
      <c r="H177" s="15" t="n"/>
      <c r="I177" s="16" t="n"/>
      <c r="J177" s="12" t="n"/>
      <c r="K177" s="15" t="n"/>
      <c r="L177" s="15" t="n"/>
      <c r="M177" s="12" t="n"/>
      <c r="N177" s="11" t="n"/>
    </row>
    <row r="178">
      <c r="A178" s="8" t="n"/>
      <c r="B178" s="11" t="n"/>
      <c r="C178" s="8" t="n"/>
      <c r="D178" s="8" t="n"/>
      <c r="E178" s="8" t="n"/>
      <c r="F178" s="8" t="n"/>
      <c r="G178" s="8" t="n"/>
      <c r="H178" s="15" t="n"/>
      <c r="I178" s="16" t="n"/>
      <c r="J178" s="12" t="n"/>
      <c r="K178" s="15" t="n"/>
      <c r="L178" s="15" t="n"/>
      <c r="M178" s="12" t="n"/>
      <c r="N178" s="11" t="n"/>
    </row>
    <row r="179">
      <c r="A179" s="8" t="n"/>
      <c r="B179" s="11" t="n"/>
      <c r="C179" s="8" t="n"/>
      <c r="D179" s="8" t="n"/>
      <c r="E179" s="8" t="n"/>
      <c r="F179" s="8" t="n"/>
      <c r="G179" s="8" t="n"/>
      <c r="H179" s="15" t="n"/>
      <c r="I179" s="16" t="n"/>
      <c r="J179" s="12" t="n"/>
      <c r="K179" s="15" t="n"/>
      <c r="L179" s="15" t="n"/>
      <c r="M179" s="12" t="n"/>
      <c r="N179" s="11" t="n"/>
    </row>
    <row r="180">
      <c r="A180" s="8" t="n"/>
      <c r="B180" s="11" t="n"/>
      <c r="C180" s="8" t="n"/>
      <c r="D180" s="8" t="n"/>
      <c r="E180" s="8" t="n"/>
      <c r="F180" s="8" t="n"/>
      <c r="G180" s="8" t="n"/>
      <c r="H180" s="15" t="n"/>
      <c r="I180" s="16" t="n"/>
      <c r="J180" s="12" t="n"/>
      <c r="K180" s="15" t="n"/>
      <c r="L180" s="15" t="n"/>
      <c r="M180" s="12" t="n"/>
      <c r="N180" s="11" t="n"/>
    </row>
    <row r="181">
      <c r="A181" s="8" t="n"/>
      <c r="B181" s="11" t="n"/>
      <c r="C181" s="8" t="n"/>
      <c r="D181" s="8" t="n"/>
      <c r="E181" s="8" t="n"/>
      <c r="F181" s="8" t="n"/>
      <c r="G181" s="8" t="n"/>
      <c r="H181" s="15" t="n"/>
      <c r="I181" s="16" t="n"/>
      <c r="J181" s="12" t="n"/>
      <c r="K181" s="15" t="n"/>
      <c r="L181" s="15" t="n"/>
      <c r="M181" s="12" t="n"/>
      <c r="N181" s="11" t="n"/>
    </row>
    <row r="182">
      <c r="A182" s="8" t="n"/>
      <c r="B182" s="11" t="n"/>
      <c r="C182" s="8" t="n"/>
      <c r="D182" s="8" t="n"/>
      <c r="E182" s="8" t="n"/>
      <c r="F182" s="8" t="n"/>
      <c r="G182" s="8" t="n"/>
      <c r="H182" s="15" t="n"/>
      <c r="I182" s="16" t="n"/>
      <c r="J182" s="12" t="n"/>
      <c r="K182" s="15" t="n"/>
      <c r="L182" s="15" t="n"/>
      <c r="M182" s="12" t="n"/>
      <c r="N182" s="11" t="n"/>
    </row>
    <row r="183">
      <c r="A183" s="8" t="n"/>
      <c r="B183" s="11" t="n"/>
      <c r="C183" s="8" t="n"/>
      <c r="D183" s="8" t="n"/>
      <c r="E183" s="8" t="n"/>
      <c r="F183" s="8" t="n"/>
      <c r="G183" s="8" t="n"/>
      <c r="H183" s="15" t="n"/>
      <c r="I183" s="16" t="n"/>
      <c r="J183" s="12" t="n"/>
      <c r="K183" s="15" t="n"/>
      <c r="L183" s="15" t="n"/>
      <c r="M183" s="12" t="n"/>
      <c r="N183" s="11" t="n"/>
    </row>
    <row r="184">
      <c r="A184" s="8" t="n"/>
      <c r="B184" s="11" t="n"/>
      <c r="C184" s="8" t="n"/>
      <c r="D184" s="8" t="n"/>
      <c r="E184" s="8" t="n"/>
      <c r="F184" s="8" t="n"/>
      <c r="G184" s="8" t="n"/>
      <c r="H184" s="15" t="n"/>
      <c r="I184" s="16" t="n"/>
      <c r="J184" s="12" t="n"/>
      <c r="K184" s="15" t="n"/>
      <c r="L184" s="15" t="n"/>
      <c r="M184" s="12" t="n"/>
      <c r="N184" s="11" t="n"/>
    </row>
    <row r="185">
      <c r="A185" s="8" t="n"/>
      <c r="B185" s="11" t="n"/>
      <c r="C185" s="8" t="n"/>
      <c r="D185" s="8" t="n"/>
      <c r="E185" s="8" t="n"/>
      <c r="F185" s="8" t="n"/>
      <c r="G185" s="8" t="n"/>
      <c r="H185" s="15" t="n"/>
      <c r="I185" s="16" t="n"/>
      <c r="J185" s="12" t="n"/>
      <c r="K185" s="15" t="n"/>
      <c r="L185" s="15" t="n"/>
      <c r="M185" s="12" t="n"/>
      <c r="N185" s="11" t="n"/>
    </row>
    <row r="186">
      <c r="A186" s="8" t="n"/>
      <c r="B186" s="11" t="n"/>
      <c r="C186" s="8" t="n"/>
      <c r="D186" s="8" t="n"/>
      <c r="E186" s="8" t="n"/>
      <c r="F186" s="8" t="n"/>
      <c r="G186" s="8" t="n"/>
      <c r="H186" s="15" t="n"/>
      <c r="I186" s="16" t="n"/>
      <c r="J186" s="12" t="n"/>
      <c r="K186" s="15" t="n"/>
      <c r="L186" s="15" t="n"/>
      <c r="M186" s="12" t="n"/>
      <c r="N186" s="11" t="n"/>
    </row>
    <row r="187">
      <c r="A187" s="8" t="n"/>
      <c r="B187" s="11" t="n"/>
      <c r="C187" s="8" t="n"/>
      <c r="D187" s="8" t="n"/>
      <c r="E187" s="8" t="n"/>
      <c r="F187" s="8" t="n"/>
      <c r="G187" s="8" t="n"/>
      <c r="H187" s="15" t="n"/>
      <c r="I187" s="16" t="n"/>
      <c r="J187" s="12" t="n"/>
      <c r="K187" s="15" t="n"/>
      <c r="L187" s="15" t="n"/>
      <c r="M187" s="12" t="n"/>
      <c r="N187" s="11" t="n"/>
    </row>
    <row r="188">
      <c r="A188" s="8" t="n"/>
      <c r="B188" s="11" t="n"/>
      <c r="C188" s="8" t="n"/>
      <c r="D188" s="8" t="n"/>
      <c r="E188" s="8" t="n"/>
      <c r="F188" s="8" t="n"/>
      <c r="G188" s="8" t="n"/>
      <c r="H188" s="15" t="n"/>
      <c r="I188" s="16" t="n"/>
      <c r="J188" s="12" t="n"/>
      <c r="K188" s="15" t="n"/>
      <c r="L188" s="15" t="n"/>
      <c r="M188" s="12" t="n"/>
      <c r="N188" s="11" t="n"/>
    </row>
    <row r="189">
      <c r="A189" s="8" t="n"/>
      <c r="B189" s="11" t="n"/>
      <c r="C189" s="8" t="n"/>
      <c r="D189" s="8" t="n"/>
      <c r="E189" s="8" t="n"/>
      <c r="F189" s="8" t="n"/>
      <c r="G189" s="8" t="n"/>
      <c r="H189" s="15" t="n"/>
      <c r="I189" s="16" t="n"/>
      <c r="J189" s="12" t="n"/>
      <c r="K189" s="15" t="n"/>
      <c r="L189" s="15" t="n"/>
      <c r="M189" s="12" t="n"/>
      <c r="N189" s="11" t="n"/>
    </row>
    <row r="190">
      <c r="A190" s="8" t="n"/>
      <c r="B190" s="11" t="n"/>
      <c r="C190" s="8" t="n"/>
      <c r="D190" s="8" t="n"/>
      <c r="E190" s="8" t="n"/>
      <c r="F190" s="8" t="n"/>
      <c r="G190" s="8" t="n"/>
      <c r="H190" s="15" t="n"/>
      <c r="I190" s="16" t="n"/>
      <c r="J190" s="12" t="n"/>
      <c r="K190" s="15" t="n"/>
      <c r="L190" s="15" t="n"/>
      <c r="M190" s="12" t="n"/>
      <c r="N190" s="11" t="n"/>
    </row>
    <row r="191">
      <c r="A191" s="8" t="n"/>
      <c r="B191" s="11" t="n"/>
      <c r="C191" s="8" t="n"/>
      <c r="D191" s="8" t="n"/>
      <c r="E191" s="8" t="n"/>
      <c r="F191" s="8" t="n"/>
      <c r="G191" s="8" t="n"/>
      <c r="H191" s="15" t="n"/>
      <c r="I191" s="16" t="n"/>
      <c r="J191" s="12" t="n"/>
      <c r="K191" s="15" t="n"/>
      <c r="L191" s="15" t="n"/>
      <c r="M191" s="12" t="n"/>
      <c r="N191" s="11" t="n"/>
    </row>
    <row r="192">
      <c r="A192" s="8" t="n"/>
      <c r="B192" s="11" t="n"/>
      <c r="C192" s="8" t="n"/>
      <c r="D192" s="8" t="n"/>
      <c r="E192" s="8" t="n"/>
      <c r="F192" s="8" t="n"/>
      <c r="G192" s="8" t="n"/>
      <c r="H192" s="15" t="n"/>
      <c r="I192" s="16" t="n"/>
      <c r="J192" s="12" t="n"/>
      <c r="K192" s="15" t="n"/>
      <c r="L192" s="15" t="n"/>
      <c r="M192" s="12" t="n"/>
      <c r="N192" s="11" t="n"/>
    </row>
    <row r="193">
      <c r="A193" s="8" t="n"/>
      <c r="B193" s="11" t="n"/>
      <c r="C193" s="8" t="n"/>
      <c r="D193" s="8" t="n"/>
      <c r="E193" s="8" t="n"/>
      <c r="F193" s="8" t="n"/>
      <c r="G193" s="8" t="n"/>
      <c r="H193" s="15" t="n"/>
      <c r="I193" s="16" t="n"/>
      <c r="J193" s="12" t="n"/>
      <c r="K193" s="15" t="n"/>
      <c r="L193" s="15" t="n"/>
      <c r="M193" s="12" t="n"/>
      <c r="N193" s="11" t="n"/>
    </row>
    <row r="194">
      <c r="A194" s="8" t="n"/>
      <c r="B194" s="11" t="n"/>
      <c r="C194" s="8" t="n"/>
      <c r="D194" s="8" t="n"/>
      <c r="E194" s="8" t="n"/>
      <c r="F194" s="8" t="n"/>
      <c r="G194" s="8" t="n"/>
      <c r="H194" s="15" t="n"/>
      <c r="I194" s="16" t="n"/>
      <c r="J194" s="12" t="n"/>
      <c r="K194" s="15" t="n"/>
      <c r="L194" s="15" t="n"/>
      <c r="M194" s="12" t="n"/>
      <c r="N194" s="11" t="n"/>
    </row>
    <row r="195">
      <c r="A195" s="8" t="n"/>
      <c r="B195" s="11" t="n"/>
      <c r="C195" s="8" t="n"/>
      <c r="D195" s="8" t="n"/>
      <c r="E195" s="8" t="n"/>
      <c r="F195" s="8" t="n"/>
      <c r="G195" s="8" t="n"/>
      <c r="H195" s="15" t="n"/>
      <c r="I195" s="16" t="n"/>
      <c r="J195" s="12" t="n"/>
      <c r="K195" s="15" t="n"/>
      <c r="L195" s="15" t="n"/>
      <c r="M195" s="12" t="n"/>
      <c r="N195" s="11" t="n"/>
    </row>
    <row r="196">
      <c r="A196" s="8" t="n"/>
      <c r="B196" s="11" t="n"/>
      <c r="C196" s="8" t="n"/>
      <c r="D196" s="8" t="n"/>
      <c r="E196" s="8" t="n"/>
      <c r="F196" s="8" t="n"/>
      <c r="G196" s="8" t="n"/>
      <c r="H196" s="15" t="n"/>
      <c r="I196" s="16" t="n"/>
      <c r="J196" s="12" t="n"/>
      <c r="K196" s="15" t="n"/>
      <c r="L196" s="15" t="n"/>
      <c r="M196" s="12" t="n"/>
      <c r="N196" s="11" t="n"/>
    </row>
    <row r="197">
      <c r="A197" s="8" t="n"/>
      <c r="B197" s="11" t="n"/>
      <c r="C197" s="8" t="n"/>
      <c r="D197" s="8" t="n"/>
      <c r="E197" s="8" t="n"/>
      <c r="F197" s="8" t="n"/>
      <c r="G197" s="8" t="n"/>
      <c r="H197" s="15" t="n"/>
      <c r="I197" s="16" t="n"/>
      <c r="J197" s="12" t="n"/>
      <c r="K197" s="15" t="n"/>
      <c r="L197" s="15" t="n"/>
      <c r="M197" s="12" t="n"/>
      <c r="N197" s="11" t="n"/>
    </row>
    <row r="198">
      <c r="A198" s="8" t="n"/>
      <c r="B198" s="11" t="n"/>
      <c r="C198" s="8" t="n"/>
      <c r="D198" s="8" t="n"/>
      <c r="E198" s="8" t="n"/>
      <c r="F198" s="8" t="n"/>
      <c r="G198" s="8" t="n"/>
      <c r="H198" s="15" t="n"/>
      <c r="I198" s="16" t="n"/>
      <c r="J198" s="12" t="n"/>
      <c r="K198" s="15" t="n"/>
      <c r="L198" s="15" t="n"/>
      <c r="M198" s="12" t="n"/>
      <c r="N198" s="11" t="n"/>
    </row>
    <row r="199">
      <c r="A199" s="8" t="n"/>
      <c r="B199" s="11" t="n"/>
      <c r="C199" s="8" t="n"/>
      <c r="D199" s="8" t="n"/>
      <c r="E199" s="8" t="n"/>
      <c r="F199" s="8" t="n"/>
      <c r="G199" s="8" t="n"/>
      <c r="H199" s="15" t="n"/>
      <c r="I199" s="16" t="n"/>
      <c r="J199" s="12" t="n"/>
      <c r="K199" s="15" t="n"/>
      <c r="L199" s="15" t="n"/>
      <c r="M199" s="12" t="n"/>
      <c r="N199" s="11" t="n"/>
    </row>
    <row r="200">
      <c r="A200" s="8" t="n"/>
      <c r="B200" s="11" t="n"/>
      <c r="C200" s="8" t="n"/>
      <c r="D200" s="8" t="n"/>
      <c r="E200" s="8" t="n"/>
      <c r="F200" s="8" t="n"/>
      <c r="G200" s="8" t="n"/>
      <c r="H200" s="15" t="n"/>
      <c r="I200" s="16" t="n"/>
      <c r="J200" s="12" t="n"/>
      <c r="K200" s="15" t="n"/>
      <c r="L200" s="15" t="n"/>
      <c r="M200" s="12" t="n"/>
      <c r="N200" s="11" t="n"/>
    </row>
    <row r="201">
      <c r="A201" s="8" t="n"/>
      <c r="B201" s="11" t="n"/>
      <c r="C201" s="8" t="n"/>
      <c r="D201" s="8" t="n"/>
      <c r="E201" s="8" t="n"/>
      <c r="F201" s="8" t="n"/>
      <c r="G201" s="8" t="n"/>
      <c r="H201" s="15" t="n"/>
      <c r="I201" s="16" t="n"/>
      <c r="J201" s="12" t="n"/>
      <c r="K201" s="15" t="n"/>
      <c r="L201" s="15" t="n"/>
      <c r="M201" s="12" t="n"/>
      <c r="N201" s="11" t="n"/>
    </row>
    <row r="202">
      <c r="A202" s="8" t="n"/>
      <c r="B202" s="11" t="n"/>
      <c r="C202" s="8" t="n"/>
      <c r="D202" s="8" t="n"/>
      <c r="E202" s="8" t="n"/>
      <c r="F202" s="8" t="n"/>
      <c r="G202" s="8" t="n"/>
      <c r="H202" s="15" t="n"/>
      <c r="I202" s="16" t="n"/>
      <c r="J202" s="12" t="n"/>
      <c r="K202" s="15" t="n"/>
      <c r="L202" s="15" t="n"/>
      <c r="M202" s="12" t="n"/>
      <c r="N202" s="11" t="n"/>
    </row>
    <row r="203">
      <c r="A203" s="8" t="n"/>
      <c r="B203" s="11" t="n"/>
      <c r="C203" s="8" t="n"/>
      <c r="D203" s="8" t="n"/>
      <c r="E203" s="8" t="n"/>
      <c r="F203" s="8" t="n"/>
      <c r="G203" s="8" t="n"/>
      <c r="H203" s="15" t="n"/>
      <c r="I203" s="16" t="n"/>
      <c r="J203" s="12" t="n"/>
      <c r="K203" s="15" t="n"/>
      <c r="L203" s="15" t="n"/>
      <c r="M203" s="12" t="n"/>
      <c r="N203" s="11" t="n"/>
    </row>
    <row r="204">
      <c r="A204" s="8" t="n"/>
      <c r="B204" s="11" t="n"/>
      <c r="C204" s="8" t="n"/>
      <c r="D204" s="8" t="n"/>
      <c r="E204" s="8" t="n"/>
      <c r="F204" s="8" t="n"/>
      <c r="G204" s="8" t="n"/>
      <c r="H204" s="15" t="n"/>
      <c r="I204" s="16" t="n"/>
      <c r="J204" s="12" t="n"/>
      <c r="K204" s="15" t="n"/>
      <c r="L204" s="15" t="n"/>
      <c r="M204" s="12" t="n"/>
      <c r="N204" s="11" t="n"/>
    </row>
    <row r="205">
      <c r="A205" s="8" t="n"/>
      <c r="B205" s="11" t="n"/>
      <c r="C205" s="8" t="n"/>
      <c r="D205" s="8" t="n"/>
      <c r="E205" s="8" t="n"/>
      <c r="F205" s="8" t="n"/>
      <c r="G205" s="8" t="n"/>
      <c r="H205" s="15" t="n"/>
      <c r="I205" s="16" t="n"/>
      <c r="J205" s="12" t="n"/>
      <c r="K205" s="15" t="n"/>
      <c r="L205" s="15" t="n"/>
      <c r="M205" s="12" t="n"/>
      <c r="N205" s="11" t="n"/>
    </row>
    <row r="206">
      <c r="A206" s="8" t="n"/>
      <c r="B206" s="11" t="n"/>
      <c r="C206" s="8" t="n"/>
      <c r="D206" s="8" t="n"/>
      <c r="E206" s="8" t="n"/>
      <c r="F206" s="8" t="n"/>
      <c r="G206" s="8" t="n"/>
      <c r="H206" s="15" t="n"/>
      <c r="I206" s="16" t="n"/>
      <c r="J206" s="12" t="n"/>
      <c r="K206" s="15" t="n"/>
      <c r="L206" s="15" t="n"/>
      <c r="M206" s="12" t="n"/>
      <c r="N206" s="11" t="n"/>
    </row>
    <row r="207">
      <c r="A207" s="8" t="n"/>
      <c r="B207" s="11" t="n"/>
      <c r="C207" s="8" t="n"/>
      <c r="D207" s="8" t="n"/>
      <c r="E207" s="8" t="n"/>
      <c r="F207" s="8" t="n"/>
      <c r="G207" s="8" t="n"/>
      <c r="H207" s="15" t="n"/>
      <c r="I207" s="16" t="n"/>
      <c r="J207" s="12" t="n"/>
      <c r="K207" s="15" t="n"/>
      <c r="L207" s="15" t="n"/>
      <c r="M207" s="12" t="n"/>
      <c r="N207" s="11" t="n"/>
    </row>
    <row r="208">
      <c r="A208" s="8" t="n"/>
      <c r="B208" s="11" t="n"/>
      <c r="C208" s="8" t="n"/>
      <c r="D208" s="8" t="n"/>
      <c r="E208" s="8" t="n"/>
      <c r="F208" s="8" t="n"/>
      <c r="G208" s="8" t="n"/>
      <c r="H208" s="15" t="n"/>
      <c r="I208" s="16" t="n"/>
      <c r="J208" s="12" t="n"/>
      <c r="K208" s="15" t="n"/>
      <c r="L208" s="15" t="n"/>
      <c r="M208" s="12" t="n"/>
      <c r="N208" s="11" t="n"/>
    </row>
    <row r="209">
      <c r="A209" s="8" t="n"/>
      <c r="B209" s="11" t="n"/>
      <c r="C209" s="8" t="n"/>
      <c r="D209" s="8" t="n"/>
      <c r="E209" s="8" t="n"/>
      <c r="F209" s="8" t="n"/>
      <c r="G209" s="8" t="n"/>
      <c r="H209" s="15" t="n"/>
      <c r="I209" s="16" t="n"/>
      <c r="J209" s="12" t="n"/>
      <c r="K209" s="15" t="n"/>
      <c r="L209" s="15" t="n"/>
      <c r="M209" s="12" t="n"/>
      <c r="N209" s="11" t="n"/>
    </row>
    <row r="210">
      <c r="A210" s="8" t="n"/>
      <c r="B210" s="11" t="n"/>
      <c r="C210" s="8" t="n"/>
      <c r="D210" s="8" t="n"/>
      <c r="E210" s="8" t="n"/>
      <c r="F210" s="8" t="n"/>
      <c r="G210" s="8" t="n"/>
      <c r="H210" s="15" t="n"/>
      <c r="I210" s="16" t="n"/>
      <c r="J210" s="12" t="n"/>
      <c r="K210" s="15" t="n"/>
      <c r="L210" s="15" t="n"/>
      <c r="M210" s="12" t="n"/>
      <c r="N210" s="11" t="n"/>
    </row>
    <row r="211">
      <c r="A211" s="8" t="n"/>
      <c r="B211" s="11" t="n"/>
      <c r="C211" s="8" t="n"/>
      <c r="D211" s="8" t="n"/>
      <c r="E211" s="8" t="n"/>
      <c r="F211" s="8" t="n"/>
      <c r="G211" s="8" t="n"/>
      <c r="H211" s="15" t="n"/>
      <c r="I211" s="16" t="n"/>
      <c r="J211" s="12" t="n"/>
      <c r="K211" s="15" t="n"/>
      <c r="L211" s="15" t="n"/>
      <c r="M211" s="12" t="n"/>
      <c r="N211" s="11" t="n"/>
    </row>
    <row r="212">
      <c r="A212" s="8" t="n"/>
      <c r="B212" s="11" t="n"/>
      <c r="C212" s="8" t="n"/>
      <c r="D212" s="8" t="n"/>
      <c r="E212" s="8" t="n"/>
      <c r="F212" s="8" t="n"/>
      <c r="G212" s="8" t="n"/>
      <c r="H212" s="15" t="n"/>
      <c r="I212" s="16" t="n"/>
      <c r="J212" s="12" t="n"/>
      <c r="K212" s="15" t="n"/>
      <c r="L212" s="15" t="n"/>
      <c r="M212" s="12" t="n"/>
      <c r="N212" s="11" t="n"/>
    </row>
    <row r="213">
      <c r="A213" s="8" t="n"/>
      <c r="B213" s="11" t="n"/>
      <c r="C213" s="8" t="n"/>
      <c r="D213" s="8" t="n"/>
      <c r="E213" s="8" t="n"/>
      <c r="F213" s="8" t="n"/>
      <c r="G213" s="8" t="n"/>
      <c r="H213" s="15" t="n"/>
      <c r="I213" s="16" t="n"/>
      <c r="J213" s="12" t="n"/>
      <c r="K213" s="15" t="n"/>
      <c r="L213" s="15" t="n"/>
      <c r="M213" s="12" t="n"/>
      <c r="N213" s="11" t="n"/>
    </row>
    <row r="214">
      <c r="A214" s="8" t="n"/>
      <c r="B214" s="11" t="n"/>
      <c r="C214" s="8" t="n"/>
      <c r="D214" s="8" t="n"/>
      <c r="E214" s="8" t="n"/>
      <c r="F214" s="8" t="n"/>
      <c r="G214" s="8" t="n"/>
      <c r="H214" s="15" t="n"/>
      <c r="I214" s="16" t="n"/>
      <c r="J214" s="12" t="n"/>
      <c r="K214" s="15" t="n"/>
      <c r="L214" s="15" t="n"/>
      <c r="M214" s="12" t="n"/>
      <c r="N214" s="11" t="n"/>
    </row>
    <row r="215">
      <c r="A215" s="8" t="n"/>
      <c r="B215" s="11" t="n"/>
      <c r="C215" s="8" t="n"/>
      <c r="D215" s="8" t="n"/>
      <c r="E215" s="8" t="n"/>
      <c r="F215" s="8" t="n"/>
      <c r="G215" s="8" t="n"/>
      <c r="H215" s="15" t="n"/>
      <c r="I215" s="16" t="n"/>
      <c r="J215" s="12" t="n"/>
      <c r="K215" s="15" t="n"/>
      <c r="L215" s="15" t="n"/>
      <c r="M215" s="12" t="n"/>
      <c r="N215" s="11" t="n"/>
    </row>
    <row r="216">
      <c r="A216" s="8" t="n"/>
      <c r="B216" s="11" t="n"/>
      <c r="C216" s="8" t="n"/>
      <c r="D216" s="8" t="n"/>
      <c r="E216" s="8" t="n"/>
      <c r="F216" s="8" t="n"/>
      <c r="G216" s="8" t="n"/>
      <c r="H216" s="15" t="n"/>
      <c r="I216" s="16" t="n"/>
      <c r="J216" s="12" t="n"/>
      <c r="K216" s="15" t="n"/>
      <c r="L216" s="15" t="n"/>
      <c r="M216" s="12" t="n"/>
      <c r="N216" s="11" t="n"/>
    </row>
    <row r="217">
      <c r="A217" s="8" t="n"/>
      <c r="B217" s="11" t="n"/>
      <c r="C217" s="8" t="n"/>
      <c r="D217" s="8" t="n"/>
      <c r="E217" s="8" t="n"/>
      <c r="F217" s="8" t="n"/>
      <c r="G217" s="8" t="n"/>
      <c r="H217" s="15" t="n"/>
      <c r="I217" s="16" t="n"/>
      <c r="J217" s="12" t="n"/>
      <c r="K217" s="15" t="n"/>
      <c r="L217" s="15" t="n"/>
      <c r="M217" s="12" t="n"/>
      <c r="N217" s="11" t="n"/>
    </row>
    <row r="218">
      <c r="A218" s="8" t="n"/>
      <c r="B218" s="11" t="n"/>
      <c r="C218" s="8" t="n"/>
      <c r="D218" s="8" t="n"/>
      <c r="E218" s="8" t="n"/>
      <c r="F218" s="8" t="n"/>
      <c r="G218" s="8" t="n"/>
      <c r="H218" s="15" t="n"/>
      <c r="I218" s="16" t="n"/>
      <c r="J218" s="12" t="n"/>
      <c r="K218" s="15" t="n"/>
      <c r="L218" s="15" t="n"/>
      <c r="M218" s="12" t="n"/>
      <c r="N218" s="11" t="n"/>
    </row>
    <row r="219">
      <c r="A219" s="8" t="n"/>
      <c r="B219" s="11" t="n"/>
      <c r="C219" s="8" t="n"/>
      <c r="D219" s="8" t="n"/>
      <c r="E219" s="8" t="n"/>
      <c r="F219" s="8" t="n"/>
      <c r="G219" s="8" t="n"/>
      <c r="H219" s="15" t="n"/>
      <c r="I219" s="16" t="n"/>
      <c r="J219" s="12" t="n"/>
      <c r="K219" s="15" t="n"/>
      <c r="L219" s="15" t="n"/>
      <c r="M219" s="12" t="n"/>
      <c r="N219" s="11" t="n"/>
    </row>
    <row r="220">
      <c r="A220" s="8" t="n"/>
      <c r="B220" s="11" t="n"/>
      <c r="C220" s="8" t="n"/>
      <c r="D220" s="8" t="n"/>
      <c r="E220" s="8" t="n"/>
      <c r="F220" s="8" t="n"/>
      <c r="G220" s="8" t="n"/>
      <c r="H220" s="15" t="n"/>
      <c r="I220" s="16" t="n"/>
      <c r="J220" s="12" t="n"/>
      <c r="K220" s="15" t="n"/>
      <c r="L220" s="15" t="n"/>
      <c r="M220" s="12" t="n"/>
      <c r="N220" s="11" t="n"/>
    </row>
    <row r="221">
      <c r="A221" s="8" t="n"/>
      <c r="B221" s="11" t="n"/>
      <c r="C221" s="8" t="n"/>
      <c r="D221" s="8" t="n"/>
      <c r="E221" s="8" t="n"/>
      <c r="F221" s="8" t="n"/>
      <c r="G221" s="8" t="n"/>
      <c r="H221" s="15" t="n"/>
      <c r="I221" s="16" t="n"/>
      <c r="J221" s="12" t="n"/>
      <c r="K221" s="15" t="n"/>
      <c r="L221" s="15" t="n"/>
      <c r="M221" s="12" t="n"/>
      <c r="N221" s="11" t="n"/>
    </row>
    <row r="222">
      <c r="A222" s="8" t="n"/>
      <c r="B222" s="11" t="n"/>
      <c r="C222" s="8" t="n"/>
      <c r="D222" s="8" t="n"/>
      <c r="E222" s="8" t="n"/>
      <c r="F222" s="8" t="n"/>
      <c r="G222" s="8" t="n"/>
      <c r="H222" s="15" t="n"/>
      <c r="I222" s="16" t="n"/>
      <c r="J222" s="12" t="n"/>
      <c r="K222" s="15" t="n"/>
      <c r="L222" s="15" t="n"/>
      <c r="M222" s="12" t="n"/>
      <c r="N222" s="11" t="n"/>
    </row>
    <row r="223">
      <c r="A223" s="8" t="n"/>
      <c r="B223" s="11" t="n"/>
      <c r="C223" s="8" t="n"/>
      <c r="D223" s="8" t="n"/>
      <c r="E223" s="8" t="n"/>
      <c r="F223" s="8" t="n"/>
      <c r="G223" s="8" t="n"/>
      <c r="H223" s="15" t="n"/>
      <c r="I223" s="16" t="n"/>
      <c r="J223" s="12" t="n"/>
      <c r="K223" s="15" t="n"/>
      <c r="L223" s="15" t="n"/>
      <c r="M223" s="12" t="n"/>
      <c r="N223" s="11" t="n"/>
    </row>
    <row r="224">
      <c r="A224" s="8" t="n"/>
      <c r="B224" s="11" t="n"/>
      <c r="C224" s="8" t="n"/>
      <c r="D224" s="8" t="n"/>
      <c r="E224" s="8" t="n"/>
      <c r="F224" s="8" t="n"/>
      <c r="G224" s="8" t="n"/>
      <c r="H224" s="15" t="n"/>
      <c r="I224" s="16" t="n"/>
      <c r="J224" s="12" t="n"/>
      <c r="K224" s="15" t="n"/>
      <c r="L224" s="15" t="n"/>
      <c r="M224" s="12" t="n"/>
      <c r="N224" s="11" t="n"/>
    </row>
    <row r="225">
      <c r="A225" s="8" t="n"/>
      <c r="B225" s="11" t="n"/>
      <c r="C225" s="8" t="n"/>
      <c r="D225" s="8" t="n"/>
      <c r="E225" s="8" t="n"/>
      <c r="F225" s="8" t="n"/>
      <c r="G225" s="8" t="n"/>
      <c r="H225" s="15" t="n"/>
      <c r="I225" s="16" t="n"/>
      <c r="J225" s="12" t="n"/>
      <c r="K225" s="15" t="n"/>
      <c r="L225" s="15" t="n"/>
      <c r="M225" s="12" t="n"/>
      <c r="N225" s="11" t="n"/>
    </row>
    <row r="226">
      <c r="A226" s="8" t="n"/>
      <c r="B226" s="11" t="n"/>
      <c r="C226" s="8" t="n"/>
      <c r="D226" s="8" t="n"/>
      <c r="E226" s="8" t="n"/>
      <c r="F226" s="8" t="n"/>
      <c r="G226" s="8" t="n"/>
      <c r="H226" s="15" t="n"/>
      <c r="I226" s="16" t="n"/>
      <c r="J226" s="12" t="n"/>
      <c r="K226" s="15" t="n"/>
      <c r="L226" s="15" t="n"/>
      <c r="M226" s="12" t="n"/>
      <c r="N226" s="11" t="n"/>
    </row>
    <row r="227">
      <c r="A227" s="8" t="n"/>
      <c r="B227" s="11" t="n"/>
      <c r="C227" s="8" t="n"/>
      <c r="D227" s="8" t="n"/>
      <c r="E227" s="8" t="n"/>
      <c r="F227" s="8" t="n"/>
      <c r="G227" s="8" t="n"/>
      <c r="H227" s="15" t="n"/>
      <c r="I227" s="16" t="n"/>
      <c r="J227" s="12" t="n"/>
      <c r="K227" s="15" t="n"/>
      <c r="L227" s="15" t="n"/>
      <c r="M227" s="12" t="n"/>
      <c r="N227" s="11" t="n"/>
    </row>
    <row r="228">
      <c r="A228" s="8" t="n"/>
      <c r="B228" s="11" t="n"/>
      <c r="C228" s="8" t="n"/>
      <c r="D228" s="8" t="n"/>
      <c r="E228" s="8" t="n"/>
      <c r="F228" s="8" t="n"/>
      <c r="G228" s="8" t="n"/>
      <c r="H228" s="15" t="n"/>
      <c r="I228" s="16" t="n"/>
      <c r="J228" s="12" t="n"/>
      <c r="K228" s="15" t="n"/>
      <c r="L228" s="15" t="n"/>
      <c r="M228" s="12" t="n"/>
      <c r="N228" s="11" t="n"/>
    </row>
    <row r="229">
      <c r="A229" s="8" t="n"/>
      <c r="B229" s="11" t="n"/>
      <c r="C229" s="8" t="n"/>
      <c r="D229" s="8" t="n"/>
      <c r="E229" s="8" t="n"/>
      <c r="F229" s="8" t="n"/>
      <c r="G229" s="8" t="n"/>
      <c r="H229" s="15" t="n"/>
      <c r="I229" s="16" t="n"/>
      <c r="J229" s="12" t="n"/>
      <c r="K229" s="15" t="n"/>
      <c r="L229" s="15" t="n"/>
      <c r="M229" s="12" t="n"/>
      <c r="N229" s="11" t="n"/>
    </row>
    <row r="230">
      <c r="A230" s="8" t="n"/>
      <c r="B230" s="11" t="n"/>
      <c r="C230" s="8" t="n"/>
      <c r="D230" s="8" t="n"/>
      <c r="E230" s="8" t="n"/>
      <c r="F230" s="8" t="n"/>
      <c r="G230" s="8" t="n"/>
      <c r="H230" s="15" t="n"/>
      <c r="I230" s="16" t="n"/>
      <c r="J230" s="12" t="n"/>
      <c r="K230" s="15" t="n"/>
      <c r="L230" s="15" t="n"/>
      <c r="M230" s="12" t="n"/>
      <c r="N230" s="11" t="n"/>
    </row>
    <row r="231">
      <c r="A231" s="8" t="n"/>
      <c r="B231" s="11" t="n"/>
      <c r="C231" s="8" t="n"/>
      <c r="D231" s="8" t="n"/>
      <c r="E231" s="8" t="n"/>
      <c r="F231" s="8" t="n"/>
      <c r="G231" s="8" t="n"/>
      <c r="H231" s="15" t="n"/>
      <c r="I231" s="16" t="n"/>
      <c r="J231" s="12" t="n"/>
      <c r="K231" s="15" t="n"/>
      <c r="L231" s="15" t="n"/>
      <c r="M231" s="12" t="n"/>
      <c r="N231" s="11" t="n"/>
    </row>
    <row r="232">
      <c r="A232" s="8" t="n"/>
      <c r="B232" s="11" t="n"/>
      <c r="C232" s="8" t="n"/>
      <c r="D232" s="8" t="n"/>
      <c r="E232" s="8" t="n"/>
      <c r="F232" s="8" t="n"/>
      <c r="G232" s="8" t="n"/>
      <c r="H232" s="15" t="n"/>
      <c r="I232" s="16" t="n"/>
      <c r="J232" s="12" t="n"/>
      <c r="K232" s="15" t="n"/>
      <c r="L232" s="15" t="n"/>
      <c r="M232" s="12" t="n"/>
      <c r="N232" s="11" t="n"/>
    </row>
    <row r="233">
      <c r="A233" s="8" t="n"/>
      <c r="B233" s="11" t="n"/>
      <c r="C233" s="8" t="n"/>
      <c r="D233" s="8" t="n"/>
      <c r="E233" s="8" t="n"/>
      <c r="F233" s="8" t="n"/>
      <c r="G233" s="8" t="n"/>
      <c r="H233" s="15" t="n"/>
      <c r="I233" s="16" t="n"/>
      <c r="J233" s="12" t="n"/>
      <c r="K233" s="15" t="n"/>
      <c r="L233" s="15" t="n"/>
      <c r="M233" s="12" t="n"/>
      <c r="N233" s="11" t="n"/>
    </row>
    <row r="234">
      <c r="A234" s="8" t="n"/>
      <c r="B234" s="11" t="n"/>
      <c r="C234" s="8" t="n"/>
      <c r="D234" s="8" t="n"/>
      <c r="E234" s="8" t="n"/>
      <c r="F234" s="8" t="n"/>
      <c r="G234" s="8" t="n"/>
      <c r="H234" s="15" t="n"/>
      <c r="I234" s="16" t="n"/>
      <c r="J234" s="12" t="n"/>
      <c r="K234" s="15" t="n"/>
      <c r="L234" s="15" t="n"/>
      <c r="M234" s="12" t="n"/>
      <c r="N234" s="11" t="n"/>
    </row>
    <row r="235">
      <c r="A235" s="8" t="n"/>
      <c r="B235" s="11" t="n"/>
      <c r="C235" s="8" t="n"/>
      <c r="D235" s="8" t="n"/>
      <c r="E235" s="8" t="n"/>
      <c r="F235" s="8" t="n"/>
      <c r="G235" s="8" t="n"/>
      <c r="H235" s="15" t="n"/>
      <c r="I235" s="16" t="n"/>
      <c r="J235" s="12" t="n"/>
      <c r="K235" s="15" t="n"/>
      <c r="L235" s="15" t="n"/>
      <c r="M235" s="12" t="n"/>
      <c r="N235" s="11" t="n"/>
    </row>
    <row r="236">
      <c r="A236" s="8" t="n"/>
      <c r="B236" s="11" t="n"/>
      <c r="C236" s="8" t="n"/>
      <c r="D236" s="8" t="n"/>
      <c r="E236" s="8" t="n"/>
      <c r="F236" s="8" t="n"/>
      <c r="G236" s="8" t="n"/>
      <c r="H236" s="15" t="n"/>
      <c r="I236" s="16" t="n"/>
      <c r="J236" s="12" t="n"/>
      <c r="K236" s="15" t="n"/>
      <c r="L236" s="15" t="n"/>
      <c r="M236" s="12" t="n"/>
      <c r="N236" s="11" t="n"/>
    </row>
    <row r="237">
      <c r="A237" s="8" t="n"/>
      <c r="B237" s="11" t="n"/>
      <c r="C237" s="8" t="n"/>
      <c r="D237" s="8" t="n"/>
      <c r="E237" s="8" t="n"/>
      <c r="F237" s="8" t="n"/>
      <c r="G237" s="8" t="n"/>
      <c r="H237" s="15" t="n"/>
      <c r="I237" s="16" t="n"/>
      <c r="J237" s="12" t="n"/>
      <c r="K237" s="15" t="n"/>
      <c r="L237" s="15" t="n"/>
      <c r="M237" s="12" t="n"/>
      <c r="N237" s="11" t="n"/>
    </row>
    <row r="238">
      <c r="A238" s="8" t="n"/>
      <c r="B238" s="11" t="n"/>
      <c r="C238" s="8" t="n"/>
      <c r="D238" s="8" t="n"/>
      <c r="E238" s="8" t="n"/>
      <c r="F238" s="8" t="n"/>
      <c r="G238" s="8" t="n"/>
      <c r="H238" s="15" t="n"/>
      <c r="I238" s="16" t="n"/>
      <c r="J238" s="12" t="n"/>
      <c r="K238" s="15" t="n"/>
      <c r="L238" s="15" t="n"/>
      <c r="M238" s="12" t="n"/>
      <c r="N238" s="11" t="n"/>
    </row>
    <row r="239">
      <c r="A239" s="8" t="n"/>
      <c r="B239" s="11" t="n"/>
      <c r="C239" s="8" t="n"/>
      <c r="D239" s="8" t="n"/>
      <c r="E239" s="8" t="n"/>
      <c r="F239" s="8" t="n"/>
      <c r="G239" s="8" t="n"/>
      <c r="H239" s="15" t="n"/>
      <c r="I239" s="16" t="n"/>
      <c r="J239" s="12" t="n"/>
      <c r="K239" s="15" t="n"/>
      <c r="L239" s="15" t="n"/>
      <c r="M239" s="12" t="n"/>
      <c r="N239" s="11" t="n"/>
    </row>
    <row r="240">
      <c r="A240" s="8" t="n"/>
      <c r="B240" s="11" t="n"/>
      <c r="C240" s="8" t="n"/>
      <c r="D240" s="8" t="n"/>
      <c r="E240" s="8" t="n"/>
      <c r="F240" s="8" t="n"/>
      <c r="G240" s="8" t="n"/>
      <c r="H240" s="15" t="n"/>
      <c r="I240" s="16" t="n"/>
      <c r="J240" s="12" t="n"/>
      <c r="K240" s="15" t="n"/>
      <c r="L240" s="15" t="n"/>
      <c r="M240" s="12" t="n"/>
      <c r="N240" s="11" t="n"/>
    </row>
    <row r="241">
      <c r="A241" s="8" t="n"/>
      <c r="B241" s="11" t="n"/>
      <c r="C241" s="8" t="n"/>
      <c r="D241" s="8" t="n"/>
      <c r="E241" s="8" t="n"/>
      <c r="F241" s="8" t="n"/>
      <c r="G241" s="8" t="n"/>
      <c r="H241" s="15" t="n"/>
      <c r="I241" s="16" t="n"/>
      <c r="J241" s="12" t="n"/>
      <c r="K241" s="15" t="n"/>
      <c r="L241" s="15" t="n"/>
      <c r="M241" s="12" t="n"/>
      <c r="N241" s="11" t="n"/>
    </row>
    <row r="242">
      <c r="A242" s="8" t="n"/>
      <c r="B242" s="11" t="n"/>
      <c r="C242" s="8" t="n"/>
      <c r="D242" s="8" t="n"/>
      <c r="E242" s="8" t="n"/>
      <c r="F242" s="8" t="n"/>
      <c r="G242" s="8" t="n"/>
      <c r="H242" s="15" t="n"/>
      <c r="I242" s="16" t="n"/>
      <c r="J242" s="12" t="n"/>
      <c r="K242" s="15" t="n"/>
      <c r="L242" s="15" t="n"/>
      <c r="M242" s="12" t="n"/>
      <c r="N242" s="11" t="n"/>
    </row>
    <row r="243">
      <c r="A243" s="8" t="n"/>
      <c r="B243" s="11" t="n"/>
      <c r="C243" s="8" t="n"/>
      <c r="D243" s="8" t="n"/>
      <c r="E243" s="8" t="n"/>
      <c r="F243" s="8" t="n"/>
      <c r="G243" s="8" t="n"/>
      <c r="H243" s="15" t="n"/>
      <c r="I243" s="16" t="n"/>
      <c r="J243" s="12" t="n"/>
      <c r="K243" s="15" t="n"/>
      <c r="L243" s="15" t="n"/>
      <c r="M243" s="12" t="n"/>
      <c r="N243" s="11" t="n"/>
    </row>
    <row r="244">
      <c r="A244" s="8" t="n"/>
      <c r="B244" s="11" t="n"/>
      <c r="C244" s="8" t="n"/>
      <c r="D244" s="8" t="n"/>
      <c r="E244" s="8" t="n"/>
      <c r="F244" s="8" t="n"/>
      <c r="G244" s="8" t="n"/>
      <c r="H244" s="15" t="n"/>
      <c r="I244" s="16" t="n"/>
      <c r="J244" s="12" t="n"/>
      <c r="K244" s="15" t="n"/>
      <c r="L244" s="15" t="n"/>
      <c r="M244" s="12" t="n"/>
      <c r="N244" s="11" t="n"/>
    </row>
    <row r="245">
      <c r="A245" s="8" t="n"/>
      <c r="B245" s="11" t="n"/>
      <c r="C245" s="8" t="n"/>
      <c r="D245" s="8" t="n"/>
      <c r="E245" s="8" t="n"/>
      <c r="F245" s="8" t="n"/>
      <c r="G245" s="8" t="n"/>
      <c r="H245" s="15" t="n"/>
      <c r="I245" s="16" t="n"/>
      <c r="J245" s="12" t="n"/>
      <c r="K245" s="15" t="n"/>
      <c r="L245" s="15" t="n"/>
      <c r="M245" s="12" t="n"/>
      <c r="N245" s="11" t="n"/>
    </row>
    <row r="246">
      <c r="A246" s="8" t="n"/>
      <c r="B246" s="11" t="n"/>
      <c r="C246" s="8" t="n"/>
      <c r="D246" s="8" t="n"/>
      <c r="E246" s="8" t="n"/>
      <c r="F246" s="8" t="n"/>
      <c r="G246" s="8" t="n"/>
      <c r="H246" s="15" t="n"/>
      <c r="I246" s="16" t="n"/>
      <c r="J246" s="12" t="n"/>
      <c r="K246" s="15" t="n"/>
      <c r="L246" s="15" t="n"/>
      <c r="M246" s="12" t="n"/>
      <c r="N246" s="11" t="n"/>
    </row>
    <row r="247">
      <c r="A247" s="8" t="n"/>
      <c r="B247" s="11" t="n"/>
      <c r="C247" s="8" t="n"/>
      <c r="D247" s="8" t="n"/>
      <c r="E247" s="8" t="n"/>
      <c r="F247" s="8" t="n"/>
      <c r="G247" s="8" t="n"/>
      <c r="H247" s="15" t="n"/>
      <c r="I247" s="16" t="n"/>
      <c r="J247" s="12" t="n"/>
      <c r="K247" s="15" t="n"/>
      <c r="L247" s="15" t="n"/>
      <c r="M247" s="12" t="n"/>
      <c r="N247" s="11" t="n"/>
    </row>
    <row r="248">
      <c r="A248" s="8" t="n"/>
      <c r="B248" s="11" t="n"/>
      <c r="C248" s="8" t="n"/>
      <c r="D248" s="8" t="n"/>
      <c r="E248" s="8" t="n"/>
      <c r="F248" s="8" t="n"/>
      <c r="G248" s="8" t="n"/>
      <c r="H248" s="15" t="n"/>
      <c r="I248" s="16" t="n"/>
      <c r="J248" s="12" t="n"/>
      <c r="K248" s="15" t="n"/>
      <c r="L248" s="15" t="n"/>
      <c r="M248" s="12" t="n"/>
      <c r="N248" s="11" t="n"/>
    </row>
    <row r="249">
      <c r="A249" s="8" t="n"/>
      <c r="B249" s="11" t="n"/>
      <c r="C249" s="8" t="n"/>
      <c r="D249" s="8" t="n"/>
      <c r="E249" s="8" t="n"/>
      <c r="F249" s="8" t="n"/>
      <c r="G249" s="8" t="n"/>
      <c r="H249" s="15" t="n"/>
      <c r="I249" s="16" t="n"/>
      <c r="J249" s="12" t="n"/>
      <c r="K249" s="15" t="n"/>
      <c r="L249" s="15" t="n"/>
      <c r="M249" s="12" t="n"/>
      <c r="N249" s="11" t="n"/>
    </row>
    <row r="250">
      <c r="A250" s="8" t="n"/>
      <c r="B250" s="11" t="n"/>
      <c r="C250" s="8" t="n"/>
      <c r="D250" s="8" t="n"/>
      <c r="E250" s="8" t="n"/>
      <c r="F250" s="8" t="n"/>
      <c r="G250" s="8" t="n"/>
      <c r="H250" s="15" t="n"/>
      <c r="I250" s="16" t="n"/>
      <c r="J250" s="12" t="n"/>
      <c r="K250" s="15" t="n"/>
      <c r="L250" s="15" t="n"/>
      <c r="M250" s="12" t="n"/>
      <c r="N250" s="11" t="n"/>
    </row>
    <row r="251">
      <c r="A251" s="8" t="n"/>
      <c r="B251" s="11" t="n"/>
      <c r="C251" s="8" t="n"/>
      <c r="D251" s="8" t="n"/>
      <c r="E251" s="8" t="n"/>
      <c r="F251" s="8" t="n"/>
      <c r="G251" s="8" t="n"/>
      <c r="H251" s="15" t="n"/>
      <c r="I251" s="16" t="n"/>
      <c r="J251" s="12" t="n"/>
      <c r="K251" s="15" t="n"/>
      <c r="L251" s="15" t="n"/>
      <c r="M251" s="12" t="n"/>
      <c r="N251" s="11" t="n"/>
    </row>
    <row r="252">
      <c r="A252" s="8" t="n"/>
      <c r="B252" s="11" t="n"/>
      <c r="C252" s="8" t="n"/>
      <c r="D252" s="8" t="n"/>
      <c r="E252" s="8" t="n"/>
      <c r="F252" s="8" t="n"/>
      <c r="G252" s="8" t="n"/>
      <c r="H252" s="15" t="n"/>
      <c r="I252" s="16" t="n"/>
      <c r="J252" s="12" t="n"/>
      <c r="K252" s="15" t="n"/>
      <c r="L252" s="15" t="n"/>
      <c r="M252" s="12" t="n"/>
      <c r="N252" s="11" t="n"/>
    </row>
    <row r="253">
      <c r="A253" s="8" t="n"/>
      <c r="B253" s="11" t="n"/>
      <c r="C253" s="8" t="n"/>
      <c r="D253" s="8" t="n"/>
      <c r="E253" s="8" t="n"/>
      <c r="F253" s="8" t="n"/>
      <c r="G253" s="8" t="n"/>
      <c r="H253" s="15" t="n"/>
      <c r="I253" s="16" t="n"/>
      <c r="J253" s="12" t="n"/>
      <c r="K253" s="15" t="n"/>
      <c r="L253" s="15" t="n"/>
      <c r="M253" s="12" t="n"/>
      <c r="N253" s="11" t="n"/>
    </row>
    <row r="254">
      <c r="A254" s="8" t="n"/>
      <c r="B254" s="11" t="n"/>
      <c r="C254" s="8" t="n"/>
      <c r="D254" s="8" t="n"/>
      <c r="E254" s="8" t="n"/>
      <c r="F254" s="8" t="n"/>
      <c r="G254" s="8" t="n"/>
      <c r="H254" s="15" t="n"/>
      <c r="I254" s="16" t="n"/>
      <c r="J254" s="12" t="n"/>
      <c r="K254" s="15" t="n"/>
      <c r="L254" s="15" t="n"/>
      <c r="M254" s="12" t="n"/>
      <c r="N254" s="11" t="n"/>
    </row>
  </sheetData>
  <sheetProtection selectLockedCells="0" selectUnlockedCells="0" sheet="1" objects="0" insertRows="1" insertHyperlinks="1" autoFilter="0" scenarios="0" formatColumns="0" deleteColumns="1" insertColumns="1" pivotTables="1" deleteRows="1" formatCells="1" formatRows="0" sort="0"/>
  <autoFilter ref="A4:N254"/>
  <dataValidations count="9">
    <dataValidation sqref="C5:C254" showDropDown="0" showInputMessage="0" showErrorMessage="1" allowBlank="1" errorTitle="Not allowed" error="Pick a value from the list." type="list">
      <formula1>"US,CA,MX"</formula1>
    </dataValidation>
    <dataValidation sqref="E5:E254" showDropDown="0" showInputMessage="0" showErrorMessage="1" allowBlank="1" errorTitle="Check the value" error="Use the 2-letter ISO country code, no spaces." type="textLength" operator="equal">
      <formula1>2</formula1>
    </dataValidation>
    <dataValidation sqref="F5:F254" showDropDown="0" showInputMessage="1" showErrorMessage="1" allowBlank="1" errorTitle="Not allowed" error="Pick a value from the list." prompt="Y only if a valid USMCA certification supports the claim." type="list">
      <formula1>"Y,N"</formula1>
    </dataValidation>
    <dataValidation sqref="H5:H254" showDropDown="0" showInputMessage="0" showErrorMessage="1" allowBlank="1" errorTitle="Check the value" error="Enter a number of 0 or more." type="decimal" operator="between">
      <formula1>0</formula1>
      <formula2>100000000</formula2>
    </dataValidation>
    <dataValidation sqref="K5:K254" showDropDown="0" showInputMessage="0" showErrorMessage="1" allowBlank="1" errorTitle="Check the value" error="Enter a number of 0 or more." type="decimal" operator="between">
      <formula1>0</formula1>
      <formula2>100000000</formula2>
    </dataValidation>
    <dataValidation sqref="L5:L254" showDropDown="0" showInputMessage="0" showErrorMessage="1" allowBlank="1" errorTitle="Check the value" error="Enter a number of 0 or more." type="decimal" operator="between">
      <formula1>0</formula1>
      <formula2>100000000</formula2>
    </dataValidation>
    <dataValidation sqref="I5:I254" showDropDown="0" showInputMessage="0" showErrorMessage="1" allowBlank="1" errorTitle="Check the value" error="Enter a quantity of 0 or more, in the unit in column G." type="decimal" operator="between">
      <formula1>0</formula1>
      <formula2>2000000000</formula2>
    </dataValidation>
    <dataValidation sqref="J5:J254" showDropDown="0" showInputMessage="0" showErrorMessage="1" allowBlank="1" errorTitle="Check the value" error="Enter the rate as a percentage, for example 2.5%." type="decimal" operator="between">
      <formula1>0</formula1>
      <formula2>10</formula2>
    </dataValidation>
    <dataValidation sqref="M5:M254" showDropDown="0" showInputMessage="0" showErrorMessage="1" allowBlank="1" errorTitle="Check the value" error="Enter a share between 0% and 100%." type="decimal" operator="between">
      <formula1>0</formula1>
      <formula2>1</formula2>
    </dataValidation>
  </dataValidations>
  <pageMargins left="0.75" right="0.75" top="1" bottom="1" header="0.5" footer="0.5"/>
</worksheet>
</file>

<file path=xl/worksheets/sheet4.xml><?xml version="1.0" encoding="utf-8"?>
<worksheet xmlns="http://schemas.openxmlformats.org/spreadsheetml/2006/main">
  <sheetPr>
    <tabColor rgb="007F7F7F"/>
    <outlinePr summaryBelow="1" summaryRight="1"/>
    <pageSetUpPr/>
  </sheetPr>
  <dimension ref="A1:AQ25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28" customWidth="1" min="2" max="2"/>
    <col width="12" customWidth="1" min="3" max="3"/>
    <col width="8" customWidth="1" min="4" max="4"/>
    <col width="8" customWidth="1" min="5" max="5"/>
    <col width="10" customWidth="1" min="6" max="6"/>
    <col width="10" customWidth="1" min="7" max="7"/>
    <col width="10" customWidth="1" min="8" max="8"/>
    <col width="10" customWidth="1" min="9" max="9"/>
    <col width="10" customWidth="1" min="10" max="10"/>
    <col width="12" customWidth="1" min="11" max="11"/>
    <col width="9" customWidth="1" min="12" max="12"/>
    <col width="28" customWidth="1" min="13" max="13"/>
    <col width="12" customWidth="1" min="14" max="14"/>
    <col width="12" customWidth="1" min="15" max="15"/>
    <col width="9" customWidth="1" min="16" max="16"/>
    <col width="10" customWidth="1" min="17" max="17"/>
    <col width="10" customWidth="1" min="18" max="18"/>
    <col width="10" customWidth="1" min="19" max="19"/>
    <col width="10" customWidth="1" min="20" max="20"/>
    <col width="10" customWidth="1" min="21" max="21"/>
    <col width="11" customWidth="1" min="22" max="22"/>
    <col width="11" customWidth="1" min="23" max="23"/>
    <col width="11" customWidth="1" min="24" max="24"/>
    <col width="11" customWidth="1" min="25" max="25"/>
    <col width="12" customWidth="1" min="26" max="26"/>
    <col width="10" customWidth="1" min="27" max="27"/>
    <col width="10" customWidth="1" min="28" max="28"/>
    <col width="10" customWidth="1" min="29" max="29"/>
    <col width="11" customWidth="1" min="30" max="30"/>
    <col width="13" customWidth="1" min="31" max="31"/>
    <col width="9" customWidth="1" min="32" max="32"/>
    <col width="13" customWidth="1" min="33" max="33"/>
    <col width="13" customWidth="1" min="34" max="34"/>
    <col width="13" customWidth="1" min="35" max="35"/>
    <col width="30" customWidth="1" min="36" max="36"/>
    <col width="12" customWidth="1" min="37" max="37"/>
    <col width="16" customWidth="1" min="38" max="38"/>
    <col width="10" customWidth="1" min="39" max="39"/>
    <col width="10" customWidth="1" min="40" max="40"/>
    <col width="10" customWidth="1" min="41" max="41"/>
    <col width="10" customWidth="1" min="42" max="42"/>
    <col width="10" customWidth="1" min="43" max="43"/>
  </cols>
  <sheetData>
    <row r="1">
      <c r="A1" s="1" t="inlineStr">
        <is>
          <t>Calc: formulas only (locked; nothing to type on this tab)</t>
        </is>
      </c>
    </row>
    <row r="2">
      <c r="A2" s="2" t="inlineStr">
        <is>
          <t>Row n here is row n on Items. Grey = formula. Scope and rates come from the Action tab; values come from the Items tab.</t>
        </is>
      </c>
    </row>
    <row r="4" ht="58" customHeight="1">
      <c r="A4" s="7" t="inlineStr">
        <is>
          <t>Item number</t>
        </is>
      </c>
      <c r="B4" s="7" t="inlineStr">
        <is>
          <t>Description</t>
        </is>
      </c>
      <c r="C4" s="7" t="inlineStr">
        <is>
          <t>HTS digits</t>
        </is>
      </c>
      <c r="D4" s="7" t="inlineStr">
        <is>
          <t>HTS chapter</t>
        </is>
      </c>
      <c r="E4" s="7" t="inlineStr">
        <is>
          <t>Origin</t>
        </is>
      </c>
      <c r="F4" s="7" t="inlineStr">
        <is>
          <t>Import country matches (Y/N)</t>
        </is>
      </c>
      <c r="G4" s="7" t="inlineStr">
        <is>
          <t>HTS on scope list (Y/N)</t>
        </is>
      </c>
      <c r="H4" s="7" t="inlineStr">
        <is>
          <t>HTS on exclusion list (Y/N)</t>
        </is>
      </c>
      <c r="I4" s="7" t="inlineStr">
        <is>
          <t>Origin on scope list (Y/N)</t>
        </is>
      </c>
      <c r="J4" s="7" t="inlineStr">
        <is>
          <t>USMCA exempt (Y/N)</t>
        </is>
      </c>
      <c r="K4" s="7" t="inlineStr">
        <is>
          <t>Research determination</t>
        </is>
      </c>
      <c r="L4" s="7" t="inlineStr">
        <is>
          <t>In scope (Y/N)</t>
        </is>
      </c>
      <c r="M4" s="7" t="inlineStr">
        <is>
          <t>Scope reason</t>
        </is>
      </c>
      <c r="N4" s="7" t="inlineStr">
        <is>
          <t>Rate group (from scope list)</t>
        </is>
      </c>
      <c r="O4" s="7" t="inlineStr">
        <is>
          <t>Rate line used</t>
        </is>
      </c>
      <c r="P4" s="7" t="inlineStr">
        <is>
          <t>Duty base (FULL or PART)</t>
        </is>
      </c>
      <c r="Q4" s="7" t="inlineStr">
        <is>
          <t>Current duty rate</t>
        </is>
      </c>
      <c r="R4" s="7" t="inlineStr">
        <is>
          <t>Additional rate (this action)</t>
        </is>
      </c>
      <c r="S4" s="7" t="inlineStr">
        <is>
          <t>Earlier rate replaced</t>
        </is>
      </c>
      <c r="T4" s="7" t="inlineStr">
        <is>
          <t>Dutiable share applied</t>
        </is>
      </c>
      <c r="U4" s="7" t="inlineStr">
        <is>
          <t>Other duty displaced</t>
        </is>
      </c>
      <c r="V4" s="7" t="inlineStr">
        <is>
          <t>New duty rate (all duties, % of full customs value)</t>
        </is>
      </c>
      <c r="W4" s="7" t="inlineStr">
        <is>
          <t>Duty per unit before</t>
        </is>
      </c>
      <c r="X4" s="7" t="inlineStr">
        <is>
          <t>Duty per unit after</t>
        </is>
      </c>
      <c r="Y4" s="7" t="inlineStr">
        <is>
          <t>Landed cost change per unit</t>
        </is>
      </c>
      <c r="Z4" s="7" t="inlineStr">
        <is>
          <t>Est. new standard cost per unit</t>
        </is>
      </c>
      <c r="AA4" s="7" t="inlineStr">
        <is>
          <t>Margin % before</t>
        </is>
      </c>
      <c r="AB4" s="7" t="inlineStr">
        <is>
          <t>Margin % after</t>
        </is>
      </c>
      <c r="AC4" s="7" t="inlineStr">
        <is>
          <t>Margin change (points)</t>
        </is>
      </c>
      <c r="AD4" s="7" t="inlineStr">
        <is>
          <t>Quantity for the period</t>
        </is>
      </c>
      <c r="AE4" s="7" t="inlineStr">
        <is>
          <t>Impact for the period (change x quantity)</t>
        </is>
      </c>
      <c r="AF4" s="7" t="inlineStr">
        <is>
          <t>Has a sell price (Y/N)</t>
        </is>
      </c>
      <c r="AG4" s="7" t="inlineStr">
        <is>
          <t>Revenue for the period (items with a sell price)</t>
        </is>
      </c>
      <c r="AH4" s="7" t="inlineStr">
        <is>
          <t>Margin $ before (items with a sell price)</t>
        </is>
      </c>
      <c r="AI4" s="7" t="inlineStr">
        <is>
          <t>Margin $ after (items with a sell price)</t>
        </is>
      </c>
      <c r="AJ4" s="7" t="inlineStr">
        <is>
          <t>Data check</t>
        </is>
      </c>
      <c r="AK4" s="7" t="inlineStr">
        <is>
          <t>Rank key (helper for Summary top 10)</t>
        </is>
      </c>
      <c r="AL4" s="7" t="inlineStr">
        <is>
          <t>Item and import country key (helper)</t>
        </is>
      </c>
      <c r="AM4" s="7" t="inlineStr">
        <is>
          <t>Scope match score (helper)</t>
        </is>
      </c>
      <c r="AN4" s="7" t="inlineStr">
        <is>
          <t>Scope prefixes at best length (helper)</t>
        </is>
      </c>
      <c r="AO4" s="7" t="inlineStr">
        <is>
          <t>Rate line score (helper)</t>
        </is>
      </c>
      <c r="AP4" s="7" t="inlineStr">
        <is>
          <t>Rate lines at best score (helper)</t>
        </is>
      </c>
      <c r="AQ4" s="7" t="inlineStr">
        <is>
          <t>Determination row (helper)</t>
        </is>
      </c>
    </row>
    <row r="5">
      <c r="A5" s="10">
        <f>IF(TRIM(CLEAN(SUBSTITUTE(Items!A5&amp;""," "," ")))="","",TRIM(CLEAN(SUBSTITUTE(Items!A5&amp;""," "," "))))</f>
        <v/>
      </c>
      <c r="B5" s="10">
        <f>IF($A5="","",Items!B5&amp;"")</f>
        <v/>
      </c>
      <c r="C5" s="10">
        <f>IF($A5="","",SUBSTITUTE(SUBSTITUTE(SUBSTITUTE(SUBSTITUTE(CLEAN(Items!D5&amp;"")," ",""),".","")," ",""),"-",""))</f>
        <v/>
      </c>
      <c r="D5" s="10">
        <f>IF($A5="","",LEFT($C5,2))</f>
        <v/>
      </c>
      <c r="E5" s="10">
        <f>IF($A5="","",UPPER(TRIM(CLEAN(SUBSTITUTE(Items!E5&amp;""," "," ")))))</f>
        <v/>
      </c>
      <c r="F5" s="10">
        <f>IF($A5="","",IF(UPPER(TRIM(CLEAN(SUBSTITUTE(Items!C5&amp;""," "," "))))=UPPER(TRIM(CLEAN(SUBSTITUTE(act_Country&amp;""," "," ")))),"Y","N"))</f>
        <v/>
      </c>
      <c r="G5" s="10">
        <f>IF($A5="","",IF($AM5&gt;0,"Y","N"))</f>
        <v/>
      </c>
      <c r="H5" s="10">
        <f>IF($A5="","",IF(SUMPRODUCT((excl_HTS&lt;&gt;"")*(LEFT($C5,LEN(excl_HTS))=excl_HTS))&gt;0,"Y","N"))</f>
        <v/>
      </c>
      <c r="I5" s="10">
        <f>IF($A5="","",IF($E5="","N",IF(SUMPRODUCT(--(UPPER(TRIM(CLEAN(SUBSTITUTE(scope_COO&amp;""," "," "))))=$E5))&gt;0,"Y","N")))</f>
        <v/>
      </c>
      <c r="J5" s="10">
        <f>IF($A5="","",IF(AND(UPPER(TRIM(CLEAN(SUBSTITUTE(act_USMCAExempt&amp;""," "," "))))="Y",UPPER(TRIM(CLEAN(SUBSTITUTE(Items!F5&amp;""," "," "))))="Y"),"Y","N"))</f>
        <v/>
      </c>
      <c r="K5" s="10">
        <f>IF($A5="","",IF($AQ5=0,"",UPPER(TRIM(CLEAN(SUBSTITUTE(INDEX(det_Status,$AQ5)&amp;""," "," "))))))</f>
        <v/>
      </c>
      <c r="L5" s="10">
        <f>IF($A5="","",IF($F5="N","N",IF($K5="IN","Y",IF($K5="OUT","N",IF(AND($G5="Y",$H5="N",$I5="Y",$J5="N"),"Y","N")))))</f>
        <v/>
      </c>
      <c r="M5" s="10">
        <f>IF($A5="","",IF($F5="N","Out: different import country",IF($K5="IN","In: Research determination",IF($K5="OUT","Out: Research determination",IF($G5="N","Out: HTS not on scope list",IF($H5="Y","Out: HTS on exclusion list",IF($I5="N","Out: origin not on scope list",IF($J5="Y","Out: USMCA-qualifying, exempt","In: matches scope rules"))))))))</f>
        <v/>
      </c>
      <c r="N5" s="10">
        <f>IF(OR($A5="",$AM5=0),"",UPPER(TRIM(CLEAN(SUBSTITUTE(INDEX(scope_Group,MOD($AM5,1000))&amp;""," "," ")))))</f>
        <v/>
      </c>
      <c r="O5" s="10">
        <f>IF($L5&lt;&gt;"Y","",IF($AO5=0,"Default (B15)",UPPER(TRIM(CLEAN(SUBSTITUTE(INDEX(rate_ID,MOD($AO5,100))&amp;""," "," "))))))</f>
        <v/>
      </c>
      <c r="P5" s="10">
        <f>IF($L5&lt;&gt;"Y","",IF($AO5=0,IF(UPPER(TRIM(CLEAN(SUBSTITUTE(act_DefaultBase&amp;""," "," "))))="PART","PART","FULL"),IF(UPPER(TRIM(CLEAN(SUBSTITUTE(INDEX(rate_Base,MOD($AO5,100))&amp;""," "," "))))="PART","PART","FULL")))</f>
        <v/>
      </c>
      <c r="Q5" s="17">
        <f>IF($A5="","",N(Items!J5))</f>
        <v/>
      </c>
      <c r="R5" s="17">
        <f>IF($A5="","",IF($L5&lt;&gt;"Y",0,IF($AO5=0,N(act_Rate),N(INDEX(rate_Rate,MOD($AO5,100))))))</f>
        <v/>
      </c>
      <c r="S5" s="17">
        <f>IF($A5="","",IF($L5&lt;&gt;"Y",0,IF($AO5=0,IF(UPPER(TRIM(CLEAN(SUBSTITUTE(act_RateType&amp;""," "," "))))="REPLACE",N(act_PriorRate),0),IF(ISNUMBER(INDEX(rate_Prior,MOD($AO5,100))),INDEX(rate_Prior,MOD($AO5,100)),IF(UPPER(TRIM(CLEAN(SUBSTITUTE(act_RateType&amp;""," "," "))))="REPLACE",N(act_PriorRate),0)))))</f>
        <v/>
      </c>
      <c r="T5" s="17">
        <f>IF($A5="","",IF(AND($L5="Y",$P5="PART",ISNUMBER(Items!M5)),Items!M5,1))</f>
        <v/>
      </c>
      <c r="U5" s="17">
        <f>IF($A5="","",IF($L5&lt;&gt;"Y",0,IF($AQ5&gt;0,IF(ISNUMBER(INDEX(det_Displaced,$AQ5)),INDEX(det_Displaced,$AQ5),IF($AO5=0,0,N(INDEX(rate_Displaced,MOD($AO5,100))))),IF($AO5=0,0,N(INDEX(rate_Displaced,MOD($AO5,100)))))))</f>
        <v/>
      </c>
      <c r="V5" s="17">
        <f>IF($A5="","",IF($L5="Y",$Q5+$T5*($R5-$S5)-$U5,$Q5))</f>
        <v/>
      </c>
      <c r="W5" s="18">
        <f>IF($A5="","",N(Items!H5)*$Q5)</f>
        <v/>
      </c>
      <c r="X5" s="18">
        <f>IF($A5="","",N(Items!H5)*$V5)</f>
        <v/>
      </c>
      <c r="Y5" s="18">
        <f>IF($A5="","",$X5-$W5)</f>
        <v/>
      </c>
      <c r="Z5" s="18">
        <f>IF($A5="","",N(Items!K5)+$Y5)</f>
        <v/>
      </c>
      <c r="AA5" s="17">
        <f>IF($A5="","",IF(N(Items!L5)=0,"",(N(Items!L5)-N(Items!K5))/N(Items!L5)))</f>
        <v/>
      </c>
      <c r="AB5" s="17">
        <f>IF($A5="","",IF(N(Items!L5)=0,"",(N(Items!L5)-$Z5)/N(Items!L5)))</f>
        <v/>
      </c>
      <c r="AC5" s="17">
        <f>IF(OR($AA5="",$AB5=""),"",$AB5-$AA5)</f>
        <v/>
      </c>
      <c r="AD5" s="13">
        <f>IF($A5="","",N(Items!I5))</f>
        <v/>
      </c>
      <c r="AE5" s="19">
        <f>IF($A5="","",$Y5*$AD5)</f>
        <v/>
      </c>
      <c r="AF5" s="10">
        <f>IF($A5="","",IF(N(Items!L5)&gt;0,"Y","N"))</f>
        <v/>
      </c>
      <c r="AG5" s="19">
        <f>IF($A5="","",IF($AF5="Y",N(Items!L5)*$AD5,0))</f>
        <v/>
      </c>
      <c r="AH5" s="19">
        <f>IF($A5="","",IF($AF5="Y",(N(Items!L5)-N(Items!K5))*$AD5,0))</f>
        <v/>
      </c>
      <c r="AI5" s="19">
        <f>IF($A5="","",IF($AF5="Y",$AH5-$AE5,0))</f>
        <v/>
      </c>
      <c r="AJ5" s="10">
        <f>IF($A5="","",IF(COUNTIF($AL$5:$AL$254,$AL5)&gt;1,"CHECK: duplicate item and import country",IF(TRIM(CLEAN(SUBSTITUTE(Items!C5&amp;""," "," ")))="","CHECK: import country missing",IF(AND(UPPER(TRIM(CLEAN(SUBSTITUTE(Items!C5&amp;""," "," "))))&lt;&gt;"US",UPPER(TRIM(CLEAN(SUBSTITUTE(Items!C5&amp;""," "," "))))&lt;&gt;"CA",UPPER(TRIM(CLEAN(SUBSTITUTE(Items!C5&amp;""," "," "))))&lt;&gt;"MX"),"CHECK: import country must be US, CA or MX",IF(NOT(AND(LEN($C5)=10,IFERROR(TEXT(VALUE($C5),REPT("0",LEN($C5)))=$C5,FALSE))),"CHECK: HTS must be 10 digits",IF(LEN($E5)&lt;&gt;2,"CHECK: origin code missing or not 2 letters",IF(TRIM(CLEAN(SUBSTITUTE(Items!G5&amp;""," "," ")))="","CHECK: unit of measure missing",IF(OR(Items!H5="",Items!J5="",Items!K5=""),"CHECK: value, rate or cost missing",IF(OR(NOT(ISNUMBER(Items!H5)),NOT(ISNUMBER(Items!J5)),NOT(ISNUMBER(Items!K5)),AND(Items!I5&lt;&gt;"",NOT(ISNUMBER(Items!I5))),AND(Items!L5&lt;&gt;"",NOT(ISNUMBER(Items!L5))),AND(Items!M5&lt;&gt;"",NOT(ISNUMBER(Items!M5)))),"CHECK: text in a number column",IF(AND(ISNUMBER(Items!M5),OR(N(Items!M5)&lt;0,N(Items!M5)&gt;1)),"CHECK: dutiable share must be 0% to 100%",IF(AND(UPPER(TRIM(CLEAN(SUBSTITUTE(Items!F5&amp;""," "," "))))&lt;&gt;"",UPPER(TRIM(CLEAN(SUBSTITUTE(Items!F5&amp;""," "," "))))&lt;&gt;"Y",UPPER(TRIM(CLEAN(SUBSTITUTE(Items!F5&amp;""," "," "))))&lt;&gt;"N"),"CHECK: USMCA flag must be Y, N or blank",IF(AND(UPPER(TRIM(CLEAN(SUBSTITUTE(Items!F5&amp;""," "," "))))="Y",$E5&lt;&gt;"US",$E5&lt;&gt;"CA",$E5&lt;&gt;"MX"),"CHECK: USMCA flag on an origin other than US, CA or MX",IF(AND($L5="Y",$AO5=0,NOT(ISNUMBER(act_Rate))),"CHECK: in scope but no rate (add a rate line or B15)",IF(AND($L5="Y",UPPER(TRIM(CLEAN(SUBSTITUTE(act_RateType&amp;""," "," "))))="REPLACE",NOT(ISNUMBER(act_PriorRate)),IF($AO5=0,TRUE,NOT(ISNUMBER(INDEX(rate_Prior,MOD($AO5,100)))))),"CHECK: REPLACE but no earlier rate (B17 or the rate line's AD)",IF(AND($L5="Y",$AP5&gt;1),"CHECK: two rate lines match equally",IF(AND($L5="Y",$AN5&gt;1),"CHECK: HTS prefix listed twice on the scope list",IF(AND($L5="Y",$P5="PART",NOT(ISNUMBER(Items!M5))),"CHECK: dutiable share missing (PART base)",IF(AND($L5="Y",$P5="FULL",ISNUMBER(Items!M5),N(Items!M5)&lt;&gt;1),"CHECK: dutiable share entered, but the rate taxes the full value",IF(AND($L5="Y",$Q5+0.0000001&lt;$T5*$S5+$U5),"CHECK: current rate is below the duty being replaced or displaced",IF(AND($L5="Y",$AD5=0),"NOTE: in scope, no quantity",IF(AND($L5="Y",$AF5="N"),"NOTE: in scope, no sell price (left out of margin %)",IF(AND($L5="Y",N(Items!H5)&gt;N(Items!K5)),"NOTE: customs value above standard cost (check unit of measure)",IF(AND($L5="Y",$Q5&gt;1),"NOTE: current rate above 100% (check it was entered as a percentage)","OK")))))))))))))))))))))))</f>
        <v/>
      </c>
      <c r="AK5" s="20">
        <f>IF($A5="","",IF(AND($L5="Y",$AE5&lt;&gt;0),ABS($AE5)+ROW()/1000000000,""))</f>
        <v/>
      </c>
      <c r="AL5" s="10">
        <f>IF($A5="","",UPPER($A5)&amp;"/"&amp;UPPER(TRIM(CLEAN(SUBSTITUTE(Items!C5&amp;""," "," ")))))</f>
        <v/>
      </c>
      <c r="AM5" s="13">
        <f>IF($A5="",0,SUMPRODUCT(MAX((scope_HTS&lt;&gt;"")*(LEFT($C5,LEN(scope_HTS))=scope_HTS)*(LEN(scope_HTS)*1000+ROW(scope_HTS)-4))))</f>
        <v/>
      </c>
      <c r="AN5" s="13">
        <f>IF($AM5=0,0,SUMPRODUCT((scope_HTS&lt;&gt;"")*(LEFT($C5,LEN(scope_HTS))=scope_HTS)*(LEN(scope_HTS)=INT($AM5/1000))))</f>
        <v/>
      </c>
      <c r="AO5" s="13">
        <f>IF($L5&lt;&gt;"Y",0,SUMPRODUCT(MAX(ISNUMBER(rate_Rate)*((UPPER(TRIM(CLEAN(SUBSTITUTE(rate_Group&amp;""," "," "))))="")+(UPPER(TRIM(CLEAN(SUBSTITUTE(rate_Group&amp;""," "," "))))=$N5)&gt;0)*((UPPER(TRIM(CLEAN(SUBSTITUTE(rate_COO&amp;""," "," "))))="")+(UPPER(TRIM(CLEAN(SUBSTITUTE(rate_COO&amp;""," "," "))))=$E5)&gt;0)*((UPPER(TRIM(CLEAN(SUBSTITUTE(rate_USMCA&amp;""," "," "))))="")+(UPPER(TRIM(CLEAN(SUBSTITUTE(rate_USMCA&amp;""," "," "))))=IF(UPPER(TRIM(CLEAN(SUBSTITUTE(Items!F5&amp;""," "," "))))="Y","Y","N"))&gt;0)*((1+(UPPER(TRIM(CLEAN(SUBSTITUTE(rate_Group&amp;""," "," "))))&lt;&gt;"")+2*(UPPER(TRIM(CLEAN(SUBSTITUTE(rate_USMCA&amp;""," "," "))))&lt;&gt;"")+4*(UPPER(TRIM(CLEAN(SUBSTITUTE(rate_COO&amp;""," "," "))))&lt;&gt;""))*100+ROW(rate_Rate)-4))))</f>
        <v/>
      </c>
      <c r="AP5" s="13">
        <f>IF($AO5=0,0,SUMPRODUCT(ISNUMBER(rate_Rate)*((UPPER(TRIM(CLEAN(SUBSTITUTE(rate_Group&amp;""," "," "))))="")+(UPPER(TRIM(CLEAN(SUBSTITUTE(rate_Group&amp;""," "," "))))=$N5)&gt;0)*((UPPER(TRIM(CLEAN(SUBSTITUTE(rate_COO&amp;""," "," "))))="")+(UPPER(TRIM(CLEAN(SUBSTITUTE(rate_COO&amp;""," "," "))))=$E5)&gt;0)*((UPPER(TRIM(CLEAN(SUBSTITUTE(rate_USMCA&amp;""," "," "))))="")+(UPPER(TRIM(CLEAN(SUBSTITUTE(rate_USMCA&amp;""," "," "))))=IF(UPPER(TRIM(CLEAN(SUBSTITUTE(Items!F5&amp;""," "," "))))="Y","Y","N"))&gt;0)*((1+(UPPER(TRIM(CLEAN(SUBSTITUTE(rate_Group&amp;""," "," "))))&lt;&gt;"")+2*(UPPER(TRIM(CLEAN(SUBSTITUTE(rate_USMCA&amp;""," "," "))))&lt;&gt;"")+4*(UPPER(TRIM(CLEAN(SUBSTITUTE(rate_COO&amp;""," "," "))))&lt;&gt;""))=INT($AO5/100))))</f>
        <v/>
      </c>
      <c r="AQ5" s="13">
        <f>IF($A5="",0,IFERROR(MATCH($AL5,det_Key,0),0))</f>
        <v/>
      </c>
    </row>
    <row r="6">
      <c r="A6" s="10">
        <f>IF(TRIM(CLEAN(SUBSTITUTE(Items!A6&amp;""," "," ")))="","",TRIM(CLEAN(SUBSTITUTE(Items!A6&amp;""," "," "))))</f>
        <v/>
      </c>
      <c r="B6" s="10">
        <f>IF($A6="","",Items!B6&amp;"")</f>
        <v/>
      </c>
      <c r="C6" s="10">
        <f>IF($A6="","",SUBSTITUTE(SUBSTITUTE(SUBSTITUTE(SUBSTITUTE(CLEAN(Items!D6&amp;"")," ",""),".","")," ",""),"-",""))</f>
        <v/>
      </c>
      <c r="D6" s="10">
        <f>IF($A6="","",LEFT($C6,2))</f>
        <v/>
      </c>
      <c r="E6" s="10">
        <f>IF($A6="","",UPPER(TRIM(CLEAN(SUBSTITUTE(Items!E6&amp;""," "," ")))))</f>
        <v/>
      </c>
      <c r="F6" s="10">
        <f>IF($A6="","",IF(UPPER(TRIM(CLEAN(SUBSTITUTE(Items!C6&amp;""," "," "))))=UPPER(TRIM(CLEAN(SUBSTITUTE(act_Country&amp;""," "," ")))),"Y","N"))</f>
        <v/>
      </c>
      <c r="G6" s="10">
        <f>IF($A6="","",IF($AM6&gt;0,"Y","N"))</f>
        <v/>
      </c>
      <c r="H6" s="10">
        <f>IF($A6="","",IF(SUMPRODUCT((excl_HTS&lt;&gt;"")*(LEFT($C6,LEN(excl_HTS))=excl_HTS))&gt;0,"Y","N"))</f>
        <v/>
      </c>
      <c r="I6" s="10">
        <f>IF($A6="","",IF($E6="","N",IF(SUMPRODUCT(--(UPPER(TRIM(CLEAN(SUBSTITUTE(scope_COO&amp;""," "," "))))=$E6))&gt;0,"Y","N")))</f>
        <v/>
      </c>
      <c r="J6" s="10">
        <f>IF($A6="","",IF(AND(UPPER(TRIM(CLEAN(SUBSTITUTE(act_USMCAExempt&amp;""," "," "))))="Y",UPPER(TRIM(CLEAN(SUBSTITUTE(Items!F6&amp;""," "," "))))="Y"),"Y","N"))</f>
        <v/>
      </c>
      <c r="K6" s="10">
        <f>IF($A6="","",IF($AQ6=0,"",UPPER(TRIM(CLEAN(SUBSTITUTE(INDEX(det_Status,$AQ6)&amp;""," "," "))))))</f>
        <v/>
      </c>
      <c r="L6" s="10">
        <f>IF($A6="","",IF($F6="N","N",IF($K6="IN","Y",IF($K6="OUT","N",IF(AND($G6="Y",$H6="N",$I6="Y",$J6="N"),"Y","N")))))</f>
        <v/>
      </c>
      <c r="M6" s="10">
        <f>IF($A6="","",IF($F6="N","Out: different import country",IF($K6="IN","In: Research determination",IF($K6="OUT","Out: Research determination",IF($G6="N","Out: HTS not on scope list",IF($H6="Y","Out: HTS on exclusion list",IF($I6="N","Out: origin not on scope list",IF($J6="Y","Out: USMCA-qualifying, exempt","In: matches scope rules"))))))))</f>
        <v/>
      </c>
      <c r="N6" s="10">
        <f>IF(OR($A6="",$AM6=0),"",UPPER(TRIM(CLEAN(SUBSTITUTE(INDEX(scope_Group,MOD($AM6,1000))&amp;""," "," ")))))</f>
        <v/>
      </c>
      <c r="O6" s="10">
        <f>IF($L6&lt;&gt;"Y","",IF($AO6=0,"Default (B15)",UPPER(TRIM(CLEAN(SUBSTITUTE(INDEX(rate_ID,MOD($AO6,100))&amp;""," "," "))))))</f>
        <v/>
      </c>
      <c r="P6" s="10">
        <f>IF($L6&lt;&gt;"Y","",IF($AO6=0,IF(UPPER(TRIM(CLEAN(SUBSTITUTE(act_DefaultBase&amp;""," "," "))))="PART","PART","FULL"),IF(UPPER(TRIM(CLEAN(SUBSTITUTE(INDEX(rate_Base,MOD($AO6,100))&amp;""," "," "))))="PART","PART","FULL")))</f>
        <v/>
      </c>
      <c r="Q6" s="17">
        <f>IF($A6="","",N(Items!J6))</f>
        <v/>
      </c>
      <c r="R6" s="17">
        <f>IF($A6="","",IF($L6&lt;&gt;"Y",0,IF($AO6=0,N(act_Rate),N(INDEX(rate_Rate,MOD($AO6,100))))))</f>
        <v/>
      </c>
      <c r="S6" s="17">
        <f>IF($A6="","",IF($L6&lt;&gt;"Y",0,IF($AO6=0,IF(UPPER(TRIM(CLEAN(SUBSTITUTE(act_RateType&amp;""," "," "))))="REPLACE",N(act_PriorRate),0),IF(ISNUMBER(INDEX(rate_Prior,MOD($AO6,100))),INDEX(rate_Prior,MOD($AO6,100)),IF(UPPER(TRIM(CLEAN(SUBSTITUTE(act_RateType&amp;""," "," "))))="REPLACE",N(act_PriorRate),0)))))</f>
        <v/>
      </c>
      <c r="T6" s="17">
        <f>IF($A6="","",IF(AND($L6="Y",$P6="PART",ISNUMBER(Items!M6)),Items!M6,1))</f>
        <v/>
      </c>
      <c r="U6" s="17">
        <f>IF($A6="","",IF($L6&lt;&gt;"Y",0,IF($AQ6&gt;0,IF(ISNUMBER(INDEX(det_Displaced,$AQ6)),INDEX(det_Displaced,$AQ6),IF($AO6=0,0,N(INDEX(rate_Displaced,MOD($AO6,100))))),IF($AO6=0,0,N(INDEX(rate_Displaced,MOD($AO6,100)))))))</f>
        <v/>
      </c>
      <c r="V6" s="17">
        <f>IF($A6="","",IF($L6="Y",$Q6+$T6*($R6-$S6)-$U6,$Q6))</f>
        <v/>
      </c>
      <c r="W6" s="18">
        <f>IF($A6="","",N(Items!H6)*$Q6)</f>
        <v/>
      </c>
      <c r="X6" s="18">
        <f>IF($A6="","",N(Items!H6)*$V6)</f>
        <v/>
      </c>
      <c r="Y6" s="18">
        <f>IF($A6="","",$X6-$W6)</f>
        <v/>
      </c>
      <c r="Z6" s="18">
        <f>IF($A6="","",N(Items!K6)+$Y6)</f>
        <v/>
      </c>
      <c r="AA6" s="17">
        <f>IF($A6="","",IF(N(Items!L6)=0,"",(N(Items!L6)-N(Items!K6))/N(Items!L6)))</f>
        <v/>
      </c>
      <c r="AB6" s="17">
        <f>IF($A6="","",IF(N(Items!L6)=0,"",(N(Items!L6)-$Z6)/N(Items!L6)))</f>
        <v/>
      </c>
      <c r="AC6" s="17">
        <f>IF(OR($AA6="",$AB6=""),"",$AB6-$AA6)</f>
        <v/>
      </c>
      <c r="AD6" s="13">
        <f>IF($A6="","",N(Items!I6))</f>
        <v/>
      </c>
      <c r="AE6" s="19">
        <f>IF($A6="","",$Y6*$AD6)</f>
        <v/>
      </c>
      <c r="AF6" s="10">
        <f>IF($A6="","",IF(N(Items!L6)&gt;0,"Y","N"))</f>
        <v/>
      </c>
      <c r="AG6" s="19">
        <f>IF($A6="","",IF($AF6="Y",N(Items!L6)*$AD6,0))</f>
        <v/>
      </c>
      <c r="AH6" s="19">
        <f>IF($A6="","",IF($AF6="Y",(N(Items!L6)-N(Items!K6))*$AD6,0))</f>
        <v/>
      </c>
      <c r="AI6" s="19">
        <f>IF($A6="","",IF($AF6="Y",$AH6-$AE6,0))</f>
        <v/>
      </c>
      <c r="AJ6" s="10">
        <f>IF($A6="","",IF(COUNTIF($AL$5:$AL$254,$AL6)&gt;1,"CHECK: duplicate item and import country",IF(TRIM(CLEAN(SUBSTITUTE(Items!C6&amp;""," "," ")))="","CHECK: import country missing",IF(AND(UPPER(TRIM(CLEAN(SUBSTITUTE(Items!C6&amp;""," "," "))))&lt;&gt;"US",UPPER(TRIM(CLEAN(SUBSTITUTE(Items!C6&amp;""," "," "))))&lt;&gt;"CA",UPPER(TRIM(CLEAN(SUBSTITUTE(Items!C6&amp;""," "," "))))&lt;&gt;"MX"),"CHECK: import country must be US, CA or MX",IF(NOT(AND(LEN($C6)=10,IFERROR(TEXT(VALUE($C6),REPT("0",LEN($C6)))=$C6,FALSE))),"CHECK: HTS must be 10 digits",IF(LEN($E6)&lt;&gt;2,"CHECK: origin code missing or not 2 letters",IF(TRIM(CLEAN(SUBSTITUTE(Items!G6&amp;""," "," ")))="","CHECK: unit of measure missing",IF(OR(Items!H6="",Items!J6="",Items!K6=""),"CHECK: value, rate or cost missing",IF(OR(NOT(ISNUMBER(Items!H6)),NOT(ISNUMBER(Items!J6)),NOT(ISNUMBER(Items!K6)),AND(Items!I6&lt;&gt;"",NOT(ISNUMBER(Items!I6))),AND(Items!L6&lt;&gt;"",NOT(ISNUMBER(Items!L6))),AND(Items!M6&lt;&gt;"",NOT(ISNUMBER(Items!M6)))),"CHECK: text in a number column",IF(AND(ISNUMBER(Items!M6),OR(N(Items!M6)&lt;0,N(Items!M6)&gt;1)),"CHECK: dutiable share must be 0% to 100%",IF(AND(UPPER(TRIM(CLEAN(SUBSTITUTE(Items!F6&amp;""," "," "))))&lt;&gt;"",UPPER(TRIM(CLEAN(SUBSTITUTE(Items!F6&amp;""," "," "))))&lt;&gt;"Y",UPPER(TRIM(CLEAN(SUBSTITUTE(Items!F6&amp;""," "," "))))&lt;&gt;"N"),"CHECK: USMCA flag must be Y, N or blank",IF(AND(UPPER(TRIM(CLEAN(SUBSTITUTE(Items!F6&amp;""," "," "))))="Y",$E6&lt;&gt;"US",$E6&lt;&gt;"CA",$E6&lt;&gt;"MX"),"CHECK: USMCA flag on an origin other than US, CA or MX",IF(AND($L6="Y",$AO6=0,NOT(ISNUMBER(act_Rate))),"CHECK: in scope but no rate (add a rate line or B15)",IF(AND($L6="Y",UPPER(TRIM(CLEAN(SUBSTITUTE(act_RateType&amp;""," "," "))))="REPLACE",NOT(ISNUMBER(act_PriorRate)),IF($AO6=0,TRUE,NOT(ISNUMBER(INDEX(rate_Prior,MOD($AO6,100)))))),"CHECK: REPLACE but no earlier rate (B17 or the rate line's AD)",IF(AND($L6="Y",$AP6&gt;1),"CHECK: two rate lines match equally",IF(AND($L6="Y",$AN6&gt;1),"CHECK: HTS prefix listed twice on the scope list",IF(AND($L6="Y",$P6="PART",NOT(ISNUMBER(Items!M6))),"CHECK: dutiable share missing (PART base)",IF(AND($L6="Y",$P6="FULL",ISNUMBER(Items!M6),N(Items!M6)&lt;&gt;1),"CHECK: dutiable share entered, but the rate taxes the full value",IF(AND($L6="Y",$Q6+0.0000001&lt;$T6*$S6+$U6),"CHECK: current rate is below the duty being replaced or displaced",IF(AND($L6="Y",$AD6=0),"NOTE: in scope, no quantity",IF(AND($L6="Y",$AF6="N"),"NOTE: in scope, no sell price (left out of margin %)",IF(AND($L6="Y",N(Items!H6)&gt;N(Items!K6)),"NOTE: customs value above standard cost (check unit of measure)",IF(AND($L6="Y",$Q6&gt;1),"NOTE: current rate above 100% (check it was entered as a percentage)","OK")))))))))))))))))))))))</f>
        <v/>
      </c>
      <c r="AK6" s="20">
        <f>IF($A6="","",IF(AND($L6="Y",$AE6&lt;&gt;0),ABS($AE6)+ROW()/1000000000,""))</f>
        <v/>
      </c>
      <c r="AL6" s="10">
        <f>IF($A6="","",UPPER($A6)&amp;"/"&amp;UPPER(TRIM(CLEAN(SUBSTITUTE(Items!C6&amp;""," "," ")))))</f>
        <v/>
      </c>
      <c r="AM6" s="13">
        <f>IF($A6="",0,SUMPRODUCT(MAX((scope_HTS&lt;&gt;"")*(LEFT($C6,LEN(scope_HTS))=scope_HTS)*(LEN(scope_HTS)*1000+ROW(scope_HTS)-4))))</f>
        <v/>
      </c>
      <c r="AN6" s="13">
        <f>IF($AM6=0,0,SUMPRODUCT((scope_HTS&lt;&gt;"")*(LEFT($C6,LEN(scope_HTS))=scope_HTS)*(LEN(scope_HTS)=INT($AM6/1000))))</f>
        <v/>
      </c>
      <c r="AO6" s="13">
        <f>IF($L6&lt;&gt;"Y",0,SUMPRODUCT(MAX(ISNUMBER(rate_Rate)*((UPPER(TRIM(CLEAN(SUBSTITUTE(rate_Group&amp;""," "," "))))="")+(UPPER(TRIM(CLEAN(SUBSTITUTE(rate_Group&amp;""," "," "))))=$N6)&gt;0)*((UPPER(TRIM(CLEAN(SUBSTITUTE(rate_COO&amp;""," "," "))))="")+(UPPER(TRIM(CLEAN(SUBSTITUTE(rate_COO&amp;""," "," "))))=$E6)&gt;0)*((UPPER(TRIM(CLEAN(SUBSTITUTE(rate_USMCA&amp;""," "," "))))="")+(UPPER(TRIM(CLEAN(SUBSTITUTE(rate_USMCA&amp;""," "," "))))=IF(UPPER(TRIM(CLEAN(SUBSTITUTE(Items!F6&amp;""," "," "))))="Y","Y","N"))&gt;0)*((1+(UPPER(TRIM(CLEAN(SUBSTITUTE(rate_Group&amp;""," "," "))))&lt;&gt;"")+2*(UPPER(TRIM(CLEAN(SUBSTITUTE(rate_USMCA&amp;""," "," "))))&lt;&gt;"")+4*(UPPER(TRIM(CLEAN(SUBSTITUTE(rate_COO&amp;""," "," "))))&lt;&gt;""))*100+ROW(rate_Rate)-4))))</f>
        <v/>
      </c>
      <c r="AP6" s="13">
        <f>IF($AO6=0,0,SUMPRODUCT(ISNUMBER(rate_Rate)*((UPPER(TRIM(CLEAN(SUBSTITUTE(rate_Group&amp;""," "," "))))="")+(UPPER(TRIM(CLEAN(SUBSTITUTE(rate_Group&amp;""," "," "))))=$N6)&gt;0)*((UPPER(TRIM(CLEAN(SUBSTITUTE(rate_COO&amp;""," "," "))))="")+(UPPER(TRIM(CLEAN(SUBSTITUTE(rate_COO&amp;""," "," "))))=$E6)&gt;0)*((UPPER(TRIM(CLEAN(SUBSTITUTE(rate_USMCA&amp;""," "," "))))="")+(UPPER(TRIM(CLEAN(SUBSTITUTE(rate_USMCA&amp;""," "," "))))=IF(UPPER(TRIM(CLEAN(SUBSTITUTE(Items!F6&amp;""," "," "))))="Y","Y","N"))&gt;0)*((1+(UPPER(TRIM(CLEAN(SUBSTITUTE(rate_Group&amp;""," "," "))))&lt;&gt;"")+2*(UPPER(TRIM(CLEAN(SUBSTITUTE(rate_USMCA&amp;""," "," "))))&lt;&gt;"")+4*(UPPER(TRIM(CLEAN(SUBSTITUTE(rate_COO&amp;""," "," "))))&lt;&gt;""))=INT($AO6/100))))</f>
        <v/>
      </c>
      <c r="AQ6" s="13">
        <f>IF($A6="",0,IFERROR(MATCH($AL6,det_Key,0),0))</f>
        <v/>
      </c>
    </row>
    <row r="7">
      <c r="A7" s="10">
        <f>IF(TRIM(CLEAN(SUBSTITUTE(Items!A7&amp;""," "," ")))="","",TRIM(CLEAN(SUBSTITUTE(Items!A7&amp;""," "," "))))</f>
        <v/>
      </c>
      <c r="B7" s="10">
        <f>IF($A7="","",Items!B7&amp;"")</f>
        <v/>
      </c>
      <c r="C7" s="10">
        <f>IF($A7="","",SUBSTITUTE(SUBSTITUTE(SUBSTITUTE(SUBSTITUTE(CLEAN(Items!D7&amp;"")," ",""),".","")," ",""),"-",""))</f>
        <v/>
      </c>
      <c r="D7" s="10">
        <f>IF($A7="","",LEFT($C7,2))</f>
        <v/>
      </c>
      <c r="E7" s="10">
        <f>IF($A7="","",UPPER(TRIM(CLEAN(SUBSTITUTE(Items!E7&amp;""," "," ")))))</f>
        <v/>
      </c>
      <c r="F7" s="10">
        <f>IF($A7="","",IF(UPPER(TRIM(CLEAN(SUBSTITUTE(Items!C7&amp;""," "," "))))=UPPER(TRIM(CLEAN(SUBSTITUTE(act_Country&amp;""," "," ")))),"Y","N"))</f>
        <v/>
      </c>
      <c r="G7" s="10">
        <f>IF($A7="","",IF($AM7&gt;0,"Y","N"))</f>
        <v/>
      </c>
      <c r="H7" s="10">
        <f>IF($A7="","",IF(SUMPRODUCT((excl_HTS&lt;&gt;"")*(LEFT($C7,LEN(excl_HTS))=excl_HTS))&gt;0,"Y","N"))</f>
        <v/>
      </c>
      <c r="I7" s="10">
        <f>IF($A7="","",IF($E7="","N",IF(SUMPRODUCT(--(UPPER(TRIM(CLEAN(SUBSTITUTE(scope_COO&amp;""," "," "))))=$E7))&gt;0,"Y","N")))</f>
        <v/>
      </c>
      <c r="J7" s="10">
        <f>IF($A7="","",IF(AND(UPPER(TRIM(CLEAN(SUBSTITUTE(act_USMCAExempt&amp;""," "," "))))="Y",UPPER(TRIM(CLEAN(SUBSTITUTE(Items!F7&amp;""," "," "))))="Y"),"Y","N"))</f>
        <v/>
      </c>
      <c r="K7" s="10">
        <f>IF($A7="","",IF($AQ7=0,"",UPPER(TRIM(CLEAN(SUBSTITUTE(INDEX(det_Status,$AQ7)&amp;""," "," "))))))</f>
        <v/>
      </c>
      <c r="L7" s="10">
        <f>IF($A7="","",IF($F7="N","N",IF($K7="IN","Y",IF($K7="OUT","N",IF(AND($G7="Y",$H7="N",$I7="Y",$J7="N"),"Y","N")))))</f>
        <v/>
      </c>
      <c r="M7" s="10">
        <f>IF($A7="","",IF($F7="N","Out: different import country",IF($K7="IN","In: Research determination",IF($K7="OUT","Out: Research determination",IF($G7="N","Out: HTS not on scope list",IF($H7="Y","Out: HTS on exclusion list",IF($I7="N","Out: origin not on scope list",IF($J7="Y","Out: USMCA-qualifying, exempt","In: matches scope rules"))))))))</f>
        <v/>
      </c>
      <c r="N7" s="10">
        <f>IF(OR($A7="",$AM7=0),"",UPPER(TRIM(CLEAN(SUBSTITUTE(INDEX(scope_Group,MOD($AM7,1000))&amp;""," "," ")))))</f>
        <v/>
      </c>
      <c r="O7" s="10">
        <f>IF($L7&lt;&gt;"Y","",IF($AO7=0,"Default (B15)",UPPER(TRIM(CLEAN(SUBSTITUTE(INDEX(rate_ID,MOD($AO7,100))&amp;""," "," "))))))</f>
        <v/>
      </c>
      <c r="P7" s="10">
        <f>IF($L7&lt;&gt;"Y","",IF($AO7=0,IF(UPPER(TRIM(CLEAN(SUBSTITUTE(act_DefaultBase&amp;""," "," "))))="PART","PART","FULL"),IF(UPPER(TRIM(CLEAN(SUBSTITUTE(INDEX(rate_Base,MOD($AO7,100))&amp;""," "," "))))="PART","PART","FULL")))</f>
        <v/>
      </c>
      <c r="Q7" s="17">
        <f>IF($A7="","",N(Items!J7))</f>
        <v/>
      </c>
      <c r="R7" s="17">
        <f>IF($A7="","",IF($L7&lt;&gt;"Y",0,IF($AO7=0,N(act_Rate),N(INDEX(rate_Rate,MOD($AO7,100))))))</f>
        <v/>
      </c>
      <c r="S7" s="17">
        <f>IF($A7="","",IF($L7&lt;&gt;"Y",0,IF($AO7=0,IF(UPPER(TRIM(CLEAN(SUBSTITUTE(act_RateType&amp;""," "," "))))="REPLACE",N(act_PriorRate),0),IF(ISNUMBER(INDEX(rate_Prior,MOD($AO7,100))),INDEX(rate_Prior,MOD($AO7,100)),IF(UPPER(TRIM(CLEAN(SUBSTITUTE(act_RateType&amp;""," "," "))))="REPLACE",N(act_PriorRate),0)))))</f>
        <v/>
      </c>
      <c r="T7" s="17">
        <f>IF($A7="","",IF(AND($L7="Y",$P7="PART",ISNUMBER(Items!M7)),Items!M7,1))</f>
        <v/>
      </c>
      <c r="U7" s="17">
        <f>IF($A7="","",IF($L7&lt;&gt;"Y",0,IF($AQ7&gt;0,IF(ISNUMBER(INDEX(det_Displaced,$AQ7)),INDEX(det_Displaced,$AQ7),IF($AO7=0,0,N(INDEX(rate_Displaced,MOD($AO7,100))))),IF($AO7=0,0,N(INDEX(rate_Displaced,MOD($AO7,100)))))))</f>
        <v/>
      </c>
      <c r="V7" s="17">
        <f>IF($A7="","",IF($L7="Y",$Q7+$T7*($R7-$S7)-$U7,$Q7))</f>
        <v/>
      </c>
      <c r="W7" s="18">
        <f>IF($A7="","",N(Items!H7)*$Q7)</f>
        <v/>
      </c>
      <c r="X7" s="18">
        <f>IF($A7="","",N(Items!H7)*$V7)</f>
        <v/>
      </c>
      <c r="Y7" s="18">
        <f>IF($A7="","",$X7-$W7)</f>
        <v/>
      </c>
      <c r="Z7" s="18">
        <f>IF($A7="","",N(Items!K7)+$Y7)</f>
        <v/>
      </c>
      <c r="AA7" s="17">
        <f>IF($A7="","",IF(N(Items!L7)=0,"",(N(Items!L7)-N(Items!K7))/N(Items!L7)))</f>
        <v/>
      </c>
      <c r="AB7" s="17">
        <f>IF($A7="","",IF(N(Items!L7)=0,"",(N(Items!L7)-$Z7)/N(Items!L7)))</f>
        <v/>
      </c>
      <c r="AC7" s="17">
        <f>IF(OR($AA7="",$AB7=""),"",$AB7-$AA7)</f>
        <v/>
      </c>
      <c r="AD7" s="13">
        <f>IF($A7="","",N(Items!I7))</f>
        <v/>
      </c>
      <c r="AE7" s="19">
        <f>IF($A7="","",$Y7*$AD7)</f>
        <v/>
      </c>
      <c r="AF7" s="10">
        <f>IF($A7="","",IF(N(Items!L7)&gt;0,"Y","N"))</f>
        <v/>
      </c>
      <c r="AG7" s="19">
        <f>IF($A7="","",IF($AF7="Y",N(Items!L7)*$AD7,0))</f>
        <v/>
      </c>
      <c r="AH7" s="19">
        <f>IF($A7="","",IF($AF7="Y",(N(Items!L7)-N(Items!K7))*$AD7,0))</f>
        <v/>
      </c>
      <c r="AI7" s="19">
        <f>IF($A7="","",IF($AF7="Y",$AH7-$AE7,0))</f>
        <v/>
      </c>
      <c r="AJ7" s="10">
        <f>IF($A7="","",IF(COUNTIF($AL$5:$AL$254,$AL7)&gt;1,"CHECK: duplicate item and import country",IF(TRIM(CLEAN(SUBSTITUTE(Items!C7&amp;""," "," ")))="","CHECK: import country missing",IF(AND(UPPER(TRIM(CLEAN(SUBSTITUTE(Items!C7&amp;""," "," "))))&lt;&gt;"US",UPPER(TRIM(CLEAN(SUBSTITUTE(Items!C7&amp;""," "," "))))&lt;&gt;"CA",UPPER(TRIM(CLEAN(SUBSTITUTE(Items!C7&amp;""," "," "))))&lt;&gt;"MX"),"CHECK: import country must be US, CA or MX",IF(NOT(AND(LEN($C7)=10,IFERROR(TEXT(VALUE($C7),REPT("0",LEN($C7)))=$C7,FALSE))),"CHECK: HTS must be 10 digits",IF(LEN($E7)&lt;&gt;2,"CHECK: origin code missing or not 2 letters",IF(TRIM(CLEAN(SUBSTITUTE(Items!G7&amp;""," "," ")))="","CHECK: unit of measure missing",IF(OR(Items!H7="",Items!J7="",Items!K7=""),"CHECK: value, rate or cost missing",IF(OR(NOT(ISNUMBER(Items!H7)),NOT(ISNUMBER(Items!J7)),NOT(ISNUMBER(Items!K7)),AND(Items!I7&lt;&gt;"",NOT(ISNUMBER(Items!I7))),AND(Items!L7&lt;&gt;"",NOT(ISNUMBER(Items!L7))),AND(Items!M7&lt;&gt;"",NOT(ISNUMBER(Items!M7)))),"CHECK: text in a number column",IF(AND(ISNUMBER(Items!M7),OR(N(Items!M7)&lt;0,N(Items!M7)&gt;1)),"CHECK: dutiable share must be 0% to 100%",IF(AND(UPPER(TRIM(CLEAN(SUBSTITUTE(Items!F7&amp;""," "," "))))&lt;&gt;"",UPPER(TRIM(CLEAN(SUBSTITUTE(Items!F7&amp;""," "," "))))&lt;&gt;"Y",UPPER(TRIM(CLEAN(SUBSTITUTE(Items!F7&amp;""," "," "))))&lt;&gt;"N"),"CHECK: USMCA flag must be Y, N or blank",IF(AND(UPPER(TRIM(CLEAN(SUBSTITUTE(Items!F7&amp;""," "," "))))="Y",$E7&lt;&gt;"US",$E7&lt;&gt;"CA",$E7&lt;&gt;"MX"),"CHECK: USMCA flag on an origin other than US, CA or MX",IF(AND($L7="Y",$AO7=0,NOT(ISNUMBER(act_Rate))),"CHECK: in scope but no rate (add a rate line or B15)",IF(AND($L7="Y",UPPER(TRIM(CLEAN(SUBSTITUTE(act_RateType&amp;""," "," "))))="REPLACE",NOT(ISNUMBER(act_PriorRate)),IF($AO7=0,TRUE,NOT(ISNUMBER(INDEX(rate_Prior,MOD($AO7,100)))))),"CHECK: REPLACE but no earlier rate (B17 or the rate line's AD)",IF(AND($L7="Y",$AP7&gt;1),"CHECK: two rate lines match equally",IF(AND($L7="Y",$AN7&gt;1),"CHECK: HTS prefix listed twice on the scope list",IF(AND($L7="Y",$P7="PART",NOT(ISNUMBER(Items!M7))),"CHECK: dutiable share missing (PART base)",IF(AND($L7="Y",$P7="FULL",ISNUMBER(Items!M7),N(Items!M7)&lt;&gt;1),"CHECK: dutiable share entered, but the rate taxes the full value",IF(AND($L7="Y",$Q7+0.0000001&lt;$T7*$S7+$U7),"CHECK: current rate is below the duty being replaced or displaced",IF(AND($L7="Y",$AD7=0),"NOTE: in scope, no quantity",IF(AND($L7="Y",$AF7="N"),"NOTE: in scope, no sell price (left out of margin %)",IF(AND($L7="Y",N(Items!H7)&gt;N(Items!K7)),"NOTE: customs value above standard cost (check unit of measure)",IF(AND($L7="Y",$Q7&gt;1),"NOTE: current rate above 100% (check it was entered as a percentage)","OK")))))))))))))))))))))))</f>
        <v/>
      </c>
      <c r="AK7" s="20">
        <f>IF($A7="","",IF(AND($L7="Y",$AE7&lt;&gt;0),ABS($AE7)+ROW()/1000000000,""))</f>
        <v/>
      </c>
      <c r="AL7" s="10">
        <f>IF($A7="","",UPPER($A7)&amp;"/"&amp;UPPER(TRIM(CLEAN(SUBSTITUTE(Items!C7&amp;""," "," ")))))</f>
        <v/>
      </c>
      <c r="AM7" s="13">
        <f>IF($A7="",0,SUMPRODUCT(MAX((scope_HTS&lt;&gt;"")*(LEFT($C7,LEN(scope_HTS))=scope_HTS)*(LEN(scope_HTS)*1000+ROW(scope_HTS)-4))))</f>
        <v/>
      </c>
      <c r="AN7" s="13">
        <f>IF($AM7=0,0,SUMPRODUCT((scope_HTS&lt;&gt;"")*(LEFT($C7,LEN(scope_HTS))=scope_HTS)*(LEN(scope_HTS)=INT($AM7/1000))))</f>
        <v/>
      </c>
      <c r="AO7" s="13">
        <f>IF($L7&lt;&gt;"Y",0,SUMPRODUCT(MAX(ISNUMBER(rate_Rate)*((UPPER(TRIM(CLEAN(SUBSTITUTE(rate_Group&amp;""," "," "))))="")+(UPPER(TRIM(CLEAN(SUBSTITUTE(rate_Group&amp;""," "," "))))=$N7)&gt;0)*((UPPER(TRIM(CLEAN(SUBSTITUTE(rate_COO&amp;""," "," "))))="")+(UPPER(TRIM(CLEAN(SUBSTITUTE(rate_COO&amp;""," "," "))))=$E7)&gt;0)*((UPPER(TRIM(CLEAN(SUBSTITUTE(rate_USMCA&amp;""," "," "))))="")+(UPPER(TRIM(CLEAN(SUBSTITUTE(rate_USMCA&amp;""," "," "))))=IF(UPPER(TRIM(CLEAN(SUBSTITUTE(Items!F7&amp;""," "," "))))="Y","Y","N"))&gt;0)*((1+(UPPER(TRIM(CLEAN(SUBSTITUTE(rate_Group&amp;""," "," "))))&lt;&gt;"")+2*(UPPER(TRIM(CLEAN(SUBSTITUTE(rate_USMCA&amp;""," "," "))))&lt;&gt;"")+4*(UPPER(TRIM(CLEAN(SUBSTITUTE(rate_COO&amp;""," "," "))))&lt;&gt;""))*100+ROW(rate_Rate)-4))))</f>
        <v/>
      </c>
      <c r="AP7" s="13">
        <f>IF($AO7=0,0,SUMPRODUCT(ISNUMBER(rate_Rate)*((UPPER(TRIM(CLEAN(SUBSTITUTE(rate_Group&amp;""," "," "))))="")+(UPPER(TRIM(CLEAN(SUBSTITUTE(rate_Group&amp;""," "," "))))=$N7)&gt;0)*((UPPER(TRIM(CLEAN(SUBSTITUTE(rate_COO&amp;""," "," "))))="")+(UPPER(TRIM(CLEAN(SUBSTITUTE(rate_COO&amp;""," "," "))))=$E7)&gt;0)*((UPPER(TRIM(CLEAN(SUBSTITUTE(rate_USMCA&amp;""," "," "))))="")+(UPPER(TRIM(CLEAN(SUBSTITUTE(rate_USMCA&amp;""," "," "))))=IF(UPPER(TRIM(CLEAN(SUBSTITUTE(Items!F7&amp;""," "," "))))="Y","Y","N"))&gt;0)*((1+(UPPER(TRIM(CLEAN(SUBSTITUTE(rate_Group&amp;""," "," "))))&lt;&gt;"")+2*(UPPER(TRIM(CLEAN(SUBSTITUTE(rate_USMCA&amp;""," "," "))))&lt;&gt;"")+4*(UPPER(TRIM(CLEAN(SUBSTITUTE(rate_COO&amp;""," "," "))))&lt;&gt;""))=INT($AO7/100))))</f>
        <v/>
      </c>
      <c r="AQ7" s="13">
        <f>IF($A7="",0,IFERROR(MATCH($AL7,det_Key,0),0))</f>
        <v/>
      </c>
    </row>
    <row r="8">
      <c r="A8" s="10">
        <f>IF(TRIM(CLEAN(SUBSTITUTE(Items!A8&amp;""," "," ")))="","",TRIM(CLEAN(SUBSTITUTE(Items!A8&amp;""," "," "))))</f>
        <v/>
      </c>
      <c r="B8" s="10">
        <f>IF($A8="","",Items!B8&amp;"")</f>
        <v/>
      </c>
      <c r="C8" s="10">
        <f>IF($A8="","",SUBSTITUTE(SUBSTITUTE(SUBSTITUTE(SUBSTITUTE(CLEAN(Items!D8&amp;"")," ",""),".","")," ",""),"-",""))</f>
        <v/>
      </c>
      <c r="D8" s="10">
        <f>IF($A8="","",LEFT($C8,2))</f>
        <v/>
      </c>
      <c r="E8" s="10">
        <f>IF($A8="","",UPPER(TRIM(CLEAN(SUBSTITUTE(Items!E8&amp;""," "," ")))))</f>
        <v/>
      </c>
      <c r="F8" s="10">
        <f>IF($A8="","",IF(UPPER(TRIM(CLEAN(SUBSTITUTE(Items!C8&amp;""," "," "))))=UPPER(TRIM(CLEAN(SUBSTITUTE(act_Country&amp;""," "," ")))),"Y","N"))</f>
        <v/>
      </c>
      <c r="G8" s="10">
        <f>IF($A8="","",IF($AM8&gt;0,"Y","N"))</f>
        <v/>
      </c>
      <c r="H8" s="10">
        <f>IF($A8="","",IF(SUMPRODUCT((excl_HTS&lt;&gt;"")*(LEFT($C8,LEN(excl_HTS))=excl_HTS))&gt;0,"Y","N"))</f>
        <v/>
      </c>
      <c r="I8" s="10">
        <f>IF($A8="","",IF($E8="","N",IF(SUMPRODUCT(--(UPPER(TRIM(CLEAN(SUBSTITUTE(scope_COO&amp;""," "," "))))=$E8))&gt;0,"Y","N")))</f>
        <v/>
      </c>
      <c r="J8" s="10">
        <f>IF($A8="","",IF(AND(UPPER(TRIM(CLEAN(SUBSTITUTE(act_USMCAExempt&amp;""," "," "))))="Y",UPPER(TRIM(CLEAN(SUBSTITUTE(Items!F8&amp;""," "," "))))="Y"),"Y","N"))</f>
        <v/>
      </c>
      <c r="K8" s="10">
        <f>IF($A8="","",IF($AQ8=0,"",UPPER(TRIM(CLEAN(SUBSTITUTE(INDEX(det_Status,$AQ8)&amp;""," "," "))))))</f>
        <v/>
      </c>
      <c r="L8" s="10">
        <f>IF($A8="","",IF($F8="N","N",IF($K8="IN","Y",IF($K8="OUT","N",IF(AND($G8="Y",$H8="N",$I8="Y",$J8="N"),"Y","N")))))</f>
        <v/>
      </c>
      <c r="M8" s="10">
        <f>IF($A8="","",IF($F8="N","Out: different import country",IF($K8="IN","In: Research determination",IF($K8="OUT","Out: Research determination",IF($G8="N","Out: HTS not on scope list",IF($H8="Y","Out: HTS on exclusion list",IF($I8="N","Out: origin not on scope list",IF($J8="Y","Out: USMCA-qualifying, exempt","In: matches scope rules"))))))))</f>
        <v/>
      </c>
      <c r="N8" s="10">
        <f>IF(OR($A8="",$AM8=0),"",UPPER(TRIM(CLEAN(SUBSTITUTE(INDEX(scope_Group,MOD($AM8,1000))&amp;""," "," ")))))</f>
        <v/>
      </c>
      <c r="O8" s="10">
        <f>IF($L8&lt;&gt;"Y","",IF($AO8=0,"Default (B15)",UPPER(TRIM(CLEAN(SUBSTITUTE(INDEX(rate_ID,MOD($AO8,100))&amp;""," "," "))))))</f>
        <v/>
      </c>
      <c r="P8" s="10">
        <f>IF($L8&lt;&gt;"Y","",IF($AO8=0,IF(UPPER(TRIM(CLEAN(SUBSTITUTE(act_DefaultBase&amp;""," "," "))))="PART","PART","FULL"),IF(UPPER(TRIM(CLEAN(SUBSTITUTE(INDEX(rate_Base,MOD($AO8,100))&amp;""," "," "))))="PART","PART","FULL")))</f>
        <v/>
      </c>
      <c r="Q8" s="17">
        <f>IF($A8="","",N(Items!J8))</f>
        <v/>
      </c>
      <c r="R8" s="17">
        <f>IF($A8="","",IF($L8&lt;&gt;"Y",0,IF($AO8=0,N(act_Rate),N(INDEX(rate_Rate,MOD($AO8,100))))))</f>
        <v/>
      </c>
      <c r="S8" s="17">
        <f>IF($A8="","",IF($L8&lt;&gt;"Y",0,IF($AO8=0,IF(UPPER(TRIM(CLEAN(SUBSTITUTE(act_RateType&amp;""," "," "))))="REPLACE",N(act_PriorRate),0),IF(ISNUMBER(INDEX(rate_Prior,MOD($AO8,100))),INDEX(rate_Prior,MOD($AO8,100)),IF(UPPER(TRIM(CLEAN(SUBSTITUTE(act_RateType&amp;""," "," "))))="REPLACE",N(act_PriorRate),0)))))</f>
        <v/>
      </c>
      <c r="T8" s="17">
        <f>IF($A8="","",IF(AND($L8="Y",$P8="PART",ISNUMBER(Items!M8)),Items!M8,1))</f>
        <v/>
      </c>
      <c r="U8" s="17">
        <f>IF($A8="","",IF($L8&lt;&gt;"Y",0,IF($AQ8&gt;0,IF(ISNUMBER(INDEX(det_Displaced,$AQ8)),INDEX(det_Displaced,$AQ8),IF($AO8=0,0,N(INDEX(rate_Displaced,MOD($AO8,100))))),IF($AO8=0,0,N(INDEX(rate_Displaced,MOD($AO8,100)))))))</f>
        <v/>
      </c>
      <c r="V8" s="17">
        <f>IF($A8="","",IF($L8="Y",$Q8+$T8*($R8-$S8)-$U8,$Q8))</f>
        <v/>
      </c>
      <c r="W8" s="18">
        <f>IF($A8="","",N(Items!H8)*$Q8)</f>
        <v/>
      </c>
      <c r="X8" s="18">
        <f>IF($A8="","",N(Items!H8)*$V8)</f>
        <v/>
      </c>
      <c r="Y8" s="18">
        <f>IF($A8="","",$X8-$W8)</f>
        <v/>
      </c>
      <c r="Z8" s="18">
        <f>IF($A8="","",N(Items!K8)+$Y8)</f>
        <v/>
      </c>
      <c r="AA8" s="17">
        <f>IF($A8="","",IF(N(Items!L8)=0,"",(N(Items!L8)-N(Items!K8))/N(Items!L8)))</f>
        <v/>
      </c>
      <c r="AB8" s="17">
        <f>IF($A8="","",IF(N(Items!L8)=0,"",(N(Items!L8)-$Z8)/N(Items!L8)))</f>
        <v/>
      </c>
      <c r="AC8" s="17">
        <f>IF(OR($AA8="",$AB8=""),"",$AB8-$AA8)</f>
        <v/>
      </c>
      <c r="AD8" s="13">
        <f>IF($A8="","",N(Items!I8))</f>
        <v/>
      </c>
      <c r="AE8" s="19">
        <f>IF($A8="","",$Y8*$AD8)</f>
        <v/>
      </c>
      <c r="AF8" s="10">
        <f>IF($A8="","",IF(N(Items!L8)&gt;0,"Y","N"))</f>
        <v/>
      </c>
      <c r="AG8" s="19">
        <f>IF($A8="","",IF($AF8="Y",N(Items!L8)*$AD8,0))</f>
        <v/>
      </c>
      <c r="AH8" s="19">
        <f>IF($A8="","",IF($AF8="Y",(N(Items!L8)-N(Items!K8))*$AD8,0))</f>
        <v/>
      </c>
      <c r="AI8" s="19">
        <f>IF($A8="","",IF($AF8="Y",$AH8-$AE8,0))</f>
        <v/>
      </c>
      <c r="AJ8" s="10">
        <f>IF($A8="","",IF(COUNTIF($AL$5:$AL$254,$AL8)&gt;1,"CHECK: duplicate item and import country",IF(TRIM(CLEAN(SUBSTITUTE(Items!C8&amp;""," "," ")))="","CHECK: import country missing",IF(AND(UPPER(TRIM(CLEAN(SUBSTITUTE(Items!C8&amp;""," "," "))))&lt;&gt;"US",UPPER(TRIM(CLEAN(SUBSTITUTE(Items!C8&amp;""," "," "))))&lt;&gt;"CA",UPPER(TRIM(CLEAN(SUBSTITUTE(Items!C8&amp;""," "," "))))&lt;&gt;"MX"),"CHECK: import country must be US, CA or MX",IF(NOT(AND(LEN($C8)=10,IFERROR(TEXT(VALUE($C8),REPT("0",LEN($C8)))=$C8,FALSE))),"CHECK: HTS must be 10 digits",IF(LEN($E8)&lt;&gt;2,"CHECK: origin code missing or not 2 letters",IF(TRIM(CLEAN(SUBSTITUTE(Items!G8&amp;""," "," ")))="","CHECK: unit of measure missing",IF(OR(Items!H8="",Items!J8="",Items!K8=""),"CHECK: value, rate or cost missing",IF(OR(NOT(ISNUMBER(Items!H8)),NOT(ISNUMBER(Items!J8)),NOT(ISNUMBER(Items!K8)),AND(Items!I8&lt;&gt;"",NOT(ISNUMBER(Items!I8))),AND(Items!L8&lt;&gt;"",NOT(ISNUMBER(Items!L8))),AND(Items!M8&lt;&gt;"",NOT(ISNUMBER(Items!M8)))),"CHECK: text in a number column",IF(AND(ISNUMBER(Items!M8),OR(N(Items!M8)&lt;0,N(Items!M8)&gt;1)),"CHECK: dutiable share must be 0% to 100%",IF(AND(UPPER(TRIM(CLEAN(SUBSTITUTE(Items!F8&amp;""," "," "))))&lt;&gt;"",UPPER(TRIM(CLEAN(SUBSTITUTE(Items!F8&amp;""," "," "))))&lt;&gt;"Y",UPPER(TRIM(CLEAN(SUBSTITUTE(Items!F8&amp;""," "," "))))&lt;&gt;"N"),"CHECK: USMCA flag must be Y, N or blank",IF(AND(UPPER(TRIM(CLEAN(SUBSTITUTE(Items!F8&amp;""," "," "))))="Y",$E8&lt;&gt;"US",$E8&lt;&gt;"CA",$E8&lt;&gt;"MX"),"CHECK: USMCA flag on an origin other than US, CA or MX",IF(AND($L8="Y",$AO8=0,NOT(ISNUMBER(act_Rate))),"CHECK: in scope but no rate (add a rate line or B15)",IF(AND($L8="Y",UPPER(TRIM(CLEAN(SUBSTITUTE(act_RateType&amp;""," "," "))))="REPLACE",NOT(ISNUMBER(act_PriorRate)),IF($AO8=0,TRUE,NOT(ISNUMBER(INDEX(rate_Prior,MOD($AO8,100)))))),"CHECK: REPLACE but no earlier rate (B17 or the rate line's AD)",IF(AND($L8="Y",$AP8&gt;1),"CHECK: two rate lines match equally",IF(AND($L8="Y",$AN8&gt;1),"CHECK: HTS prefix listed twice on the scope list",IF(AND($L8="Y",$P8="PART",NOT(ISNUMBER(Items!M8))),"CHECK: dutiable share missing (PART base)",IF(AND($L8="Y",$P8="FULL",ISNUMBER(Items!M8),N(Items!M8)&lt;&gt;1),"CHECK: dutiable share entered, but the rate taxes the full value",IF(AND($L8="Y",$Q8+0.0000001&lt;$T8*$S8+$U8),"CHECK: current rate is below the duty being replaced or displaced",IF(AND($L8="Y",$AD8=0),"NOTE: in scope, no quantity",IF(AND($L8="Y",$AF8="N"),"NOTE: in scope, no sell price (left out of margin %)",IF(AND($L8="Y",N(Items!H8)&gt;N(Items!K8)),"NOTE: customs value above standard cost (check unit of measure)",IF(AND($L8="Y",$Q8&gt;1),"NOTE: current rate above 100% (check it was entered as a percentage)","OK")))))))))))))))))))))))</f>
        <v/>
      </c>
      <c r="AK8" s="20">
        <f>IF($A8="","",IF(AND($L8="Y",$AE8&lt;&gt;0),ABS($AE8)+ROW()/1000000000,""))</f>
        <v/>
      </c>
      <c r="AL8" s="10">
        <f>IF($A8="","",UPPER($A8)&amp;"/"&amp;UPPER(TRIM(CLEAN(SUBSTITUTE(Items!C8&amp;""," "," ")))))</f>
        <v/>
      </c>
      <c r="AM8" s="13">
        <f>IF($A8="",0,SUMPRODUCT(MAX((scope_HTS&lt;&gt;"")*(LEFT($C8,LEN(scope_HTS))=scope_HTS)*(LEN(scope_HTS)*1000+ROW(scope_HTS)-4))))</f>
        <v/>
      </c>
      <c r="AN8" s="13">
        <f>IF($AM8=0,0,SUMPRODUCT((scope_HTS&lt;&gt;"")*(LEFT($C8,LEN(scope_HTS))=scope_HTS)*(LEN(scope_HTS)=INT($AM8/1000))))</f>
        <v/>
      </c>
      <c r="AO8" s="13">
        <f>IF($L8&lt;&gt;"Y",0,SUMPRODUCT(MAX(ISNUMBER(rate_Rate)*((UPPER(TRIM(CLEAN(SUBSTITUTE(rate_Group&amp;""," "," "))))="")+(UPPER(TRIM(CLEAN(SUBSTITUTE(rate_Group&amp;""," "," "))))=$N8)&gt;0)*((UPPER(TRIM(CLEAN(SUBSTITUTE(rate_COO&amp;""," "," "))))="")+(UPPER(TRIM(CLEAN(SUBSTITUTE(rate_COO&amp;""," "," "))))=$E8)&gt;0)*((UPPER(TRIM(CLEAN(SUBSTITUTE(rate_USMCA&amp;""," "," "))))="")+(UPPER(TRIM(CLEAN(SUBSTITUTE(rate_USMCA&amp;""," "," "))))=IF(UPPER(TRIM(CLEAN(SUBSTITUTE(Items!F8&amp;""," "," "))))="Y","Y","N"))&gt;0)*((1+(UPPER(TRIM(CLEAN(SUBSTITUTE(rate_Group&amp;""," "," "))))&lt;&gt;"")+2*(UPPER(TRIM(CLEAN(SUBSTITUTE(rate_USMCA&amp;""," "," "))))&lt;&gt;"")+4*(UPPER(TRIM(CLEAN(SUBSTITUTE(rate_COO&amp;""," "," "))))&lt;&gt;""))*100+ROW(rate_Rate)-4))))</f>
        <v/>
      </c>
      <c r="AP8" s="13">
        <f>IF($AO8=0,0,SUMPRODUCT(ISNUMBER(rate_Rate)*((UPPER(TRIM(CLEAN(SUBSTITUTE(rate_Group&amp;""," "," "))))="")+(UPPER(TRIM(CLEAN(SUBSTITUTE(rate_Group&amp;""," "," "))))=$N8)&gt;0)*((UPPER(TRIM(CLEAN(SUBSTITUTE(rate_COO&amp;""," "," "))))="")+(UPPER(TRIM(CLEAN(SUBSTITUTE(rate_COO&amp;""," "," "))))=$E8)&gt;0)*((UPPER(TRIM(CLEAN(SUBSTITUTE(rate_USMCA&amp;""," "," "))))="")+(UPPER(TRIM(CLEAN(SUBSTITUTE(rate_USMCA&amp;""," "," "))))=IF(UPPER(TRIM(CLEAN(SUBSTITUTE(Items!F8&amp;""," "," "))))="Y","Y","N"))&gt;0)*((1+(UPPER(TRIM(CLEAN(SUBSTITUTE(rate_Group&amp;""," "," "))))&lt;&gt;"")+2*(UPPER(TRIM(CLEAN(SUBSTITUTE(rate_USMCA&amp;""," "," "))))&lt;&gt;"")+4*(UPPER(TRIM(CLEAN(SUBSTITUTE(rate_COO&amp;""," "," "))))&lt;&gt;""))=INT($AO8/100))))</f>
        <v/>
      </c>
      <c r="AQ8" s="13">
        <f>IF($A8="",0,IFERROR(MATCH($AL8,det_Key,0),0))</f>
        <v/>
      </c>
    </row>
    <row r="9">
      <c r="A9" s="10">
        <f>IF(TRIM(CLEAN(SUBSTITUTE(Items!A9&amp;""," "," ")))="","",TRIM(CLEAN(SUBSTITUTE(Items!A9&amp;""," "," "))))</f>
        <v/>
      </c>
      <c r="B9" s="10">
        <f>IF($A9="","",Items!B9&amp;"")</f>
        <v/>
      </c>
      <c r="C9" s="10">
        <f>IF($A9="","",SUBSTITUTE(SUBSTITUTE(SUBSTITUTE(SUBSTITUTE(CLEAN(Items!D9&amp;"")," ",""),".","")," ",""),"-",""))</f>
        <v/>
      </c>
      <c r="D9" s="10">
        <f>IF($A9="","",LEFT($C9,2))</f>
        <v/>
      </c>
      <c r="E9" s="10">
        <f>IF($A9="","",UPPER(TRIM(CLEAN(SUBSTITUTE(Items!E9&amp;""," "," ")))))</f>
        <v/>
      </c>
      <c r="F9" s="10">
        <f>IF($A9="","",IF(UPPER(TRIM(CLEAN(SUBSTITUTE(Items!C9&amp;""," "," "))))=UPPER(TRIM(CLEAN(SUBSTITUTE(act_Country&amp;""," "," ")))),"Y","N"))</f>
        <v/>
      </c>
      <c r="G9" s="10">
        <f>IF($A9="","",IF($AM9&gt;0,"Y","N"))</f>
        <v/>
      </c>
      <c r="H9" s="10">
        <f>IF($A9="","",IF(SUMPRODUCT((excl_HTS&lt;&gt;"")*(LEFT($C9,LEN(excl_HTS))=excl_HTS))&gt;0,"Y","N"))</f>
        <v/>
      </c>
      <c r="I9" s="10">
        <f>IF($A9="","",IF($E9="","N",IF(SUMPRODUCT(--(UPPER(TRIM(CLEAN(SUBSTITUTE(scope_COO&amp;""," "," "))))=$E9))&gt;0,"Y","N")))</f>
        <v/>
      </c>
      <c r="J9" s="10">
        <f>IF($A9="","",IF(AND(UPPER(TRIM(CLEAN(SUBSTITUTE(act_USMCAExempt&amp;""," "," "))))="Y",UPPER(TRIM(CLEAN(SUBSTITUTE(Items!F9&amp;""," "," "))))="Y"),"Y","N"))</f>
        <v/>
      </c>
      <c r="K9" s="10">
        <f>IF($A9="","",IF($AQ9=0,"",UPPER(TRIM(CLEAN(SUBSTITUTE(INDEX(det_Status,$AQ9)&amp;""," "," "))))))</f>
        <v/>
      </c>
      <c r="L9" s="10">
        <f>IF($A9="","",IF($F9="N","N",IF($K9="IN","Y",IF($K9="OUT","N",IF(AND($G9="Y",$H9="N",$I9="Y",$J9="N"),"Y","N")))))</f>
        <v/>
      </c>
      <c r="M9" s="10">
        <f>IF($A9="","",IF($F9="N","Out: different import country",IF($K9="IN","In: Research determination",IF($K9="OUT","Out: Research determination",IF($G9="N","Out: HTS not on scope list",IF($H9="Y","Out: HTS on exclusion list",IF($I9="N","Out: origin not on scope list",IF($J9="Y","Out: USMCA-qualifying, exempt","In: matches scope rules"))))))))</f>
        <v/>
      </c>
      <c r="N9" s="10">
        <f>IF(OR($A9="",$AM9=0),"",UPPER(TRIM(CLEAN(SUBSTITUTE(INDEX(scope_Group,MOD($AM9,1000))&amp;""," "," ")))))</f>
        <v/>
      </c>
      <c r="O9" s="10">
        <f>IF($L9&lt;&gt;"Y","",IF($AO9=0,"Default (B15)",UPPER(TRIM(CLEAN(SUBSTITUTE(INDEX(rate_ID,MOD($AO9,100))&amp;""," "," "))))))</f>
        <v/>
      </c>
      <c r="P9" s="10">
        <f>IF($L9&lt;&gt;"Y","",IF($AO9=0,IF(UPPER(TRIM(CLEAN(SUBSTITUTE(act_DefaultBase&amp;""," "," "))))="PART","PART","FULL"),IF(UPPER(TRIM(CLEAN(SUBSTITUTE(INDEX(rate_Base,MOD($AO9,100))&amp;""," "," "))))="PART","PART","FULL")))</f>
        <v/>
      </c>
      <c r="Q9" s="17">
        <f>IF($A9="","",N(Items!J9))</f>
        <v/>
      </c>
      <c r="R9" s="17">
        <f>IF($A9="","",IF($L9&lt;&gt;"Y",0,IF($AO9=0,N(act_Rate),N(INDEX(rate_Rate,MOD($AO9,100))))))</f>
        <v/>
      </c>
      <c r="S9" s="17">
        <f>IF($A9="","",IF($L9&lt;&gt;"Y",0,IF($AO9=0,IF(UPPER(TRIM(CLEAN(SUBSTITUTE(act_RateType&amp;""," "," "))))="REPLACE",N(act_PriorRate),0),IF(ISNUMBER(INDEX(rate_Prior,MOD($AO9,100))),INDEX(rate_Prior,MOD($AO9,100)),IF(UPPER(TRIM(CLEAN(SUBSTITUTE(act_RateType&amp;""," "," "))))="REPLACE",N(act_PriorRate),0)))))</f>
        <v/>
      </c>
      <c r="T9" s="17">
        <f>IF($A9="","",IF(AND($L9="Y",$P9="PART",ISNUMBER(Items!M9)),Items!M9,1))</f>
        <v/>
      </c>
      <c r="U9" s="17">
        <f>IF($A9="","",IF($L9&lt;&gt;"Y",0,IF($AQ9&gt;0,IF(ISNUMBER(INDEX(det_Displaced,$AQ9)),INDEX(det_Displaced,$AQ9),IF($AO9=0,0,N(INDEX(rate_Displaced,MOD($AO9,100))))),IF($AO9=0,0,N(INDEX(rate_Displaced,MOD($AO9,100)))))))</f>
        <v/>
      </c>
      <c r="V9" s="17">
        <f>IF($A9="","",IF($L9="Y",$Q9+$T9*($R9-$S9)-$U9,$Q9))</f>
        <v/>
      </c>
      <c r="W9" s="18">
        <f>IF($A9="","",N(Items!H9)*$Q9)</f>
        <v/>
      </c>
      <c r="X9" s="18">
        <f>IF($A9="","",N(Items!H9)*$V9)</f>
        <v/>
      </c>
      <c r="Y9" s="18">
        <f>IF($A9="","",$X9-$W9)</f>
        <v/>
      </c>
      <c r="Z9" s="18">
        <f>IF($A9="","",N(Items!K9)+$Y9)</f>
        <v/>
      </c>
      <c r="AA9" s="17">
        <f>IF($A9="","",IF(N(Items!L9)=0,"",(N(Items!L9)-N(Items!K9))/N(Items!L9)))</f>
        <v/>
      </c>
      <c r="AB9" s="17">
        <f>IF($A9="","",IF(N(Items!L9)=0,"",(N(Items!L9)-$Z9)/N(Items!L9)))</f>
        <v/>
      </c>
      <c r="AC9" s="17">
        <f>IF(OR($AA9="",$AB9=""),"",$AB9-$AA9)</f>
        <v/>
      </c>
      <c r="AD9" s="13">
        <f>IF($A9="","",N(Items!I9))</f>
        <v/>
      </c>
      <c r="AE9" s="19">
        <f>IF($A9="","",$Y9*$AD9)</f>
        <v/>
      </c>
      <c r="AF9" s="10">
        <f>IF($A9="","",IF(N(Items!L9)&gt;0,"Y","N"))</f>
        <v/>
      </c>
      <c r="AG9" s="19">
        <f>IF($A9="","",IF($AF9="Y",N(Items!L9)*$AD9,0))</f>
        <v/>
      </c>
      <c r="AH9" s="19">
        <f>IF($A9="","",IF($AF9="Y",(N(Items!L9)-N(Items!K9))*$AD9,0))</f>
        <v/>
      </c>
      <c r="AI9" s="19">
        <f>IF($A9="","",IF($AF9="Y",$AH9-$AE9,0))</f>
        <v/>
      </c>
      <c r="AJ9" s="10">
        <f>IF($A9="","",IF(COUNTIF($AL$5:$AL$254,$AL9)&gt;1,"CHECK: duplicate item and import country",IF(TRIM(CLEAN(SUBSTITUTE(Items!C9&amp;""," "," ")))="","CHECK: import country missing",IF(AND(UPPER(TRIM(CLEAN(SUBSTITUTE(Items!C9&amp;""," "," "))))&lt;&gt;"US",UPPER(TRIM(CLEAN(SUBSTITUTE(Items!C9&amp;""," "," "))))&lt;&gt;"CA",UPPER(TRIM(CLEAN(SUBSTITUTE(Items!C9&amp;""," "," "))))&lt;&gt;"MX"),"CHECK: import country must be US, CA or MX",IF(NOT(AND(LEN($C9)=10,IFERROR(TEXT(VALUE($C9),REPT("0",LEN($C9)))=$C9,FALSE))),"CHECK: HTS must be 10 digits",IF(LEN($E9)&lt;&gt;2,"CHECK: origin code missing or not 2 letters",IF(TRIM(CLEAN(SUBSTITUTE(Items!G9&amp;""," "," ")))="","CHECK: unit of measure missing",IF(OR(Items!H9="",Items!J9="",Items!K9=""),"CHECK: value, rate or cost missing",IF(OR(NOT(ISNUMBER(Items!H9)),NOT(ISNUMBER(Items!J9)),NOT(ISNUMBER(Items!K9)),AND(Items!I9&lt;&gt;"",NOT(ISNUMBER(Items!I9))),AND(Items!L9&lt;&gt;"",NOT(ISNUMBER(Items!L9))),AND(Items!M9&lt;&gt;"",NOT(ISNUMBER(Items!M9)))),"CHECK: text in a number column",IF(AND(ISNUMBER(Items!M9),OR(N(Items!M9)&lt;0,N(Items!M9)&gt;1)),"CHECK: dutiable share must be 0% to 100%",IF(AND(UPPER(TRIM(CLEAN(SUBSTITUTE(Items!F9&amp;""," "," "))))&lt;&gt;"",UPPER(TRIM(CLEAN(SUBSTITUTE(Items!F9&amp;""," "," "))))&lt;&gt;"Y",UPPER(TRIM(CLEAN(SUBSTITUTE(Items!F9&amp;""," "," "))))&lt;&gt;"N"),"CHECK: USMCA flag must be Y, N or blank",IF(AND(UPPER(TRIM(CLEAN(SUBSTITUTE(Items!F9&amp;""," "," "))))="Y",$E9&lt;&gt;"US",$E9&lt;&gt;"CA",$E9&lt;&gt;"MX"),"CHECK: USMCA flag on an origin other than US, CA or MX",IF(AND($L9="Y",$AO9=0,NOT(ISNUMBER(act_Rate))),"CHECK: in scope but no rate (add a rate line or B15)",IF(AND($L9="Y",UPPER(TRIM(CLEAN(SUBSTITUTE(act_RateType&amp;""," "," "))))="REPLACE",NOT(ISNUMBER(act_PriorRate)),IF($AO9=0,TRUE,NOT(ISNUMBER(INDEX(rate_Prior,MOD($AO9,100)))))),"CHECK: REPLACE but no earlier rate (B17 or the rate line's AD)",IF(AND($L9="Y",$AP9&gt;1),"CHECK: two rate lines match equally",IF(AND($L9="Y",$AN9&gt;1),"CHECK: HTS prefix listed twice on the scope list",IF(AND($L9="Y",$P9="PART",NOT(ISNUMBER(Items!M9))),"CHECK: dutiable share missing (PART base)",IF(AND($L9="Y",$P9="FULL",ISNUMBER(Items!M9),N(Items!M9)&lt;&gt;1),"CHECK: dutiable share entered, but the rate taxes the full value",IF(AND($L9="Y",$Q9+0.0000001&lt;$T9*$S9+$U9),"CHECK: current rate is below the duty being replaced or displaced",IF(AND($L9="Y",$AD9=0),"NOTE: in scope, no quantity",IF(AND($L9="Y",$AF9="N"),"NOTE: in scope, no sell price (left out of margin %)",IF(AND($L9="Y",N(Items!H9)&gt;N(Items!K9)),"NOTE: customs value above standard cost (check unit of measure)",IF(AND($L9="Y",$Q9&gt;1),"NOTE: current rate above 100% (check it was entered as a percentage)","OK")))))))))))))))))))))))</f>
        <v/>
      </c>
      <c r="AK9" s="20">
        <f>IF($A9="","",IF(AND($L9="Y",$AE9&lt;&gt;0),ABS($AE9)+ROW()/1000000000,""))</f>
        <v/>
      </c>
      <c r="AL9" s="10">
        <f>IF($A9="","",UPPER($A9)&amp;"/"&amp;UPPER(TRIM(CLEAN(SUBSTITUTE(Items!C9&amp;""," "," ")))))</f>
        <v/>
      </c>
      <c r="AM9" s="13">
        <f>IF($A9="",0,SUMPRODUCT(MAX((scope_HTS&lt;&gt;"")*(LEFT($C9,LEN(scope_HTS))=scope_HTS)*(LEN(scope_HTS)*1000+ROW(scope_HTS)-4))))</f>
        <v/>
      </c>
      <c r="AN9" s="13">
        <f>IF($AM9=0,0,SUMPRODUCT((scope_HTS&lt;&gt;"")*(LEFT($C9,LEN(scope_HTS))=scope_HTS)*(LEN(scope_HTS)=INT($AM9/1000))))</f>
        <v/>
      </c>
      <c r="AO9" s="13">
        <f>IF($L9&lt;&gt;"Y",0,SUMPRODUCT(MAX(ISNUMBER(rate_Rate)*((UPPER(TRIM(CLEAN(SUBSTITUTE(rate_Group&amp;""," "," "))))="")+(UPPER(TRIM(CLEAN(SUBSTITUTE(rate_Group&amp;""," "," "))))=$N9)&gt;0)*((UPPER(TRIM(CLEAN(SUBSTITUTE(rate_COO&amp;""," "," "))))="")+(UPPER(TRIM(CLEAN(SUBSTITUTE(rate_COO&amp;""," "," "))))=$E9)&gt;0)*((UPPER(TRIM(CLEAN(SUBSTITUTE(rate_USMCA&amp;""," "," "))))="")+(UPPER(TRIM(CLEAN(SUBSTITUTE(rate_USMCA&amp;""," "," "))))=IF(UPPER(TRIM(CLEAN(SUBSTITUTE(Items!F9&amp;""," "," "))))="Y","Y","N"))&gt;0)*((1+(UPPER(TRIM(CLEAN(SUBSTITUTE(rate_Group&amp;""," "," "))))&lt;&gt;"")+2*(UPPER(TRIM(CLEAN(SUBSTITUTE(rate_USMCA&amp;""," "," "))))&lt;&gt;"")+4*(UPPER(TRIM(CLEAN(SUBSTITUTE(rate_COO&amp;""," "," "))))&lt;&gt;""))*100+ROW(rate_Rate)-4))))</f>
        <v/>
      </c>
      <c r="AP9" s="13">
        <f>IF($AO9=0,0,SUMPRODUCT(ISNUMBER(rate_Rate)*((UPPER(TRIM(CLEAN(SUBSTITUTE(rate_Group&amp;""," "," "))))="")+(UPPER(TRIM(CLEAN(SUBSTITUTE(rate_Group&amp;""," "," "))))=$N9)&gt;0)*((UPPER(TRIM(CLEAN(SUBSTITUTE(rate_COO&amp;""," "," "))))="")+(UPPER(TRIM(CLEAN(SUBSTITUTE(rate_COO&amp;""," "," "))))=$E9)&gt;0)*((UPPER(TRIM(CLEAN(SUBSTITUTE(rate_USMCA&amp;""," "," "))))="")+(UPPER(TRIM(CLEAN(SUBSTITUTE(rate_USMCA&amp;""," "," "))))=IF(UPPER(TRIM(CLEAN(SUBSTITUTE(Items!F9&amp;""," "," "))))="Y","Y","N"))&gt;0)*((1+(UPPER(TRIM(CLEAN(SUBSTITUTE(rate_Group&amp;""," "," "))))&lt;&gt;"")+2*(UPPER(TRIM(CLEAN(SUBSTITUTE(rate_USMCA&amp;""," "," "))))&lt;&gt;"")+4*(UPPER(TRIM(CLEAN(SUBSTITUTE(rate_COO&amp;""," "," "))))&lt;&gt;""))=INT($AO9/100))))</f>
        <v/>
      </c>
      <c r="AQ9" s="13">
        <f>IF($A9="",0,IFERROR(MATCH($AL9,det_Key,0),0))</f>
        <v/>
      </c>
    </row>
    <row r="10">
      <c r="A10" s="10">
        <f>IF(TRIM(CLEAN(SUBSTITUTE(Items!A10&amp;""," "," ")))="","",TRIM(CLEAN(SUBSTITUTE(Items!A10&amp;""," "," "))))</f>
        <v/>
      </c>
      <c r="B10" s="10">
        <f>IF($A10="","",Items!B10&amp;"")</f>
        <v/>
      </c>
      <c r="C10" s="10">
        <f>IF($A10="","",SUBSTITUTE(SUBSTITUTE(SUBSTITUTE(SUBSTITUTE(CLEAN(Items!D10&amp;"")," ",""),".","")," ",""),"-",""))</f>
        <v/>
      </c>
      <c r="D10" s="10">
        <f>IF($A10="","",LEFT($C10,2))</f>
        <v/>
      </c>
      <c r="E10" s="10">
        <f>IF($A10="","",UPPER(TRIM(CLEAN(SUBSTITUTE(Items!E10&amp;""," "," ")))))</f>
        <v/>
      </c>
      <c r="F10" s="10">
        <f>IF($A10="","",IF(UPPER(TRIM(CLEAN(SUBSTITUTE(Items!C10&amp;""," "," "))))=UPPER(TRIM(CLEAN(SUBSTITUTE(act_Country&amp;""," "," ")))),"Y","N"))</f>
        <v/>
      </c>
      <c r="G10" s="10">
        <f>IF($A10="","",IF($AM10&gt;0,"Y","N"))</f>
        <v/>
      </c>
      <c r="H10" s="10">
        <f>IF($A10="","",IF(SUMPRODUCT((excl_HTS&lt;&gt;"")*(LEFT($C10,LEN(excl_HTS))=excl_HTS))&gt;0,"Y","N"))</f>
        <v/>
      </c>
      <c r="I10" s="10">
        <f>IF($A10="","",IF($E10="","N",IF(SUMPRODUCT(--(UPPER(TRIM(CLEAN(SUBSTITUTE(scope_COO&amp;""," "," "))))=$E10))&gt;0,"Y","N")))</f>
        <v/>
      </c>
      <c r="J10" s="10">
        <f>IF($A10="","",IF(AND(UPPER(TRIM(CLEAN(SUBSTITUTE(act_USMCAExempt&amp;""," "," "))))="Y",UPPER(TRIM(CLEAN(SUBSTITUTE(Items!F10&amp;""," "," "))))="Y"),"Y","N"))</f>
        <v/>
      </c>
      <c r="K10" s="10">
        <f>IF($A10="","",IF($AQ10=0,"",UPPER(TRIM(CLEAN(SUBSTITUTE(INDEX(det_Status,$AQ10)&amp;""," "," "))))))</f>
        <v/>
      </c>
      <c r="L10" s="10">
        <f>IF($A10="","",IF($F10="N","N",IF($K10="IN","Y",IF($K10="OUT","N",IF(AND($G10="Y",$H10="N",$I10="Y",$J10="N"),"Y","N")))))</f>
        <v/>
      </c>
      <c r="M10" s="10">
        <f>IF($A10="","",IF($F10="N","Out: different import country",IF($K10="IN","In: Research determination",IF($K10="OUT","Out: Research determination",IF($G10="N","Out: HTS not on scope list",IF($H10="Y","Out: HTS on exclusion list",IF($I10="N","Out: origin not on scope list",IF($J10="Y","Out: USMCA-qualifying, exempt","In: matches scope rules"))))))))</f>
        <v/>
      </c>
      <c r="N10" s="10">
        <f>IF(OR($A10="",$AM10=0),"",UPPER(TRIM(CLEAN(SUBSTITUTE(INDEX(scope_Group,MOD($AM10,1000))&amp;""," "," ")))))</f>
        <v/>
      </c>
      <c r="O10" s="10">
        <f>IF($L10&lt;&gt;"Y","",IF($AO10=0,"Default (B15)",UPPER(TRIM(CLEAN(SUBSTITUTE(INDEX(rate_ID,MOD($AO10,100))&amp;""," "," "))))))</f>
        <v/>
      </c>
      <c r="P10" s="10">
        <f>IF($L10&lt;&gt;"Y","",IF($AO10=0,IF(UPPER(TRIM(CLEAN(SUBSTITUTE(act_DefaultBase&amp;""," "," "))))="PART","PART","FULL"),IF(UPPER(TRIM(CLEAN(SUBSTITUTE(INDEX(rate_Base,MOD($AO10,100))&amp;""," "," "))))="PART","PART","FULL")))</f>
        <v/>
      </c>
      <c r="Q10" s="17">
        <f>IF($A10="","",N(Items!J10))</f>
        <v/>
      </c>
      <c r="R10" s="17">
        <f>IF($A10="","",IF($L10&lt;&gt;"Y",0,IF($AO10=0,N(act_Rate),N(INDEX(rate_Rate,MOD($AO10,100))))))</f>
        <v/>
      </c>
      <c r="S10" s="17">
        <f>IF($A10="","",IF($L10&lt;&gt;"Y",0,IF($AO10=0,IF(UPPER(TRIM(CLEAN(SUBSTITUTE(act_RateType&amp;""," "," "))))="REPLACE",N(act_PriorRate),0),IF(ISNUMBER(INDEX(rate_Prior,MOD($AO10,100))),INDEX(rate_Prior,MOD($AO10,100)),IF(UPPER(TRIM(CLEAN(SUBSTITUTE(act_RateType&amp;""," "," "))))="REPLACE",N(act_PriorRate),0)))))</f>
        <v/>
      </c>
      <c r="T10" s="17">
        <f>IF($A10="","",IF(AND($L10="Y",$P10="PART",ISNUMBER(Items!M10)),Items!M10,1))</f>
        <v/>
      </c>
      <c r="U10" s="17">
        <f>IF($A10="","",IF($L10&lt;&gt;"Y",0,IF($AQ10&gt;0,IF(ISNUMBER(INDEX(det_Displaced,$AQ10)),INDEX(det_Displaced,$AQ10),IF($AO10=0,0,N(INDEX(rate_Displaced,MOD($AO10,100))))),IF($AO10=0,0,N(INDEX(rate_Displaced,MOD($AO10,100)))))))</f>
        <v/>
      </c>
      <c r="V10" s="17">
        <f>IF($A10="","",IF($L10="Y",$Q10+$T10*($R10-$S10)-$U10,$Q10))</f>
        <v/>
      </c>
      <c r="W10" s="18">
        <f>IF($A10="","",N(Items!H10)*$Q10)</f>
        <v/>
      </c>
      <c r="X10" s="18">
        <f>IF($A10="","",N(Items!H10)*$V10)</f>
        <v/>
      </c>
      <c r="Y10" s="18">
        <f>IF($A10="","",$X10-$W10)</f>
        <v/>
      </c>
      <c r="Z10" s="18">
        <f>IF($A10="","",N(Items!K10)+$Y10)</f>
        <v/>
      </c>
      <c r="AA10" s="17">
        <f>IF($A10="","",IF(N(Items!L10)=0,"",(N(Items!L10)-N(Items!K10))/N(Items!L10)))</f>
        <v/>
      </c>
      <c r="AB10" s="17">
        <f>IF($A10="","",IF(N(Items!L10)=0,"",(N(Items!L10)-$Z10)/N(Items!L10)))</f>
        <v/>
      </c>
      <c r="AC10" s="17">
        <f>IF(OR($AA10="",$AB10=""),"",$AB10-$AA10)</f>
        <v/>
      </c>
      <c r="AD10" s="13">
        <f>IF($A10="","",N(Items!I10))</f>
        <v/>
      </c>
      <c r="AE10" s="19">
        <f>IF($A10="","",$Y10*$AD10)</f>
        <v/>
      </c>
      <c r="AF10" s="10">
        <f>IF($A10="","",IF(N(Items!L10)&gt;0,"Y","N"))</f>
        <v/>
      </c>
      <c r="AG10" s="19">
        <f>IF($A10="","",IF($AF10="Y",N(Items!L10)*$AD10,0))</f>
        <v/>
      </c>
      <c r="AH10" s="19">
        <f>IF($A10="","",IF($AF10="Y",(N(Items!L10)-N(Items!K10))*$AD10,0))</f>
        <v/>
      </c>
      <c r="AI10" s="19">
        <f>IF($A10="","",IF($AF10="Y",$AH10-$AE10,0))</f>
        <v/>
      </c>
      <c r="AJ10" s="10">
        <f>IF($A10="","",IF(COUNTIF($AL$5:$AL$254,$AL10)&gt;1,"CHECK: duplicate item and import country",IF(TRIM(CLEAN(SUBSTITUTE(Items!C10&amp;""," "," ")))="","CHECK: import country missing",IF(AND(UPPER(TRIM(CLEAN(SUBSTITUTE(Items!C10&amp;""," "," "))))&lt;&gt;"US",UPPER(TRIM(CLEAN(SUBSTITUTE(Items!C10&amp;""," "," "))))&lt;&gt;"CA",UPPER(TRIM(CLEAN(SUBSTITUTE(Items!C10&amp;""," "," "))))&lt;&gt;"MX"),"CHECK: import country must be US, CA or MX",IF(NOT(AND(LEN($C10)=10,IFERROR(TEXT(VALUE($C10),REPT("0",LEN($C10)))=$C10,FALSE))),"CHECK: HTS must be 10 digits",IF(LEN($E10)&lt;&gt;2,"CHECK: origin code missing or not 2 letters",IF(TRIM(CLEAN(SUBSTITUTE(Items!G10&amp;""," "," ")))="","CHECK: unit of measure missing",IF(OR(Items!H10="",Items!J10="",Items!K10=""),"CHECK: value, rate or cost missing",IF(OR(NOT(ISNUMBER(Items!H10)),NOT(ISNUMBER(Items!J10)),NOT(ISNUMBER(Items!K10)),AND(Items!I10&lt;&gt;"",NOT(ISNUMBER(Items!I10))),AND(Items!L10&lt;&gt;"",NOT(ISNUMBER(Items!L10))),AND(Items!M10&lt;&gt;"",NOT(ISNUMBER(Items!M10)))),"CHECK: text in a number column",IF(AND(ISNUMBER(Items!M10),OR(N(Items!M10)&lt;0,N(Items!M10)&gt;1)),"CHECK: dutiable share must be 0% to 100%",IF(AND(UPPER(TRIM(CLEAN(SUBSTITUTE(Items!F10&amp;""," "," "))))&lt;&gt;"",UPPER(TRIM(CLEAN(SUBSTITUTE(Items!F10&amp;""," "," "))))&lt;&gt;"Y",UPPER(TRIM(CLEAN(SUBSTITUTE(Items!F10&amp;""," "," "))))&lt;&gt;"N"),"CHECK: USMCA flag must be Y, N or blank",IF(AND(UPPER(TRIM(CLEAN(SUBSTITUTE(Items!F10&amp;""," "," "))))="Y",$E10&lt;&gt;"US",$E10&lt;&gt;"CA",$E10&lt;&gt;"MX"),"CHECK: USMCA flag on an origin other than US, CA or MX",IF(AND($L10="Y",$AO10=0,NOT(ISNUMBER(act_Rate))),"CHECK: in scope but no rate (add a rate line or B15)",IF(AND($L10="Y",UPPER(TRIM(CLEAN(SUBSTITUTE(act_RateType&amp;""," "," "))))="REPLACE",NOT(ISNUMBER(act_PriorRate)),IF($AO10=0,TRUE,NOT(ISNUMBER(INDEX(rate_Prior,MOD($AO10,100)))))),"CHECK: REPLACE but no earlier rate (B17 or the rate line's AD)",IF(AND($L10="Y",$AP10&gt;1),"CHECK: two rate lines match equally",IF(AND($L10="Y",$AN10&gt;1),"CHECK: HTS prefix listed twice on the scope list",IF(AND($L10="Y",$P10="PART",NOT(ISNUMBER(Items!M10))),"CHECK: dutiable share missing (PART base)",IF(AND($L10="Y",$P10="FULL",ISNUMBER(Items!M10),N(Items!M10)&lt;&gt;1),"CHECK: dutiable share entered, but the rate taxes the full value",IF(AND($L10="Y",$Q10+0.0000001&lt;$T10*$S10+$U10),"CHECK: current rate is below the duty being replaced or displaced",IF(AND($L10="Y",$AD10=0),"NOTE: in scope, no quantity",IF(AND($L10="Y",$AF10="N"),"NOTE: in scope, no sell price (left out of margin %)",IF(AND($L10="Y",N(Items!H10)&gt;N(Items!K10)),"NOTE: customs value above standard cost (check unit of measure)",IF(AND($L10="Y",$Q10&gt;1),"NOTE: current rate above 100% (check it was entered as a percentage)","OK")))))))))))))))))))))))</f>
        <v/>
      </c>
      <c r="AK10" s="20">
        <f>IF($A10="","",IF(AND($L10="Y",$AE10&lt;&gt;0),ABS($AE10)+ROW()/1000000000,""))</f>
        <v/>
      </c>
      <c r="AL10" s="10">
        <f>IF($A10="","",UPPER($A10)&amp;"/"&amp;UPPER(TRIM(CLEAN(SUBSTITUTE(Items!C10&amp;""," "," ")))))</f>
        <v/>
      </c>
      <c r="AM10" s="13">
        <f>IF($A10="",0,SUMPRODUCT(MAX((scope_HTS&lt;&gt;"")*(LEFT($C10,LEN(scope_HTS))=scope_HTS)*(LEN(scope_HTS)*1000+ROW(scope_HTS)-4))))</f>
        <v/>
      </c>
      <c r="AN10" s="13">
        <f>IF($AM10=0,0,SUMPRODUCT((scope_HTS&lt;&gt;"")*(LEFT($C10,LEN(scope_HTS))=scope_HTS)*(LEN(scope_HTS)=INT($AM10/1000))))</f>
        <v/>
      </c>
      <c r="AO10" s="13">
        <f>IF($L10&lt;&gt;"Y",0,SUMPRODUCT(MAX(ISNUMBER(rate_Rate)*((UPPER(TRIM(CLEAN(SUBSTITUTE(rate_Group&amp;""," "," "))))="")+(UPPER(TRIM(CLEAN(SUBSTITUTE(rate_Group&amp;""," "," "))))=$N10)&gt;0)*((UPPER(TRIM(CLEAN(SUBSTITUTE(rate_COO&amp;""," "," "))))="")+(UPPER(TRIM(CLEAN(SUBSTITUTE(rate_COO&amp;""," "," "))))=$E10)&gt;0)*((UPPER(TRIM(CLEAN(SUBSTITUTE(rate_USMCA&amp;""," "," "))))="")+(UPPER(TRIM(CLEAN(SUBSTITUTE(rate_USMCA&amp;""," "," "))))=IF(UPPER(TRIM(CLEAN(SUBSTITUTE(Items!F10&amp;""," "," "))))="Y","Y","N"))&gt;0)*((1+(UPPER(TRIM(CLEAN(SUBSTITUTE(rate_Group&amp;""," "," "))))&lt;&gt;"")+2*(UPPER(TRIM(CLEAN(SUBSTITUTE(rate_USMCA&amp;""," "," "))))&lt;&gt;"")+4*(UPPER(TRIM(CLEAN(SUBSTITUTE(rate_COO&amp;""," "," "))))&lt;&gt;""))*100+ROW(rate_Rate)-4))))</f>
        <v/>
      </c>
      <c r="AP10" s="13">
        <f>IF($AO10=0,0,SUMPRODUCT(ISNUMBER(rate_Rate)*((UPPER(TRIM(CLEAN(SUBSTITUTE(rate_Group&amp;""," "," "))))="")+(UPPER(TRIM(CLEAN(SUBSTITUTE(rate_Group&amp;""," "," "))))=$N10)&gt;0)*((UPPER(TRIM(CLEAN(SUBSTITUTE(rate_COO&amp;""," "," "))))="")+(UPPER(TRIM(CLEAN(SUBSTITUTE(rate_COO&amp;""," "," "))))=$E10)&gt;0)*((UPPER(TRIM(CLEAN(SUBSTITUTE(rate_USMCA&amp;""," "," "))))="")+(UPPER(TRIM(CLEAN(SUBSTITUTE(rate_USMCA&amp;""," "," "))))=IF(UPPER(TRIM(CLEAN(SUBSTITUTE(Items!F10&amp;""," "," "))))="Y","Y","N"))&gt;0)*((1+(UPPER(TRIM(CLEAN(SUBSTITUTE(rate_Group&amp;""," "," "))))&lt;&gt;"")+2*(UPPER(TRIM(CLEAN(SUBSTITUTE(rate_USMCA&amp;""," "," "))))&lt;&gt;"")+4*(UPPER(TRIM(CLEAN(SUBSTITUTE(rate_COO&amp;""," "," "))))&lt;&gt;""))=INT($AO10/100))))</f>
        <v/>
      </c>
      <c r="AQ10" s="13">
        <f>IF($A10="",0,IFERROR(MATCH($AL10,det_Key,0),0))</f>
        <v/>
      </c>
    </row>
    <row r="11">
      <c r="A11" s="10">
        <f>IF(TRIM(CLEAN(SUBSTITUTE(Items!A11&amp;""," "," ")))="","",TRIM(CLEAN(SUBSTITUTE(Items!A11&amp;""," "," "))))</f>
        <v/>
      </c>
      <c r="B11" s="10">
        <f>IF($A11="","",Items!B11&amp;"")</f>
        <v/>
      </c>
      <c r="C11" s="10">
        <f>IF($A11="","",SUBSTITUTE(SUBSTITUTE(SUBSTITUTE(SUBSTITUTE(CLEAN(Items!D11&amp;"")," ",""),".","")," ",""),"-",""))</f>
        <v/>
      </c>
      <c r="D11" s="10">
        <f>IF($A11="","",LEFT($C11,2))</f>
        <v/>
      </c>
      <c r="E11" s="10">
        <f>IF($A11="","",UPPER(TRIM(CLEAN(SUBSTITUTE(Items!E11&amp;""," "," ")))))</f>
        <v/>
      </c>
      <c r="F11" s="10">
        <f>IF($A11="","",IF(UPPER(TRIM(CLEAN(SUBSTITUTE(Items!C11&amp;""," "," "))))=UPPER(TRIM(CLEAN(SUBSTITUTE(act_Country&amp;""," "," ")))),"Y","N"))</f>
        <v/>
      </c>
      <c r="G11" s="10">
        <f>IF($A11="","",IF($AM11&gt;0,"Y","N"))</f>
        <v/>
      </c>
      <c r="H11" s="10">
        <f>IF($A11="","",IF(SUMPRODUCT((excl_HTS&lt;&gt;"")*(LEFT($C11,LEN(excl_HTS))=excl_HTS))&gt;0,"Y","N"))</f>
        <v/>
      </c>
      <c r="I11" s="10">
        <f>IF($A11="","",IF($E11="","N",IF(SUMPRODUCT(--(UPPER(TRIM(CLEAN(SUBSTITUTE(scope_COO&amp;""," "," "))))=$E11))&gt;0,"Y","N")))</f>
        <v/>
      </c>
      <c r="J11" s="10">
        <f>IF($A11="","",IF(AND(UPPER(TRIM(CLEAN(SUBSTITUTE(act_USMCAExempt&amp;""," "," "))))="Y",UPPER(TRIM(CLEAN(SUBSTITUTE(Items!F11&amp;""," "," "))))="Y"),"Y","N"))</f>
        <v/>
      </c>
      <c r="K11" s="10">
        <f>IF($A11="","",IF($AQ11=0,"",UPPER(TRIM(CLEAN(SUBSTITUTE(INDEX(det_Status,$AQ11)&amp;""," "," "))))))</f>
        <v/>
      </c>
      <c r="L11" s="10">
        <f>IF($A11="","",IF($F11="N","N",IF($K11="IN","Y",IF($K11="OUT","N",IF(AND($G11="Y",$H11="N",$I11="Y",$J11="N"),"Y","N")))))</f>
        <v/>
      </c>
      <c r="M11" s="10">
        <f>IF($A11="","",IF($F11="N","Out: different import country",IF($K11="IN","In: Research determination",IF($K11="OUT","Out: Research determination",IF($G11="N","Out: HTS not on scope list",IF($H11="Y","Out: HTS on exclusion list",IF($I11="N","Out: origin not on scope list",IF($J11="Y","Out: USMCA-qualifying, exempt","In: matches scope rules"))))))))</f>
        <v/>
      </c>
      <c r="N11" s="10">
        <f>IF(OR($A11="",$AM11=0),"",UPPER(TRIM(CLEAN(SUBSTITUTE(INDEX(scope_Group,MOD($AM11,1000))&amp;""," "," ")))))</f>
        <v/>
      </c>
      <c r="O11" s="10">
        <f>IF($L11&lt;&gt;"Y","",IF($AO11=0,"Default (B15)",UPPER(TRIM(CLEAN(SUBSTITUTE(INDEX(rate_ID,MOD($AO11,100))&amp;""," "," "))))))</f>
        <v/>
      </c>
      <c r="P11" s="10">
        <f>IF($L11&lt;&gt;"Y","",IF($AO11=0,IF(UPPER(TRIM(CLEAN(SUBSTITUTE(act_DefaultBase&amp;""," "," "))))="PART","PART","FULL"),IF(UPPER(TRIM(CLEAN(SUBSTITUTE(INDEX(rate_Base,MOD($AO11,100))&amp;""," "," "))))="PART","PART","FULL")))</f>
        <v/>
      </c>
      <c r="Q11" s="17">
        <f>IF($A11="","",N(Items!J11))</f>
        <v/>
      </c>
      <c r="R11" s="17">
        <f>IF($A11="","",IF($L11&lt;&gt;"Y",0,IF($AO11=0,N(act_Rate),N(INDEX(rate_Rate,MOD($AO11,100))))))</f>
        <v/>
      </c>
      <c r="S11" s="17">
        <f>IF($A11="","",IF($L11&lt;&gt;"Y",0,IF($AO11=0,IF(UPPER(TRIM(CLEAN(SUBSTITUTE(act_RateType&amp;""," "," "))))="REPLACE",N(act_PriorRate),0),IF(ISNUMBER(INDEX(rate_Prior,MOD($AO11,100))),INDEX(rate_Prior,MOD($AO11,100)),IF(UPPER(TRIM(CLEAN(SUBSTITUTE(act_RateType&amp;""," "," "))))="REPLACE",N(act_PriorRate),0)))))</f>
        <v/>
      </c>
      <c r="T11" s="17">
        <f>IF($A11="","",IF(AND($L11="Y",$P11="PART",ISNUMBER(Items!M11)),Items!M11,1))</f>
        <v/>
      </c>
      <c r="U11" s="17">
        <f>IF($A11="","",IF($L11&lt;&gt;"Y",0,IF($AQ11&gt;0,IF(ISNUMBER(INDEX(det_Displaced,$AQ11)),INDEX(det_Displaced,$AQ11),IF($AO11=0,0,N(INDEX(rate_Displaced,MOD($AO11,100))))),IF($AO11=0,0,N(INDEX(rate_Displaced,MOD($AO11,100)))))))</f>
        <v/>
      </c>
      <c r="V11" s="17">
        <f>IF($A11="","",IF($L11="Y",$Q11+$T11*($R11-$S11)-$U11,$Q11))</f>
        <v/>
      </c>
      <c r="W11" s="18">
        <f>IF($A11="","",N(Items!H11)*$Q11)</f>
        <v/>
      </c>
      <c r="X11" s="18">
        <f>IF($A11="","",N(Items!H11)*$V11)</f>
        <v/>
      </c>
      <c r="Y11" s="18">
        <f>IF($A11="","",$X11-$W11)</f>
        <v/>
      </c>
      <c r="Z11" s="18">
        <f>IF($A11="","",N(Items!K11)+$Y11)</f>
        <v/>
      </c>
      <c r="AA11" s="17">
        <f>IF($A11="","",IF(N(Items!L11)=0,"",(N(Items!L11)-N(Items!K11))/N(Items!L11)))</f>
        <v/>
      </c>
      <c r="AB11" s="17">
        <f>IF($A11="","",IF(N(Items!L11)=0,"",(N(Items!L11)-$Z11)/N(Items!L11)))</f>
        <v/>
      </c>
      <c r="AC11" s="17">
        <f>IF(OR($AA11="",$AB11=""),"",$AB11-$AA11)</f>
        <v/>
      </c>
      <c r="AD11" s="13">
        <f>IF($A11="","",N(Items!I11))</f>
        <v/>
      </c>
      <c r="AE11" s="19">
        <f>IF($A11="","",$Y11*$AD11)</f>
        <v/>
      </c>
      <c r="AF11" s="10">
        <f>IF($A11="","",IF(N(Items!L11)&gt;0,"Y","N"))</f>
        <v/>
      </c>
      <c r="AG11" s="19">
        <f>IF($A11="","",IF($AF11="Y",N(Items!L11)*$AD11,0))</f>
        <v/>
      </c>
      <c r="AH11" s="19">
        <f>IF($A11="","",IF($AF11="Y",(N(Items!L11)-N(Items!K11))*$AD11,0))</f>
        <v/>
      </c>
      <c r="AI11" s="19">
        <f>IF($A11="","",IF($AF11="Y",$AH11-$AE11,0))</f>
        <v/>
      </c>
      <c r="AJ11" s="10">
        <f>IF($A11="","",IF(COUNTIF($AL$5:$AL$254,$AL11)&gt;1,"CHECK: duplicate item and import country",IF(TRIM(CLEAN(SUBSTITUTE(Items!C11&amp;""," "," ")))="","CHECK: import country missing",IF(AND(UPPER(TRIM(CLEAN(SUBSTITUTE(Items!C11&amp;""," "," "))))&lt;&gt;"US",UPPER(TRIM(CLEAN(SUBSTITUTE(Items!C11&amp;""," "," "))))&lt;&gt;"CA",UPPER(TRIM(CLEAN(SUBSTITUTE(Items!C11&amp;""," "," "))))&lt;&gt;"MX"),"CHECK: import country must be US, CA or MX",IF(NOT(AND(LEN($C11)=10,IFERROR(TEXT(VALUE($C11),REPT("0",LEN($C11)))=$C11,FALSE))),"CHECK: HTS must be 10 digits",IF(LEN($E11)&lt;&gt;2,"CHECK: origin code missing or not 2 letters",IF(TRIM(CLEAN(SUBSTITUTE(Items!G11&amp;""," "," ")))="","CHECK: unit of measure missing",IF(OR(Items!H11="",Items!J11="",Items!K11=""),"CHECK: value, rate or cost missing",IF(OR(NOT(ISNUMBER(Items!H11)),NOT(ISNUMBER(Items!J11)),NOT(ISNUMBER(Items!K11)),AND(Items!I11&lt;&gt;"",NOT(ISNUMBER(Items!I11))),AND(Items!L11&lt;&gt;"",NOT(ISNUMBER(Items!L11))),AND(Items!M11&lt;&gt;"",NOT(ISNUMBER(Items!M11)))),"CHECK: text in a number column",IF(AND(ISNUMBER(Items!M11),OR(N(Items!M11)&lt;0,N(Items!M11)&gt;1)),"CHECK: dutiable share must be 0% to 100%",IF(AND(UPPER(TRIM(CLEAN(SUBSTITUTE(Items!F11&amp;""," "," "))))&lt;&gt;"",UPPER(TRIM(CLEAN(SUBSTITUTE(Items!F11&amp;""," "," "))))&lt;&gt;"Y",UPPER(TRIM(CLEAN(SUBSTITUTE(Items!F11&amp;""," "," "))))&lt;&gt;"N"),"CHECK: USMCA flag must be Y, N or blank",IF(AND(UPPER(TRIM(CLEAN(SUBSTITUTE(Items!F11&amp;""," "," "))))="Y",$E11&lt;&gt;"US",$E11&lt;&gt;"CA",$E11&lt;&gt;"MX"),"CHECK: USMCA flag on an origin other than US, CA or MX",IF(AND($L11="Y",$AO11=0,NOT(ISNUMBER(act_Rate))),"CHECK: in scope but no rate (add a rate line or B15)",IF(AND($L11="Y",UPPER(TRIM(CLEAN(SUBSTITUTE(act_RateType&amp;""," "," "))))="REPLACE",NOT(ISNUMBER(act_PriorRate)),IF($AO11=0,TRUE,NOT(ISNUMBER(INDEX(rate_Prior,MOD($AO11,100)))))),"CHECK: REPLACE but no earlier rate (B17 or the rate line's AD)",IF(AND($L11="Y",$AP11&gt;1),"CHECK: two rate lines match equally",IF(AND($L11="Y",$AN11&gt;1),"CHECK: HTS prefix listed twice on the scope list",IF(AND($L11="Y",$P11="PART",NOT(ISNUMBER(Items!M11))),"CHECK: dutiable share missing (PART base)",IF(AND($L11="Y",$P11="FULL",ISNUMBER(Items!M11),N(Items!M11)&lt;&gt;1),"CHECK: dutiable share entered, but the rate taxes the full value",IF(AND($L11="Y",$Q11+0.0000001&lt;$T11*$S11+$U11),"CHECK: current rate is below the duty being replaced or displaced",IF(AND($L11="Y",$AD11=0),"NOTE: in scope, no quantity",IF(AND($L11="Y",$AF11="N"),"NOTE: in scope, no sell price (left out of margin %)",IF(AND($L11="Y",N(Items!H11)&gt;N(Items!K11)),"NOTE: customs value above standard cost (check unit of measure)",IF(AND($L11="Y",$Q11&gt;1),"NOTE: current rate above 100% (check it was entered as a percentage)","OK")))))))))))))))))))))))</f>
        <v/>
      </c>
      <c r="AK11" s="20">
        <f>IF($A11="","",IF(AND($L11="Y",$AE11&lt;&gt;0),ABS($AE11)+ROW()/1000000000,""))</f>
        <v/>
      </c>
      <c r="AL11" s="10">
        <f>IF($A11="","",UPPER($A11)&amp;"/"&amp;UPPER(TRIM(CLEAN(SUBSTITUTE(Items!C11&amp;""," "," ")))))</f>
        <v/>
      </c>
      <c r="AM11" s="13">
        <f>IF($A11="",0,SUMPRODUCT(MAX((scope_HTS&lt;&gt;"")*(LEFT($C11,LEN(scope_HTS))=scope_HTS)*(LEN(scope_HTS)*1000+ROW(scope_HTS)-4))))</f>
        <v/>
      </c>
      <c r="AN11" s="13">
        <f>IF($AM11=0,0,SUMPRODUCT((scope_HTS&lt;&gt;"")*(LEFT($C11,LEN(scope_HTS))=scope_HTS)*(LEN(scope_HTS)=INT($AM11/1000))))</f>
        <v/>
      </c>
      <c r="AO11" s="13">
        <f>IF($L11&lt;&gt;"Y",0,SUMPRODUCT(MAX(ISNUMBER(rate_Rate)*((UPPER(TRIM(CLEAN(SUBSTITUTE(rate_Group&amp;""," "," "))))="")+(UPPER(TRIM(CLEAN(SUBSTITUTE(rate_Group&amp;""," "," "))))=$N11)&gt;0)*((UPPER(TRIM(CLEAN(SUBSTITUTE(rate_COO&amp;""," "," "))))="")+(UPPER(TRIM(CLEAN(SUBSTITUTE(rate_COO&amp;""," "," "))))=$E11)&gt;0)*((UPPER(TRIM(CLEAN(SUBSTITUTE(rate_USMCA&amp;""," "," "))))="")+(UPPER(TRIM(CLEAN(SUBSTITUTE(rate_USMCA&amp;""," "," "))))=IF(UPPER(TRIM(CLEAN(SUBSTITUTE(Items!F11&amp;""," "," "))))="Y","Y","N"))&gt;0)*((1+(UPPER(TRIM(CLEAN(SUBSTITUTE(rate_Group&amp;""," "," "))))&lt;&gt;"")+2*(UPPER(TRIM(CLEAN(SUBSTITUTE(rate_USMCA&amp;""," "," "))))&lt;&gt;"")+4*(UPPER(TRIM(CLEAN(SUBSTITUTE(rate_COO&amp;""," "," "))))&lt;&gt;""))*100+ROW(rate_Rate)-4))))</f>
        <v/>
      </c>
      <c r="AP11" s="13">
        <f>IF($AO11=0,0,SUMPRODUCT(ISNUMBER(rate_Rate)*((UPPER(TRIM(CLEAN(SUBSTITUTE(rate_Group&amp;""," "," "))))="")+(UPPER(TRIM(CLEAN(SUBSTITUTE(rate_Group&amp;""," "," "))))=$N11)&gt;0)*((UPPER(TRIM(CLEAN(SUBSTITUTE(rate_COO&amp;""," "," "))))="")+(UPPER(TRIM(CLEAN(SUBSTITUTE(rate_COO&amp;""," "," "))))=$E11)&gt;0)*((UPPER(TRIM(CLEAN(SUBSTITUTE(rate_USMCA&amp;""," "," "))))="")+(UPPER(TRIM(CLEAN(SUBSTITUTE(rate_USMCA&amp;""," "," "))))=IF(UPPER(TRIM(CLEAN(SUBSTITUTE(Items!F11&amp;""," "," "))))="Y","Y","N"))&gt;0)*((1+(UPPER(TRIM(CLEAN(SUBSTITUTE(rate_Group&amp;""," "," "))))&lt;&gt;"")+2*(UPPER(TRIM(CLEAN(SUBSTITUTE(rate_USMCA&amp;""," "," "))))&lt;&gt;"")+4*(UPPER(TRIM(CLEAN(SUBSTITUTE(rate_COO&amp;""," "," "))))&lt;&gt;""))=INT($AO11/100))))</f>
        <v/>
      </c>
      <c r="AQ11" s="13">
        <f>IF($A11="",0,IFERROR(MATCH($AL11,det_Key,0),0))</f>
        <v/>
      </c>
    </row>
    <row r="12">
      <c r="A12" s="10">
        <f>IF(TRIM(CLEAN(SUBSTITUTE(Items!A12&amp;""," "," ")))="","",TRIM(CLEAN(SUBSTITUTE(Items!A12&amp;""," "," "))))</f>
        <v/>
      </c>
      <c r="B12" s="10">
        <f>IF($A12="","",Items!B12&amp;"")</f>
        <v/>
      </c>
      <c r="C12" s="10">
        <f>IF($A12="","",SUBSTITUTE(SUBSTITUTE(SUBSTITUTE(SUBSTITUTE(CLEAN(Items!D12&amp;"")," ",""),".","")," ",""),"-",""))</f>
        <v/>
      </c>
      <c r="D12" s="10">
        <f>IF($A12="","",LEFT($C12,2))</f>
        <v/>
      </c>
      <c r="E12" s="10">
        <f>IF($A12="","",UPPER(TRIM(CLEAN(SUBSTITUTE(Items!E12&amp;""," "," ")))))</f>
        <v/>
      </c>
      <c r="F12" s="10">
        <f>IF($A12="","",IF(UPPER(TRIM(CLEAN(SUBSTITUTE(Items!C12&amp;""," "," "))))=UPPER(TRIM(CLEAN(SUBSTITUTE(act_Country&amp;""," "," ")))),"Y","N"))</f>
        <v/>
      </c>
      <c r="G12" s="10">
        <f>IF($A12="","",IF($AM12&gt;0,"Y","N"))</f>
        <v/>
      </c>
      <c r="H12" s="10">
        <f>IF($A12="","",IF(SUMPRODUCT((excl_HTS&lt;&gt;"")*(LEFT($C12,LEN(excl_HTS))=excl_HTS))&gt;0,"Y","N"))</f>
        <v/>
      </c>
      <c r="I12" s="10">
        <f>IF($A12="","",IF($E12="","N",IF(SUMPRODUCT(--(UPPER(TRIM(CLEAN(SUBSTITUTE(scope_COO&amp;""," "," "))))=$E12))&gt;0,"Y","N")))</f>
        <v/>
      </c>
      <c r="J12" s="10">
        <f>IF($A12="","",IF(AND(UPPER(TRIM(CLEAN(SUBSTITUTE(act_USMCAExempt&amp;""," "," "))))="Y",UPPER(TRIM(CLEAN(SUBSTITUTE(Items!F12&amp;""," "," "))))="Y"),"Y","N"))</f>
        <v/>
      </c>
      <c r="K12" s="10">
        <f>IF($A12="","",IF($AQ12=0,"",UPPER(TRIM(CLEAN(SUBSTITUTE(INDEX(det_Status,$AQ12)&amp;""," "," "))))))</f>
        <v/>
      </c>
      <c r="L12" s="10">
        <f>IF($A12="","",IF($F12="N","N",IF($K12="IN","Y",IF($K12="OUT","N",IF(AND($G12="Y",$H12="N",$I12="Y",$J12="N"),"Y","N")))))</f>
        <v/>
      </c>
      <c r="M12" s="10">
        <f>IF($A12="","",IF($F12="N","Out: different import country",IF($K12="IN","In: Research determination",IF($K12="OUT","Out: Research determination",IF($G12="N","Out: HTS not on scope list",IF($H12="Y","Out: HTS on exclusion list",IF($I12="N","Out: origin not on scope list",IF($J12="Y","Out: USMCA-qualifying, exempt","In: matches scope rules"))))))))</f>
        <v/>
      </c>
      <c r="N12" s="10">
        <f>IF(OR($A12="",$AM12=0),"",UPPER(TRIM(CLEAN(SUBSTITUTE(INDEX(scope_Group,MOD($AM12,1000))&amp;""," "," ")))))</f>
        <v/>
      </c>
      <c r="O12" s="10">
        <f>IF($L12&lt;&gt;"Y","",IF($AO12=0,"Default (B15)",UPPER(TRIM(CLEAN(SUBSTITUTE(INDEX(rate_ID,MOD($AO12,100))&amp;""," "," "))))))</f>
        <v/>
      </c>
      <c r="P12" s="10">
        <f>IF($L12&lt;&gt;"Y","",IF($AO12=0,IF(UPPER(TRIM(CLEAN(SUBSTITUTE(act_DefaultBase&amp;""," "," "))))="PART","PART","FULL"),IF(UPPER(TRIM(CLEAN(SUBSTITUTE(INDEX(rate_Base,MOD($AO12,100))&amp;""," "," "))))="PART","PART","FULL")))</f>
        <v/>
      </c>
      <c r="Q12" s="17">
        <f>IF($A12="","",N(Items!J12))</f>
        <v/>
      </c>
      <c r="R12" s="17">
        <f>IF($A12="","",IF($L12&lt;&gt;"Y",0,IF($AO12=0,N(act_Rate),N(INDEX(rate_Rate,MOD($AO12,100))))))</f>
        <v/>
      </c>
      <c r="S12" s="17">
        <f>IF($A12="","",IF($L12&lt;&gt;"Y",0,IF($AO12=0,IF(UPPER(TRIM(CLEAN(SUBSTITUTE(act_RateType&amp;""," "," "))))="REPLACE",N(act_PriorRate),0),IF(ISNUMBER(INDEX(rate_Prior,MOD($AO12,100))),INDEX(rate_Prior,MOD($AO12,100)),IF(UPPER(TRIM(CLEAN(SUBSTITUTE(act_RateType&amp;""," "," "))))="REPLACE",N(act_PriorRate),0)))))</f>
        <v/>
      </c>
      <c r="T12" s="17">
        <f>IF($A12="","",IF(AND($L12="Y",$P12="PART",ISNUMBER(Items!M12)),Items!M12,1))</f>
        <v/>
      </c>
      <c r="U12" s="17">
        <f>IF($A12="","",IF($L12&lt;&gt;"Y",0,IF($AQ12&gt;0,IF(ISNUMBER(INDEX(det_Displaced,$AQ12)),INDEX(det_Displaced,$AQ12),IF($AO12=0,0,N(INDEX(rate_Displaced,MOD($AO12,100))))),IF($AO12=0,0,N(INDEX(rate_Displaced,MOD($AO12,100)))))))</f>
        <v/>
      </c>
      <c r="V12" s="17">
        <f>IF($A12="","",IF($L12="Y",$Q12+$T12*($R12-$S12)-$U12,$Q12))</f>
        <v/>
      </c>
      <c r="W12" s="18">
        <f>IF($A12="","",N(Items!H12)*$Q12)</f>
        <v/>
      </c>
      <c r="X12" s="18">
        <f>IF($A12="","",N(Items!H12)*$V12)</f>
        <v/>
      </c>
      <c r="Y12" s="18">
        <f>IF($A12="","",$X12-$W12)</f>
        <v/>
      </c>
      <c r="Z12" s="18">
        <f>IF($A12="","",N(Items!K12)+$Y12)</f>
        <v/>
      </c>
      <c r="AA12" s="17">
        <f>IF($A12="","",IF(N(Items!L12)=0,"",(N(Items!L12)-N(Items!K12))/N(Items!L12)))</f>
        <v/>
      </c>
      <c r="AB12" s="17">
        <f>IF($A12="","",IF(N(Items!L12)=0,"",(N(Items!L12)-$Z12)/N(Items!L12)))</f>
        <v/>
      </c>
      <c r="AC12" s="17">
        <f>IF(OR($AA12="",$AB12=""),"",$AB12-$AA12)</f>
        <v/>
      </c>
      <c r="AD12" s="13">
        <f>IF($A12="","",N(Items!I12))</f>
        <v/>
      </c>
      <c r="AE12" s="19">
        <f>IF($A12="","",$Y12*$AD12)</f>
        <v/>
      </c>
      <c r="AF12" s="10">
        <f>IF($A12="","",IF(N(Items!L12)&gt;0,"Y","N"))</f>
        <v/>
      </c>
      <c r="AG12" s="19">
        <f>IF($A12="","",IF($AF12="Y",N(Items!L12)*$AD12,0))</f>
        <v/>
      </c>
      <c r="AH12" s="19">
        <f>IF($A12="","",IF($AF12="Y",(N(Items!L12)-N(Items!K12))*$AD12,0))</f>
        <v/>
      </c>
      <c r="AI12" s="19">
        <f>IF($A12="","",IF($AF12="Y",$AH12-$AE12,0))</f>
        <v/>
      </c>
      <c r="AJ12" s="10">
        <f>IF($A12="","",IF(COUNTIF($AL$5:$AL$254,$AL12)&gt;1,"CHECK: duplicate item and import country",IF(TRIM(CLEAN(SUBSTITUTE(Items!C12&amp;""," "," ")))="","CHECK: import country missing",IF(AND(UPPER(TRIM(CLEAN(SUBSTITUTE(Items!C12&amp;""," "," "))))&lt;&gt;"US",UPPER(TRIM(CLEAN(SUBSTITUTE(Items!C12&amp;""," "," "))))&lt;&gt;"CA",UPPER(TRIM(CLEAN(SUBSTITUTE(Items!C12&amp;""," "," "))))&lt;&gt;"MX"),"CHECK: import country must be US, CA or MX",IF(NOT(AND(LEN($C12)=10,IFERROR(TEXT(VALUE($C12),REPT("0",LEN($C12)))=$C12,FALSE))),"CHECK: HTS must be 10 digits",IF(LEN($E12)&lt;&gt;2,"CHECK: origin code missing or not 2 letters",IF(TRIM(CLEAN(SUBSTITUTE(Items!G12&amp;""," "," ")))="","CHECK: unit of measure missing",IF(OR(Items!H12="",Items!J12="",Items!K12=""),"CHECK: value, rate or cost missing",IF(OR(NOT(ISNUMBER(Items!H12)),NOT(ISNUMBER(Items!J12)),NOT(ISNUMBER(Items!K12)),AND(Items!I12&lt;&gt;"",NOT(ISNUMBER(Items!I12))),AND(Items!L12&lt;&gt;"",NOT(ISNUMBER(Items!L12))),AND(Items!M12&lt;&gt;"",NOT(ISNUMBER(Items!M12)))),"CHECK: text in a number column",IF(AND(ISNUMBER(Items!M12),OR(N(Items!M12)&lt;0,N(Items!M12)&gt;1)),"CHECK: dutiable share must be 0% to 100%",IF(AND(UPPER(TRIM(CLEAN(SUBSTITUTE(Items!F12&amp;""," "," "))))&lt;&gt;"",UPPER(TRIM(CLEAN(SUBSTITUTE(Items!F12&amp;""," "," "))))&lt;&gt;"Y",UPPER(TRIM(CLEAN(SUBSTITUTE(Items!F12&amp;""," "," "))))&lt;&gt;"N"),"CHECK: USMCA flag must be Y, N or blank",IF(AND(UPPER(TRIM(CLEAN(SUBSTITUTE(Items!F12&amp;""," "," "))))="Y",$E12&lt;&gt;"US",$E12&lt;&gt;"CA",$E12&lt;&gt;"MX"),"CHECK: USMCA flag on an origin other than US, CA or MX",IF(AND($L12="Y",$AO12=0,NOT(ISNUMBER(act_Rate))),"CHECK: in scope but no rate (add a rate line or B15)",IF(AND($L12="Y",UPPER(TRIM(CLEAN(SUBSTITUTE(act_RateType&amp;""," "," "))))="REPLACE",NOT(ISNUMBER(act_PriorRate)),IF($AO12=0,TRUE,NOT(ISNUMBER(INDEX(rate_Prior,MOD($AO12,100)))))),"CHECK: REPLACE but no earlier rate (B17 or the rate line's AD)",IF(AND($L12="Y",$AP12&gt;1),"CHECK: two rate lines match equally",IF(AND($L12="Y",$AN12&gt;1),"CHECK: HTS prefix listed twice on the scope list",IF(AND($L12="Y",$P12="PART",NOT(ISNUMBER(Items!M12))),"CHECK: dutiable share missing (PART base)",IF(AND($L12="Y",$P12="FULL",ISNUMBER(Items!M12),N(Items!M12)&lt;&gt;1),"CHECK: dutiable share entered, but the rate taxes the full value",IF(AND($L12="Y",$Q12+0.0000001&lt;$T12*$S12+$U12),"CHECK: current rate is below the duty being replaced or displaced",IF(AND($L12="Y",$AD12=0),"NOTE: in scope, no quantity",IF(AND($L12="Y",$AF12="N"),"NOTE: in scope, no sell price (left out of margin %)",IF(AND($L12="Y",N(Items!H12)&gt;N(Items!K12)),"NOTE: customs value above standard cost (check unit of measure)",IF(AND($L12="Y",$Q12&gt;1),"NOTE: current rate above 100% (check it was entered as a percentage)","OK")))))))))))))))))))))))</f>
        <v/>
      </c>
      <c r="AK12" s="20">
        <f>IF($A12="","",IF(AND($L12="Y",$AE12&lt;&gt;0),ABS($AE12)+ROW()/1000000000,""))</f>
        <v/>
      </c>
      <c r="AL12" s="10">
        <f>IF($A12="","",UPPER($A12)&amp;"/"&amp;UPPER(TRIM(CLEAN(SUBSTITUTE(Items!C12&amp;""," "," ")))))</f>
        <v/>
      </c>
      <c r="AM12" s="13">
        <f>IF($A12="",0,SUMPRODUCT(MAX((scope_HTS&lt;&gt;"")*(LEFT($C12,LEN(scope_HTS))=scope_HTS)*(LEN(scope_HTS)*1000+ROW(scope_HTS)-4))))</f>
        <v/>
      </c>
      <c r="AN12" s="13">
        <f>IF($AM12=0,0,SUMPRODUCT((scope_HTS&lt;&gt;"")*(LEFT($C12,LEN(scope_HTS))=scope_HTS)*(LEN(scope_HTS)=INT($AM12/1000))))</f>
        <v/>
      </c>
      <c r="AO12" s="13">
        <f>IF($L12&lt;&gt;"Y",0,SUMPRODUCT(MAX(ISNUMBER(rate_Rate)*((UPPER(TRIM(CLEAN(SUBSTITUTE(rate_Group&amp;""," "," "))))="")+(UPPER(TRIM(CLEAN(SUBSTITUTE(rate_Group&amp;""," "," "))))=$N12)&gt;0)*((UPPER(TRIM(CLEAN(SUBSTITUTE(rate_COO&amp;""," "," "))))="")+(UPPER(TRIM(CLEAN(SUBSTITUTE(rate_COO&amp;""," "," "))))=$E12)&gt;0)*((UPPER(TRIM(CLEAN(SUBSTITUTE(rate_USMCA&amp;""," "," "))))="")+(UPPER(TRIM(CLEAN(SUBSTITUTE(rate_USMCA&amp;""," "," "))))=IF(UPPER(TRIM(CLEAN(SUBSTITUTE(Items!F12&amp;""," "," "))))="Y","Y","N"))&gt;0)*((1+(UPPER(TRIM(CLEAN(SUBSTITUTE(rate_Group&amp;""," "," "))))&lt;&gt;"")+2*(UPPER(TRIM(CLEAN(SUBSTITUTE(rate_USMCA&amp;""," "," "))))&lt;&gt;"")+4*(UPPER(TRIM(CLEAN(SUBSTITUTE(rate_COO&amp;""," "," "))))&lt;&gt;""))*100+ROW(rate_Rate)-4))))</f>
        <v/>
      </c>
      <c r="AP12" s="13">
        <f>IF($AO12=0,0,SUMPRODUCT(ISNUMBER(rate_Rate)*((UPPER(TRIM(CLEAN(SUBSTITUTE(rate_Group&amp;""," "," "))))="")+(UPPER(TRIM(CLEAN(SUBSTITUTE(rate_Group&amp;""," "," "))))=$N12)&gt;0)*((UPPER(TRIM(CLEAN(SUBSTITUTE(rate_COO&amp;""," "," "))))="")+(UPPER(TRIM(CLEAN(SUBSTITUTE(rate_COO&amp;""," "," "))))=$E12)&gt;0)*((UPPER(TRIM(CLEAN(SUBSTITUTE(rate_USMCA&amp;""," "," "))))="")+(UPPER(TRIM(CLEAN(SUBSTITUTE(rate_USMCA&amp;""," "," "))))=IF(UPPER(TRIM(CLEAN(SUBSTITUTE(Items!F12&amp;""," "," "))))="Y","Y","N"))&gt;0)*((1+(UPPER(TRIM(CLEAN(SUBSTITUTE(rate_Group&amp;""," "," "))))&lt;&gt;"")+2*(UPPER(TRIM(CLEAN(SUBSTITUTE(rate_USMCA&amp;""," "," "))))&lt;&gt;"")+4*(UPPER(TRIM(CLEAN(SUBSTITUTE(rate_COO&amp;""," "," "))))&lt;&gt;""))=INT($AO12/100))))</f>
        <v/>
      </c>
      <c r="AQ12" s="13">
        <f>IF($A12="",0,IFERROR(MATCH($AL12,det_Key,0),0))</f>
        <v/>
      </c>
    </row>
    <row r="13">
      <c r="A13" s="10">
        <f>IF(TRIM(CLEAN(SUBSTITUTE(Items!A13&amp;""," "," ")))="","",TRIM(CLEAN(SUBSTITUTE(Items!A13&amp;""," "," "))))</f>
        <v/>
      </c>
      <c r="B13" s="10">
        <f>IF($A13="","",Items!B13&amp;"")</f>
        <v/>
      </c>
      <c r="C13" s="10">
        <f>IF($A13="","",SUBSTITUTE(SUBSTITUTE(SUBSTITUTE(SUBSTITUTE(CLEAN(Items!D13&amp;"")," ",""),".","")," ",""),"-",""))</f>
        <v/>
      </c>
      <c r="D13" s="10">
        <f>IF($A13="","",LEFT($C13,2))</f>
        <v/>
      </c>
      <c r="E13" s="10">
        <f>IF($A13="","",UPPER(TRIM(CLEAN(SUBSTITUTE(Items!E13&amp;""," "," ")))))</f>
        <v/>
      </c>
      <c r="F13" s="10">
        <f>IF($A13="","",IF(UPPER(TRIM(CLEAN(SUBSTITUTE(Items!C13&amp;""," "," "))))=UPPER(TRIM(CLEAN(SUBSTITUTE(act_Country&amp;""," "," ")))),"Y","N"))</f>
        <v/>
      </c>
      <c r="G13" s="10">
        <f>IF($A13="","",IF($AM13&gt;0,"Y","N"))</f>
        <v/>
      </c>
      <c r="H13" s="10">
        <f>IF($A13="","",IF(SUMPRODUCT((excl_HTS&lt;&gt;"")*(LEFT($C13,LEN(excl_HTS))=excl_HTS))&gt;0,"Y","N"))</f>
        <v/>
      </c>
      <c r="I13" s="10">
        <f>IF($A13="","",IF($E13="","N",IF(SUMPRODUCT(--(UPPER(TRIM(CLEAN(SUBSTITUTE(scope_COO&amp;""," "," "))))=$E13))&gt;0,"Y","N")))</f>
        <v/>
      </c>
      <c r="J13" s="10">
        <f>IF($A13="","",IF(AND(UPPER(TRIM(CLEAN(SUBSTITUTE(act_USMCAExempt&amp;""," "," "))))="Y",UPPER(TRIM(CLEAN(SUBSTITUTE(Items!F13&amp;""," "," "))))="Y"),"Y","N"))</f>
        <v/>
      </c>
      <c r="K13" s="10">
        <f>IF($A13="","",IF($AQ13=0,"",UPPER(TRIM(CLEAN(SUBSTITUTE(INDEX(det_Status,$AQ13)&amp;""," "," "))))))</f>
        <v/>
      </c>
      <c r="L13" s="10">
        <f>IF($A13="","",IF($F13="N","N",IF($K13="IN","Y",IF($K13="OUT","N",IF(AND($G13="Y",$H13="N",$I13="Y",$J13="N"),"Y","N")))))</f>
        <v/>
      </c>
      <c r="M13" s="10">
        <f>IF($A13="","",IF($F13="N","Out: different import country",IF($K13="IN","In: Research determination",IF($K13="OUT","Out: Research determination",IF($G13="N","Out: HTS not on scope list",IF($H13="Y","Out: HTS on exclusion list",IF($I13="N","Out: origin not on scope list",IF($J13="Y","Out: USMCA-qualifying, exempt","In: matches scope rules"))))))))</f>
        <v/>
      </c>
      <c r="N13" s="10">
        <f>IF(OR($A13="",$AM13=0),"",UPPER(TRIM(CLEAN(SUBSTITUTE(INDEX(scope_Group,MOD($AM13,1000))&amp;""," "," ")))))</f>
        <v/>
      </c>
      <c r="O13" s="10">
        <f>IF($L13&lt;&gt;"Y","",IF($AO13=0,"Default (B15)",UPPER(TRIM(CLEAN(SUBSTITUTE(INDEX(rate_ID,MOD($AO13,100))&amp;""," "," "))))))</f>
        <v/>
      </c>
      <c r="P13" s="10">
        <f>IF($L13&lt;&gt;"Y","",IF($AO13=0,IF(UPPER(TRIM(CLEAN(SUBSTITUTE(act_DefaultBase&amp;""," "," "))))="PART","PART","FULL"),IF(UPPER(TRIM(CLEAN(SUBSTITUTE(INDEX(rate_Base,MOD($AO13,100))&amp;""," "," "))))="PART","PART","FULL")))</f>
        <v/>
      </c>
      <c r="Q13" s="17">
        <f>IF($A13="","",N(Items!J13))</f>
        <v/>
      </c>
      <c r="R13" s="17">
        <f>IF($A13="","",IF($L13&lt;&gt;"Y",0,IF($AO13=0,N(act_Rate),N(INDEX(rate_Rate,MOD($AO13,100))))))</f>
        <v/>
      </c>
      <c r="S13" s="17">
        <f>IF($A13="","",IF($L13&lt;&gt;"Y",0,IF($AO13=0,IF(UPPER(TRIM(CLEAN(SUBSTITUTE(act_RateType&amp;""," "," "))))="REPLACE",N(act_PriorRate),0),IF(ISNUMBER(INDEX(rate_Prior,MOD($AO13,100))),INDEX(rate_Prior,MOD($AO13,100)),IF(UPPER(TRIM(CLEAN(SUBSTITUTE(act_RateType&amp;""," "," "))))="REPLACE",N(act_PriorRate),0)))))</f>
        <v/>
      </c>
      <c r="T13" s="17">
        <f>IF($A13="","",IF(AND($L13="Y",$P13="PART",ISNUMBER(Items!M13)),Items!M13,1))</f>
        <v/>
      </c>
      <c r="U13" s="17">
        <f>IF($A13="","",IF($L13&lt;&gt;"Y",0,IF($AQ13&gt;0,IF(ISNUMBER(INDEX(det_Displaced,$AQ13)),INDEX(det_Displaced,$AQ13),IF($AO13=0,0,N(INDEX(rate_Displaced,MOD($AO13,100))))),IF($AO13=0,0,N(INDEX(rate_Displaced,MOD($AO13,100)))))))</f>
        <v/>
      </c>
      <c r="V13" s="17">
        <f>IF($A13="","",IF($L13="Y",$Q13+$T13*($R13-$S13)-$U13,$Q13))</f>
        <v/>
      </c>
      <c r="W13" s="18">
        <f>IF($A13="","",N(Items!H13)*$Q13)</f>
        <v/>
      </c>
      <c r="X13" s="18">
        <f>IF($A13="","",N(Items!H13)*$V13)</f>
        <v/>
      </c>
      <c r="Y13" s="18">
        <f>IF($A13="","",$X13-$W13)</f>
        <v/>
      </c>
      <c r="Z13" s="18">
        <f>IF($A13="","",N(Items!K13)+$Y13)</f>
        <v/>
      </c>
      <c r="AA13" s="17">
        <f>IF($A13="","",IF(N(Items!L13)=0,"",(N(Items!L13)-N(Items!K13))/N(Items!L13)))</f>
        <v/>
      </c>
      <c r="AB13" s="17">
        <f>IF($A13="","",IF(N(Items!L13)=0,"",(N(Items!L13)-$Z13)/N(Items!L13)))</f>
        <v/>
      </c>
      <c r="AC13" s="17">
        <f>IF(OR($AA13="",$AB13=""),"",$AB13-$AA13)</f>
        <v/>
      </c>
      <c r="AD13" s="13">
        <f>IF($A13="","",N(Items!I13))</f>
        <v/>
      </c>
      <c r="AE13" s="19">
        <f>IF($A13="","",$Y13*$AD13)</f>
        <v/>
      </c>
      <c r="AF13" s="10">
        <f>IF($A13="","",IF(N(Items!L13)&gt;0,"Y","N"))</f>
        <v/>
      </c>
      <c r="AG13" s="19">
        <f>IF($A13="","",IF($AF13="Y",N(Items!L13)*$AD13,0))</f>
        <v/>
      </c>
      <c r="AH13" s="19">
        <f>IF($A13="","",IF($AF13="Y",(N(Items!L13)-N(Items!K13))*$AD13,0))</f>
        <v/>
      </c>
      <c r="AI13" s="19">
        <f>IF($A13="","",IF($AF13="Y",$AH13-$AE13,0))</f>
        <v/>
      </c>
      <c r="AJ13" s="10">
        <f>IF($A13="","",IF(COUNTIF($AL$5:$AL$254,$AL13)&gt;1,"CHECK: duplicate item and import country",IF(TRIM(CLEAN(SUBSTITUTE(Items!C13&amp;""," "," ")))="","CHECK: import country missing",IF(AND(UPPER(TRIM(CLEAN(SUBSTITUTE(Items!C13&amp;""," "," "))))&lt;&gt;"US",UPPER(TRIM(CLEAN(SUBSTITUTE(Items!C13&amp;""," "," "))))&lt;&gt;"CA",UPPER(TRIM(CLEAN(SUBSTITUTE(Items!C13&amp;""," "," "))))&lt;&gt;"MX"),"CHECK: import country must be US, CA or MX",IF(NOT(AND(LEN($C13)=10,IFERROR(TEXT(VALUE($C13),REPT("0",LEN($C13)))=$C13,FALSE))),"CHECK: HTS must be 10 digits",IF(LEN($E13)&lt;&gt;2,"CHECK: origin code missing or not 2 letters",IF(TRIM(CLEAN(SUBSTITUTE(Items!G13&amp;""," "," ")))="","CHECK: unit of measure missing",IF(OR(Items!H13="",Items!J13="",Items!K13=""),"CHECK: value, rate or cost missing",IF(OR(NOT(ISNUMBER(Items!H13)),NOT(ISNUMBER(Items!J13)),NOT(ISNUMBER(Items!K13)),AND(Items!I13&lt;&gt;"",NOT(ISNUMBER(Items!I13))),AND(Items!L13&lt;&gt;"",NOT(ISNUMBER(Items!L13))),AND(Items!M13&lt;&gt;"",NOT(ISNUMBER(Items!M13)))),"CHECK: text in a number column",IF(AND(ISNUMBER(Items!M13),OR(N(Items!M13)&lt;0,N(Items!M13)&gt;1)),"CHECK: dutiable share must be 0% to 100%",IF(AND(UPPER(TRIM(CLEAN(SUBSTITUTE(Items!F13&amp;""," "," "))))&lt;&gt;"",UPPER(TRIM(CLEAN(SUBSTITUTE(Items!F13&amp;""," "," "))))&lt;&gt;"Y",UPPER(TRIM(CLEAN(SUBSTITUTE(Items!F13&amp;""," "," "))))&lt;&gt;"N"),"CHECK: USMCA flag must be Y, N or blank",IF(AND(UPPER(TRIM(CLEAN(SUBSTITUTE(Items!F13&amp;""," "," "))))="Y",$E13&lt;&gt;"US",$E13&lt;&gt;"CA",$E13&lt;&gt;"MX"),"CHECK: USMCA flag on an origin other than US, CA or MX",IF(AND($L13="Y",$AO13=0,NOT(ISNUMBER(act_Rate))),"CHECK: in scope but no rate (add a rate line or B15)",IF(AND($L13="Y",UPPER(TRIM(CLEAN(SUBSTITUTE(act_RateType&amp;""," "," "))))="REPLACE",NOT(ISNUMBER(act_PriorRate)),IF($AO13=0,TRUE,NOT(ISNUMBER(INDEX(rate_Prior,MOD($AO13,100)))))),"CHECK: REPLACE but no earlier rate (B17 or the rate line's AD)",IF(AND($L13="Y",$AP13&gt;1),"CHECK: two rate lines match equally",IF(AND($L13="Y",$AN13&gt;1),"CHECK: HTS prefix listed twice on the scope list",IF(AND($L13="Y",$P13="PART",NOT(ISNUMBER(Items!M13))),"CHECK: dutiable share missing (PART base)",IF(AND($L13="Y",$P13="FULL",ISNUMBER(Items!M13),N(Items!M13)&lt;&gt;1),"CHECK: dutiable share entered, but the rate taxes the full value",IF(AND($L13="Y",$Q13+0.0000001&lt;$T13*$S13+$U13),"CHECK: current rate is below the duty being replaced or displaced",IF(AND($L13="Y",$AD13=0),"NOTE: in scope, no quantity",IF(AND($L13="Y",$AF13="N"),"NOTE: in scope, no sell price (left out of margin %)",IF(AND($L13="Y",N(Items!H13)&gt;N(Items!K13)),"NOTE: customs value above standard cost (check unit of measure)",IF(AND($L13="Y",$Q13&gt;1),"NOTE: current rate above 100% (check it was entered as a percentage)","OK")))))))))))))))))))))))</f>
        <v/>
      </c>
      <c r="AK13" s="20">
        <f>IF($A13="","",IF(AND($L13="Y",$AE13&lt;&gt;0),ABS($AE13)+ROW()/1000000000,""))</f>
        <v/>
      </c>
      <c r="AL13" s="10">
        <f>IF($A13="","",UPPER($A13)&amp;"/"&amp;UPPER(TRIM(CLEAN(SUBSTITUTE(Items!C13&amp;""," "," ")))))</f>
        <v/>
      </c>
      <c r="AM13" s="13">
        <f>IF($A13="",0,SUMPRODUCT(MAX((scope_HTS&lt;&gt;"")*(LEFT($C13,LEN(scope_HTS))=scope_HTS)*(LEN(scope_HTS)*1000+ROW(scope_HTS)-4))))</f>
        <v/>
      </c>
      <c r="AN13" s="13">
        <f>IF($AM13=0,0,SUMPRODUCT((scope_HTS&lt;&gt;"")*(LEFT($C13,LEN(scope_HTS))=scope_HTS)*(LEN(scope_HTS)=INT($AM13/1000))))</f>
        <v/>
      </c>
      <c r="AO13" s="13">
        <f>IF($L13&lt;&gt;"Y",0,SUMPRODUCT(MAX(ISNUMBER(rate_Rate)*((UPPER(TRIM(CLEAN(SUBSTITUTE(rate_Group&amp;""," "," "))))="")+(UPPER(TRIM(CLEAN(SUBSTITUTE(rate_Group&amp;""," "," "))))=$N13)&gt;0)*((UPPER(TRIM(CLEAN(SUBSTITUTE(rate_COO&amp;""," "," "))))="")+(UPPER(TRIM(CLEAN(SUBSTITUTE(rate_COO&amp;""," "," "))))=$E13)&gt;0)*((UPPER(TRIM(CLEAN(SUBSTITUTE(rate_USMCA&amp;""," "," "))))="")+(UPPER(TRIM(CLEAN(SUBSTITUTE(rate_USMCA&amp;""," "," "))))=IF(UPPER(TRIM(CLEAN(SUBSTITUTE(Items!F13&amp;""," "," "))))="Y","Y","N"))&gt;0)*((1+(UPPER(TRIM(CLEAN(SUBSTITUTE(rate_Group&amp;""," "," "))))&lt;&gt;"")+2*(UPPER(TRIM(CLEAN(SUBSTITUTE(rate_USMCA&amp;""," "," "))))&lt;&gt;"")+4*(UPPER(TRIM(CLEAN(SUBSTITUTE(rate_COO&amp;""," "," "))))&lt;&gt;""))*100+ROW(rate_Rate)-4))))</f>
        <v/>
      </c>
      <c r="AP13" s="13">
        <f>IF($AO13=0,0,SUMPRODUCT(ISNUMBER(rate_Rate)*((UPPER(TRIM(CLEAN(SUBSTITUTE(rate_Group&amp;""," "," "))))="")+(UPPER(TRIM(CLEAN(SUBSTITUTE(rate_Group&amp;""," "," "))))=$N13)&gt;0)*((UPPER(TRIM(CLEAN(SUBSTITUTE(rate_COO&amp;""," "," "))))="")+(UPPER(TRIM(CLEAN(SUBSTITUTE(rate_COO&amp;""," "," "))))=$E13)&gt;0)*((UPPER(TRIM(CLEAN(SUBSTITUTE(rate_USMCA&amp;""," "," "))))="")+(UPPER(TRIM(CLEAN(SUBSTITUTE(rate_USMCA&amp;""," "," "))))=IF(UPPER(TRIM(CLEAN(SUBSTITUTE(Items!F13&amp;""," "," "))))="Y","Y","N"))&gt;0)*((1+(UPPER(TRIM(CLEAN(SUBSTITUTE(rate_Group&amp;""," "," "))))&lt;&gt;"")+2*(UPPER(TRIM(CLEAN(SUBSTITUTE(rate_USMCA&amp;""," "," "))))&lt;&gt;"")+4*(UPPER(TRIM(CLEAN(SUBSTITUTE(rate_COO&amp;""," "," "))))&lt;&gt;""))=INT($AO13/100))))</f>
        <v/>
      </c>
      <c r="AQ13" s="13">
        <f>IF($A13="",0,IFERROR(MATCH($AL13,det_Key,0),0))</f>
        <v/>
      </c>
    </row>
    <row r="14">
      <c r="A14" s="10">
        <f>IF(TRIM(CLEAN(SUBSTITUTE(Items!A14&amp;""," "," ")))="","",TRIM(CLEAN(SUBSTITUTE(Items!A14&amp;""," "," "))))</f>
        <v/>
      </c>
      <c r="B14" s="10">
        <f>IF($A14="","",Items!B14&amp;"")</f>
        <v/>
      </c>
      <c r="C14" s="10">
        <f>IF($A14="","",SUBSTITUTE(SUBSTITUTE(SUBSTITUTE(SUBSTITUTE(CLEAN(Items!D14&amp;"")," ",""),".","")," ",""),"-",""))</f>
        <v/>
      </c>
      <c r="D14" s="10">
        <f>IF($A14="","",LEFT($C14,2))</f>
        <v/>
      </c>
      <c r="E14" s="10">
        <f>IF($A14="","",UPPER(TRIM(CLEAN(SUBSTITUTE(Items!E14&amp;""," "," ")))))</f>
        <v/>
      </c>
      <c r="F14" s="10">
        <f>IF($A14="","",IF(UPPER(TRIM(CLEAN(SUBSTITUTE(Items!C14&amp;""," "," "))))=UPPER(TRIM(CLEAN(SUBSTITUTE(act_Country&amp;""," "," ")))),"Y","N"))</f>
        <v/>
      </c>
      <c r="G14" s="10">
        <f>IF($A14="","",IF($AM14&gt;0,"Y","N"))</f>
        <v/>
      </c>
      <c r="H14" s="10">
        <f>IF($A14="","",IF(SUMPRODUCT((excl_HTS&lt;&gt;"")*(LEFT($C14,LEN(excl_HTS))=excl_HTS))&gt;0,"Y","N"))</f>
        <v/>
      </c>
      <c r="I14" s="10">
        <f>IF($A14="","",IF($E14="","N",IF(SUMPRODUCT(--(UPPER(TRIM(CLEAN(SUBSTITUTE(scope_COO&amp;""," "," "))))=$E14))&gt;0,"Y","N")))</f>
        <v/>
      </c>
      <c r="J14" s="10">
        <f>IF($A14="","",IF(AND(UPPER(TRIM(CLEAN(SUBSTITUTE(act_USMCAExempt&amp;""," "," "))))="Y",UPPER(TRIM(CLEAN(SUBSTITUTE(Items!F14&amp;""," "," "))))="Y"),"Y","N"))</f>
        <v/>
      </c>
      <c r="K14" s="10">
        <f>IF($A14="","",IF($AQ14=0,"",UPPER(TRIM(CLEAN(SUBSTITUTE(INDEX(det_Status,$AQ14)&amp;""," "," "))))))</f>
        <v/>
      </c>
      <c r="L14" s="10">
        <f>IF($A14="","",IF($F14="N","N",IF($K14="IN","Y",IF($K14="OUT","N",IF(AND($G14="Y",$H14="N",$I14="Y",$J14="N"),"Y","N")))))</f>
        <v/>
      </c>
      <c r="M14" s="10">
        <f>IF($A14="","",IF($F14="N","Out: different import country",IF($K14="IN","In: Research determination",IF($K14="OUT","Out: Research determination",IF($G14="N","Out: HTS not on scope list",IF($H14="Y","Out: HTS on exclusion list",IF($I14="N","Out: origin not on scope list",IF($J14="Y","Out: USMCA-qualifying, exempt","In: matches scope rules"))))))))</f>
        <v/>
      </c>
      <c r="N14" s="10">
        <f>IF(OR($A14="",$AM14=0),"",UPPER(TRIM(CLEAN(SUBSTITUTE(INDEX(scope_Group,MOD($AM14,1000))&amp;""," "," ")))))</f>
        <v/>
      </c>
      <c r="O14" s="10">
        <f>IF($L14&lt;&gt;"Y","",IF($AO14=0,"Default (B15)",UPPER(TRIM(CLEAN(SUBSTITUTE(INDEX(rate_ID,MOD($AO14,100))&amp;""," "," "))))))</f>
        <v/>
      </c>
      <c r="P14" s="10">
        <f>IF($L14&lt;&gt;"Y","",IF($AO14=0,IF(UPPER(TRIM(CLEAN(SUBSTITUTE(act_DefaultBase&amp;""," "," "))))="PART","PART","FULL"),IF(UPPER(TRIM(CLEAN(SUBSTITUTE(INDEX(rate_Base,MOD($AO14,100))&amp;""," "," "))))="PART","PART","FULL")))</f>
        <v/>
      </c>
      <c r="Q14" s="17">
        <f>IF($A14="","",N(Items!J14))</f>
        <v/>
      </c>
      <c r="R14" s="17">
        <f>IF($A14="","",IF($L14&lt;&gt;"Y",0,IF($AO14=0,N(act_Rate),N(INDEX(rate_Rate,MOD($AO14,100))))))</f>
        <v/>
      </c>
      <c r="S14" s="17">
        <f>IF($A14="","",IF($L14&lt;&gt;"Y",0,IF($AO14=0,IF(UPPER(TRIM(CLEAN(SUBSTITUTE(act_RateType&amp;""," "," "))))="REPLACE",N(act_PriorRate),0),IF(ISNUMBER(INDEX(rate_Prior,MOD($AO14,100))),INDEX(rate_Prior,MOD($AO14,100)),IF(UPPER(TRIM(CLEAN(SUBSTITUTE(act_RateType&amp;""," "," "))))="REPLACE",N(act_PriorRate),0)))))</f>
        <v/>
      </c>
      <c r="T14" s="17">
        <f>IF($A14="","",IF(AND($L14="Y",$P14="PART",ISNUMBER(Items!M14)),Items!M14,1))</f>
        <v/>
      </c>
      <c r="U14" s="17">
        <f>IF($A14="","",IF($L14&lt;&gt;"Y",0,IF($AQ14&gt;0,IF(ISNUMBER(INDEX(det_Displaced,$AQ14)),INDEX(det_Displaced,$AQ14),IF($AO14=0,0,N(INDEX(rate_Displaced,MOD($AO14,100))))),IF($AO14=0,0,N(INDEX(rate_Displaced,MOD($AO14,100)))))))</f>
        <v/>
      </c>
      <c r="V14" s="17">
        <f>IF($A14="","",IF($L14="Y",$Q14+$T14*($R14-$S14)-$U14,$Q14))</f>
        <v/>
      </c>
      <c r="W14" s="18">
        <f>IF($A14="","",N(Items!H14)*$Q14)</f>
        <v/>
      </c>
      <c r="X14" s="18">
        <f>IF($A14="","",N(Items!H14)*$V14)</f>
        <v/>
      </c>
      <c r="Y14" s="18">
        <f>IF($A14="","",$X14-$W14)</f>
        <v/>
      </c>
      <c r="Z14" s="18">
        <f>IF($A14="","",N(Items!K14)+$Y14)</f>
        <v/>
      </c>
      <c r="AA14" s="17">
        <f>IF($A14="","",IF(N(Items!L14)=0,"",(N(Items!L14)-N(Items!K14))/N(Items!L14)))</f>
        <v/>
      </c>
      <c r="AB14" s="17">
        <f>IF($A14="","",IF(N(Items!L14)=0,"",(N(Items!L14)-$Z14)/N(Items!L14)))</f>
        <v/>
      </c>
      <c r="AC14" s="17">
        <f>IF(OR($AA14="",$AB14=""),"",$AB14-$AA14)</f>
        <v/>
      </c>
      <c r="AD14" s="13">
        <f>IF($A14="","",N(Items!I14))</f>
        <v/>
      </c>
      <c r="AE14" s="19">
        <f>IF($A14="","",$Y14*$AD14)</f>
        <v/>
      </c>
      <c r="AF14" s="10">
        <f>IF($A14="","",IF(N(Items!L14)&gt;0,"Y","N"))</f>
        <v/>
      </c>
      <c r="AG14" s="19">
        <f>IF($A14="","",IF($AF14="Y",N(Items!L14)*$AD14,0))</f>
        <v/>
      </c>
      <c r="AH14" s="19">
        <f>IF($A14="","",IF($AF14="Y",(N(Items!L14)-N(Items!K14))*$AD14,0))</f>
        <v/>
      </c>
      <c r="AI14" s="19">
        <f>IF($A14="","",IF($AF14="Y",$AH14-$AE14,0))</f>
        <v/>
      </c>
      <c r="AJ14" s="10">
        <f>IF($A14="","",IF(COUNTIF($AL$5:$AL$254,$AL14)&gt;1,"CHECK: duplicate item and import country",IF(TRIM(CLEAN(SUBSTITUTE(Items!C14&amp;""," "," ")))="","CHECK: import country missing",IF(AND(UPPER(TRIM(CLEAN(SUBSTITUTE(Items!C14&amp;""," "," "))))&lt;&gt;"US",UPPER(TRIM(CLEAN(SUBSTITUTE(Items!C14&amp;""," "," "))))&lt;&gt;"CA",UPPER(TRIM(CLEAN(SUBSTITUTE(Items!C14&amp;""," "," "))))&lt;&gt;"MX"),"CHECK: import country must be US, CA or MX",IF(NOT(AND(LEN($C14)=10,IFERROR(TEXT(VALUE($C14),REPT("0",LEN($C14)))=$C14,FALSE))),"CHECK: HTS must be 10 digits",IF(LEN($E14)&lt;&gt;2,"CHECK: origin code missing or not 2 letters",IF(TRIM(CLEAN(SUBSTITUTE(Items!G14&amp;""," "," ")))="","CHECK: unit of measure missing",IF(OR(Items!H14="",Items!J14="",Items!K14=""),"CHECK: value, rate or cost missing",IF(OR(NOT(ISNUMBER(Items!H14)),NOT(ISNUMBER(Items!J14)),NOT(ISNUMBER(Items!K14)),AND(Items!I14&lt;&gt;"",NOT(ISNUMBER(Items!I14))),AND(Items!L14&lt;&gt;"",NOT(ISNUMBER(Items!L14))),AND(Items!M14&lt;&gt;"",NOT(ISNUMBER(Items!M14)))),"CHECK: text in a number column",IF(AND(ISNUMBER(Items!M14),OR(N(Items!M14)&lt;0,N(Items!M14)&gt;1)),"CHECK: dutiable share must be 0% to 100%",IF(AND(UPPER(TRIM(CLEAN(SUBSTITUTE(Items!F14&amp;""," "," "))))&lt;&gt;"",UPPER(TRIM(CLEAN(SUBSTITUTE(Items!F14&amp;""," "," "))))&lt;&gt;"Y",UPPER(TRIM(CLEAN(SUBSTITUTE(Items!F14&amp;""," "," "))))&lt;&gt;"N"),"CHECK: USMCA flag must be Y, N or blank",IF(AND(UPPER(TRIM(CLEAN(SUBSTITUTE(Items!F14&amp;""," "," "))))="Y",$E14&lt;&gt;"US",$E14&lt;&gt;"CA",$E14&lt;&gt;"MX"),"CHECK: USMCA flag on an origin other than US, CA or MX",IF(AND($L14="Y",$AO14=0,NOT(ISNUMBER(act_Rate))),"CHECK: in scope but no rate (add a rate line or B15)",IF(AND($L14="Y",UPPER(TRIM(CLEAN(SUBSTITUTE(act_RateType&amp;""," "," "))))="REPLACE",NOT(ISNUMBER(act_PriorRate)),IF($AO14=0,TRUE,NOT(ISNUMBER(INDEX(rate_Prior,MOD($AO14,100)))))),"CHECK: REPLACE but no earlier rate (B17 or the rate line's AD)",IF(AND($L14="Y",$AP14&gt;1),"CHECK: two rate lines match equally",IF(AND($L14="Y",$AN14&gt;1),"CHECK: HTS prefix listed twice on the scope list",IF(AND($L14="Y",$P14="PART",NOT(ISNUMBER(Items!M14))),"CHECK: dutiable share missing (PART base)",IF(AND($L14="Y",$P14="FULL",ISNUMBER(Items!M14),N(Items!M14)&lt;&gt;1),"CHECK: dutiable share entered, but the rate taxes the full value",IF(AND($L14="Y",$Q14+0.0000001&lt;$T14*$S14+$U14),"CHECK: current rate is below the duty being replaced or displaced",IF(AND($L14="Y",$AD14=0),"NOTE: in scope, no quantity",IF(AND($L14="Y",$AF14="N"),"NOTE: in scope, no sell price (left out of margin %)",IF(AND($L14="Y",N(Items!H14)&gt;N(Items!K14)),"NOTE: customs value above standard cost (check unit of measure)",IF(AND($L14="Y",$Q14&gt;1),"NOTE: current rate above 100% (check it was entered as a percentage)","OK")))))))))))))))))))))))</f>
        <v/>
      </c>
      <c r="AK14" s="20">
        <f>IF($A14="","",IF(AND($L14="Y",$AE14&lt;&gt;0),ABS($AE14)+ROW()/1000000000,""))</f>
        <v/>
      </c>
      <c r="AL14" s="10">
        <f>IF($A14="","",UPPER($A14)&amp;"/"&amp;UPPER(TRIM(CLEAN(SUBSTITUTE(Items!C14&amp;""," "," ")))))</f>
        <v/>
      </c>
      <c r="AM14" s="13">
        <f>IF($A14="",0,SUMPRODUCT(MAX((scope_HTS&lt;&gt;"")*(LEFT($C14,LEN(scope_HTS))=scope_HTS)*(LEN(scope_HTS)*1000+ROW(scope_HTS)-4))))</f>
        <v/>
      </c>
      <c r="AN14" s="13">
        <f>IF($AM14=0,0,SUMPRODUCT((scope_HTS&lt;&gt;"")*(LEFT($C14,LEN(scope_HTS))=scope_HTS)*(LEN(scope_HTS)=INT($AM14/1000))))</f>
        <v/>
      </c>
      <c r="AO14" s="13">
        <f>IF($L14&lt;&gt;"Y",0,SUMPRODUCT(MAX(ISNUMBER(rate_Rate)*((UPPER(TRIM(CLEAN(SUBSTITUTE(rate_Group&amp;""," "," "))))="")+(UPPER(TRIM(CLEAN(SUBSTITUTE(rate_Group&amp;""," "," "))))=$N14)&gt;0)*((UPPER(TRIM(CLEAN(SUBSTITUTE(rate_COO&amp;""," "," "))))="")+(UPPER(TRIM(CLEAN(SUBSTITUTE(rate_COO&amp;""," "," "))))=$E14)&gt;0)*((UPPER(TRIM(CLEAN(SUBSTITUTE(rate_USMCA&amp;""," "," "))))="")+(UPPER(TRIM(CLEAN(SUBSTITUTE(rate_USMCA&amp;""," "," "))))=IF(UPPER(TRIM(CLEAN(SUBSTITUTE(Items!F14&amp;""," "," "))))="Y","Y","N"))&gt;0)*((1+(UPPER(TRIM(CLEAN(SUBSTITUTE(rate_Group&amp;""," "," "))))&lt;&gt;"")+2*(UPPER(TRIM(CLEAN(SUBSTITUTE(rate_USMCA&amp;""," "," "))))&lt;&gt;"")+4*(UPPER(TRIM(CLEAN(SUBSTITUTE(rate_COO&amp;""," "," "))))&lt;&gt;""))*100+ROW(rate_Rate)-4))))</f>
        <v/>
      </c>
      <c r="AP14" s="13">
        <f>IF($AO14=0,0,SUMPRODUCT(ISNUMBER(rate_Rate)*((UPPER(TRIM(CLEAN(SUBSTITUTE(rate_Group&amp;""," "," "))))="")+(UPPER(TRIM(CLEAN(SUBSTITUTE(rate_Group&amp;""," "," "))))=$N14)&gt;0)*((UPPER(TRIM(CLEAN(SUBSTITUTE(rate_COO&amp;""," "," "))))="")+(UPPER(TRIM(CLEAN(SUBSTITUTE(rate_COO&amp;""," "," "))))=$E14)&gt;0)*((UPPER(TRIM(CLEAN(SUBSTITUTE(rate_USMCA&amp;""," "," "))))="")+(UPPER(TRIM(CLEAN(SUBSTITUTE(rate_USMCA&amp;""," "," "))))=IF(UPPER(TRIM(CLEAN(SUBSTITUTE(Items!F14&amp;""," "," "))))="Y","Y","N"))&gt;0)*((1+(UPPER(TRIM(CLEAN(SUBSTITUTE(rate_Group&amp;""," "," "))))&lt;&gt;"")+2*(UPPER(TRIM(CLEAN(SUBSTITUTE(rate_USMCA&amp;""," "," "))))&lt;&gt;"")+4*(UPPER(TRIM(CLEAN(SUBSTITUTE(rate_COO&amp;""," "," "))))&lt;&gt;""))=INT($AO14/100))))</f>
        <v/>
      </c>
      <c r="AQ14" s="13">
        <f>IF($A14="",0,IFERROR(MATCH($AL14,det_Key,0),0))</f>
        <v/>
      </c>
    </row>
    <row r="15">
      <c r="A15" s="10">
        <f>IF(TRIM(CLEAN(SUBSTITUTE(Items!A15&amp;""," "," ")))="","",TRIM(CLEAN(SUBSTITUTE(Items!A15&amp;""," "," "))))</f>
        <v/>
      </c>
      <c r="B15" s="10">
        <f>IF($A15="","",Items!B15&amp;"")</f>
        <v/>
      </c>
      <c r="C15" s="10">
        <f>IF($A15="","",SUBSTITUTE(SUBSTITUTE(SUBSTITUTE(SUBSTITUTE(CLEAN(Items!D15&amp;"")," ",""),".","")," ",""),"-",""))</f>
        <v/>
      </c>
      <c r="D15" s="10">
        <f>IF($A15="","",LEFT($C15,2))</f>
        <v/>
      </c>
      <c r="E15" s="10">
        <f>IF($A15="","",UPPER(TRIM(CLEAN(SUBSTITUTE(Items!E15&amp;""," "," ")))))</f>
        <v/>
      </c>
      <c r="F15" s="10">
        <f>IF($A15="","",IF(UPPER(TRIM(CLEAN(SUBSTITUTE(Items!C15&amp;""," "," "))))=UPPER(TRIM(CLEAN(SUBSTITUTE(act_Country&amp;""," "," ")))),"Y","N"))</f>
        <v/>
      </c>
      <c r="G15" s="10">
        <f>IF($A15="","",IF($AM15&gt;0,"Y","N"))</f>
        <v/>
      </c>
      <c r="H15" s="10">
        <f>IF($A15="","",IF(SUMPRODUCT((excl_HTS&lt;&gt;"")*(LEFT($C15,LEN(excl_HTS))=excl_HTS))&gt;0,"Y","N"))</f>
        <v/>
      </c>
      <c r="I15" s="10">
        <f>IF($A15="","",IF($E15="","N",IF(SUMPRODUCT(--(UPPER(TRIM(CLEAN(SUBSTITUTE(scope_COO&amp;""," "," "))))=$E15))&gt;0,"Y","N")))</f>
        <v/>
      </c>
      <c r="J15" s="10">
        <f>IF($A15="","",IF(AND(UPPER(TRIM(CLEAN(SUBSTITUTE(act_USMCAExempt&amp;""," "," "))))="Y",UPPER(TRIM(CLEAN(SUBSTITUTE(Items!F15&amp;""," "," "))))="Y"),"Y","N"))</f>
        <v/>
      </c>
      <c r="K15" s="10">
        <f>IF($A15="","",IF($AQ15=0,"",UPPER(TRIM(CLEAN(SUBSTITUTE(INDEX(det_Status,$AQ15)&amp;""," "," "))))))</f>
        <v/>
      </c>
      <c r="L15" s="10">
        <f>IF($A15="","",IF($F15="N","N",IF($K15="IN","Y",IF($K15="OUT","N",IF(AND($G15="Y",$H15="N",$I15="Y",$J15="N"),"Y","N")))))</f>
        <v/>
      </c>
      <c r="M15" s="10">
        <f>IF($A15="","",IF($F15="N","Out: different import country",IF($K15="IN","In: Research determination",IF($K15="OUT","Out: Research determination",IF($G15="N","Out: HTS not on scope list",IF($H15="Y","Out: HTS on exclusion list",IF($I15="N","Out: origin not on scope list",IF($J15="Y","Out: USMCA-qualifying, exempt","In: matches scope rules"))))))))</f>
        <v/>
      </c>
      <c r="N15" s="10">
        <f>IF(OR($A15="",$AM15=0),"",UPPER(TRIM(CLEAN(SUBSTITUTE(INDEX(scope_Group,MOD($AM15,1000))&amp;""," "," ")))))</f>
        <v/>
      </c>
      <c r="O15" s="10">
        <f>IF($L15&lt;&gt;"Y","",IF($AO15=0,"Default (B15)",UPPER(TRIM(CLEAN(SUBSTITUTE(INDEX(rate_ID,MOD($AO15,100))&amp;""," "," "))))))</f>
        <v/>
      </c>
      <c r="P15" s="10">
        <f>IF($L15&lt;&gt;"Y","",IF($AO15=0,IF(UPPER(TRIM(CLEAN(SUBSTITUTE(act_DefaultBase&amp;""," "," "))))="PART","PART","FULL"),IF(UPPER(TRIM(CLEAN(SUBSTITUTE(INDEX(rate_Base,MOD($AO15,100))&amp;""," "," "))))="PART","PART","FULL")))</f>
        <v/>
      </c>
      <c r="Q15" s="17">
        <f>IF($A15="","",N(Items!J15))</f>
        <v/>
      </c>
      <c r="R15" s="17">
        <f>IF($A15="","",IF($L15&lt;&gt;"Y",0,IF($AO15=0,N(act_Rate),N(INDEX(rate_Rate,MOD($AO15,100))))))</f>
        <v/>
      </c>
      <c r="S15" s="17">
        <f>IF($A15="","",IF($L15&lt;&gt;"Y",0,IF($AO15=0,IF(UPPER(TRIM(CLEAN(SUBSTITUTE(act_RateType&amp;""," "," "))))="REPLACE",N(act_PriorRate),0),IF(ISNUMBER(INDEX(rate_Prior,MOD($AO15,100))),INDEX(rate_Prior,MOD($AO15,100)),IF(UPPER(TRIM(CLEAN(SUBSTITUTE(act_RateType&amp;""," "," "))))="REPLACE",N(act_PriorRate),0)))))</f>
        <v/>
      </c>
      <c r="T15" s="17">
        <f>IF($A15="","",IF(AND($L15="Y",$P15="PART",ISNUMBER(Items!M15)),Items!M15,1))</f>
        <v/>
      </c>
      <c r="U15" s="17">
        <f>IF($A15="","",IF($L15&lt;&gt;"Y",0,IF($AQ15&gt;0,IF(ISNUMBER(INDEX(det_Displaced,$AQ15)),INDEX(det_Displaced,$AQ15),IF($AO15=0,0,N(INDEX(rate_Displaced,MOD($AO15,100))))),IF($AO15=0,0,N(INDEX(rate_Displaced,MOD($AO15,100)))))))</f>
        <v/>
      </c>
      <c r="V15" s="17">
        <f>IF($A15="","",IF($L15="Y",$Q15+$T15*($R15-$S15)-$U15,$Q15))</f>
        <v/>
      </c>
      <c r="W15" s="18">
        <f>IF($A15="","",N(Items!H15)*$Q15)</f>
        <v/>
      </c>
      <c r="X15" s="18">
        <f>IF($A15="","",N(Items!H15)*$V15)</f>
        <v/>
      </c>
      <c r="Y15" s="18">
        <f>IF($A15="","",$X15-$W15)</f>
        <v/>
      </c>
      <c r="Z15" s="18">
        <f>IF($A15="","",N(Items!K15)+$Y15)</f>
        <v/>
      </c>
      <c r="AA15" s="17">
        <f>IF($A15="","",IF(N(Items!L15)=0,"",(N(Items!L15)-N(Items!K15))/N(Items!L15)))</f>
        <v/>
      </c>
      <c r="AB15" s="17">
        <f>IF($A15="","",IF(N(Items!L15)=0,"",(N(Items!L15)-$Z15)/N(Items!L15)))</f>
        <v/>
      </c>
      <c r="AC15" s="17">
        <f>IF(OR($AA15="",$AB15=""),"",$AB15-$AA15)</f>
        <v/>
      </c>
      <c r="AD15" s="13">
        <f>IF($A15="","",N(Items!I15))</f>
        <v/>
      </c>
      <c r="AE15" s="19">
        <f>IF($A15="","",$Y15*$AD15)</f>
        <v/>
      </c>
      <c r="AF15" s="10">
        <f>IF($A15="","",IF(N(Items!L15)&gt;0,"Y","N"))</f>
        <v/>
      </c>
      <c r="AG15" s="19">
        <f>IF($A15="","",IF($AF15="Y",N(Items!L15)*$AD15,0))</f>
        <v/>
      </c>
      <c r="AH15" s="19">
        <f>IF($A15="","",IF($AF15="Y",(N(Items!L15)-N(Items!K15))*$AD15,0))</f>
        <v/>
      </c>
      <c r="AI15" s="19">
        <f>IF($A15="","",IF($AF15="Y",$AH15-$AE15,0))</f>
        <v/>
      </c>
      <c r="AJ15" s="10">
        <f>IF($A15="","",IF(COUNTIF($AL$5:$AL$254,$AL15)&gt;1,"CHECK: duplicate item and import country",IF(TRIM(CLEAN(SUBSTITUTE(Items!C15&amp;""," "," ")))="","CHECK: import country missing",IF(AND(UPPER(TRIM(CLEAN(SUBSTITUTE(Items!C15&amp;""," "," "))))&lt;&gt;"US",UPPER(TRIM(CLEAN(SUBSTITUTE(Items!C15&amp;""," "," "))))&lt;&gt;"CA",UPPER(TRIM(CLEAN(SUBSTITUTE(Items!C15&amp;""," "," "))))&lt;&gt;"MX"),"CHECK: import country must be US, CA or MX",IF(NOT(AND(LEN($C15)=10,IFERROR(TEXT(VALUE($C15),REPT("0",LEN($C15)))=$C15,FALSE))),"CHECK: HTS must be 10 digits",IF(LEN($E15)&lt;&gt;2,"CHECK: origin code missing or not 2 letters",IF(TRIM(CLEAN(SUBSTITUTE(Items!G15&amp;""," "," ")))="","CHECK: unit of measure missing",IF(OR(Items!H15="",Items!J15="",Items!K15=""),"CHECK: value, rate or cost missing",IF(OR(NOT(ISNUMBER(Items!H15)),NOT(ISNUMBER(Items!J15)),NOT(ISNUMBER(Items!K15)),AND(Items!I15&lt;&gt;"",NOT(ISNUMBER(Items!I15))),AND(Items!L15&lt;&gt;"",NOT(ISNUMBER(Items!L15))),AND(Items!M15&lt;&gt;"",NOT(ISNUMBER(Items!M15)))),"CHECK: text in a number column",IF(AND(ISNUMBER(Items!M15),OR(N(Items!M15)&lt;0,N(Items!M15)&gt;1)),"CHECK: dutiable share must be 0% to 100%",IF(AND(UPPER(TRIM(CLEAN(SUBSTITUTE(Items!F15&amp;""," "," "))))&lt;&gt;"",UPPER(TRIM(CLEAN(SUBSTITUTE(Items!F15&amp;""," "," "))))&lt;&gt;"Y",UPPER(TRIM(CLEAN(SUBSTITUTE(Items!F15&amp;""," "," "))))&lt;&gt;"N"),"CHECK: USMCA flag must be Y, N or blank",IF(AND(UPPER(TRIM(CLEAN(SUBSTITUTE(Items!F15&amp;""," "," "))))="Y",$E15&lt;&gt;"US",$E15&lt;&gt;"CA",$E15&lt;&gt;"MX"),"CHECK: USMCA flag on an origin other than US, CA or MX",IF(AND($L15="Y",$AO15=0,NOT(ISNUMBER(act_Rate))),"CHECK: in scope but no rate (add a rate line or B15)",IF(AND($L15="Y",UPPER(TRIM(CLEAN(SUBSTITUTE(act_RateType&amp;""," "," "))))="REPLACE",NOT(ISNUMBER(act_PriorRate)),IF($AO15=0,TRUE,NOT(ISNUMBER(INDEX(rate_Prior,MOD($AO15,100)))))),"CHECK: REPLACE but no earlier rate (B17 or the rate line's AD)",IF(AND($L15="Y",$AP15&gt;1),"CHECK: two rate lines match equally",IF(AND($L15="Y",$AN15&gt;1),"CHECK: HTS prefix listed twice on the scope list",IF(AND($L15="Y",$P15="PART",NOT(ISNUMBER(Items!M15))),"CHECK: dutiable share missing (PART base)",IF(AND($L15="Y",$P15="FULL",ISNUMBER(Items!M15),N(Items!M15)&lt;&gt;1),"CHECK: dutiable share entered, but the rate taxes the full value",IF(AND($L15="Y",$Q15+0.0000001&lt;$T15*$S15+$U15),"CHECK: current rate is below the duty being replaced or displaced",IF(AND($L15="Y",$AD15=0),"NOTE: in scope, no quantity",IF(AND($L15="Y",$AF15="N"),"NOTE: in scope, no sell price (left out of margin %)",IF(AND($L15="Y",N(Items!H15)&gt;N(Items!K15)),"NOTE: customs value above standard cost (check unit of measure)",IF(AND($L15="Y",$Q15&gt;1),"NOTE: current rate above 100% (check it was entered as a percentage)","OK")))))))))))))))))))))))</f>
        <v/>
      </c>
      <c r="AK15" s="20">
        <f>IF($A15="","",IF(AND($L15="Y",$AE15&lt;&gt;0),ABS($AE15)+ROW()/1000000000,""))</f>
        <v/>
      </c>
      <c r="AL15" s="10">
        <f>IF($A15="","",UPPER($A15)&amp;"/"&amp;UPPER(TRIM(CLEAN(SUBSTITUTE(Items!C15&amp;""," "," ")))))</f>
        <v/>
      </c>
      <c r="AM15" s="13">
        <f>IF($A15="",0,SUMPRODUCT(MAX((scope_HTS&lt;&gt;"")*(LEFT($C15,LEN(scope_HTS))=scope_HTS)*(LEN(scope_HTS)*1000+ROW(scope_HTS)-4))))</f>
        <v/>
      </c>
      <c r="AN15" s="13">
        <f>IF($AM15=0,0,SUMPRODUCT((scope_HTS&lt;&gt;"")*(LEFT($C15,LEN(scope_HTS))=scope_HTS)*(LEN(scope_HTS)=INT($AM15/1000))))</f>
        <v/>
      </c>
      <c r="AO15" s="13">
        <f>IF($L15&lt;&gt;"Y",0,SUMPRODUCT(MAX(ISNUMBER(rate_Rate)*((UPPER(TRIM(CLEAN(SUBSTITUTE(rate_Group&amp;""," "," "))))="")+(UPPER(TRIM(CLEAN(SUBSTITUTE(rate_Group&amp;""," "," "))))=$N15)&gt;0)*((UPPER(TRIM(CLEAN(SUBSTITUTE(rate_COO&amp;""," "," "))))="")+(UPPER(TRIM(CLEAN(SUBSTITUTE(rate_COO&amp;""," "," "))))=$E15)&gt;0)*((UPPER(TRIM(CLEAN(SUBSTITUTE(rate_USMCA&amp;""," "," "))))="")+(UPPER(TRIM(CLEAN(SUBSTITUTE(rate_USMCA&amp;""," "," "))))=IF(UPPER(TRIM(CLEAN(SUBSTITUTE(Items!F15&amp;""," "," "))))="Y","Y","N"))&gt;0)*((1+(UPPER(TRIM(CLEAN(SUBSTITUTE(rate_Group&amp;""," "," "))))&lt;&gt;"")+2*(UPPER(TRIM(CLEAN(SUBSTITUTE(rate_USMCA&amp;""," "," "))))&lt;&gt;"")+4*(UPPER(TRIM(CLEAN(SUBSTITUTE(rate_COO&amp;""," "," "))))&lt;&gt;""))*100+ROW(rate_Rate)-4))))</f>
        <v/>
      </c>
      <c r="AP15" s="13">
        <f>IF($AO15=0,0,SUMPRODUCT(ISNUMBER(rate_Rate)*((UPPER(TRIM(CLEAN(SUBSTITUTE(rate_Group&amp;""," "," "))))="")+(UPPER(TRIM(CLEAN(SUBSTITUTE(rate_Group&amp;""," "," "))))=$N15)&gt;0)*((UPPER(TRIM(CLEAN(SUBSTITUTE(rate_COO&amp;""," "," "))))="")+(UPPER(TRIM(CLEAN(SUBSTITUTE(rate_COO&amp;""," "," "))))=$E15)&gt;0)*((UPPER(TRIM(CLEAN(SUBSTITUTE(rate_USMCA&amp;""," "," "))))="")+(UPPER(TRIM(CLEAN(SUBSTITUTE(rate_USMCA&amp;""," "," "))))=IF(UPPER(TRIM(CLEAN(SUBSTITUTE(Items!F15&amp;""," "," "))))="Y","Y","N"))&gt;0)*((1+(UPPER(TRIM(CLEAN(SUBSTITUTE(rate_Group&amp;""," "," "))))&lt;&gt;"")+2*(UPPER(TRIM(CLEAN(SUBSTITUTE(rate_USMCA&amp;""," "," "))))&lt;&gt;"")+4*(UPPER(TRIM(CLEAN(SUBSTITUTE(rate_COO&amp;""," "," "))))&lt;&gt;""))=INT($AO15/100))))</f>
        <v/>
      </c>
      <c r="AQ15" s="13">
        <f>IF($A15="",0,IFERROR(MATCH($AL15,det_Key,0),0))</f>
        <v/>
      </c>
    </row>
    <row r="16">
      <c r="A16" s="10">
        <f>IF(TRIM(CLEAN(SUBSTITUTE(Items!A16&amp;""," "," ")))="","",TRIM(CLEAN(SUBSTITUTE(Items!A16&amp;""," "," "))))</f>
        <v/>
      </c>
      <c r="B16" s="10">
        <f>IF($A16="","",Items!B16&amp;"")</f>
        <v/>
      </c>
      <c r="C16" s="10">
        <f>IF($A16="","",SUBSTITUTE(SUBSTITUTE(SUBSTITUTE(SUBSTITUTE(CLEAN(Items!D16&amp;"")," ",""),".","")," ",""),"-",""))</f>
        <v/>
      </c>
      <c r="D16" s="10">
        <f>IF($A16="","",LEFT($C16,2))</f>
        <v/>
      </c>
      <c r="E16" s="10">
        <f>IF($A16="","",UPPER(TRIM(CLEAN(SUBSTITUTE(Items!E16&amp;""," "," ")))))</f>
        <v/>
      </c>
      <c r="F16" s="10">
        <f>IF($A16="","",IF(UPPER(TRIM(CLEAN(SUBSTITUTE(Items!C16&amp;""," "," "))))=UPPER(TRIM(CLEAN(SUBSTITUTE(act_Country&amp;""," "," ")))),"Y","N"))</f>
        <v/>
      </c>
      <c r="G16" s="10">
        <f>IF($A16="","",IF($AM16&gt;0,"Y","N"))</f>
        <v/>
      </c>
      <c r="H16" s="10">
        <f>IF($A16="","",IF(SUMPRODUCT((excl_HTS&lt;&gt;"")*(LEFT($C16,LEN(excl_HTS))=excl_HTS))&gt;0,"Y","N"))</f>
        <v/>
      </c>
      <c r="I16" s="10">
        <f>IF($A16="","",IF($E16="","N",IF(SUMPRODUCT(--(UPPER(TRIM(CLEAN(SUBSTITUTE(scope_COO&amp;""," "," "))))=$E16))&gt;0,"Y","N")))</f>
        <v/>
      </c>
      <c r="J16" s="10">
        <f>IF($A16="","",IF(AND(UPPER(TRIM(CLEAN(SUBSTITUTE(act_USMCAExempt&amp;""," "," "))))="Y",UPPER(TRIM(CLEAN(SUBSTITUTE(Items!F16&amp;""," "," "))))="Y"),"Y","N"))</f>
        <v/>
      </c>
      <c r="K16" s="10">
        <f>IF($A16="","",IF($AQ16=0,"",UPPER(TRIM(CLEAN(SUBSTITUTE(INDEX(det_Status,$AQ16)&amp;""," "," "))))))</f>
        <v/>
      </c>
      <c r="L16" s="10">
        <f>IF($A16="","",IF($F16="N","N",IF($K16="IN","Y",IF($K16="OUT","N",IF(AND($G16="Y",$H16="N",$I16="Y",$J16="N"),"Y","N")))))</f>
        <v/>
      </c>
      <c r="M16" s="10">
        <f>IF($A16="","",IF($F16="N","Out: different import country",IF($K16="IN","In: Research determination",IF($K16="OUT","Out: Research determination",IF($G16="N","Out: HTS not on scope list",IF($H16="Y","Out: HTS on exclusion list",IF($I16="N","Out: origin not on scope list",IF($J16="Y","Out: USMCA-qualifying, exempt","In: matches scope rules"))))))))</f>
        <v/>
      </c>
      <c r="N16" s="10">
        <f>IF(OR($A16="",$AM16=0),"",UPPER(TRIM(CLEAN(SUBSTITUTE(INDEX(scope_Group,MOD($AM16,1000))&amp;""," "," ")))))</f>
        <v/>
      </c>
      <c r="O16" s="10">
        <f>IF($L16&lt;&gt;"Y","",IF($AO16=0,"Default (B15)",UPPER(TRIM(CLEAN(SUBSTITUTE(INDEX(rate_ID,MOD($AO16,100))&amp;""," "," "))))))</f>
        <v/>
      </c>
      <c r="P16" s="10">
        <f>IF($L16&lt;&gt;"Y","",IF($AO16=0,IF(UPPER(TRIM(CLEAN(SUBSTITUTE(act_DefaultBase&amp;""," "," "))))="PART","PART","FULL"),IF(UPPER(TRIM(CLEAN(SUBSTITUTE(INDEX(rate_Base,MOD($AO16,100))&amp;""," "," "))))="PART","PART","FULL")))</f>
        <v/>
      </c>
      <c r="Q16" s="17">
        <f>IF($A16="","",N(Items!J16))</f>
        <v/>
      </c>
      <c r="R16" s="17">
        <f>IF($A16="","",IF($L16&lt;&gt;"Y",0,IF($AO16=0,N(act_Rate),N(INDEX(rate_Rate,MOD($AO16,100))))))</f>
        <v/>
      </c>
      <c r="S16" s="17">
        <f>IF($A16="","",IF($L16&lt;&gt;"Y",0,IF($AO16=0,IF(UPPER(TRIM(CLEAN(SUBSTITUTE(act_RateType&amp;""," "," "))))="REPLACE",N(act_PriorRate),0),IF(ISNUMBER(INDEX(rate_Prior,MOD($AO16,100))),INDEX(rate_Prior,MOD($AO16,100)),IF(UPPER(TRIM(CLEAN(SUBSTITUTE(act_RateType&amp;""," "," "))))="REPLACE",N(act_PriorRate),0)))))</f>
        <v/>
      </c>
      <c r="T16" s="17">
        <f>IF($A16="","",IF(AND($L16="Y",$P16="PART",ISNUMBER(Items!M16)),Items!M16,1))</f>
        <v/>
      </c>
      <c r="U16" s="17">
        <f>IF($A16="","",IF($L16&lt;&gt;"Y",0,IF($AQ16&gt;0,IF(ISNUMBER(INDEX(det_Displaced,$AQ16)),INDEX(det_Displaced,$AQ16),IF($AO16=0,0,N(INDEX(rate_Displaced,MOD($AO16,100))))),IF($AO16=0,0,N(INDEX(rate_Displaced,MOD($AO16,100)))))))</f>
        <v/>
      </c>
      <c r="V16" s="17">
        <f>IF($A16="","",IF($L16="Y",$Q16+$T16*($R16-$S16)-$U16,$Q16))</f>
        <v/>
      </c>
      <c r="W16" s="18">
        <f>IF($A16="","",N(Items!H16)*$Q16)</f>
        <v/>
      </c>
      <c r="X16" s="18">
        <f>IF($A16="","",N(Items!H16)*$V16)</f>
        <v/>
      </c>
      <c r="Y16" s="18">
        <f>IF($A16="","",$X16-$W16)</f>
        <v/>
      </c>
      <c r="Z16" s="18">
        <f>IF($A16="","",N(Items!K16)+$Y16)</f>
        <v/>
      </c>
      <c r="AA16" s="17">
        <f>IF($A16="","",IF(N(Items!L16)=0,"",(N(Items!L16)-N(Items!K16))/N(Items!L16)))</f>
        <v/>
      </c>
      <c r="AB16" s="17">
        <f>IF($A16="","",IF(N(Items!L16)=0,"",(N(Items!L16)-$Z16)/N(Items!L16)))</f>
        <v/>
      </c>
      <c r="AC16" s="17">
        <f>IF(OR($AA16="",$AB16=""),"",$AB16-$AA16)</f>
        <v/>
      </c>
      <c r="AD16" s="13">
        <f>IF($A16="","",N(Items!I16))</f>
        <v/>
      </c>
      <c r="AE16" s="19">
        <f>IF($A16="","",$Y16*$AD16)</f>
        <v/>
      </c>
      <c r="AF16" s="10">
        <f>IF($A16="","",IF(N(Items!L16)&gt;0,"Y","N"))</f>
        <v/>
      </c>
      <c r="AG16" s="19">
        <f>IF($A16="","",IF($AF16="Y",N(Items!L16)*$AD16,0))</f>
        <v/>
      </c>
      <c r="AH16" s="19">
        <f>IF($A16="","",IF($AF16="Y",(N(Items!L16)-N(Items!K16))*$AD16,0))</f>
        <v/>
      </c>
      <c r="AI16" s="19">
        <f>IF($A16="","",IF($AF16="Y",$AH16-$AE16,0))</f>
        <v/>
      </c>
      <c r="AJ16" s="10">
        <f>IF($A16="","",IF(COUNTIF($AL$5:$AL$254,$AL16)&gt;1,"CHECK: duplicate item and import country",IF(TRIM(CLEAN(SUBSTITUTE(Items!C16&amp;""," "," ")))="","CHECK: import country missing",IF(AND(UPPER(TRIM(CLEAN(SUBSTITUTE(Items!C16&amp;""," "," "))))&lt;&gt;"US",UPPER(TRIM(CLEAN(SUBSTITUTE(Items!C16&amp;""," "," "))))&lt;&gt;"CA",UPPER(TRIM(CLEAN(SUBSTITUTE(Items!C16&amp;""," "," "))))&lt;&gt;"MX"),"CHECK: import country must be US, CA or MX",IF(NOT(AND(LEN($C16)=10,IFERROR(TEXT(VALUE($C16),REPT("0",LEN($C16)))=$C16,FALSE))),"CHECK: HTS must be 10 digits",IF(LEN($E16)&lt;&gt;2,"CHECK: origin code missing or not 2 letters",IF(TRIM(CLEAN(SUBSTITUTE(Items!G16&amp;""," "," ")))="","CHECK: unit of measure missing",IF(OR(Items!H16="",Items!J16="",Items!K16=""),"CHECK: value, rate or cost missing",IF(OR(NOT(ISNUMBER(Items!H16)),NOT(ISNUMBER(Items!J16)),NOT(ISNUMBER(Items!K16)),AND(Items!I16&lt;&gt;"",NOT(ISNUMBER(Items!I16))),AND(Items!L16&lt;&gt;"",NOT(ISNUMBER(Items!L16))),AND(Items!M16&lt;&gt;"",NOT(ISNUMBER(Items!M16)))),"CHECK: text in a number column",IF(AND(ISNUMBER(Items!M16),OR(N(Items!M16)&lt;0,N(Items!M16)&gt;1)),"CHECK: dutiable share must be 0% to 100%",IF(AND(UPPER(TRIM(CLEAN(SUBSTITUTE(Items!F16&amp;""," "," "))))&lt;&gt;"",UPPER(TRIM(CLEAN(SUBSTITUTE(Items!F16&amp;""," "," "))))&lt;&gt;"Y",UPPER(TRIM(CLEAN(SUBSTITUTE(Items!F16&amp;""," "," "))))&lt;&gt;"N"),"CHECK: USMCA flag must be Y, N or blank",IF(AND(UPPER(TRIM(CLEAN(SUBSTITUTE(Items!F16&amp;""," "," "))))="Y",$E16&lt;&gt;"US",$E16&lt;&gt;"CA",$E16&lt;&gt;"MX"),"CHECK: USMCA flag on an origin other than US, CA or MX",IF(AND($L16="Y",$AO16=0,NOT(ISNUMBER(act_Rate))),"CHECK: in scope but no rate (add a rate line or B15)",IF(AND($L16="Y",UPPER(TRIM(CLEAN(SUBSTITUTE(act_RateType&amp;""," "," "))))="REPLACE",NOT(ISNUMBER(act_PriorRate)),IF($AO16=0,TRUE,NOT(ISNUMBER(INDEX(rate_Prior,MOD($AO16,100)))))),"CHECK: REPLACE but no earlier rate (B17 or the rate line's AD)",IF(AND($L16="Y",$AP16&gt;1),"CHECK: two rate lines match equally",IF(AND($L16="Y",$AN16&gt;1),"CHECK: HTS prefix listed twice on the scope list",IF(AND($L16="Y",$P16="PART",NOT(ISNUMBER(Items!M16))),"CHECK: dutiable share missing (PART base)",IF(AND($L16="Y",$P16="FULL",ISNUMBER(Items!M16),N(Items!M16)&lt;&gt;1),"CHECK: dutiable share entered, but the rate taxes the full value",IF(AND($L16="Y",$Q16+0.0000001&lt;$T16*$S16+$U16),"CHECK: current rate is below the duty being replaced or displaced",IF(AND($L16="Y",$AD16=0),"NOTE: in scope, no quantity",IF(AND($L16="Y",$AF16="N"),"NOTE: in scope, no sell price (left out of margin %)",IF(AND($L16="Y",N(Items!H16)&gt;N(Items!K16)),"NOTE: customs value above standard cost (check unit of measure)",IF(AND($L16="Y",$Q16&gt;1),"NOTE: current rate above 100% (check it was entered as a percentage)","OK")))))))))))))))))))))))</f>
        <v/>
      </c>
      <c r="AK16" s="20">
        <f>IF($A16="","",IF(AND($L16="Y",$AE16&lt;&gt;0),ABS($AE16)+ROW()/1000000000,""))</f>
        <v/>
      </c>
      <c r="AL16" s="10">
        <f>IF($A16="","",UPPER($A16)&amp;"/"&amp;UPPER(TRIM(CLEAN(SUBSTITUTE(Items!C16&amp;""," "," ")))))</f>
        <v/>
      </c>
      <c r="AM16" s="13">
        <f>IF($A16="",0,SUMPRODUCT(MAX((scope_HTS&lt;&gt;"")*(LEFT($C16,LEN(scope_HTS))=scope_HTS)*(LEN(scope_HTS)*1000+ROW(scope_HTS)-4))))</f>
        <v/>
      </c>
      <c r="AN16" s="13">
        <f>IF($AM16=0,0,SUMPRODUCT((scope_HTS&lt;&gt;"")*(LEFT($C16,LEN(scope_HTS))=scope_HTS)*(LEN(scope_HTS)=INT($AM16/1000))))</f>
        <v/>
      </c>
      <c r="AO16" s="13">
        <f>IF($L16&lt;&gt;"Y",0,SUMPRODUCT(MAX(ISNUMBER(rate_Rate)*((UPPER(TRIM(CLEAN(SUBSTITUTE(rate_Group&amp;""," "," "))))="")+(UPPER(TRIM(CLEAN(SUBSTITUTE(rate_Group&amp;""," "," "))))=$N16)&gt;0)*((UPPER(TRIM(CLEAN(SUBSTITUTE(rate_COO&amp;""," "," "))))="")+(UPPER(TRIM(CLEAN(SUBSTITUTE(rate_COO&amp;""," "," "))))=$E16)&gt;0)*((UPPER(TRIM(CLEAN(SUBSTITUTE(rate_USMCA&amp;""," "," "))))="")+(UPPER(TRIM(CLEAN(SUBSTITUTE(rate_USMCA&amp;""," "," "))))=IF(UPPER(TRIM(CLEAN(SUBSTITUTE(Items!F16&amp;""," "," "))))="Y","Y","N"))&gt;0)*((1+(UPPER(TRIM(CLEAN(SUBSTITUTE(rate_Group&amp;""," "," "))))&lt;&gt;"")+2*(UPPER(TRIM(CLEAN(SUBSTITUTE(rate_USMCA&amp;""," "," "))))&lt;&gt;"")+4*(UPPER(TRIM(CLEAN(SUBSTITUTE(rate_COO&amp;""," "," "))))&lt;&gt;""))*100+ROW(rate_Rate)-4))))</f>
        <v/>
      </c>
      <c r="AP16" s="13">
        <f>IF($AO16=0,0,SUMPRODUCT(ISNUMBER(rate_Rate)*((UPPER(TRIM(CLEAN(SUBSTITUTE(rate_Group&amp;""," "," "))))="")+(UPPER(TRIM(CLEAN(SUBSTITUTE(rate_Group&amp;""," "," "))))=$N16)&gt;0)*((UPPER(TRIM(CLEAN(SUBSTITUTE(rate_COO&amp;""," "," "))))="")+(UPPER(TRIM(CLEAN(SUBSTITUTE(rate_COO&amp;""," "," "))))=$E16)&gt;0)*((UPPER(TRIM(CLEAN(SUBSTITUTE(rate_USMCA&amp;""," "," "))))="")+(UPPER(TRIM(CLEAN(SUBSTITUTE(rate_USMCA&amp;""," "," "))))=IF(UPPER(TRIM(CLEAN(SUBSTITUTE(Items!F16&amp;""," "," "))))="Y","Y","N"))&gt;0)*((1+(UPPER(TRIM(CLEAN(SUBSTITUTE(rate_Group&amp;""," "," "))))&lt;&gt;"")+2*(UPPER(TRIM(CLEAN(SUBSTITUTE(rate_USMCA&amp;""," "," "))))&lt;&gt;"")+4*(UPPER(TRIM(CLEAN(SUBSTITUTE(rate_COO&amp;""," "," "))))&lt;&gt;""))=INT($AO16/100))))</f>
        <v/>
      </c>
      <c r="AQ16" s="13">
        <f>IF($A16="",0,IFERROR(MATCH($AL16,det_Key,0),0))</f>
        <v/>
      </c>
    </row>
    <row r="17">
      <c r="A17" s="10">
        <f>IF(TRIM(CLEAN(SUBSTITUTE(Items!A17&amp;""," "," ")))="","",TRIM(CLEAN(SUBSTITUTE(Items!A17&amp;""," "," "))))</f>
        <v/>
      </c>
      <c r="B17" s="10">
        <f>IF($A17="","",Items!B17&amp;"")</f>
        <v/>
      </c>
      <c r="C17" s="10">
        <f>IF($A17="","",SUBSTITUTE(SUBSTITUTE(SUBSTITUTE(SUBSTITUTE(CLEAN(Items!D17&amp;"")," ",""),".","")," ",""),"-",""))</f>
        <v/>
      </c>
      <c r="D17" s="10">
        <f>IF($A17="","",LEFT($C17,2))</f>
        <v/>
      </c>
      <c r="E17" s="10">
        <f>IF($A17="","",UPPER(TRIM(CLEAN(SUBSTITUTE(Items!E17&amp;""," "," ")))))</f>
        <v/>
      </c>
      <c r="F17" s="10">
        <f>IF($A17="","",IF(UPPER(TRIM(CLEAN(SUBSTITUTE(Items!C17&amp;""," "," "))))=UPPER(TRIM(CLEAN(SUBSTITUTE(act_Country&amp;""," "," ")))),"Y","N"))</f>
        <v/>
      </c>
      <c r="G17" s="10">
        <f>IF($A17="","",IF($AM17&gt;0,"Y","N"))</f>
        <v/>
      </c>
      <c r="H17" s="10">
        <f>IF($A17="","",IF(SUMPRODUCT((excl_HTS&lt;&gt;"")*(LEFT($C17,LEN(excl_HTS))=excl_HTS))&gt;0,"Y","N"))</f>
        <v/>
      </c>
      <c r="I17" s="10">
        <f>IF($A17="","",IF($E17="","N",IF(SUMPRODUCT(--(UPPER(TRIM(CLEAN(SUBSTITUTE(scope_COO&amp;""," "," "))))=$E17))&gt;0,"Y","N")))</f>
        <v/>
      </c>
      <c r="J17" s="10">
        <f>IF($A17="","",IF(AND(UPPER(TRIM(CLEAN(SUBSTITUTE(act_USMCAExempt&amp;""," "," "))))="Y",UPPER(TRIM(CLEAN(SUBSTITUTE(Items!F17&amp;""," "," "))))="Y"),"Y","N"))</f>
        <v/>
      </c>
      <c r="K17" s="10">
        <f>IF($A17="","",IF($AQ17=0,"",UPPER(TRIM(CLEAN(SUBSTITUTE(INDEX(det_Status,$AQ17)&amp;""," "," "))))))</f>
        <v/>
      </c>
      <c r="L17" s="10">
        <f>IF($A17="","",IF($F17="N","N",IF($K17="IN","Y",IF($K17="OUT","N",IF(AND($G17="Y",$H17="N",$I17="Y",$J17="N"),"Y","N")))))</f>
        <v/>
      </c>
      <c r="M17" s="10">
        <f>IF($A17="","",IF($F17="N","Out: different import country",IF($K17="IN","In: Research determination",IF($K17="OUT","Out: Research determination",IF($G17="N","Out: HTS not on scope list",IF($H17="Y","Out: HTS on exclusion list",IF($I17="N","Out: origin not on scope list",IF($J17="Y","Out: USMCA-qualifying, exempt","In: matches scope rules"))))))))</f>
        <v/>
      </c>
      <c r="N17" s="10">
        <f>IF(OR($A17="",$AM17=0),"",UPPER(TRIM(CLEAN(SUBSTITUTE(INDEX(scope_Group,MOD($AM17,1000))&amp;""," "," ")))))</f>
        <v/>
      </c>
      <c r="O17" s="10">
        <f>IF($L17&lt;&gt;"Y","",IF($AO17=0,"Default (B15)",UPPER(TRIM(CLEAN(SUBSTITUTE(INDEX(rate_ID,MOD($AO17,100))&amp;""," "," "))))))</f>
        <v/>
      </c>
      <c r="P17" s="10">
        <f>IF($L17&lt;&gt;"Y","",IF($AO17=0,IF(UPPER(TRIM(CLEAN(SUBSTITUTE(act_DefaultBase&amp;""," "," "))))="PART","PART","FULL"),IF(UPPER(TRIM(CLEAN(SUBSTITUTE(INDEX(rate_Base,MOD($AO17,100))&amp;""," "," "))))="PART","PART","FULL")))</f>
        <v/>
      </c>
      <c r="Q17" s="17">
        <f>IF($A17="","",N(Items!J17))</f>
        <v/>
      </c>
      <c r="R17" s="17">
        <f>IF($A17="","",IF($L17&lt;&gt;"Y",0,IF($AO17=0,N(act_Rate),N(INDEX(rate_Rate,MOD($AO17,100))))))</f>
        <v/>
      </c>
      <c r="S17" s="17">
        <f>IF($A17="","",IF($L17&lt;&gt;"Y",0,IF($AO17=0,IF(UPPER(TRIM(CLEAN(SUBSTITUTE(act_RateType&amp;""," "," "))))="REPLACE",N(act_PriorRate),0),IF(ISNUMBER(INDEX(rate_Prior,MOD($AO17,100))),INDEX(rate_Prior,MOD($AO17,100)),IF(UPPER(TRIM(CLEAN(SUBSTITUTE(act_RateType&amp;""," "," "))))="REPLACE",N(act_PriorRate),0)))))</f>
        <v/>
      </c>
      <c r="T17" s="17">
        <f>IF($A17="","",IF(AND($L17="Y",$P17="PART",ISNUMBER(Items!M17)),Items!M17,1))</f>
        <v/>
      </c>
      <c r="U17" s="17">
        <f>IF($A17="","",IF($L17&lt;&gt;"Y",0,IF($AQ17&gt;0,IF(ISNUMBER(INDEX(det_Displaced,$AQ17)),INDEX(det_Displaced,$AQ17),IF($AO17=0,0,N(INDEX(rate_Displaced,MOD($AO17,100))))),IF($AO17=0,0,N(INDEX(rate_Displaced,MOD($AO17,100)))))))</f>
        <v/>
      </c>
      <c r="V17" s="17">
        <f>IF($A17="","",IF($L17="Y",$Q17+$T17*($R17-$S17)-$U17,$Q17))</f>
        <v/>
      </c>
      <c r="W17" s="18">
        <f>IF($A17="","",N(Items!H17)*$Q17)</f>
        <v/>
      </c>
      <c r="X17" s="18">
        <f>IF($A17="","",N(Items!H17)*$V17)</f>
        <v/>
      </c>
      <c r="Y17" s="18">
        <f>IF($A17="","",$X17-$W17)</f>
        <v/>
      </c>
      <c r="Z17" s="18">
        <f>IF($A17="","",N(Items!K17)+$Y17)</f>
        <v/>
      </c>
      <c r="AA17" s="17">
        <f>IF($A17="","",IF(N(Items!L17)=0,"",(N(Items!L17)-N(Items!K17))/N(Items!L17)))</f>
        <v/>
      </c>
      <c r="AB17" s="17">
        <f>IF($A17="","",IF(N(Items!L17)=0,"",(N(Items!L17)-$Z17)/N(Items!L17)))</f>
        <v/>
      </c>
      <c r="AC17" s="17">
        <f>IF(OR($AA17="",$AB17=""),"",$AB17-$AA17)</f>
        <v/>
      </c>
      <c r="AD17" s="13">
        <f>IF($A17="","",N(Items!I17))</f>
        <v/>
      </c>
      <c r="AE17" s="19">
        <f>IF($A17="","",$Y17*$AD17)</f>
        <v/>
      </c>
      <c r="AF17" s="10">
        <f>IF($A17="","",IF(N(Items!L17)&gt;0,"Y","N"))</f>
        <v/>
      </c>
      <c r="AG17" s="19">
        <f>IF($A17="","",IF($AF17="Y",N(Items!L17)*$AD17,0))</f>
        <v/>
      </c>
      <c r="AH17" s="19">
        <f>IF($A17="","",IF($AF17="Y",(N(Items!L17)-N(Items!K17))*$AD17,0))</f>
        <v/>
      </c>
      <c r="AI17" s="19">
        <f>IF($A17="","",IF($AF17="Y",$AH17-$AE17,0))</f>
        <v/>
      </c>
      <c r="AJ17" s="10">
        <f>IF($A17="","",IF(COUNTIF($AL$5:$AL$254,$AL17)&gt;1,"CHECK: duplicate item and import country",IF(TRIM(CLEAN(SUBSTITUTE(Items!C17&amp;""," "," ")))="","CHECK: import country missing",IF(AND(UPPER(TRIM(CLEAN(SUBSTITUTE(Items!C17&amp;""," "," "))))&lt;&gt;"US",UPPER(TRIM(CLEAN(SUBSTITUTE(Items!C17&amp;""," "," "))))&lt;&gt;"CA",UPPER(TRIM(CLEAN(SUBSTITUTE(Items!C17&amp;""," "," "))))&lt;&gt;"MX"),"CHECK: import country must be US, CA or MX",IF(NOT(AND(LEN($C17)=10,IFERROR(TEXT(VALUE($C17),REPT("0",LEN($C17)))=$C17,FALSE))),"CHECK: HTS must be 10 digits",IF(LEN($E17)&lt;&gt;2,"CHECK: origin code missing or not 2 letters",IF(TRIM(CLEAN(SUBSTITUTE(Items!G17&amp;""," "," ")))="","CHECK: unit of measure missing",IF(OR(Items!H17="",Items!J17="",Items!K17=""),"CHECK: value, rate or cost missing",IF(OR(NOT(ISNUMBER(Items!H17)),NOT(ISNUMBER(Items!J17)),NOT(ISNUMBER(Items!K17)),AND(Items!I17&lt;&gt;"",NOT(ISNUMBER(Items!I17))),AND(Items!L17&lt;&gt;"",NOT(ISNUMBER(Items!L17))),AND(Items!M17&lt;&gt;"",NOT(ISNUMBER(Items!M17)))),"CHECK: text in a number column",IF(AND(ISNUMBER(Items!M17),OR(N(Items!M17)&lt;0,N(Items!M17)&gt;1)),"CHECK: dutiable share must be 0% to 100%",IF(AND(UPPER(TRIM(CLEAN(SUBSTITUTE(Items!F17&amp;""," "," "))))&lt;&gt;"",UPPER(TRIM(CLEAN(SUBSTITUTE(Items!F17&amp;""," "," "))))&lt;&gt;"Y",UPPER(TRIM(CLEAN(SUBSTITUTE(Items!F17&amp;""," "," "))))&lt;&gt;"N"),"CHECK: USMCA flag must be Y, N or blank",IF(AND(UPPER(TRIM(CLEAN(SUBSTITUTE(Items!F17&amp;""," "," "))))="Y",$E17&lt;&gt;"US",$E17&lt;&gt;"CA",$E17&lt;&gt;"MX"),"CHECK: USMCA flag on an origin other than US, CA or MX",IF(AND($L17="Y",$AO17=0,NOT(ISNUMBER(act_Rate))),"CHECK: in scope but no rate (add a rate line or B15)",IF(AND($L17="Y",UPPER(TRIM(CLEAN(SUBSTITUTE(act_RateType&amp;""," "," "))))="REPLACE",NOT(ISNUMBER(act_PriorRate)),IF($AO17=0,TRUE,NOT(ISNUMBER(INDEX(rate_Prior,MOD($AO17,100)))))),"CHECK: REPLACE but no earlier rate (B17 or the rate line's AD)",IF(AND($L17="Y",$AP17&gt;1),"CHECK: two rate lines match equally",IF(AND($L17="Y",$AN17&gt;1),"CHECK: HTS prefix listed twice on the scope list",IF(AND($L17="Y",$P17="PART",NOT(ISNUMBER(Items!M17))),"CHECK: dutiable share missing (PART base)",IF(AND($L17="Y",$P17="FULL",ISNUMBER(Items!M17),N(Items!M17)&lt;&gt;1),"CHECK: dutiable share entered, but the rate taxes the full value",IF(AND($L17="Y",$Q17+0.0000001&lt;$T17*$S17+$U17),"CHECK: current rate is below the duty being replaced or displaced",IF(AND($L17="Y",$AD17=0),"NOTE: in scope, no quantity",IF(AND($L17="Y",$AF17="N"),"NOTE: in scope, no sell price (left out of margin %)",IF(AND($L17="Y",N(Items!H17)&gt;N(Items!K17)),"NOTE: customs value above standard cost (check unit of measure)",IF(AND($L17="Y",$Q17&gt;1),"NOTE: current rate above 100% (check it was entered as a percentage)","OK")))))))))))))))))))))))</f>
        <v/>
      </c>
      <c r="AK17" s="20">
        <f>IF($A17="","",IF(AND($L17="Y",$AE17&lt;&gt;0),ABS($AE17)+ROW()/1000000000,""))</f>
        <v/>
      </c>
      <c r="AL17" s="10">
        <f>IF($A17="","",UPPER($A17)&amp;"/"&amp;UPPER(TRIM(CLEAN(SUBSTITUTE(Items!C17&amp;""," "," ")))))</f>
        <v/>
      </c>
      <c r="AM17" s="13">
        <f>IF($A17="",0,SUMPRODUCT(MAX((scope_HTS&lt;&gt;"")*(LEFT($C17,LEN(scope_HTS))=scope_HTS)*(LEN(scope_HTS)*1000+ROW(scope_HTS)-4))))</f>
        <v/>
      </c>
      <c r="AN17" s="13">
        <f>IF($AM17=0,0,SUMPRODUCT((scope_HTS&lt;&gt;"")*(LEFT($C17,LEN(scope_HTS))=scope_HTS)*(LEN(scope_HTS)=INT($AM17/1000))))</f>
        <v/>
      </c>
      <c r="AO17" s="13">
        <f>IF($L17&lt;&gt;"Y",0,SUMPRODUCT(MAX(ISNUMBER(rate_Rate)*((UPPER(TRIM(CLEAN(SUBSTITUTE(rate_Group&amp;""," "," "))))="")+(UPPER(TRIM(CLEAN(SUBSTITUTE(rate_Group&amp;""," "," "))))=$N17)&gt;0)*((UPPER(TRIM(CLEAN(SUBSTITUTE(rate_COO&amp;""," "," "))))="")+(UPPER(TRIM(CLEAN(SUBSTITUTE(rate_COO&amp;""," "," "))))=$E17)&gt;0)*((UPPER(TRIM(CLEAN(SUBSTITUTE(rate_USMCA&amp;""," "," "))))="")+(UPPER(TRIM(CLEAN(SUBSTITUTE(rate_USMCA&amp;""," "," "))))=IF(UPPER(TRIM(CLEAN(SUBSTITUTE(Items!F17&amp;""," "," "))))="Y","Y","N"))&gt;0)*((1+(UPPER(TRIM(CLEAN(SUBSTITUTE(rate_Group&amp;""," "," "))))&lt;&gt;"")+2*(UPPER(TRIM(CLEAN(SUBSTITUTE(rate_USMCA&amp;""," "," "))))&lt;&gt;"")+4*(UPPER(TRIM(CLEAN(SUBSTITUTE(rate_COO&amp;""," "," "))))&lt;&gt;""))*100+ROW(rate_Rate)-4))))</f>
        <v/>
      </c>
      <c r="AP17" s="13">
        <f>IF($AO17=0,0,SUMPRODUCT(ISNUMBER(rate_Rate)*((UPPER(TRIM(CLEAN(SUBSTITUTE(rate_Group&amp;""," "," "))))="")+(UPPER(TRIM(CLEAN(SUBSTITUTE(rate_Group&amp;""," "," "))))=$N17)&gt;0)*((UPPER(TRIM(CLEAN(SUBSTITUTE(rate_COO&amp;""," "," "))))="")+(UPPER(TRIM(CLEAN(SUBSTITUTE(rate_COO&amp;""," "," "))))=$E17)&gt;0)*((UPPER(TRIM(CLEAN(SUBSTITUTE(rate_USMCA&amp;""," "," "))))="")+(UPPER(TRIM(CLEAN(SUBSTITUTE(rate_USMCA&amp;""," "," "))))=IF(UPPER(TRIM(CLEAN(SUBSTITUTE(Items!F17&amp;""," "," "))))="Y","Y","N"))&gt;0)*((1+(UPPER(TRIM(CLEAN(SUBSTITUTE(rate_Group&amp;""," "," "))))&lt;&gt;"")+2*(UPPER(TRIM(CLEAN(SUBSTITUTE(rate_USMCA&amp;""," "," "))))&lt;&gt;"")+4*(UPPER(TRIM(CLEAN(SUBSTITUTE(rate_COO&amp;""," "," "))))&lt;&gt;""))=INT($AO17/100))))</f>
        <v/>
      </c>
      <c r="AQ17" s="13">
        <f>IF($A17="",0,IFERROR(MATCH($AL17,det_Key,0),0))</f>
        <v/>
      </c>
    </row>
    <row r="18">
      <c r="A18" s="10">
        <f>IF(TRIM(CLEAN(SUBSTITUTE(Items!A18&amp;""," "," ")))="","",TRIM(CLEAN(SUBSTITUTE(Items!A18&amp;""," "," "))))</f>
        <v/>
      </c>
      <c r="B18" s="10">
        <f>IF($A18="","",Items!B18&amp;"")</f>
        <v/>
      </c>
      <c r="C18" s="10">
        <f>IF($A18="","",SUBSTITUTE(SUBSTITUTE(SUBSTITUTE(SUBSTITUTE(CLEAN(Items!D18&amp;"")," ",""),".","")," ",""),"-",""))</f>
        <v/>
      </c>
      <c r="D18" s="10">
        <f>IF($A18="","",LEFT($C18,2))</f>
        <v/>
      </c>
      <c r="E18" s="10">
        <f>IF($A18="","",UPPER(TRIM(CLEAN(SUBSTITUTE(Items!E18&amp;""," "," ")))))</f>
        <v/>
      </c>
      <c r="F18" s="10">
        <f>IF($A18="","",IF(UPPER(TRIM(CLEAN(SUBSTITUTE(Items!C18&amp;""," "," "))))=UPPER(TRIM(CLEAN(SUBSTITUTE(act_Country&amp;""," "," ")))),"Y","N"))</f>
        <v/>
      </c>
      <c r="G18" s="10">
        <f>IF($A18="","",IF($AM18&gt;0,"Y","N"))</f>
        <v/>
      </c>
      <c r="H18" s="10">
        <f>IF($A18="","",IF(SUMPRODUCT((excl_HTS&lt;&gt;"")*(LEFT($C18,LEN(excl_HTS))=excl_HTS))&gt;0,"Y","N"))</f>
        <v/>
      </c>
      <c r="I18" s="10">
        <f>IF($A18="","",IF($E18="","N",IF(SUMPRODUCT(--(UPPER(TRIM(CLEAN(SUBSTITUTE(scope_COO&amp;""," "," "))))=$E18))&gt;0,"Y","N")))</f>
        <v/>
      </c>
      <c r="J18" s="10">
        <f>IF($A18="","",IF(AND(UPPER(TRIM(CLEAN(SUBSTITUTE(act_USMCAExempt&amp;""," "," "))))="Y",UPPER(TRIM(CLEAN(SUBSTITUTE(Items!F18&amp;""," "," "))))="Y"),"Y","N"))</f>
        <v/>
      </c>
      <c r="K18" s="10">
        <f>IF($A18="","",IF($AQ18=0,"",UPPER(TRIM(CLEAN(SUBSTITUTE(INDEX(det_Status,$AQ18)&amp;""," "," "))))))</f>
        <v/>
      </c>
      <c r="L18" s="10">
        <f>IF($A18="","",IF($F18="N","N",IF($K18="IN","Y",IF($K18="OUT","N",IF(AND($G18="Y",$H18="N",$I18="Y",$J18="N"),"Y","N")))))</f>
        <v/>
      </c>
      <c r="M18" s="10">
        <f>IF($A18="","",IF($F18="N","Out: different import country",IF($K18="IN","In: Research determination",IF($K18="OUT","Out: Research determination",IF($G18="N","Out: HTS not on scope list",IF($H18="Y","Out: HTS on exclusion list",IF($I18="N","Out: origin not on scope list",IF($J18="Y","Out: USMCA-qualifying, exempt","In: matches scope rules"))))))))</f>
        <v/>
      </c>
      <c r="N18" s="10">
        <f>IF(OR($A18="",$AM18=0),"",UPPER(TRIM(CLEAN(SUBSTITUTE(INDEX(scope_Group,MOD($AM18,1000))&amp;""," "," ")))))</f>
        <v/>
      </c>
      <c r="O18" s="10">
        <f>IF($L18&lt;&gt;"Y","",IF($AO18=0,"Default (B15)",UPPER(TRIM(CLEAN(SUBSTITUTE(INDEX(rate_ID,MOD($AO18,100))&amp;""," "," "))))))</f>
        <v/>
      </c>
      <c r="P18" s="10">
        <f>IF($L18&lt;&gt;"Y","",IF($AO18=0,IF(UPPER(TRIM(CLEAN(SUBSTITUTE(act_DefaultBase&amp;""," "," "))))="PART","PART","FULL"),IF(UPPER(TRIM(CLEAN(SUBSTITUTE(INDEX(rate_Base,MOD($AO18,100))&amp;""," "," "))))="PART","PART","FULL")))</f>
        <v/>
      </c>
      <c r="Q18" s="17">
        <f>IF($A18="","",N(Items!J18))</f>
        <v/>
      </c>
      <c r="R18" s="17">
        <f>IF($A18="","",IF($L18&lt;&gt;"Y",0,IF($AO18=0,N(act_Rate),N(INDEX(rate_Rate,MOD($AO18,100))))))</f>
        <v/>
      </c>
      <c r="S18" s="17">
        <f>IF($A18="","",IF($L18&lt;&gt;"Y",0,IF($AO18=0,IF(UPPER(TRIM(CLEAN(SUBSTITUTE(act_RateType&amp;""," "," "))))="REPLACE",N(act_PriorRate),0),IF(ISNUMBER(INDEX(rate_Prior,MOD($AO18,100))),INDEX(rate_Prior,MOD($AO18,100)),IF(UPPER(TRIM(CLEAN(SUBSTITUTE(act_RateType&amp;""," "," "))))="REPLACE",N(act_PriorRate),0)))))</f>
        <v/>
      </c>
      <c r="T18" s="17">
        <f>IF($A18="","",IF(AND($L18="Y",$P18="PART",ISNUMBER(Items!M18)),Items!M18,1))</f>
        <v/>
      </c>
      <c r="U18" s="17">
        <f>IF($A18="","",IF($L18&lt;&gt;"Y",0,IF($AQ18&gt;0,IF(ISNUMBER(INDEX(det_Displaced,$AQ18)),INDEX(det_Displaced,$AQ18),IF($AO18=0,0,N(INDEX(rate_Displaced,MOD($AO18,100))))),IF($AO18=0,0,N(INDEX(rate_Displaced,MOD($AO18,100)))))))</f>
        <v/>
      </c>
      <c r="V18" s="17">
        <f>IF($A18="","",IF($L18="Y",$Q18+$T18*($R18-$S18)-$U18,$Q18))</f>
        <v/>
      </c>
      <c r="W18" s="18">
        <f>IF($A18="","",N(Items!H18)*$Q18)</f>
        <v/>
      </c>
      <c r="X18" s="18">
        <f>IF($A18="","",N(Items!H18)*$V18)</f>
        <v/>
      </c>
      <c r="Y18" s="18">
        <f>IF($A18="","",$X18-$W18)</f>
        <v/>
      </c>
      <c r="Z18" s="18">
        <f>IF($A18="","",N(Items!K18)+$Y18)</f>
        <v/>
      </c>
      <c r="AA18" s="17">
        <f>IF($A18="","",IF(N(Items!L18)=0,"",(N(Items!L18)-N(Items!K18))/N(Items!L18)))</f>
        <v/>
      </c>
      <c r="AB18" s="17">
        <f>IF($A18="","",IF(N(Items!L18)=0,"",(N(Items!L18)-$Z18)/N(Items!L18)))</f>
        <v/>
      </c>
      <c r="AC18" s="17">
        <f>IF(OR($AA18="",$AB18=""),"",$AB18-$AA18)</f>
        <v/>
      </c>
      <c r="AD18" s="13">
        <f>IF($A18="","",N(Items!I18))</f>
        <v/>
      </c>
      <c r="AE18" s="19">
        <f>IF($A18="","",$Y18*$AD18)</f>
        <v/>
      </c>
      <c r="AF18" s="10">
        <f>IF($A18="","",IF(N(Items!L18)&gt;0,"Y","N"))</f>
        <v/>
      </c>
      <c r="AG18" s="19">
        <f>IF($A18="","",IF($AF18="Y",N(Items!L18)*$AD18,0))</f>
        <v/>
      </c>
      <c r="AH18" s="19">
        <f>IF($A18="","",IF($AF18="Y",(N(Items!L18)-N(Items!K18))*$AD18,0))</f>
        <v/>
      </c>
      <c r="AI18" s="19">
        <f>IF($A18="","",IF($AF18="Y",$AH18-$AE18,0))</f>
        <v/>
      </c>
      <c r="AJ18" s="10">
        <f>IF($A18="","",IF(COUNTIF($AL$5:$AL$254,$AL18)&gt;1,"CHECK: duplicate item and import country",IF(TRIM(CLEAN(SUBSTITUTE(Items!C18&amp;""," "," ")))="","CHECK: import country missing",IF(AND(UPPER(TRIM(CLEAN(SUBSTITUTE(Items!C18&amp;""," "," "))))&lt;&gt;"US",UPPER(TRIM(CLEAN(SUBSTITUTE(Items!C18&amp;""," "," "))))&lt;&gt;"CA",UPPER(TRIM(CLEAN(SUBSTITUTE(Items!C18&amp;""," "," "))))&lt;&gt;"MX"),"CHECK: import country must be US, CA or MX",IF(NOT(AND(LEN($C18)=10,IFERROR(TEXT(VALUE($C18),REPT("0",LEN($C18)))=$C18,FALSE))),"CHECK: HTS must be 10 digits",IF(LEN($E18)&lt;&gt;2,"CHECK: origin code missing or not 2 letters",IF(TRIM(CLEAN(SUBSTITUTE(Items!G18&amp;""," "," ")))="","CHECK: unit of measure missing",IF(OR(Items!H18="",Items!J18="",Items!K18=""),"CHECK: value, rate or cost missing",IF(OR(NOT(ISNUMBER(Items!H18)),NOT(ISNUMBER(Items!J18)),NOT(ISNUMBER(Items!K18)),AND(Items!I18&lt;&gt;"",NOT(ISNUMBER(Items!I18))),AND(Items!L18&lt;&gt;"",NOT(ISNUMBER(Items!L18))),AND(Items!M18&lt;&gt;"",NOT(ISNUMBER(Items!M18)))),"CHECK: text in a number column",IF(AND(ISNUMBER(Items!M18),OR(N(Items!M18)&lt;0,N(Items!M18)&gt;1)),"CHECK: dutiable share must be 0% to 100%",IF(AND(UPPER(TRIM(CLEAN(SUBSTITUTE(Items!F18&amp;""," "," "))))&lt;&gt;"",UPPER(TRIM(CLEAN(SUBSTITUTE(Items!F18&amp;""," "," "))))&lt;&gt;"Y",UPPER(TRIM(CLEAN(SUBSTITUTE(Items!F18&amp;""," "," "))))&lt;&gt;"N"),"CHECK: USMCA flag must be Y, N or blank",IF(AND(UPPER(TRIM(CLEAN(SUBSTITUTE(Items!F18&amp;""," "," "))))="Y",$E18&lt;&gt;"US",$E18&lt;&gt;"CA",$E18&lt;&gt;"MX"),"CHECK: USMCA flag on an origin other than US, CA or MX",IF(AND($L18="Y",$AO18=0,NOT(ISNUMBER(act_Rate))),"CHECK: in scope but no rate (add a rate line or B15)",IF(AND($L18="Y",UPPER(TRIM(CLEAN(SUBSTITUTE(act_RateType&amp;""," "," "))))="REPLACE",NOT(ISNUMBER(act_PriorRate)),IF($AO18=0,TRUE,NOT(ISNUMBER(INDEX(rate_Prior,MOD($AO18,100)))))),"CHECK: REPLACE but no earlier rate (B17 or the rate line's AD)",IF(AND($L18="Y",$AP18&gt;1),"CHECK: two rate lines match equally",IF(AND($L18="Y",$AN18&gt;1),"CHECK: HTS prefix listed twice on the scope list",IF(AND($L18="Y",$P18="PART",NOT(ISNUMBER(Items!M18))),"CHECK: dutiable share missing (PART base)",IF(AND($L18="Y",$P18="FULL",ISNUMBER(Items!M18),N(Items!M18)&lt;&gt;1),"CHECK: dutiable share entered, but the rate taxes the full value",IF(AND($L18="Y",$Q18+0.0000001&lt;$T18*$S18+$U18),"CHECK: current rate is below the duty being replaced or displaced",IF(AND($L18="Y",$AD18=0),"NOTE: in scope, no quantity",IF(AND($L18="Y",$AF18="N"),"NOTE: in scope, no sell price (left out of margin %)",IF(AND($L18="Y",N(Items!H18)&gt;N(Items!K18)),"NOTE: customs value above standard cost (check unit of measure)",IF(AND($L18="Y",$Q18&gt;1),"NOTE: current rate above 100% (check it was entered as a percentage)","OK")))))))))))))))))))))))</f>
        <v/>
      </c>
      <c r="AK18" s="20">
        <f>IF($A18="","",IF(AND($L18="Y",$AE18&lt;&gt;0),ABS($AE18)+ROW()/1000000000,""))</f>
        <v/>
      </c>
      <c r="AL18" s="10">
        <f>IF($A18="","",UPPER($A18)&amp;"/"&amp;UPPER(TRIM(CLEAN(SUBSTITUTE(Items!C18&amp;""," "," ")))))</f>
        <v/>
      </c>
      <c r="AM18" s="13">
        <f>IF($A18="",0,SUMPRODUCT(MAX((scope_HTS&lt;&gt;"")*(LEFT($C18,LEN(scope_HTS))=scope_HTS)*(LEN(scope_HTS)*1000+ROW(scope_HTS)-4))))</f>
        <v/>
      </c>
      <c r="AN18" s="13">
        <f>IF($AM18=0,0,SUMPRODUCT((scope_HTS&lt;&gt;"")*(LEFT($C18,LEN(scope_HTS))=scope_HTS)*(LEN(scope_HTS)=INT($AM18/1000))))</f>
        <v/>
      </c>
      <c r="AO18" s="13">
        <f>IF($L18&lt;&gt;"Y",0,SUMPRODUCT(MAX(ISNUMBER(rate_Rate)*((UPPER(TRIM(CLEAN(SUBSTITUTE(rate_Group&amp;""," "," "))))="")+(UPPER(TRIM(CLEAN(SUBSTITUTE(rate_Group&amp;""," "," "))))=$N18)&gt;0)*((UPPER(TRIM(CLEAN(SUBSTITUTE(rate_COO&amp;""," "," "))))="")+(UPPER(TRIM(CLEAN(SUBSTITUTE(rate_COO&amp;""," "," "))))=$E18)&gt;0)*((UPPER(TRIM(CLEAN(SUBSTITUTE(rate_USMCA&amp;""," "," "))))="")+(UPPER(TRIM(CLEAN(SUBSTITUTE(rate_USMCA&amp;""," "," "))))=IF(UPPER(TRIM(CLEAN(SUBSTITUTE(Items!F18&amp;""," "," "))))="Y","Y","N"))&gt;0)*((1+(UPPER(TRIM(CLEAN(SUBSTITUTE(rate_Group&amp;""," "," "))))&lt;&gt;"")+2*(UPPER(TRIM(CLEAN(SUBSTITUTE(rate_USMCA&amp;""," "," "))))&lt;&gt;"")+4*(UPPER(TRIM(CLEAN(SUBSTITUTE(rate_COO&amp;""," "," "))))&lt;&gt;""))*100+ROW(rate_Rate)-4))))</f>
        <v/>
      </c>
      <c r="AP18" s="13">
        <f>IF($AO18=0,0,SUMPRODUCT(ISNUMBER(rate_Rate)*((UPPER(TRIM(CLEAN(SUBSTITUTE(rate_Group&amp;""," "," "))))="")+(UPPER(TRIM(CLEAN(SUBSTITUTE(rate_Group&amp;""," "," "))))=$N18)&gt;0)*((UPPER(TRIM(CLEAN(SUBSTITUTE(rate_COO&amp;""," "," "))))="")+(UPPER(TRIM(CLEAN(SUBSTITUTE(rate_COO&amp;""," "," "))))=$E18)&gt;0)*((UPPER(TRIM(CLEAN(SUBSTITUTE(rate_USMCA&amp;""," "," "))))="")+(UPPER(TRIM(CLEAN(SUBSTITUTE(rate_USMCA&amp;""," "," "))))=IF(UPPER(TRIM(CLEAN(SUBSTITUTE(Items!F18&amp;""," "," "))))="Y","Y","N"))&gt;0)*((1+(UPPER(TRIM(CLEAN(SUBSTITUTE(rate_Group&amp;""," "," "))))&lt;&gt;"")+2*(UPPER(TRIM(CLEAN(SUBSTITUTE(rate_USMCA&amp;""," "," "))))&lt;&gt;"")+4*(UPPER(TRIM(CLEAN(SUBSTITUTE(rate_COO&amp;""," "," "))))&lt;&gt;""))=INT($AO18/100))))</f>
        <v/>
      </c>
      <c r="AQ18" s="13">
        <f>IF($A18="",0,IFERROR(MATCH($AL18,det_Key,0),0))</f>
        <v/>
      </c>
    </row>
    <row r="19">
      <c r="A19" s="10">
        <f>IF(TRIM(CLEAN(SUBSTITUTE(Items!A19&amp;""," "," ")))="","",TRIM(CLEAN(SUBSTITUTE(Items!A19&amp;""," "," "))))</f>
        <v/>
      </c>
      <c r="B19" s="10">
        <f>IF($A19="","",Items!B19&amp;"")</f>
        <v/>
      </c>
      <c r="C19" s="10">
        <f>IF($A19="","",SUBSTITUTE(SUBSTITUTE(SUBSTITUTE(SUBSTITUTE(CLEAN(Items!D19&amp;"")," ",""),".","")," ",""),"-",""))</f>
        <v/>
      </c>
      <c r="D19" s="10">
        <f>IF($A19="","",LEFT($C19,2))</f>
        <v/>
      </c>
      <c r="E19" s="10">
        <f>IF($A19="","",UPPER(TRIM(CLEAN(SUBSTITUTE(Items!E19&amp;""," "," ")))))</f>
        <v/>
      </c>
      <c r="F19" s="10">
        <f>IF($A19="","",IF(UPPER(TRIM(CLEAN(SUBSTITUTE(Items!C19&amp;""," "," "))))=UPPER(TRIM(CLEAN(SUBSTITUTE(act_Country&amp;""," "," ")))),"Y","N"))</f>
        <v/>
      </c>
      <c r="G19" s="10">
        <f>IF($A19="","",IF($AM19&gt;0,"Y","N"))</f>
        <v/>
      </c>
      <c r="H19" s="10">
        <f>IF($A19="","",IF(SUMPRODUCT((excl_HTS&lt;&gt;"")*(LEFT($C19,LEN(excl_HTS))=excl_HTS))&gt;0,"Y","N"))</f>
        <v/>
      </c>
      <c r="I19" s="10">
        <f>IF($A19="","",IF($E19="","N",IF(SUMPRODUCT(--(UPPER(TRIM(CLEAN(SUBSTITUTE(scope_COO&amp;""," "," "))))=$E19))&gt;0,"Y","N")))</f>
        <v/>
      </c>
      <c r="J19" s="10">
        <f>IF($A19="","",IF(AND(UPPER(TRIM(CLEAN(SUBSTITUTE(act_USMCAExempt&amp;""," "," "))))="Y",UPPER(TRIM(CLEAN(SUBSTITUTE(Items!F19&amp;""," "," "))))="Y"),"Y","N"))</f>
        <v/>
      </c>
      <c r="K19" s="10">
        <f>IF($A19="","",IF($AQ19=0,"",UPPER(TRIM(CLEAN(SUBSTITUTE(INDEX(det_Status,$AQ19)&amp;""," "," "))))))</f>
        <v/>
      </c>
      <c r="L19" s="10">
        <f>IF($A19="","",IF($F19="N","N",IF($K19="IN","Y",IF($K19="OUT","N",IF(AND($G19="Y",$H19="N",$I19="Y",$J19="N"),"Y","N")))))</f>
        <v/>
      </c>
      <c r="M19" s="10">
        <f>IF($A19="","",IF($F19="N","Out: different import country",IF($K19="IN","In: Research determination",IF($K19="OUT","Out: Research determination",IF($G19="N","Out: HTS not on scope list",IF($H19="Y","Out: HTS on exclusion list",IF($I19="N","Out: origin not on scope list",IF($J19="Y","Out: USMCA-qualifying, exempt","In: matches scope rules"))))))))</f>
        <v/>
      </c>
      <c r="N19" s="10">
        <f>IF(OR($A19="",$AM19=0),"",UPPER(TRIM(CLEAN(SUBSTITUTE(INDEX(scope_Group,MOD($AM19,1000))&amp;""," "," ")))))</f>
        <v/>
      </c>
      <c r="O19" s="10">
        <f>IF($L19&lt;&gt;"Y","",IF($AO19=0,"Default (B15)",UPPER(TRIM(CLEAN(SUBSTITUTE(INDEX(rate_ID,MOD($AO19,100))&amp;""," "," "))))))</f>
        <v/>
      </c>
      <c r="P19" s="10">
        <f>IF($L19&lt;&gt;"Y","",IF($AO19=0,IF(UPPER(TRIM(CLEAN(SUBSTITUTE(act_DefaultBase&amp;""," "," "))))="PART","PART","FULL"),IF(UPPER(TRIM(CLEAN(SUBSTITUTE(INDEX(rate_Base,MOD($AO19,100))&amp;""," "," "))))="PART","PART","FULL")))</f>
        <v/>
      </c>
      <c r="Q19" s="17">
        <f>IF($A19="","",N(Items!J19))</f>
        <v/>
      </c>
      <c r="R19" s="17">
        <f>IF($A19="","",IF($L19&lt;&gt;"Y",0,IF($AO19=0,N(act_Rate),N(INDEX(rate_Rate,MOD($AO19,100))))))</f>
        <v/>
      </c>
      <c r="S19" s="17">
        <f>IF($A19="","",IF($L19&lt;&gt;"Y",0,IF($AO19=0,IF(UPPER(TRIM(CLEAN(SUBSTITUTE(act_RateType&amp;""," "," "))))="REPLACE",N(act_PriorRate),0),IF(ISNUMBER(INDEX(rate_Prior,MOD($AO19,100))),INDEX(rate_Prior,MOD($AO19,100)),IF(UPPER(TRIM(CLEAN(SUBSTITUTE(act_RateType&amp;""," "," "))))="REPLACE",N(act_PriorRate),0)))))</f>
        <v/>
      </c>
      <c r="T19" s="17">
        <f>IF($A19="","",IF(AND($L19="Y",$P19="PART",ISNUMBER(Items!M19)),Items!M19,1))</f>
        <v/>
      </c>
      <c r="U19" s="17">
        <f>IF($A19="","",IF($L19&lt;&gt;"Y",0,IF($AQ19&gt;0,IF(ISNUMBER(INDEX(det_Displaced,$AQ19)),INDEX(det_Displaced,$AQ19),IF($AO19=0,0,N(INDEX(rate_Displaced,MOD($AO19,100))))),IF($AO19=0,0,N(INDEX(rate_Displaced,MOD($AO19,100)))))))</f>
        <v/>
      </c>
      <c r="V19" s="17">
        <f>IF($A19="","",IF($L19="Y",$Q19+$T19*($R19-$S19)-$U19,$Q19))</f>
        <v/>
      </c>
      <c r="W19" s="18">
        <f>IF($A19="","",N(Items!H19)*$Q19)</f>
        <v/>
      </c>
      <c r="X19" s="18">
        <f>IF($A19="","",N(Items!H19)*$V19)</f>
        <v/>
      </c>
      <c r="Y19" s="18">
        <f>IF($A19="","",$X19-$W19)</f>
        <v/>
      </c>
      <c r="Z19" s="18">
        <f>IF($A19="","",N(Items!K19)+$Y19)</f>
        <v/>
      </c>
      <c r="AA19" s="17">
        <f>IF($A19="","",IF(N(Items!L19)=0,"",(N(Items!L19)-N(Items!K19))/N(Items!L19)))</f>
        <v/>
      </c>
      <c r="AB19" s="17">
        <f>IF($A19="","",IF(N(Items!L19)=0,"",(N(Items!L19)-$Z19)/N(Items!L19)))</f>
        <v/>
      </c>
      <c r="AC19" s="17">
        <f>IF(OR($AA19="",$AB19=""),"",$AB19-$AA19)</f>
        <v/>
      </c>
      <c r="AD19" s="13">
        <f>IF($A19="","",N(Items!I19))</f>
        <v/>
      </c>
      <c r="AE19" s="19">
        <f>IF($A19="","",$Y19*$AD19)</f>
        <v/>
      </c>
      <c r="AF19" s="10">
        <f>IF($A19="","",IF(N(Items!L19)&gt;0,"Y","N"))</f>
        <v/>
      </c>
      <c r="AG19" s="19">
        <f>IF($A19="","",IF($AF19="Y",N(Items!L19)*$AD19,0))</f>
        <v/>
      </c>
      <c r="AH19" s="19">
        <f>IF($A19="","",IF($AF19="Y",(N(Items!L19)-N(Items!K19))*$AD19,0))</f>
        <v/>
      </c>
      <c r="AI19" s="19">
        <f>IF($A19="","",IF($AF19="Y",$AH19-$AE19,0))</f>
        <v/>
      </c>
      <c r="AJ19" s="10">
        <f>IF($A19="","",IF(COUNTIF($AL$5:$AL$254,$AL19)&gt;1,"CHECK: duplicate item and import country",IF(TRIM(CLEAN(SUBSTITUTE(Items!C19&amp;""," "," ")))="","CHECK: import country missing",IF(AND(UPPER(TRIM(CLEAN(SUBSTITUTE(Items!C19&amp;""," "," "))))&lt;&gt;"US",UPPER(TRIM(CLEAN(SUBSTITUTE(Items!C19&amp;""," "," "))))&lt;&gt;"CA",UPPER(TRIM(CLEAN(SUBSTITUTE(Items!C19&amp;""," "," "))))&lt;&gt;"MX"),"CHECK: import country must be US, CA or MX",IF(NOT(AND(LEN($C19)=10,IFERROR(TEXT(VALUE($C19),REPT("0",LEN($C19)))=$C19,FALSE))),"CHECK: HTS must be 10 digits",IF(LEN($E19)&lt;&gt;2,"CHECK: origin code missing or not 2 letters",IF(TRIM(CLEAN(SUBSTITUTE(Items!G19&amp;""," "," ")))="","CHECK: unit of measure missing",IF(OR(Items!H19="",Items!J19="",Items!K19=""),"CHECK: value, rate or cost missing",IF(OR(NOT(ISNUMBER(Items!H19)),NOT(ISNUMBER(Items!J19)),NOT(ISNUMBER(Items!K19)),AND(Items!I19&lt;&gt;"",NOT(ISNUMBER(Items!I19))),AND(Items!L19&lt;&gt;"",NOT(ISNUMBER(Items!L19))),AND(Items!M19&lt;&gt;"",NOT(ISNUMBER(Items!M19)))),"CHECK: text in a number column",IF(AND(ISNUMBER(Items!M19),OR(N(Items!M19)&lt;0,N(Items!M19)&gt;1)),"CHECK: dutiable share must be 0% to 100%",IF(AND(UPPER(TRIM(CLEAN(SUBSTITUTE(Items!F19&amp;""," "," "))))&lt;&gt;"",UPPER(TRIM(CLEAN(SUBSTITUTE(Items!F19&amp;""," "," "))))&lt;&gt;"Y",UPPER(TRIM(CLEAN(SUBSTITUTE(Items!F19&amp;""," "," "))))&lt;&gt;"N"),"CHECK: USMCA flag must be Y, N or blank",IF(AND(UPPER(TRIM(CLEAN(SUBSTITUTE(Items!F19&amp;""," "," "))))="Y",$E19&lt;&gt;"US",$E19&lt;&gt;"CA",$E19&lt;&gt;"MX"),"CHECK: USMCA flag on an origin other than US, CA or MX",IF(AND($L19="Y",$AO19=0,NOT(ISNUMBER(act_Rate))),"CHECK: in scope but no rate (add a rate line or B15)",IF(AND($L19="Y",UPPER(TRIM(CLEAN(SUBSTITUTE(act_RateType&amp;""," "," "))))="REPLACE",NOT(ISNUMBER(act_PriorRate)),IF($AO19=0,TRUE,NOT(ISNUMBER(INDEX(rate_Prior,MOD($AO19,100)))))),"CHECK: REPLACE but no earlier rate (B17 or the rate line's AD)",IF(AND($L19="Y",$AP19&gt;1),"CHECK: two rate lines match equally",IF(AND($L19="Y",$AN19&gt;1),"CHECK: HTS prefix listed twice on the scope list",IF(AND($L19="Y",$P19="PART",NOT(ISNUMBER(Items!M19))),"CHECK: dutiable share missing (PART base)",IF(AND($L19="Y",$P19="FULL",ISNUMBER(Items!M19),N(Items!M19)&lt;&gt;1),"CHECK: dutiable share entered, but the rate taxes the full value",IF(AND($L19="Y",$Q19+0.0000001&lt;$T19*$S19+$U19),"CHECK: current rate is below the duty being replaced or displaced",IF(AND($L19="Y",$AD19=0),"NOTE: in scope, no quantity",IF(AND($L19="Y",$AF19="N"),"NOTE: in scope, no sell price (left out of margin %)",IF(AND($L19="Y",N(Items!H19)&gt;N(Items!K19)),"NOTE: customs value above standard cost (check unit of measure)",IF(AND($L19="Y",$Q19&gt;1),"NOTE: current rate above 100% (check it was entered as a percentage)","OK")))))))))))))))))))))))</f>
        <v/>
      </c>
      <c r="AK19" s="20">
        <f>IF($A19="","",IF(AND($L19="Y",$AE19&lt;&gt;0),ABS($AE19)+ROW()/1000000000,""))</f>
        <v/>
      </c>
      <c r="AL19" s="10">
        <f>IF($A19="","",UPPER($A19)&amp;"/"&amp;UPPER(TRIM(CLEAN(SUBSTITUTE(Items!C19&amp;""," "," ")))))</f>
        <v/>
      </c>
      <c r="AM19" s="13">
        <f>IF($A19="",0,SUMPRODUCT(MAX((scope_HTS&lt;&gt;"")*(LEFT($C19,LEN(scope_HTS))=scope_HTS)*(LEN(scope_HTS)*1000+ROW(scope_HTS)-4))))</f>
        <v/>
      </c>
      <c r="AN19" s="13">
        <f>IF($AM19=0,0,SUMPRODUCT((scope_HTS&lt;&gt;"")*(LEFT($C19,LEN(scope_HTS))=scope_HTS)*(LEN(scope_HTS)=INT($AM19/1000))))</f>
        <v/>
      </c>
      <c r="AO19" s="13">
        <f>IF($L19&lt;&gt;"Y",0,SUMPRODUCT(MAX(ISNUMBER(rate_Rate)*((UPPER(TRIM(CLEAN(SUBSTITUTE(rate_Group&amp;""," "," "))))="")+(UPPER(TRIM(CLEAN(SUBSTITUTE(rate_Group&amp;""," "," "))))=$N19)&gt;0)*((UPPER(TRIM(CLEAN(SUBSTITUTE(rate_COO&amp;""," "," "))))="")+(UPPER(TRIM(CLEAN(SUBSTITUTE(rate_COO&amp;""," "," "))))=$E19)&gt;0)*((UPPER(TRIM(CLEAN(SUBSTITUTE(rate_USMCA&amp;""," "," "))))="")+(UPPER(TRIM(CLEAN(SUBSTITUTE(rate_USMCA&amp;""," "," "))))=IF(UPPER(TRIM(CLEAN(SUBSTITUTE(Items!F19&amp;""," "," "))))="Y","Y","N"))&gt;0)*((1+(UPPER(TRIM(CLEAN(SUBSTITUTE(rate_Group&amp;""," "," "))))&lt;&gt;"")+2*(UPPER(TRIM(CLEAN(SUBSTITUTE(rate_USMCA&amp;""," "," "))))&lt;&gt;"")+4*(UPPER(TRIM(CLEAN(SUBSTITUTE(rate_COO&amp;""," "," "))))&lt;&gt;""))*100+ROW(rate_Rate)-4))))</f>
        <v/>
      </c>
      <c r="AP19" s="13">
        <f>IF($AO19=0,0,SUMPRODUCT(ISNUMBER(rate_Rate)*((UPPER(TRIM(CLEAN(SUBSTITUTE(rate_Group&amp;""," "," "))))="")+(UPPER(TRIM(CLEAN(SUBSTITUTE(rate_Group&amp;""," "," "))))=$N19)&gt;0)*((UPPER(TRIM(CLEAN(SUBSTITUTE(rate_COO&amp;""," "," "))))="")+(UPPER(TRIM(CLEAN(SUBSTITUTE(rate_COO&amp;""," "," "))))=$E19)&gt;0)*((UPPER(TRIM(CLEAN(SUBSTITUTE(rate_USMCA&amp;""," "," "))))="")+(UPPER(TRIM(CLEAN(SUBSTITUTE(rate_USMCA&amp;""," "," "))))=IF(UPPER(TRIM(CLEAN(SUBSTITUTE(Items!F19&amp;""," "," "))))="Y","Y","N"))&gt;0)*((1+(UPPER(TRIM(CLEAN(SUBSTITUTE(rate_Group&amp;""," "," "))))&lt;&gt;"")+2*(UPPER(TRIM(CLEAN(SUBSTITUTE(rate_USMCA&amp;""," "," "))))&lt;&gt;"")+4*(UPPER(TRIM(CLEAN(SUBSTITUTE(rate_COO&amp;""," "," "))))&lt;&gt;""))=INT($AO19/100))))</f>
        <v/>
      </c>
      <c r="AQ19" s="13">
        <f>IF($A19="",0,IFERROR(MATCH($AL19,det_Key,0),0))</f>
        <v/>
      </c>
    </row>
    <row r="20">
      <c r="A20" s="10">
        <f>IF(TRIM(CLEAN(SUBSTITUTE(Items!A20&amp;""," "," ")))="","",TRIM(CLEAN(SUBSTITUTE(Items!A20&amp;""," "," "))))</f>
        <v/>
      </c>
      <c r="B20" s="10">
        <f>IF($A20="","",Items!B20&amp;"")</f>
        <v/>
      </c>
      <c r="C20" s="10">
        <f>IF($A20="","",SUBSTITUTE(SUBSTITUTE(SUBSTITUTE(SUBSTITUTE(CLEAN(Items!D20&amp;"")," ",""),".","")," ",""),"-",""))</f>
        <v/>
      </c>
      <c r="D20" s="10">
        <f>IF($A20="","",LEFT($C20,2))</f>
        <v/>
      </c>
      <c r="E20" s="10">
        <f>IF($A20="","",UPPER(TRIM(CLEAN(SUBSTITUTE(Items!E20&amp;""," "," ")))))</f>
        <v/>
      </c>
      <c r="F20" s="10">
        <f>IF($A20="","",IF(UPPER(TRIM(CLEAN(SUBSTITUTE(Items!C20&amp;""," "," "))))=UPPER(TRIM(CLEAN(SUBSTITUTE(act_Country&amp;""," "," ")))),"Y","N"))</f>
        <v/>
      </c>
      <c r="G20" s="10">
        <f>IF($A20="","",IF($AM20&gt;0,"Y","N"))</f>
        <v/>
      </c>
      <c r="H20" s="10">
        <f>IF($A20="","",IF(SUMPRODUCT((excl_HTS&lt;&gt;"")*(LEFT($C20,LEN(excl_HTS))=excl_HTS))&gt;0,"Y","N"))</f>
        <v/>
      </c>
      <c r="I20" s="10">
        <f>IF($A20="","",IF($E20="","N",IF(SUMPRODUCT(--(UPPER(TRIM(CLEAN(SUBSTITUTE(scope_COO&amp;""," "," "))))=$E20))&gt;0,"Y","N")))</f>
        <v/>
      </c>
      <c r="J20" s="10">
        <f>IF($A20="","",IF(AND(UPPER(TRIM(CLEAN(SUBSTITUTE(act_USMCAExempt&amp;""," "," "))))="Y",UPPER(TRIM(CLEAN(SUBSTITUTE(Items!F20&amp;""," "," "))))="Y"),"Y","N"))</f>
        <v/>
      </c>
      <c r="K20" s="10">
        <f>IF($A20="","",IF($AQ20=0,"",UPPER(TRIM(CLEAN(SUBSTITUTE(INDEX(det_Status,$AQ20)&amp;""," "," "))))))</f>
        <v/>
      </c>
      <c r="L20" s="10">
        <f>IF($A20="","",IF($F20="N","N",IF($K20="IN","Y",IF($K20="OUT","N",IF(AND($G20="Y",$H20="N",$I20="Y",$J20="N"),"Y","N")))))</f>
        <v/>
      </c>
      <c r="M20" s="10">
        <f>IF($A20="","",IF($F20="N","Out: different import country",IF($K20="IN","In: Research determination",IF($K20="OUT","Out: Research determination",IF($G20="N","Out: HTS not on scope list",IF($H20="Y","Out: HTS on exclusion list",IF($I20="N","Out: origin not on scope list",IF($J20="Y","Out: USMCA-qualifying, exempt","In: matches scope rules"))))))))</f>
        <v/>
      </c>
      <c r="N20" s="10">
        <f>IF(OR($A20="",$AM20=0),"",UPPER(TRIM(CLEAN(SUBSTITUTE(INDEX(scope_Group,MOD($AM20,1000))&amp;""," "," ")))))</f>
        <v/>
      </c>
      <c r="O20" s="10">
        <f>IF($L20&lt;&gt;"Y","",IF($AO20=0,"Default (B15)",UPPER(TRIM(CLEAN(SUBSTITUTE(INDEX(rate_ID,MOD($AO20,100))&amp;""," "," "))))))</f>
        <v/>
      </c>
      <c r="P20" s="10">
        <f>IF($L20&lt;&gt;"Y","",IF($AO20=0,IF(UPPER(TRIM(CLEAN(SUBSTITUTE(act_DefaultBase&amp;""," "," "))))="PART","PART","FULL"),IF(UPPER(TRIM(CLEAN(SUBSTITUTE(INDEX(rate_Base,MOD($AO20,100))&amp;""," "," "))))="PART","PART","FULL")))</f>
        <v/>
      </c>
      <c r="Q20" s="17">
        <f>IF($A20="","",N(Items!J20))</f>
        <v/>
      </c>
      <c r="R20" s="17">
        <f>IF($A20="","",IF($L20&lt;&gt;"Y",0,IF($AO20=0,N(act_Rate),N(INDEX(rate_Rate,MOD($AO20,100))))))</f>
        <v/>
      </c>
      <c r="S20" s="17">
        <f>IF($A20="","",IF($L20&lt;&gt;"Y",0,IF($AO20=0,IF(UPPER(TRIM(CLEAN(SUBSTITUTE(act_RateType&amp;""," "," "))))="REPLACE",N(act_PriorRate),0),IF(ISNUMBER(INDEX(rate_Prior,MOD($AO20,100))),INDEX(rate_Prior,MOD($AO20,100)),IF(UPPER(TRIM(CLEAN(SUBSTITUTE(act_RateType&amp;""," "," "))))="REPLACE",N(act_PriorRate),0)))))</f>
        <v/>
      </c>
      <c r="T20" s="17">
        <f>IF($A20="","",IF(AND($L20="Y",$P20="PART",ISNUMBER(Items!M20)),Items!M20,1))</f>
        <v/>
      </c>
      <c r="U20" s="17">
        <f>IF($A20="","",IF($L20&lt;&gt;"Y",0,IF($AQ20&gt;0,IF(ISNUMBER(INDEX(det_Displaced,$AQ20)),INDEX(det_Displaced,$AQ20),IF($AO20=0,0,N(INDEX(rate_Displaced,MOD($AO20,100))))),IF($AO20=0,0,N(INDEX(rate_Displaced,MOD($AO20,100)))))))</f>
        <v/>
      </c>
      <c r="V20" s="17">
        <f>IF($A20="","",IF($L20="Y",$Q20+$T20*($R20-$S20)-$U20,$Q20))</f>
        <v/>
      </c>
      <c r="W20" s="18">
        <f>IF($A20="","",N(Items!H20)*$Q20)</f>
        <v/>
      </c>
      <c r="X20" s="18">
        <f>IF($A20="","",N(Items!H20)*$V20)</f>
        <v/>
      </c>
      <c r="Y20" s="18">
        <f>IF($A20="","",$X20-$W20)</f>
        <v/>
      </c>
      <c r="Z20" s="18">
        <f>IF($A20="","",N(Items!K20)+$Y20)</f>
        <v/>
      </c>
      <c r="AA20" s="17">
        <f>IF($A20="","",IF(N(Items!L20)=0,"",(N(Items!L20)-N(Items!K20))/N(Items!L20)))</f>
        <v/>
      </c>
      <c r="AB20" s="17">
        <f>IF($A20="","",IF(N(Items!L20)=0,"",(N(Items!L20)-$Z20)/N(Items!L20)))</f>
        <v/>
      </c>
      <c r="AC20" s="17">
        <f>IF(OR($AA20="",$AB20=""),"",$AB20-$AA20)</f>
        <v/>
      </c>
      <c r="AD20" s="13">
        <f>IF($A20="","",N(Items!I20))</f>
        <v/>
      </c>
      <c r="AE20" s="19">
        <f>IF($A20="","",$Y20*$AD20)</f>
        <v/>
      </c>
      <c r="AF20" s="10">
        <f>IF($A20="","",IF(N(Items!L20)&gt;0,"Y","N"))</f>
        <v/>
      </c>
      <c r="AG20" s="19">
        <f>IF($A20="","",IF($AF20="Y",N(Items!L20)*$AD20,0))</f>
        <v/>
      </c>
      <c r="AH20" s="19">
        <f>IF($A20="","",IF($AF20="Y",(N(Items!L20)-N(Items!K20))*$AD20,0))</f>
        <v/>
      </c>
      <c r="AI20" s="19">
        <f>IF($A20="","",IF($AF20="Y",$AH20-$AE20,0))</f>
        <v/>
      </c>
      <c r="AJ20" s="10">
        <f>IF($A20="","",IF(COUNTIF($AL$5:$AL$254,$AL20)&gt;1,"CHECK: duplicate item and import country",IF(TRIM(CLEAN(SUBSTITUTE(Items!C20&amp;""," "," ")))="","CHECK: import country missing",IF(AND(UPPER(TRIM(CLEAN(SUBSTITUTE(Items!C20&amp;""," "," "))))&lt;&gt;"US",UPPER(TRIM(CLEAN(SUBSTITUTE(Items!C20&amp;""," "," "))))&lt;&gt;"CA",UPPER(TRIM(CLEAN(SUBSTITUTE(Items!C20&amp;""," "," "))))&lt;&gt;"MX"),"CHECK: import country must be US, CA or MX",IF(NOT(AND(LEN($C20)=10,IFERROR(TEXT(VALUE($C20),REPT("0",LEN($C20)))=$C20,FALSE))),"CHECK: HTS must be 10 digits",IF(LEN($E20)&lt;&gt;2,"CHECK: origin code missing or not 2 letters",IF(TRIM(CLEAN(SUBSTITUTE(Items!G20&amp;""," "," ")))="","CHECK: unit of measure missing",IF(OR(Items!H20="",Items!J20="",Items!K20=""),"CHECK: value, rate or cost missing",IF(OR(NOT(ISNUMBER(Items!H20)),NOT(ISNUMBER(Items!J20)),NOT(ISNUMBER(Items!K20)),AND(Items!I20&lt;&gt;"",NOT(ISNUMBER(Items!I20))),AND(Items!L20&lt;&gt;"",NOT(ISNUMBER(Items!L20))),AND(Items!M20&lt;&gt;"",NOT(ISNUMBER(Items!M20)))),"CHECK: text in a number column",IF(AND(ISNUMBER(Items!M20),OR(N(Items!M20)&lt;0,N(Items!M20)&gt;1)),"CHECK: dutiable share must be 0% to 100%",IF(AND(UPPER(TRIM(CLEAN(SUBSTITUTE(Items!F20&amp;""," "," "))))&lt;&gt;"",UPPER(TRIM(CLEAN(SUBSTITUTE(Items!F20&amp;""," "," "))))&lt;&gt;"Y",UPPER(TRIM(CLEAN(SUBSTITUTE(Items!F20&amp;""," "," "))))&lt;&gt;"N"),"CHECK: USMCA flag must be Y, N or blank",IF(AND(UPPER(TRIM(CLEAN(SUBSTITUTE(Items!F20&amp;""," "," "))))="Y",$E20&lt;&gt;"US",$E20&lt;&gt;"CA",$E20&lt;&gt;"MX"),"CHECK: USMCA flag on an origin other than US, CA or MX",IF(AND($L20="Y",$AO20=0,NOT(ISNUMBER(act_Rate))),"CHECK: in scope but no rate (add a rate line or B15)",IF(AND($L20="Y",UPPER(TRIM(CLEAN(SUBSTITUTE(act_RateType&amp;""," "," "))))="REPLACE",NOT(ISNUMBER(act_PriorRate)),IF($AO20=0,TRUE,NOT(ISNUMBER(INDEX(rate_Prior,MOD($AO20,100)))))),"CHECK: REPLACE but no earlier rate (B17 or the rate line's AD)",IF(AND($L20="Y",$AP20&gt;1),"CHECK: two rate lines match equally",IF(AND($L20="Y",$AN20&gt;1),"CHECK: HTS prefix listed twice on the scope list",IF(AND($L20="Y",$P20="PART",NOT(ISNUMBER(Items!M20))),"CHECK: dutiable share missing (PART base)",IF(AND($L20="Y",$P20="FULL",ISNUMBER(Items!M20),N(Items!M20)&lt;&gt;1),"CHECK: dutiable share entered, but the rate taxes the full value",IF(AND($L20="Y",$Q20+0.0000001&lt;$T20*$S20+$U20),"CHECK: current rate is below the duty being replaced or displaced",IF(AND($L20="Y",$AD20=0),"NOTE: in scope, no quantity",IF(AND($L20="Y",$AF20="N"),"NOTE: in scope, no sell price (left out of margin %)",IF(AND($L20="Y",N(Items!H20)&gt;N(Items!K20)),"NOTE: customs value above standard cost (check unit of measure)",IF(AND($L20="Y",$Q20&gt;1),"NOTE: current rate above 100% (check it was entered as a percentage)","OK")))))))))))))))))))))))</f>
        <v/>
      </c>
      <c r="AK20" s="20">
        <f>IF($A20="","",IF(AND($L20="Y",$AE20&lt;&gt;0),ABS($AE20)+ROW()/1000000000,""))</f>
        <v/>
      </c>
      <c r="AL20" s="10">
        <f>IF($A20="","",UPPER($A20)&amp;"/"&amp;UPPER(TRIM(CLEAN(SUBSTITUTE(Items!C20&amp;""," "," ")))))</f>
        <v/>
      </c>
      <c r="AM20" s="13">
        <f>IF($A20="",0,SUMPRODUCT(MAX((scope_HTS&lt;&gt;"")*(LEFT($C20,LEN(scope_HTS))=scope_HTS)*(LEN(scope_HTS)*1000+ROW(scope_HTS)-4))))</f>
        <v/>
      </c>
      <c r="AN20" s="13">
        <f>IF($AM20=0,0,SUMPRODUCT((scope_HTS&lt;&gt;"")*(LEFT($C20,LEN(scope_HTS))=scope_HTS)*(LEN(scope_HTS)=INT($AM20/1000))))</f>
        <v/>
      </c>
      <c r="AO20" s="13">
        <f>IF($L20&lt;&gt;"Y",0,SUMPRODUCT(MAX(ISNUMBER(rate_Rate)*((UPPER(TRIM(CLEAN(SUBSTITUTE(rate_Group&amp;""," "," "))))="")+(UPPER(TRIM(CLEAN(SUBSTITUTE(rate_Group&amp;""," "," "))))=$N20)&gt;0)*((UPPER(TRIM(CLEAN(SUBSTITUTE(rate_COO&amp;""," "," "))))="")+(UPPER(TRIM(CLEAN(SUBSTITUTE(rate_COO&amp;""," "," "))))=$E20)&gt;0)*((UPPER(TRIM(CLEAN(SUBSTITUTE(rate_USMCA&amp;""," "," "))))="")+(UPPER(TRIM(CLEAN(SUBSTITUTE(rate_USMCA&amp;""," "," "))))=IF(UPPER(TRIM(CLEAN(SUBSTITUTE(Items!F20&amp;""," "," "))))="Y","Y","N"))&gt;0)*((1+(UPPER(TRIM(CLEAN(SUBSTITUTE(rate_Group&amp;""," "," "))))&lt;&gt;"")+2*(UPPER(TRIM(CLEAN(SUBSTITUTE(rate_USMCA&amp;""," "," "))))&lt;&gt;"")+4*(UPPER(TRIM(CLEAN(SUBSTITUTE(rate_COO&amp;""," "," "))))&lt;&gt;""))*100+ROW(rate_Rate)-4))))</f>
        <v/>
      </c>
      <c r="AP20" s="13">
        <f>IF($AO20=0,0,SUMPRODUCT(ISNUMBER(rate_Rate)*((UPPER(TRIM(CLEAN(SUBSTITUTE(rate_Group&amp;""," "," "))))="")+(UPPER(TRIM(CLEAN(SUBSTITUTE(rate_Group&amp;""," "," "))))=$N20)&gt;0)*((UPPER(TRIM(CLEAN(SUBSTITUTE(rate_COO&amp;""," "," "))))="")+(UPPER(TRIM(CLEAN(SUBSTITUTE(rate_COO&amp;""," "," "))))=$E20)&gt;0)*((UPPER(TRIM(CLEAN(SUBSTITUTE(rate_USMCA&amp;""," "," "))))="")+(UPPER(TRIM(CLEAN(SUBSTITUTE(rate_USMCA&amp;""," "," "))))=IF(UPPER(TRIM(CLEAN(SUBSTITUTE(Items!F20&amp;""," "," "))))="Y","Y","N"))&gt;0)*((1+(UPPER(TRIM(CLEAN(SUBSTITUTE(rate_Group&amp;""," "," "))))&lt;&gt;"")+2*(UPPER(TRIM(CLEAN(SUBSTITUTE(rate_USMCA&amp;""," "," "))))&lt;&gt;"")+4*(UPPER(TRIM(CLEAN(SUBSTITUTE(rate_COO&amp;""," "," "))))&lt;&gt;""))=INT($AO20/100))))</f>
        <v/>
      </c>
      <c r="AQ20" s="13">
        <f>IF($A20="",0,IFERROR(MATCH($AL20,det_Key,0),0))</f>
        <v/>
      </c>
    </row>
    <row r="21">
      <c r="A21" s="10">
        <f>IF(TRIM(CLEAN(SUBSTITUTE(Items!A21&amp;""," "," ")))="","",TRIM(CLEAN(SUBSTITUTE(Items!A21&amp;""," "," "))))</f>
        <v/>
      </c>
      <c r="B21" s="10">
        <f>IF($A21="","",Items!B21&amp;"")</f>
        <v/>
      </c>
      <c r="C21" s="10">
        <f>IF($A21="","",SUBSTITUTE(SUBSTITUTE(SUBSTITUTE(SUBSTITUTE(CLEAN(Items!D21&amp;"")," ",""),".","")," ",""),"-",""))</f>
        <v/>
      </c>
      <c r="D21" s="10">
        <f>IF($A21="","",LEFT($C21,2))</f>
        <v/>
      </c>
      <c r="E21" s="10">
        <f>IF($A21="","",UPPER(TRIM(CLEAN(SUBSTITUTE(Items!E21&amp;""," "," ")))))</f>
        <v/>
      </c>
      <c r="F21" s="10">
        <f>IF($A21="","",IF(UPPER(TRIM(CLEAN(SUBSTITUTE(Items!C21&amp;""," "," "))))=UPPER(TRIM(CLEAN(SUBSTITUTE(act_Country&amp;""," "," ")))),"Y","N"))</f>
        <v/>
      </c>
      <c r="G21" s="10">
        <f>IF($A21="","",IF($AM21&gt;0,"Y","N"))</f>
        <v/>
      </c>
      <c r="H21" s="10">
        <f>IF($A21="","",IF(SUMPRODUCT((excl_HTS&lt;&gt;"")*(LEFT($C21,LEN(excl_HTS))=excl_HTS))&gt;0,"Y","N"))</f>
        <v/>
      </c>
      <c r="I21" s="10">
        <f>IF($A21="","",IF($E21="","N",IF(SUMPRODUCT(--(UPPER(TRIM(CLEAN(SUBSTITUTE(scope_COO&amp;""," "," "))))=$E21))&gt;0,"Y","N")))</f>
        <v/>
      </c>
      <c r="J21" s="10">
        <f>IF($A21="","",IF(AND(UPPER(TRIM(CLEAN(SUBSTITUTE(act_USMCAExempt&amp;""," "," "))))="Y",UPPER(TRIM(CLEAN(SUBSTITUTE(Items!F21&amp;""," "," "))))="Y"),"Y","N"))</f>
        <v/>
      </c>
      <c r="K21" s="10">
        <f>IF($A21="","",IF($AQ21=0,"",UPPER(TRIM(CLEAN(SUBSTITUTE(INDEX(det_Status,$AQ21)&amp;""," "," "))))))</f>
        <v/>
      </c>
      <c r="L21" s="10">
        <f>IF($A21="","",IF($F21="N","N",IF($K21="IN","Y",IF($K21="OUT","N",IF(AND($G21="Y",$H21="N",$I21="Y",$J21="N"),"Y","N")))))</f>
        <v/>
      </c>
      <c r="M21" s="10">
        <f>IF($A21="","",IF($F21="N","Out: different import country",IF($K21="IN","In: Research determination",IF($K21="OUT","Out: Research determination",IF($G21="N","Out: HTS not on scope list",IF($H21="Y","Out: HTS on exclusion list",IF($I21="N","Out: origin not on scope list",IF($J21="Y","Out: USMCA-qualifying, exempt","In: matches scope rules"))))))))</f>
        <v/>
      </c>
      <c r="N21" s="10">
        <f>IF(OR($A21="",$AM21=0),"",UPPER(TRIM(CLEAN(SUBSTITUTE(INDEX(scope_Group,MOD($AM21,1000))&amp;""," "," ")))))</f>
        <v/>
      </c>
      <c r="O21" s="10">
        <f>IF($L21&lt;&gt;"Y","",IF($AO21=0,"Default (B15)",UPPER(TRIM(CLEAN(SUBSTITUTE(INDEX(rate_ID,MOD($AO21,100))&amp;""," "," "))))))</f>
        <v/>
      </c>
      <c r="P21" s="10">
        <f>IF($L21&lt;&gt;"Y","",IF($AO21=0,IF(UPPER(TRIM(CLEAN(SUBSTITUTE(act_DefaultBase&amp;""," "," "))))="PART","PART","FULL"),IF(UPPER(TRIM(CLEAN(SUBSTITUTE(INDEX(rate_Base,MOD($AO21,100))&amp;""," "," "))))="PART","PART","FULL")))</f>
        <v/>
      </c>
      <c r="Q21" s="17">
        <f>IF($A21="","",N(Items!J21))</f>
        <v/>
      </c>
      <c r="R21" s="17">
        <f>IF($A21="","",IF($L21&lt;&gt;"Y",0,IF($AO21=0,N(act_Rate),N(INDEX(rate_Rate,MOD($AO21,100))))))</f>
        <v/>
      </c>
      <c r="S21" s="17">
        <f>IF($A21="","",IF($L21&lt;&gt;"Y",0,IF($AO21=0,IF(UPPER(TRIM(CLEAN(SUBSTITUTE(act_RateType&amp;""," "," "))))="REPLACE",N(act_PriorRate),0),IF(ISNUMBER(INDEX(rate_Prior,MOD($AO21,100))),INDEX(rate_Prior,MOD($AO21,100)),IF(UPPER(TRIM(CLEAN(SUBSTITUTE(act_RateType&amp;""," "," "))))="REPLACE",N(act_PriorRate),0)))))</f>
        <v/>
      </c>
      <c r="T21" s="17">
        <f>IF($A21="","",IF(AND($L21="Y",$P21="PART",ISNUMBER(Items!M21)),Items!M21,1))</f>
        <v/>
      </c>
      <c r="U21" s="17">
        <f>IF($A21="","",IF($L21&lt;&gt;"Y",0,IF($AQ21&gt;0,IF(ISNUMBER(INDEX(det_Displaced,$AQ21)),INDEX(det_Displaced,$AQ21),IF($AO21=0,0,N(INDEX(rate_Displaced,MOD($AO21,100))))),IF($AO21=0,0,N(INDEX(rate_Displaced,MOD($AO21,100)))))))</f>
        <v/>
      </c>
      <c r="V21" s="17">
        <f>IF($A21="","",IF($L21="Y",$Q21+$T21*($R21-$S21)-$U21,$Q21))</f>
        <v/>
      </c>
      <c r="W21" s="18">
        <f>IF($A21="","",N(Items!H21)*$Q21)</f>
        <v/>
      </c>
      <c r="X21" s="18">
        <f>IF($A21="","",N(Items!H21)*$V21)</f>
        <v/>
      </c>
      <c r="Y21" s="18">
        <f>IF($A21="","",$X21-$W21)</f>
        <v/>
      </c>
      <c r="Z21" s="18">
        <f>IF($A21="","",N(Items!K21)+$Y21)</f>
        <v/>
      </c>
      <c r="AA21" s="17">
        <f>IF($A21="","",IF(N(Items!L21)=0,"",(N(Items!L21)-N(Items!K21))/N(Items!L21)))</f>
        <v/>
      </c>
      <c r="AB21" s="17">
        <f>IF($A21="","",IF(N(Items!L21)=0,"",(N(Items!L21)-$Z21)/N(Items!L21)))</f>
        <v/>
      </c>
      <c r="AC21" s="17">
        <f>IF(OR($AA21="",$AB21=""),"",$AB21-$AA21)</f>
        <v/>
      </c>
      <c r="AD21" s="13">
        <f>IF($A21="","",N(Items!I21))</f>
        <v/>
      </c>
      <c r="AE21" s="19">
        <f>IF($A21="","",$Y21*$AD21)</f>
        <v/>
      </c>
      <c r="AF21" s="10">
        <f>IF($A21="","",IF(N(Items!L21)&gt;0,"Y","N"))</f>
        <v/>
      </c>
      <c r="AG21" s="19">
        <f>IF($A21="","",IF($AF21="Y",N(Items!L21)*$AD21,0))</f>
        <v/>
      </c>
      <c r="AH21" s="19">
        <f>IF($A21="","",IF($AF21="Y",(N(Items!L21)-N(Items!K21))*$AD21,0))</f>
        <v/>
      </c>
      <c r="AI21" s="19">
        <f>IF($A21="","",IF($AF21="Y",$AH21-$AE21,0))</f>
        <v/>
      </c>
      <c r="AJ21" s="10">
        <f>IF($A21="","",IF(COUNTIF($AL$5:$AL$254,$AL21)&gt;1,"CHECK: duplicate item and import country",IF(TRIM(CLEAN(SUBSTITUTE(Items!C21&amp;""," "," ")))="","CHECK: import country missing",IF(AND(UPPER(TRIM(CLEAN(SUBSTITUTE(Items!C21&amp;""," "," "))))&lt;&gt;"US",UPPER(TRIM(CLEAN(SUBSTITUTE(Items!C21&amp;""," "," "))))&lt;&gt;"CA",UPPER(TRIM(CLEAN(SUBSTITUTE(Items!C21&amp;""," "," "))))&lt;&gt;"MX"),"CHECK: import country must be US, CA or MX",IF(NOT(AND(LEN($C21)=10,IFERROR(TEXT(VALUE($C21),REPT("0",LEN($C21)))=$C21,FALSE))),"CHECK: HTS must be 10 digits",IF(LEN($E21)&lt;&gt;2,"CHECK: origin code missing or not 2 letters",IF(TRIM(CLEAN(SUBSTITUTE(Items!G21&amp;""," "," ")))="","CHECK: unit of measure missing",IF(OR(Items!H21="",Items!J21="",Items!K21=""),"CHECK: value, rate or cost missing",IF(OR(NOT(ISNUMBER(Items!H21)),NOT(ISNUMBER(Items!J21)),NOT(ISNUMBER(Items!K21)),AND(Items!I21&lt;&gt;"",NOT(ISNUMBER(Items!I21))),AND(Items!L21&lt;&gt;"",NOT(ISNUMBER(Items!L21))),AND(Items!M21&lt;&gt;"",NOT(ISNUMBER(Items!M21)))),"CHECK: text in a number column",IF(AND(ISNUMBER(Items!M21),OR(N(Items!M21)&lt;0,N(Items!M21)&gt;1)),"CHECK: dutiable share must be 0% to 100%",IF(AND(UPPER(TRIM(CLEAN(SUBSTITUTE(Items!F21&amp;""," "," "))))&lt;&gt;"",UPPER(TRIM(CLEAN(SUBSTITUTE(Items!F21&amp;""," "," "))))&lt;&gt;"Y",UPPER(TRIM(CLEAN(SUBSTITUTE(Items!F21&amp;""," "," "))))&lt;&gt;"N"),"CHECK: USMCA flag must be Y, N or blank",IF(AND(UPPER(TRIM(CLEAN(SUBSTITUTE(Items!F21&amp;""," "," "))))="Y",$E21&lt;&gt;"US",$E21&lt;&gt;"CA",$E21&lt;&gt;"MX"),"CHECK: USMCA flag on an origin other than US, CA or MX",IF(AND($L21="Y",$AO21=0,NOT(ISNUMBER(act_Rate))),"CHECK: in scope but no rate (add a rate line or B15)",IF(AND($L21="Y",UPPER(TRIM(CLEAN(SUBSTITUTE(act_RateType&amp;""," "," "))))="REPLACE",NOT(ISNUMBER(act_PriorRate)),IF($AO21=0,TRUE,NOT(ISNUMBER(INDEX(rate_Prior,MOD($AO21,100)))))),"CHECK: REPLACE but no earlier rate (B17 or the rate line's AD)",IF(AND($L21="Y",$AP21&gt;1),"CHECK: two rate lines match equally",IF(AND($L21="Y",$AN21&gt;1),"CHECK: HTS prefix listed twice on the scope list",IF(AND($L21="Y",$P21="PART",NOT(ISNUMBER(Items!M21))),"CHECK: dutiable share missing (PART base)",IF(AND($L21="Y",$P21="FULL",ISNUMBER(Items!M21),N(Items!M21)&lt;&gt;1),"CHECK: dutiable share entered, but the rate taxes the full value",IF(AND($L21="Y",$Q21+0.0000001&lt;$T21*$S21+$U21),"CHECK: current rate is below the duty being replaced or displaced",IF(AND($L21="Y",$AD21=0),"NOTE: in scope, no quantity",IF(AND($L21="Y",$AF21="N"),"NOTE: in scope, no sell price (left out of margin %)",IF(AND($L21="Y",N(Items!H21)&gt;N(Items!K21)),"NOTE: customs value above standard cost (check unit of measure)",IF(AND($L21="Y",$Q21&gt;1),"NOTE: current rate above 100% (check it was entered as a percentage)","OK")))))))))))))))))))))))</f>
        <v/>
      </c>
      <c r="AK21" s="20">
        <f>IF($A21="","",IF(AND($L21="Y",$AE21&lt;&gt;0),ABS($AE21)+ROW()/1000000000,""))</f>
        <v/>
      </c>
      <c r="AL21" s="10">
        <f>IF($A21="","",UPPER($A21)&amp;"/"&amp;UPPER(TRIM(CLEAN(SUBSTITUTE(Items!C21&amp;""," "," ")))))</f>
        <v/>
      </c>
      <c r="AM21" s="13">
        <f>IF($A21="",0,SUMPRODUCT(MAX((scope_HTS&lt;&gt;"")*(LEFT($C21,LEN(scope_HTS))=scope_HTS)*(LEN(scope_HTS)*1000+ROW(scope_HTS)-4))))</f>
        <v/>
      </c>
      <c r="AN21" s="13">
        <f>IF($AM21=0,0,SUMPRODUCT((scope_HTS&lt;&gt;"")*(LEFT($C21,LEN(scope_HTS))=scope_HTS)*(LEN(scope_HTS)=INT($AM21/1000))))</f>
        <v/>
      </c>
      <c r="AO21" s="13">
        <f>IF($L21&lt;&gt;"Y",0,SUMPRODUCT(MAX(ISNUMBER(rate_Rate)*((UPPER(TRIM(CLEAN(SUBSTITUTE(rate_Group&amp;""," "," "))))="")+(UPPER(TRIM(CLEAN(SUBSTITUTE(rate_Group&amp;""," "," "))))=$N21)&gt;0)*((UPPER(TRIM(CLEAN(SUBSTITUTE(rate_COO&amp;""," "," "))))="")+(UPPER(TRIM(CLEAN(SUBSTITUTE(rate_COO&amp;""," "," "))))=$E21)&gt;0)*((UPPER(TRIM(CLEAN(SUBSTITUTE(rate_USMCA&amp;""," "," "))))="")+(UPPER(TRIM(CLEAN(SUBSTITUTE(rate_USMCA&amp;""," "," "))))=IF(UPPER(TRIM(CLEAN(SUBSTITUTE(Items!F21&amp;""," "," "))))="Y","Y","N"))&gt;0)*((1+(UPPER(TRIM(CLEAN(SUBSTITUTE(rate_Group&amp;""," "," "))))&lt;&gt;"")+2*(UPPER(TRIM(CLEAN(SUBSTITUTE(rate_USMCA&amp;""," "," "))))&lt;&gt;"")+4*(UPPER(TRIM(CLEAN(SUBSTITUTE(rate_COO&amp;""," "," "))))&lt;&gt;""))*100+ROW(rate_Rate)-4))))</f>
        <v/>
      </c>
      <c r="AP21" s="13">
        <f>IF($AO21=0,0,SUMPRODUCT(ISNUMBER(rate_Rate)*((UPPER(TRIM(CLEAN(SUBSTITUTE(rate_Group&amp;""," "," "))))="")+(UPPER(TRIM(CLEAN(SUBSTITUTE(rate_Group&amp;""," "," "))))=$N21)&gt;0)*((UPPER(TRIM(CLEAN(SUBSTITUTE(rate_COO&amp;""," "," "))))="")+(UPPER(TRIM(CLEAN(SUBSTITUTE(rate_COO&amp;""," "," "))))=$E21)&gt;0)*((UPPER(TRIM(CLEAN(SUBSTITUTE(rate_USMCA&amp;""," "," "))))="")+(UPPER(TRIM(CLEAN(SUBSTITUTE(rate_USMCA&amp;""," "," "))))=IF(UPPER(TRIM(CLEAN(SUBSTITUTE(Items!F21&amp;""," "," "))))="Y","Y","N"))&gt;0)*((1+(UPPER(TRIM(CLEAN(SUBSTITUTE(rate_Group&amp;""," "," "))))&lt;&gt;"")+2*(UPPER(TRIM(CLEAN(SUBSTITUTE(rate_USMCA&amp;""," "," "))))&lt;&gt;"")+4*(UPPER(TRIM(CLEAN(SUBSTITUTE(rate_COO&amp;""," "," "))))&lt;&gt;""))=INT($AO21/100))))</f>
        <v/>
      </c>
      <c r="AQ21" s="13">
        <f>IF($A21="",0,IFERROR(MATCH($AL21,det_Key,0),0))</f>
        <v/>
      </c>
    </row>
    <row r="22">
      <c r="A22" s="10">
        <f>IF(TRIM(CLEAN(SUBSTITUTE(Items!A22&amp;""," "," ")))="","",TRIM(CLEAN(SUBSTITUTE(Items!A22&amp;""," "," "))))</f>
        <v/>
      </c>
      <c r="B22" s="10">
        <f>IF($A22="","",Items!B22&amp;"")</f>
        <v/>
      </c>
      <c r="C22" s="10">
        <f>IF($A22="","",SUBSTITUTE(SUBSTITUTE(SUBSTITUTE(SUBSTITUTE(CLEAN(Items!D22&amp;"")," ",""),".","")," ",""),"-",""))</f>
        <v/>
      </c>
      <c r="D22" s="10">
        <f>IF($A22="","",LEFT($C22,2))</f>
        <v/>
      </c>
      <c r="E22" s="10">
        <f>IF($A22="","",UPPER(TRIM(CLEAN(SUBSTITUTE(Items!E22&amp;""," "," ")))))</f>
        <v/>
      </c>
      <c r="F22" s="10">
        <f>IF($A22="","",IF(UPPER(TRIM(CLEAN(SUBSTITUTE(Items!C22&amp;""," "," "))))=UPPER(TRIM(CLEAN(SUBSTITUTE(act_Country&amp;""," "," ")))),"Y","N"))</f>
        <v/>
      </c>
      <c r="G22" s="10">
        <f>IF($A22="","",IF($AM22&gt;0,"Y","N"))</f>
        <v/>
      </c>
      <c r="H22" s="10">
        <f>IF($A22="","",IF(SUMPRODUCT((excl_HTS&lt;&gt;"")*(LEFT($C22,LEN(excl_HTS))=excl_HTS))&gt;0,"Y","N"))</f>
        <v/>
      </c>
      <c r="I22" s="10">
        <f>IF($A22="","",IF($E22="","N",IF(SUMPRODUCT(--(UPPER(TRIM(CLEAN(SUBSTITUTE(scope_COO&amp;""," "," "))))=$E22))&gt;0,"Y","N")))</f>
        <v/>
      </c>
      <c r="J22" s="10">
        <f>IF($A22="","",IF(AND(UPPER(TRIM(CLEAN(SUBSTITUTE(act_USMCAExempt&amp;""," "," "))))="Y",UPPER(TRIM(CLEAN(SUBSTITUTE(Items!F22&amp;""," "," "))))="Y"),"Y","N"))</f>
        <v/>
      </c>
      <c r="K22" s="10">
        <f>IF($A22="","",IF($AQ22=0,"",UPPER(TRIM(CLEAN(SUBSTITUTE(INDEX(det_Status,$AQ22)&amp;""," "," "))))))</f>
        <v/>
      </c>
      <c r="L22" s="10">
        <f>IF($A22="","",IF($F22="N","N",IF($K22="IN","Y",IF($K22="OUT","N",IF(AND($G22="Y",$H22="N",$I22="Y",$J22="N"),"Y","N")))))</f>
        <v/>
      </c>
      <c r="M22" s="10">
        <f>IF($A22="","",IF($F22="N","Out: different import country",IF($K22="IN","In: Research determination",IF($K22="OUT","Out: Research determination",IF($G22="N","Out: HTS not on scope list",IF($H22="Y","Out: HTS on exclusion list",IF($I22="N","Out: origin not on scope list",IF($J22="Y","Out: USMCA-qualifying, exempt","In: matches scope rules"))))))))</f>
        <v/>
      </c>
      <c r="N22" s="10">
        <f>IF(OR($A22="",$AM22=0),"",UPPER(TRIM(CLEAN(SUBSTITUTE(INDEX(scope_Group,MOD($AM22,1000))&amp;""," "," ")))))</f>
        <v/>
      </c>
      <c r="O22" s="10">
        <f>IF($L22&lt;&gt;"Y","",IF($AO22=0,"Default (B15)",UPPER(TRIM(CLEAN(SUBSTITUTE(INDEX(rate_ID,MOD($AO22,100))&amp;""," "," "))))))</f>
        <v/>
      </c>
      <c r="P22" s="10">
        <f>IF($L22&lt;&gt;"Y","",IF($AO22=0,IF(UPPER(TRIM(CLEAN(SUBSTITUTE(act_DefaultBase&amp;""," "," "))))="PART","PART","FULL"),IF(UPPER(TRIM(CLEAN(SUBSTITUTE(INDEX(rate_Base,MOD($AO22,100))&amp;""," "," "))))="PART","PART","FULL")))</f>
        <v/>
      </c>
      <c r="Q22" s="17">
        <f>IF($A22="","",N(Items!J22))</f>
        <v/>
      </c>
      <c r="R22" s="17">
        <f>IF($A22="","",IF($L22&lt;&gt;"Y",0,IF($AO22=0,N(act_Rate),N(INDEX(rate_Rate,MOD($AO22,100))))))</f>
        <v/>
      </c>
      <c r="S22" s="17">
        <f>IF($A22="","",IF($L22&lt;&gt;"Y",0,IF($AO22=0,IF(UPPER(TRIM(CLEAN(SUBSTITUTE(act_RateType&amp;""," "," "))))="REPLACE",N(act_PriorRate),0),IF(ISNUMBER(INDEX(rate_Prior,MOD($AO22,100))),INDEX(rate_Prior,MOD($AO22,100)),IF(UPPER(TRIM(CLEAN(SUBSTITUTE(act_RateType&amp;""," "," "))))="REPLACE",N(act_PriorRate),0)))))</f>
        <v/>
      </c>
      <c r="T22" s="17">
        <f>IF($A22="","",IF(AND($L22="Y",$P22="PART",ISNUMBER(Items!M22)),Items!M22,1))</f>
        <v/>
      </c>
      <c r="U22" s="17">
        <f>IF($A22="","",IF($L22&lt;&gt;"Y",0,IF($AQ22&gt;0,IF(ISNUMBER(INDEX(det_Displaced,$AQ22)),INDEX(det_Displaced,$AQ22),IF($AO22=0,0,N(INDEX(rate_Displaced,MOD($AO22,100))))),IF($AO22=0,0,N(INDEX(rate_Displaced,MOD($AO22,100)))))))</f>
        <v/>
      </c>
      <c r="V22" s="17">
        <f>IF($A22="","",IF($L22="Y",$Q22+$T22*($R22-$S22)-$U22,$Q22))</f>
        <v/>
      </c>
      <c r="W22" s="18">
        <f>IF($A22="","",N(Items!H22)*$Q22)</f>
        <v/>
      </c>
      <c r="X22" s="18">
        <f>IF($A22="","",N(Items!H22)*$V22)</f>
        <v/>
      </c>
      <c r="Y22" s="18">
        <f>IF($A22="","",$X22-$W22)</f>
        <v/>
      </c>
      <c r="Z22" s="18">
        <f>IF($A22="","",N(Items!K22)+$Y22)</f>
        <v/>
      </c>
      <c r="AA22" s="17">
        <f>IF($A22="","",IF(N(Items!L22)=0,"",(N(Items!L22)-N(Items!K22))/N(Items!L22)))</f>
        <v/>
      </c>
      <c r="AB22" s="17">
        <f>IF($A22="","",IF(N(Items!L22)=0,"",(N(Items!L22)-$Z22)/N(Items!L22)))</f>
        <v/>
      </c>
      <c r="AC22" s="17">
        <f>IF(OR($AA22="",$AB22=""),"",$AB22-$AA22)</f>
        <v/>
      </c>
      <c r="AD22" s="13">
        <f>IF($A22="","",N(Items!I22))</f>
        <v/>
      </c>
      <c r="AE22" s="19">
        <f>IF($A22="","",$Y22*$AD22)</f>
        <v/>
      </c>
      <c r="AF22" s="10">
        <f>IF($A22="","",IF(N(Items!L22)&gt;0,"Y","N"))</f>
        <v/>
      </c>
      <c r="AG22" s="19">
        <f>IF($A22="","",IF($AF22="Y",N(Items!L22)*$AD22,0))</f>
        <v/>
      </c>
      <c r="AH22" s="19">
        <f>IF($A22="","",IF($AF22="Y",(N(Items!L22)-N(Items!K22))*$AD22,0))</f>
        <v/>
      </c>
      <c r="AI22" s="19">
        <f>IF($A22="","",IF($AF22="Y",$AH22-$AE22,0))</f>
        <v/>
      </c>
      <c r="AJ22" s="10">
        <f>IF($A22="","",IF(COUNTIF($AL$5:$AL$254,$AL22)&gt;1,"CHECK: duplicate item and import country",IF(TRIM(CLEAN(SUBSTITUTE(Items!C22&amp;""," "," ")))="","CHECK: import country missing",IF(AND(UPPER(TRIM(CLEAN(SUBSTITUTE(Items!C22&amp;""," "," "))))&lt;&gt;"US",UPPER(TRIM(CLEAN(SUBSTITUTE(Items!C22&amp;""," "," "))))&lt;&gt;"CA",UPPER(TRIM(CLEAN(SUBSTITUTE(Items!C22&amp;""," "," "))))&lt;&gt;"MX"),"CHECK: import country must be US, CA or MX",IF(NOT(AND(LEN($C22)=10,IFERROR(TEXT(VALUE($C22),REPT("0",LEN($C22)))=$C22,FALSE))),"CHECK: HTS must be 10 digits",IF(LEN($E22)&lt;&gt;2,"CHECK: origin code missing or not 2 letters",IF(TRIM(CLEAN(SUBSTITUTE(Items!G22&amp;""," "," ")))="","CHECK: unit of measure missing",IF(OR(Items!H22="",Items!J22="",Items!K22=""),"CHECK: value, rate or cost missing",IF(OR(NOT(ISNUMBER(Items!H22)),NOT(ISNUMBER(Items!J22)),NOT(ISNUMBER(Items!K22)),AND(Items!I22&lt;&gt;"",NOT(ISNUMBER(Items!I22))),AND(Items!L22&lt;&gt;"",NOT(ISNUMBER(Items!L22))),AND(Items!M22&lt;&gt;"",NOT(ISNUMBER(Items!M22)))),"CHECK: text in a number column",IF(AND(ISNUMBER(Items!M22),OR(N(Items!M22)&lt;0,N(Items!M22)&gt;1)),"CHECK: dutiable share must be 0% to 100%",IF(AND(UPPER(TRIM(CLEAN(SUBSTITUTE(Items!F22&amp;""," "," "))))&lt;&gt;"",UPPER(TRIM(CLEAN(SUBSTITUTE(Items!F22&amp;""," "," "))))&lt;&gt;"Y",UPPER(TRIM(CLEAN(SUBSTITUTE(Items!F22&amp;""," "," "))))&lt;&gt;"N"),"CHECK: USMCA flag must be Y, N or blank",IF(AND(UPPER(TRIM(CLEAN(SUBSTITUTE(Items!F22&amp;""," "," "))))="Y",$E22&lt;&gt;"US",$E22&lt;&gt;"CA",$E22&lt;&gt;"MX"),"CHECK: USMCA flag on an origin other than US, CA or MX",IF(AND($L22="Y",$AO22=0,NOT(ISNUMBER(act_Rate))),"CHECK: in scope but no rate (add a rate line or B15)",IF(AND($L22="Y",UPPER(TRIM(CLEAN(SUBSTITUTE(act_RateType&amp;""," "," "))))="REPLACE",NOT(ISNUMBER(act_PriorRate)),IF($AO22=0,TRUE,NOT(ISNUMBER(INDEX(rate_Prior,MOD($AO22,100)))))),"CHECK: REPLACE but no earlier rate (B17 or the rate line's AD)",IF(AND($L22="Y",$AP22&gt;1),"CHECK: two rate lines match equally",IF(AND($L22="Y",$AN22&gt;1),"CHECK: HTS prefix listed twice on the scope list",IF(AND($L22="Y",$P22="PART",NOT(ISNUMBER(Items!M22))),"CHECK: dutiable share missing (PART base)",IF(AND($L22="Y",$P22="FULL",ISNUMBER(Items!M22),N(Items!M22)&lt;&gt;1),"CHECK: dutiable share entered, but the rate taxes the full value",IF(AND($L22="Y",$Q22+0.0000001&lt;$T22*$S22+$U22),"CHECK: current rate is below the duty being replaced or displaced",IF(AND($L22="Y",$AD22=0),"NOTE: in scope, no quantity",IF(AND($L22="Y",$AF22="N"),"NOTE: in scope, no sell price (left out of margin %)",IF(AND($L22="Y",N(Items!H22)&gt;N(Items!K22)),"NOTE: customs value above standard cost (check unit of measure)",IF(AND($L22="Y",$Q22&gt;1),"NOTE: current rate above 100% (check it was entered as a percentage)","OK")))))))))))))))))))))))</f>
        <v/>
      </c>
      <c r="AK22" s="20">
        <f>IF($A22="","",IF(AND($L22="Y",$AE22&lt;&gt;0),ABS($AE22)+ROW()/1000000000,""))</f>
        <v/>
      </c>
      <c r="AL22" s="10">
        <f>IF($A22="","",UPPER($A22)&amp;"/"&amp;UPPER(TRIM(CLEAN(SUBSTITUTE(Items!C22&amp;""," "," ")))))</f>
        <v/>
      </c>
      <c r="AM22" s="13">
        <f>IF($A22="",0,SUMPRODUCT(MAX((scope_HTS&lt;&gt;"")*(LEFT($C22,LEN(scope_HTS))=scope_HTS)*(LEN(scope_HTS)*1000+ROW(scope_HTS)-4))))</f>
        <v/>
      </c>
      <c r="AN22" s="13">
        <f>IF($AM22=0,0,SUMPRODUCT((scope_HTS&lt;&gt;"")*(LEFT($C22,LEN(scope_HTS))=scope_HTS)*(LEN(scope_HTS)=INT($AM22/1000))))</f>
        <v/>
      </c>
      <c r="AO22" s="13">
        <f>IF($L22&lt;&gt;"Y",0,SUMPRODUCT(MAX(ISNUMBER(rate_Rate)*((UPPER(TRIM(CLEAN(SUBSTITUTE(rate_Group&amp;""," "," "))))="")+(UPPER(TRIM(CLEAN(SUBSTITUTE(rate_Group&amp;""," "," "))))=$N22)&gt;0)*((UPPER(TRIM(CLEAN(SUBSTITUTE(rate_COO&amp;""," "," "))))="")+(UPPER(TRIM(CLEAN(SUBSTITUTE(rate_COO&amp;""," "," "))))=$E22)&gt;0)*((UPPER(TRIM(CLEAN(SUBSTITUTE(rate_USMCA&amp;""," "," "))))="")+(UPPER(TRIM(CLEAN(SUBSTITUTE(rate_USMCA&amp;""," "," "))))=IF(UPPER(TRIM(CLEAN(SUBSTITUTE(Items!F22&amp;""," "," "))))="Y","Y","N"))&gt;0)*((1+(UPPER(TRIM(CLEAN(SUBSTITUTE(rate_Group&amp;""," "," "))))&lt;&gt;"")+2*(UPPER(TRIM(CLEAN(SUBSTITUTE(rate_USMCA&amp;""," "," "))))&lt;&gt;"")+4*(UPPER(TRIM(CLEAN(SUBSTITUTE(rate_COO&amp;""," "," "))))&lt;&gt;""))*100+ROW(rate_Rate)-4))))</f>
        <v/>
      </c>
      <c r="AP22" s="13">
        <f>IF($AO22=0,0,SUMPRODUCT(ISNUMBER(rate_Rate)*((UPPER(TRIM(CLEAN(SUBSTITUTE(rate_Group&amp;""," "," "))))="")+(UPPER(TRIM(CLEAN(SUBSTITUTE(rate_Group&amp;""," "," "))))=$N22)&gt;0)*((UPPER(TRIM(CLEAN(SUBSTITUTE(rate_COO&amp;""," "," "))))="")+(UPPER(TRIM(CLEAN(SUBSTITUTE(rate_COO&amp;""," "," "))))=$E22)&gt;0)*((UPPER(TRIM(CLEAN(SUBSTITUTE(rate_USMCA&amp;""," "," "))))="")+(UPPER(TRIM(CLEAN(SUBSTITUTE(rate_USMCA&amp;""," "," "))))=IF(UPPER(TRIM(CLEAN(SUBSTITUTE(Items!F22&amp;""," "," "))))="Y","Y","N"))&gt;0)*((1+(UPPER(TRIM(CLEAN(SUBSTITUTE(rate_Group&amp;""," "," "))))&lt;&gt;"")+2*(UPPER(TRIM(CLEAN(SUBSTITUTE(rate_USMCA&amp;""," "," "))))&lt;&gt;"")+4*(UPPER(TRIM(CLEAN(SUBSTITUTE(rate_COO&amp;""," "," "))))&lt;&gt;""))=INT($AO22/100))))</f>
        <v/>
      </c>
      <c r="AQ22" s="13">
        <f>IF($A22="",0,IFERROR(MATCH($AL22,det_Key,0),0))</f>
        <v/>
      </c>
    </row>
    <row r="23">
      <c r="A23" s="10">
        <f>IF(TRIM(CLEAN(SUBSTITUTE(Items!A23&amp;""," "," ")))="","",TRIM(CLEAN(SUBSTITUTE(Items!A23&amp;""," "," "))))</f>
        <v/>
      </c>
      <c r="B23" s="10">
        <f>IF($A23="","",Items!B23&amp;"")</f>
        <v/>
      </c>
      <c r="C23" s="10">
        <f>IF($A23="","",SUBSTITUTE(SUBSTITUTE(SUBSTITUTE(SUBSTITUTE(CLEAN(Items!D23&amp;"")," ",""),".","")," ",""),"-",""))</f>
        <v/>
      </c>
      <c r="D23" s="10">
        <f>IF($A23="","",LEFT($C23,2))</f>
        <v/>
      </c>
      <c r="E23" s="10">
        <f>IF($A23="","",UPPER(TRIM(CLEAN(SUBSTITUTE(Items!E23&amp;""," "," ")))))</f>
        <v/>
      </c>
      <c r="F23" s="10">
        <f>IF($A23="","",IF(UPPER(TRIM(CLEAN(SUBSTITUTE(Items!C23&amp;""," "," "))))=UPPER(TRIM(CLEAN(SUBSTITUTE(act_Country&amp;""," "," ")))),"Y","N"))</f>
        <v/>
      </c>
      <c r="G23" s="10">
        <f>IF($A23="","",IF($AM23&gt;0,"Y","N"))</f>
        <v/>
      </c>
      <c r="H23" s="10">
        <f>IF($A23="","",IF(SUMPRODUCT((excl_HTS&lt;&gt;"")*(LEFT($C23,LEN(excl_HTS))=excl_HTS))&gt;0,"Y","N"))</f>
        <v/>
      </c>
      <c r="I23" s="10">
        <f>IF($A23="","",IF($E23="","N",IF(SUMPRODUCT(--(UPPER(TRIM(CLEAN(SUBSTITUTE(scope_COO&amp;""," "," "))))=$E23))&gt;0,"Y","N")))</f>
        <v/>
      </c>
      <c r="J23" s="10">
        <f>IF($A23="","",IF(AND(UPPER(TRIM(CLEAN(SUBSTITUTE(act_USMCAExempt&amp;""," "," "))))="Y",UPPER(TRIM(CLEAN(SUBSTITUTE(Items!F23&amp;""," "," "))))="Y"),"Y","N"))</f>
        <v/>
      </c>
      <c r="K23" s="10">
        <f>IF($A23="","",IF($AQ23=0,"",UPPER(TRIM(CLEAN(SUBSTITUTE(INDEX(det_Status,$AQ23)&amp;""," "," "))))))</f>
        <v/>
      </c>
      <c r="L23" s="10">
        <f>IF($A23="","",IF($F23="N","N",IF($K23="IN","Y",IF($K23="OUT","N",IF(AND($G23="Y",$H23="N",$I23="Y",$J23="N"),"Y","N")))))</f>
        <v/>
      </c>
      <c r="M23" s="10">
        <f>IF($A23="","",IF($F23="N","Out: different import country",IF($K23="IN","In: Research determination",IF($K23="OUT","Out: Research determination",IF($G23="N","Out: HTS not on scope list",IF($H23="Y","Out: HTS on exclusion list",IF($I23="N","Out: origin not on scope list",IF($J23="Y","Out: USMCA-qualifying, exempt","In: matches scope rules"))))))))</f>
        <v/>
      </c>
      <c r="N23" s="10">
        <f>IF(OR($A23="",$AM23=0),"",UPPER(TRIM(CLEAN(SUBSTITUTE(INDEX(scope_Group,MOD($AM23,1000))&amp;""," "," ")))))</f>
        <v/>
      </c>
      <c r="O23" s="10">
        <f>IF($L23&lt;&gt;"Y","",IF($AO23=0,"Default (B15)",UPPER(TRIM(CLEAN(SUBSTITUTE(INDEX(rate_ID,MOD($AO23,100))&amp;""," "," "))))))</f>
        <v/>
      </c>
      <c r="P23" s="10">
        <f>IF($L23&lt;&gt;"Y","",IF($AO23=0,IF(UPPER(TRIM(CLEAN(SUBSTITUTE(act_DefaultBase&amp;""," "," "))))="PART","PART","FULL"),IF(UPPER(TRIM(CLEAN(SUBSTITUTE(INDEX(rate_Base,MOD($AO23,100))&amp;""," "," "))))="PART","PART","FULL")))</f>
        <v/>
      </c>
      <c r="Q23" s="17">
        <f>IF($A23="","",N(Items!J23))</f>
        <v/>
      </c>
      <c r="R23" s="17">
        <f>IF($A23="","",IF($L23&lt;&gt;"Y",0,IF($AO23=0,N(act_Rate),N(INDEX(rate_Rate,MOD($AO23,100))))))</f>
        <v/>
      </c>
      <c r="S23" s="17">
        <f>IF($A23="","",IF($L23&lt;&gt;"Y",0,IF($AO23=0,IF(UPPER(TRIM(CLEAN(SUBSTITUTE(act_RateType&amp;""," "," "))))="REPLACE",N(act_PriorRate),0),IF(ISNUMBER(INDEX(rate_Prior,MOD($AO23,100))),INDEX(rate_Prior,MOD($AO23,100)),IF(UPPER(TRIM(CLEAN(SUBSTITUTE(act_RateType&amp;""," "," "))))="REPLACE",N(act_PriorRate),0)))))</f>
        <v/>
      </c>
      <c r="T23" s="17">
        <f>IF($A23="","",IF(AND($L23="Y",$P23="PART",ISNUMBER(Items!M23)),Items!M23,1))</f>
        <v/>
      </c>
      <c r="U23" s="17">
        <f>IF($A23="","",IF($L23&lt;&gt;"Y",0,IF($AQ23&gt;0,IF(ISNUMBER(INDEX(det_Displaced,$AQ23)),INDEX(det_Displaced,$AQ23),IF($AO23=0,0,N(INDEX(rate_Displaced,MOD($AO23,100))))),IF($AO23=0,0,N(INDEX(rate_Displaced,MOD($AO23,100)))))))</f>
        <v/>
      </c>
      <c r="V23" s="17">
        <f>IF($A23="","",IF($L23="Y",$Q23+$T23*($R23-$S23)-$U23,$Q23))</f>
        <v/>
      </c>
      <c r="W23" s="18">
        <f>IF($A23="","",N(Items!H23)*$Q23)</f>
        <v/>
      </c>
      <c r="X23" s="18">
        <f>IF($A23="","",N(Items!H23)*$V23)</f>
        <v/>
      </c>
      <c r="Y23" s="18">
        <f>IF($A23="","",$X23-$W23)</f>
        <v/>
      </c>
      <c r="Z23" s="18">
        <f>IF($A23="","",N(Items!K23)+$Y23)</f>
        <v/>
      </c>
      <c r="AA23" s="17">
        <f>IF($A23="","",IF(N(Items!L23)=0,"",(N(Items!L23)-N(Items!K23))/N(Items!L23)))</f>
        <v/>
      </c>
      <c r="AB23" s="17">
        <f>IF($A23="","",IF(N(Items!L23)=0,"",(N(Items!L23)-$Z23)/N(Items!L23)))</f>
        <v/>
      </c>
      <c r="AC23" s="17">
        <f>IF(OR($AA23="",$AB23=""),"",$AB23-$AA23)</f>
        <v/>
      </c>
      <c r="AD23" s="13">
        <f>IF($A23="","",N(Items!I23))</f>
        <v/>
      </c>
      <c r="AE23" s="19">
        <f>IF($A23="","",$Y23*$AD23)</f>
        <v/>
      </c>
      <c r="AF23" s="10">
        <f>IF($A23="","",IF(N(Items!L23)&gt;0,"Y","N"))</f>
        <v/>
      </c>
      <c r="AG23" s="19">
        <f>IF($A23="","",IF($AF23="Y",N(Items!L23)*$AD23,0))</f>
        <v/>
      </c>
      <c r="AH23" s="19">
        <f>IF($A23="","",IF($AF23="Y",(N(Items!L23)-N(Items!K23))*$AD23,0))</f>
        <v/>
      </c>
      <c r="AI23" s="19">
        <f>IF($A23="","",IF($AF23="Y",$AH23-$AE23,0))</f>
        <v/>
      </c>
      <c r="AJ23" s="10">
        <f>IF($A23="","",IF(COUNTIF($AL$5:$AL$254,$AL23)&gt;1,"CHECK: duplicate item and import country",IF(TRIM(CLEAN(SUBSTITUTE(Items!C23&amp;""," "," ")))="","CHECK: import country missing",IF(AND(UPPER(TRIM(CLEAN(SUBSTITUTE(Items!C23&amp;""," "," "))))&lt;&gt;"US",UPPER(TRIM(CLEAN(SUBSTITUTE(Items!C23&amp;""," "," "))))&lt;&gt;"CA",UPPER(TRIM(CLEAN(SUBSTITUTE(Items!C23&amp;""," "," "))))&lt;&gt;"MX"),"CHECK: import country must be US, CA or MX",IF(NOT(AND(LEN($C23)=10,IFERROR(TEXT(VALUE($C23),REPT("0",LEN($C23)))=$C23,FALSE))),"CHECK: HTS must be 10 digits",IF(LEN($E23)&lt;&gt;2,"CHECK: origin code missing or not 2 letters",IF(TRIM(CLEAN(SUBSTITUTE(Items!G23&amp;""," "," ")))="","CHECK: unit of measure missing",IF(OR(Items!H23="",Items!J23="",Items!K23=""),"CHECK: value, rate or cost missing",IF(OR(NOT(ISNUMBER(Items!H23)),NOT(ISNUMBER(Items!J23)),NOT(ISNUMBER(Items!K23)),AND(Items!I23&lt;&gt;"",NOT(ISNUMBER(Items!I23))),AND(Items!L23&lt;&gt;"",NOT(ISNUMBER(Items!L23))),AND(Items!M23&lt;&gt;"",NOT(ISNUMBER(Items!M23)))),"CHECK: text in a number column",IF(AND(ISNUMBER(Items!M23),OR(N(Items!M23)&lt;0,N(Items!M23)&gt;1)),"CHECK: dutiable share must be 0% to 100%",IF(AND(UPPER(TRIM(CLEAN(SUBSTITUTE(Items!F23&amp;""," "," "))))&lt;&gt;"",UPPER(TRIM(CLEAN(SUBSTITUTE(Items!F23&amp;""," "," "))))&lt;&gt;"Y",UPPER(TRIM(CLEAN(SUBSTITUTE(Items!F23&amp;""," "," "))))&lt;&gt;"N"),"CHECK: USMCA flag must be Y, N or blank",IF(AND(UPPER(TRIM(CLEAN(SUBSTITUTE(Items!F23&amp;""," "," "))))="Y",$E23&lt;&gt;"US",$E23&lt;&gt;"CA",$E23&lt;&gt;"MX"),"CHECK: USMCA flag on an origin other than US, CA or MX",IF(AND($L23="Y",$AO23=0,NOT(ISNUMBER(act_Rate))),"CHECK: in scope but no rate (add a rate line or B15)",IF(AND($L23="Y",UPPER(TRIM(CLEAN(SUBSTITUTE(act_RateType&amp;""," "," "))))="REPLACE",NOT(ISNUMBER(act_PriorRate)),IF($AO23=0,TRUE,NOT(ISNUMBER(INDEX(rate_Prior,MOD($AO23,100)))))),"CHECK: REPLACE but no earlier rate (B17 or the rate line's AD)",IF(AND($L23="Y",$AP23&gt;1),"CHECK: two rate lines match equally",IF(AND($L23="Y",$AN23&gt;1),"CHECK: HTS prefix listed twice on the scope list",IF(AND($L23="Y",$P23="PART",NOT(ISNUMBER(Items!M23))),"CHECK: dutiable share missing (PART base)",IF(AND($L23="Y",$P23="FULL",ISNUMBER(Items!M23),N(Items!M23)&lt;&gt;1),"CHECK: dutiable share entered, but the rate taxes the full value",IF(AND($L23="Y",$Q23+0.0000001&lt;$T23*$S23+$U23),"CHECK: current rate is below the duty being replaced or displaced",IF(AND($L23="Y",$AD23=0),"NOTE: in scope, no quantity",IF(AND($L23="Y",$AF23="N"),"NOTE: in scope, no sell price (left out of margin %)",IF(AND($L23="Y",N(Items!H23)&gt;N(Items!K23)),"NOTE: customs value above standard cost (check unit of measure)",IF(AND($L23="Y",$Q23&gt;1),"NOTE: current rate above 100% (check it was entered as a percentage)","OK")))))))))))))))))))))))</f>
        <v/>
      </c>
      <c r="AK23" s="20">
        <f>IF($A23="","",IF(AND($L23="Y",$AE23&lt;&gt;0),ABS($AE23)+ROW()/1000000000,""))</f>
        <v/>
      </c>
      <c r="AL23" s="10">
        <f>IF($A23="","",UPPER($A23)&amp;"/"&amp;UPPER(TRIM(CLEAN(SUBSTITUTE(Items!C23&amp;""," "," ")))))</f>
        <v/>
      </c>
      <c r="AM23" s="13">
        <f>IF($A23="",0,SUMPRODUCT(MAX((scope_HTS&lt;&gt;"")*(LEFT($C23,LEN(scope_HTS))=scope_HTS)*(LEN(scope_HTS)*1000+ROW(scope_HTS)-4))))</f>
        <v/>
      </c>
      <c r="AN23" s="13">
        <f>IF($AM23=0,0,SUMPRODUCT((scope_HTS&lt;&gt;"")*(LEFT($C23,LEN(scope_HTS))=scope_HTS)*(LEN(scope_HTS)=INT($AM23/1000))))</f>
        <v/>
      </c>
      <c r="AO23" s="13">
        <f>IF($L23&lt;&gt;"Y",0,SUMPRODUCT(MAX(ISNUMBER(rate_Rate)*((UPPER(TRIM(CLEAN(SUBSTITUTE(rate_Group&amp;""," "," "))))="")+(UPPER(TRIM(CLEAN(SUBSTITUTE(rate_Group&amp;""," "," "))))=$N23)&gt;0)*((UPPER(TRIM(CLEAN(SUBSTITUTE(rate_COO&amp;""," "," "))))="")+(UPPER(TRIM(CLEAN(SUBSTITUTE(rate_COO&amp;""," "," "))))=$E23)&gt;0)*((UPPER(TRIM(CLEAN(SUBSTITUTE(rate_USMCA&amp;""," "," "))))="")+(UPPER(TRIM(CLEAN(SUBSTITUTE(rate_USMCA&amp;""," "," "))))=IF(UPPER(TRIM(CLEAN(SUBSTITUTE(Items!F23&amp;""," "," "))))="Y","Y","N"))&gt;0)*((1+(UPPER(TRIM(CLEAN(SUBSTITUTE(rate_Group&amp;""," "," "))))&lt;&gt;"")+2*(UPPER(TRIM(CLEAN(SUBSTITUTE(rate_USMCA&amp;""," "," "))))&lt;&gt;"")+4*(UPPER(TRIM(CLEAN(SUBSTITUTE(rate_COO&amp;""," "," "))))&lt;&gt;""))*100+ROW(rate_Rate)-4))))</f>
        <v/>
      </c>
      <c r="AP23" s="13">
        <f>IF($AO23=0,0,SUMPRODUCT(ISNUMBER(rate_Rate)*((UPPER(TRIM(CLEAN(SUBSTITUTE(rate_Group&amp;""," "," "))))="")+(UPPER(TRIM(CLEAN(SUBSTITUTE(rate_Group&amp;""," "," "))))=$N23)&gt;0)*((UPPER(TRIM(CLEAN(SUBSTITUTE(rate_COO&amp;""," "," "))))="")+(UPPER(TRIM(CLEAN(SUBSTITUTE(rate_COO&amp;""," "," "))))=$E23)&gt;0)*((UPPER(TRIM(CLEAN(SUBSTITUTE(rate_USMCA&amp;""," "," "))))="")+(UPPER(TRIM(CLEAN(SUBSTITUTE(rate_USMCA&amp;""," "," "))))=IF(UPPER(TRIM(CLEAN(SUBSTITUTE(Items!F23&amp;""," "," "))))="Y","Y","N"))&gt;0)*((1+(UPPER(TRIM(CLEAN(SUBSTITUTE(rate_Group&amp;""," "," "))))&lt;&gt;"")+2*(UPPER(TRIM(CLEAN(SUBSTITUTE(rate_USMCA&amp;""," "," "))))&lt;&gt;"")+4*(UPPER(TRIM(CLEAN(SUBSTITUTE(rate_COO&amp;""," "," "))))&lt;&gt;""))=INT($AO23/100))))</f>
        <v/>
      </c>
      <c r="AQ23" s="13">
        <f>IF($A23="",0,IFERROR(MATCH($AL23,det_Key,0),0))</f>
        <v/>
      </c>
    </row>
    <row r="24">
      <c r="A24" s="10">
        <f>IF(TRIM(CLEAN(SUBSTITUTE(Items!A24&amp;""," "," ")))="","",TRIM(CLEAN(SUBSTITUTE(Items!A24&amp;""," "," "))))</f>
        <v/>
      </c>
      <c r="B24" s="10">
        <f>IF($A24="","",Items!B24&amp;"")</f>
        <v/>
      </c>
      <c r="C24" s="10">
        <f>IF($A24="","",SUBSTITUTE(SUBSTITUTE(SUBSTITUTE(SUBSTITUTE(CLEAN(Items!D24&amp;"")," ",""),".","")," ",""),"-",""))</f>
        <v/>
      </c>
      <c r="D24" s="10">
        <f>IF($A24="","",LEFT($C24,2))</f>
        <v/>
      </c>
      <c r="E24" s="10">
        <f>IF($A24="","",UPPER(TRIM(CLEAN(SUBSTITUTE(Items!E24&amp;""," "," ")))))</f>
        <v/>
      </c>
      <c r="F24" s="10">
        <f>IF($A24="","",IF(UPPER(TRIM(CLEAN(SUBSTITUTE(Items!C24&amp;""," "," "))))=UPPER(TRIM(CLEAN(SUBSTITUTE(act_Country&amp;""," "," ")))),"Y","N"))</f>
        <v/>
      </c>
      <c r="G24" s="10">
        <f>IF($A24="","",IF($AM24&gt;0,"Y","N"))</f>
        <v/>
      </c>
      <c r="H24" s="10">
        <f>IF($A24="","",IF(SUMPRODUCT((excl_HTS&lt;&gt;"")*(LEFT($C24,LEN(excl_HTS))=excl_HTS))&gt;0,"Y","N"))</f>
        <v/>
      </c>
      <c r="I24" s="10">
        <f>IF($A24="","",IF($E24="","N",IF(SUMPRODUCT(--(UPPER(TRIM(CLEAN(SUBSTITUTE(scope_COO&amp;""," "," "))))=$E24))&gt;0,"Y","N")))</f>
        <v/>
      </c>
      <c r="J24" s="10">
        <f>IF($A24="","",IF(AND(UPPER(TRIM(CLEAN(SUBSTITUTE(act_USMCAExempt&amp;""," "," "))))="Y",UPPER(TRIM(CLEAN(SUBSTITUTE(Items!F24&amp;""," "," "))))="Y"),"Y","N"))</f>
        <v/>
      </c>
      <c r="K24" s="10">
        <f>IF($A24="","",IF($AQ24=0,"",UPPER(TRIM(CLEAN(SUBSTITUTE(INDEX(det_Status,$AQ24)&amp;""," "," "))))))</f>
        <v/>
      </c>
      <c r="L24" s="10">
        <f>IF($A24="","",IF($F24="N","N",IF($K24="IN","Y",IF($K24="OUT","N",IF(AND($G24="Y",$H24="N",$I24="Y",$J24="N"),"Y","N")))))</f>
        <v/>
      </c>
      <c r="M24" s="10">
        <f>IF($A24="","",IF($F24="N","Out: different import country",IF($K24="IN","In: Research determination",IF($K24="OUT","Out: Research determination",IF($G24="N","Out: HTS not on scope list",IF($H24="Y","Out: HTS on exclusion list",IF($I24="N","Out: origin not on scope list",IF($J24="Y","Out: USMCA-qualifying, exempt","In: matches scope rules"))))))))</f>
        <v/>
      </c>
      <c r="N24" s="10">
        <f>IF(OR($A24="",$AM24=0),"",UPPER(TRIM(CLEAN(SUBSTITUTE(INDEX(scope_Group,MOD($AM24,1000))&amp;""," "," ")))))</f>
        <v/>
      </c>
      <c r="O24" s="10">
        <f>IF($L24&lt;&gt;"Y","",IF($AO24=0,"Default (B15)",UPPER(TRIM(CLEAN(SUBSTITUTE(INDEX(rate_ID,MOD($AO24,100))&amp;""," "," "))))))</f>
        <v/>
      </c>
      <c r="P24" s="10">
        <f>IF($L24&lt;&gt;"Y","",IF($AO24=0,IF(UPPER(TRIM(CLEAN(SUBSTITUTE(act_DefaultBase&amp;""," "," "))))="PART","PART","FULL"),IF(UPPER(TRIM(CLEAN(SUBSTITUTE(INDEX(rate_Base,MOD($AO24,100))&amp;""," "," "))))="PART","PART","FULL")))</f>
        <v/>
      </c>
      <c r="Q24" s="17">
        <f>IF($A24="","",N(Items!J24))</f>
        <v/>
      </c>
      <c r="R24" s="17">
        <f>IF($A24="","",IF($L24&lt;&gt;"Y",0,IF($AO24=0,N(act_Rate),N(INDEX(rate_Rate,MOD($AO24,100))))))</f>
        <v/>
      </c>
      <c r="S24" s="17">
        <f>IF($A24="","",IF($L24&lt;&gt;"Y",0,IF($AO24=0,IF(UPPER(TRIM(CLEAN(SUBSTITUTE(act_RateType&amp;""," "," "))))="REPLACE",N(act_PriorRate),0),IF(ISNUMBER(INDEX(rate_Prior,MOD($AO24,100))),INDEX(rate_Prior,MOD($AO24,100)),IF(UPPER(TRIM(CLEAN(SUBSTITUTE(act_RateType&amp;""," "," "))))="REPLACE",N(act_PriorRate),0)))))</f>
        <v/>
      </c>
      <c r="T24" s="17">
        <f>IF($A24="","",IF(AND($L24="Y",$P24="PART",ISNUMBER(Items!M24)),Items!M24,1))</f>
        <v/>
      </c>
      <c r="U24" s="17">
        <f>IF($A24="","",IF($L24&lt;&gt;"Y",0,IF($AQ24&gt;0,IF(ISNUMBER(INDEX(det_Displaced,$AQ24)),INDEX(det_Displaced,$AQ24),IF($AO24=0,0,N(INDEX(rate_Displaced,MOD($AO24,100))))),IF($AO24=0,0,N(INDEX(rate_Displaced,MOD($AO24,100)))))))</f>
        <v/>
      </c>
      <c r="V24" s="17">
        <f>IF($A24="","",IF($L24="Y",$Q24+$T24*($R24-$S24)-$U24,$Q24))</f>
        <v/>
      </c>
      <c r="W24" s="18">
        <f>IF($A24="","",N(Items!H24)*$Q24)</f>
        <v/>
      </c>
      <c r="X24" s="18">
        <f>IF($A24="","",N(Items!H24)*$V24)</f>
        <v/>
      </c>
      <c r="Y24" s="18">
        <f>IF($A24="","",$X24-$W24)</f>
        <v/>
      </c>
      <c r="Z24" s="18">
        <f>IF($A24="","",N(Items!K24)+$Y24)</f>
        <v/>
      </c>
      <c r="AA24" s="17">
        <f>IF($A24="","",IF(N(Items!L24)=0,"",(N(Items!L24)-N(Items!K24))/N(Items!L24)))</f>
        <v/>
      </c>
      <c r="AB24" s="17">
        <f>IF($A24="","",IF(N(Items!L24)=0,"",(N(Items!L24)-$Z24)/N(Items!L24)))</f>
        <v/>
      </c>
      <c r="AC24" s="17">
        <f>IF(OR($AA24="",$AB24=""),"",$AB24-$AA24)</f>
        <v/>
      </c>
      <c r="AD24" s="13">
        <f>IF($A24="","",N(Items!I24))</f>
        <v/>
      </c>
      <c r="AE24" s="19">
        <f>IF($A24="","",$Y24*$AD24)</f>
        <v/>
      </c>
      <c r="AF24" s="10">
        <f>IF($A24="","",IF(N(Items!L24)&gt;0,"Y","N"))</f>
        <v/>
      </c>
      <c r="AG24" s="19">
        <f>IF($A24="","",IF($AF24="Y",N(Items!L24)*$AD24,0))</f>
        <v/>
      </c>
      <c r="AH24" s="19">
        <f>IF($A24="","",IF($AF24="Y",(N(Items!L24)-N(Items!K24))*$AD24,0))</f>
        <v/>
      </c>
      <c r="AI24" s="19">
        <f>IF($A24="","",IF($AF24="Y",$AH24-$AE24,0))</f>
        <v/>
      </c>
      <c r="AJ24" s="10">
        <f>IF($A24="","",IF(COUNTIF($AL$5:$AL$254,$AL24)&gt;1,"CHECK: duplicate item and import country",IF(TRIM(CLEAN(SUBSTITUTE(Items!C24&amp;""," "," ")))="","CHECK: import country missing",IF(AND(UPPER(TRIM(CLEAN(SUBSTITUTE(Items!C24&amp;""," "," "))))&lt;&gt;"US",UPPER(TRIM(CLEAN(SUBSTITUTE(Items!C24&amp;""," "," "))))&lt;&gt;"CA",UPPER(TRIM(CLEAN(SUBSTITUTE(Items!C24&amp;""," "," "))))&lt;&gt;"MX"),"CHECK: import country must be US, CA or MX",IF(NOT(AND(LEN($C24)=10,IFERROR(TEXT(VALUE($C24),REPT("0",LEN($C24)))=$C24,FALSE))),"CHECK: HTS must be 10 digits",IF(LEN($E24)&lt;&gt;2,"CHECK: origin code missing or not 2 letters",IF(TRIM(CLEAN(SUBSTITUTE(Items!G24&amp;""," "," ")))="","CHECK: unit of measure missing",IF(OR(Items!H24="",Items!J24="",Items!K24=""),"CHECK: value, rate or cost missing",IF(OR(NOT(ISNUMBER(Items!H24)),NOT(ISNUMBER(Items!J24)),NOT(ISNUMBER(Items!K24)),AND(Items!I24&lt;&gt;"",NOT(ISNUMBER(Items!I24))),AND(Items!L24&lt;&gt;"",NOT(ISNUMBER(Items!L24))),AND(Items!M24&lt;&gt;"",NOT(ISNUMBER(Items!M24)))),"CHECK: text in a number column",IF(AND(ISNUMBER(Items!M24),OR(N(Items!M24)&lt;0,N(Items!M24)&gt;1)),"CHECK: dutiable share must be 0% to 100%",IF(AND(UPPER(TRIM(CLEAN(SUBSTITUTE(Items!F24&amp;""," "," "))))&lt;&gt;"",UPPER(TRIM(CLEAN(SUBSTITUTE(Items!F24&amp;""," "," "))))&lt;&gt;"Y",UPPER(TRIM(CLEAN(SUBSTITUTE(Items!F24&amp;""," "," "))))&lt;&gt;"N"),"CHECK: USMCA flag must be Y, N or blank",IF(AND(UPPER(TRIM(CLEAN(SUBSTITUTE(Items!F24&amp;""," "," "))))="Y",$E24&lt;&gt;"US",$E24&lt;&gt;"CA",$E24&lt;&gt;"MX"),"CHECK: USMCA flag on an origin other than US, CA or MX",IF(AND($L24="Y",$AO24=0,NOT(ISNUMBER(act_Rate))),"CHECK: in scope but no rate (add a rate line or B15)",IF(AND($L24="Y",UPPER(TRIM(CLEAN(SUBSTITUTE(act_RateType&amp;""," "," "))))="REPLACE",NOT(ISNUMBER(act_PriorRate)),IF($AO24=0,TRUE,NOT(ISNUMBER(INDEX(rate_Prior,MOD($AO24,100)))))),"CHECK: REPLACE but no earlier rate (B17 or the rate line's AD)",IF(AND($L24="Y",$AP24&gt;1),"CHECK: two rate lines match equally",IF(AND($L24="Y",$AN24&gt;1),"CHECK: HTS prefix listed twice on the scope list",IF(AND($L24="Y",$P24="PART",NOT(ISNUMBER(Items!M24))),"CHECK: dutiable share missing (PART base)",IF(AND($L24="Y",$P24="FULL",ISNUMBER(Items!M24),N(Items!M24)&lt;&gt;1),"CHECK: dutiable share entered, but the rate taxes the full value",IF(AND($L24="Y",$Q24+0.0000001&lt;$T24*$S24+$U24),"CHECK: current rate is below the duty being replaced or displaced",IF(AND($L24="Y",$AD24=0),"NOTE: in scope, no quantity",IF(AND($L24="Y",$AF24="N"),"NOTE: in scope, no sell price (left out of margin %)",IF(AND($L24="Y",N(Items!H24)&gt;N(Items!K24)),"NOTE: customs value above standard cost (check unit of measure)",IF(AND($L24="Y",$Q24&gt;1),"NOTE: current rate above 100% (check it was entered as a percentage)","OK")))))))))))))))))))))))</f>
        <v/>
      </c>
      <c r="AK24" s="20">
        <f>IF($A24="","",IF(AND($L24="Y",$AE24&lt;&gt;0),ABS($AE24)+ROW()/1000000000,""))</f>
        <v/>
      </c>
      <c r="AL24" s="10">
        <f>IF($A24="","",UPPER($A24)&amp;"/"&amp;UPPER(TRIM(CLEAN(SUBSTITUTE(Items!C24&amp;""," "," ")))))</f>
        <v/>
      </c>
      <c r="AM24" s="13">
        <f>IF($A24="",0,SUMPRODUCT(MAX((scope_HTS&lt;&gt;"")*(LEFT($C24,LEN(scope_HTS))=scope_HTS)*(LEN(scope_HTS)*1000+ROW(scope_HTS)-4))))</f>
        <v/>
      </c>
      <c r="AN24" s="13">
        <f>IF($AM24=0,0,SUMPRODUCT((scope_HTS&lt;&gt;"")*(LEFT($C24,LEN(scope_HTS))=scope_HTS)*(LEN(scope_HTS)=INT($AM24/1000))))</f>
        <v/>
      </c>
      <c r="AO24" s="13">
        <f>IF($L24&lt;&gt;"Y",0,SUMPRODUCT(MAX(ISNUMBER(rate_Rate)*((UPPER(TRIM(CLEAN(SUBSTITUTE(rate_Group&amp;""," "," "))))="")+(UPPER(TRIM(CLEAN(SUBSTITUTE(rate_Group&amp;""," "," "))))=$N24)&gt;0)*((UPPER(TRIM(CLEAN(SUBSTITUTE(rate_COO&amp;""," "," "))))="")+(UPPER(TRIM(CLEAN(SUBSTITUTE(rate_COO&amp;""," "," "))))=$E24)&gt;0)*((UPPER(TRIM(CLEAN(SUBSTITUTE(rate_USMCA&amp;""," "," "))))="")+(UPPER(TRIM(CLEAN(SUBSTITUTE(rate_USMCA&amp;""," "," "))))=IF(UPPER(TRIM(CLEAN(SUBSTITUTE(Items!F24&amp;""," "," "))))="Y","Y","N"))&gt;0)*((1+(UPPER(TRIM(CLEAN(SUBSTITUTE(rate_Group&amp;""," "," "))))&lt;&gt;"")+2*(UPPER(TRIM(CLEAN(SUBSTITUTE(rate_USMCA&amp;""," "," "))))&lt;&gt;"")+4*(UPPER(TRIM(CLEAN(SUBSTITUTE(rate_COO&amp;""," "," "))))&lt;&gt;""))*100+ROW(rate_Rate)-4))))</f>
        <v/>
      </c>
      <c r="AP24" s="13">
        <f>IF($AO24=0,0,SUMPRODUCT(ISNUMBER(rate_Rate)*((UPPER(TRIM(CLEAN(SUBSTITUTE(rate_Group&amp;""," "," "))))="")+(UPPER(TRIM(CLEAN(SUBSTITUTE(rate_Group&amp;""," "," "))))=$N24)&gt;0)*((UPPER(TRIM(CLEAN(SUBSTITUTE(rate_COO&amp;""," "," "))))="")+(UPPER(TRIM(CLEAN(SUBSTITUTE(rate_COO&amp;""," "," "))))=$E24)&gt;0)*((UPPER(TRIM(CLEAN(SUBSTITUTE(rate_USMCA&amp;""," "," "))))="")+(UPPER(TRIM(CLEAN(SUBSTITUTE(rate_USMCA&amp;""," "," "))))=IF(UPPER(TRIM(CLEAN(SUBSTITUTE(Items!F24&amp;""," "," "))))="Y","Y","N"))&gt;0)*((1+(UPPER(TRIM(CLEAN(SUBSTITUTE(rate_Group&amp;""," "," "))))&lt;&gt;"")+2*(UPPER(TRIM(CLEAN(SUBSTITUTE(rate_USMCA&amp;""," "," "))))&lt;&gt;"")+4*(UPPER(TRIM(CLEAN(SUBSTITUTE(rate_COO&amp;""," "," "))))&lt;&gt;""))=INT($AO24/100))))</f>
        <v/>
      </c>
      <c r="AQ24" s="13">
        <f>IF($A24="",0,IFERROR(MATCH($AL24,det_Key,0),0))</f>
        <v/>
      </c>
    </row>
    <row r="25">
      <c r="A25" s="10">
        <f>IF(TRIM(CLEAN(SUBSTITUTE(Items!A25&amp;""," "," ")))="","",TRIM(CLEAN(SUBSTITUTE(Items!A25&amp;""," "," "))))</f>
        <v/>
      </c>
      <c r="B25" s="10">
        <f>IF($A25="","",Items!B25&amp;"")</f>
        <v/>
      </c>
      <c r="C25" s="10">
        <f>IF($A25="","",SUBSTITUTE(SUBSTITUTE(SUBSTITUTE(SUBSTITUTE(CLEAN(Items!D25&amp;"")," ",""),".","")," ",""),"-",""))</f>
        <v/>
      </c>
      <c r="D25" s="10">
        <f>IF($A25="","",LEFT($C25,2))</f>
        <v/>
      </c>
      <c r="E25" s="10">
        <f>IF($A25="","",UPPER(TRIM(CLEAN(SUBSTITUTE(Items!E25&amp;""," "," ")))))</f>
        <v/>
      </c>
      <c r="F25" s="10">
        <f>IF($A25="","",IF(UPPER(TRIM(CLEAN(SUBSTITUTE(Items!C25&amp;""," "," "))))=UPPER(TRIM(CLEAN(SUBSTITUTE(act_Country&amp;""," "," ")))),"Y","N"))</f>
        <v/>
      </c>
      <c r="G25" s="10">
        <f>IF($A25="","",IF($AM25&gt;0,"Y","N"))</f>
        <v/>
      </c>
      <c r="H25" s="10">
        <f>IF($A25="","",IF(SUMPRODUCT((excl_HTS&lt;&gt;"")*(LEFT($C25,LEN(excl_HTS))=excl_HTS))&gt;0,"Y","N"))</f>
        <v/>
      </c>
      <c r="I25" s="10">
        <f>IF($A25="","",IF($E25="","N",IF(SUMPRODUCT(--(UPPER(TRIM(CLEAN(SUBSTITUTE(scope_COO&amp;""," "," "))))=$E25))&gt;0,"Y","N")))</f>
        <v/>
      </c>
      <c r="J25" s="10">
        <f>IF($A25="","",IF(AND(UPPER(TRIM(CLEAN(SUBSTITUTE(act_USMCAExempt&amp;""," "," "))))="Y",UPPER(TRIM(CLEAN(SUBSTITUTE(Items!F25&amp;""," "," "))))="Y"),"Y","N"))</f>
        <v/>
      </c>
      <c r="K25" s="10">
        <f>IF($A25="","",IF($AQ25=0,"",UPPER(TRIM(CLEAN(SUBSTITUTE(INDEX(det_Status,$AQ25)&amp;""," "," "))))))</f>
        <v/>
      </c>
      <c r="L25" s="10">
        <f>IF($A25="","",IF($F25="N","N",IF($K25="IN","Y",IF($K25="OUT","N",IF(AND($G25="Y",$H25="N",$I25="Y",$J25="N"),"Y","N")))))</f>
        <v/>
      </c>
      <c r="M25" s="10">
        <f>IF($A25="","",IF($F25="N","Out: different import country",IF($K25="IN","In: Research determination",IF($K25="OUT","Out: Research determination",IF($G25="N","Out: HTS not on scope list",IF($H25="Y","Out: HTS on exclusion list",IF($I25="N","Out: origin not on scope list",IF($J25="Y","Out: USMCA-qualifying, exempt","In: matches scope rules"))))))))</f>
        <v/>
      </c>
      <c r="N25" s="10">
        <f>IF(OR($A25="",$AM25=0),"",UPPER(TRIM(CLEAN(SUBSTITUTE(INDEX(scope_Group,MOD($AM25,1000))&amp;""," "," ")))))</f>
        <v/>
      </c>
      <c r="O25" s="10">
        <f>IF($L25&lt;&gt;"Y","",IF($AO25=0,"Default (B15)",UPPER(TRIM(CLEAN(SUBSTITUTE(INDEX(rate_ID,MOD($AO25,100))&amp;""," "," "))))))</f>
        <v/>
      </c>
      <c r="P25" s="10">
        <f>IF($L25&lt;&gt;"Y","",IF($AO25=0,IF(UPPER(TRIM(CLEAN(SUBSTITUTE(act_DefaultBase&amp;""," "," "))))="PART","PART","FULL"),IF(UPPER(TRIM(CLEAN(SUBSTITUTE(INDEX(rate_Base,MOD($AO25,100))&amp;""," "," "))))="PART","PART","FULL")))</f>
        <v/>
      </c>
      <c r="Q25" s="17">
        <f>IF($A25="","",N(Items!J25))</f>
        <v/>
      </c>
      <c r="R25" s="17">
        <f>IF($A25="","",IF($L25&lt;&gt;"Y",0,IF($AO25=0,N(act_Rate),N(INDEX(rate_Rate,MOD($AO25,100))))))</f>
        <v/>
      </c>
      <c r="S25" s="17">
        <f>IF($A25="","",IF($L25&lt;&gt;"Y",0,IF($AO25=0,IF(UPPER(TRIM(CLEAN(SUBSTITUTE(act_RateType&amp;""," "," "))))="REPLACE",N(act_PriorRate),0),IF(ISNUMBER(INDEX(rate_Prior,MOD($AO25,100))),INDEX(rate_Prior,MOD($AO25,100)),IF(UPPER(TRIM(CLEAN(SUBSTITUTE(act_RateType&amp;""," "," "))))="REPLACE",N(act_PriorRate),0)))))</f>
        <v/>
      </c>
      <c r="T25" s="17">
        <f>IF($A25="","",IF(AND($L25="Y",$P25="PART",ISNUMBER(Items!M25)),Items!M25,1))</f>
        <v/>
      </c>
      <c r="U25" s="17">
        <f>IF($A25="","",IF($L25&lt;&gt;"Y",0,IF($AQ25&gt;0,IF(ISNUMBER(INDEX(det_Displaced,$AQ25)),INDEX(det_Displaced,$AQ25),IF($AO25=0,0,N(INDEX(rate_Displaced,MOD($AO25,100))))),IF($AO25=0,0,N(INDEX(rate_Displaced,MOD($AO25,100)))))))</f>
        <v/>
      </c>
      <c r="V25" s="17">
        <f>IF($A25="","",IF($L25="Y",$Q25+$T25*($R25-$S25)-$U25,$Q25))</f>
        <v/>
      </c>
      <c r="W25" s="18">
        <f>IF($A25="","",N(Items!H25)*$Q25)</f>
        <v/>
      </c>
      <c r="X25" s="18">
        <f>IF($A25="","",N(Items!H25)*$V25)</f>
        <v/>
      </c>
      <c r="Y25" s="18">
        <f>IF($A25="","",$X25-$W25)</f>
        <v/>
      </c>
      <c r="Z25" s="18">
        <f>IF($A25="","",N(Items!K25)+$Y25)</f>
        <v/>
      </c>
      <c r="AA25" s="17">
        <f>IF($A25="","",IF(N(Items!L25)=0,"",(N(Items!L25)-N(Items!K25))/N(Items!L25)))</f>
        <v/>
      </c>
      <c r="AB25" s="17">
        <f>IF($A25="","",IF(N(Items!L25)=0,"",(N(Items!L25)-$Z25)/N(Items!L25)))</f>
        <v/>
      </c>
      <c r="AC25" s="17">
        <f>IF(OR($AA25="",$AB25=""),"",$AB25-$AA25)</f>
        <v/>
      </c>
      <c r="AD25" s="13">
        <f>IF($A25="","",N(Items!I25))</f>
        <v/>
      </c>
      <c r="AE25" s="19">
        <f>IF($A25="","",$Y25*$AD25)</f>
        <v/>
      </c>
      <c r="AF25" s="10">
        <f>IF($A25="","",IF(N(Items!L25)&gt;0,"Y","N"))</f>
        <v/>
      </c>
      <c r="AG25" s="19">
        <f>IF($A25="","",IF($AF25="Y",N(Items!L25)*$AD25,0))</f>
        <v/>
      </c>
      <c r="AH25" s="19">
        <f>IF($A25="","",IF($AF25="Y",(N(Items!L25)-N(Items!K25))*$AD25,0))</f>
        <v/>
      </c>
      <c r="AI25" s="19">
        <f>IF($A25="","",IF($AF25="Y",$AH25-$AE25,0))</f>
        <v/>
      </c>
      <c r="AJ25" s="10">
        <f>IF($A25="","",IF(COUNTIF($AL$5:$AL$254,$AL25)&gt;1,"CHECK: duplicate item and import country",IF(TRIM(CLEAN(SUBSTITUTE(Items!C25&amp;""," "," ")))="","CHECK: import country missing",IF(AND(UPPER(TRIM(CLEAN(SUBSTITUTE(Items!C25&amp;""," "," "))))&lt;&gt;"US",UPPER(TRIM(CLEAN(SUBSTITUTE(Items!C25&amp;""," "," "))))&lt;&gt;"CA",UPPER(TRIM(CLEAN(SUBSTITUTE(Items!C25&amp;""," "," "))))&lt;&gt;"MX"),"CHECK: import country must be US, CA or MX",IF(NOT(AND(LEN($C25)=10,IFERROR(TEXT(VALUE($C25),REPT("0",LEN($C25)))=$C25,FALSE))),"CHECK: HTS must be 10 digits",IF(LEN($E25)&lt;&gt;2,"CHECK: origin code missing or not 2 letters",IF(TRIM(CLEAN(SUBSTITUTE(Items!G25&amp;""," "," ")))="","CHECK: unit of measure missing",IF(OR(Items!H25="",Items!J25="",Items!K25=""),"CHECK: value, rate or cost missing",IF(OR(NOT(ISNUMBER(Items!H25)),NOT(ISNUMBER(Items!J25)),NOT(ISNUMBER(Items!K25)),AND(Items!I25&lt;&gt;"",NOT(ISNUMBER(Items!I25))),AND(Items!L25&lt;&gt;"",NOT(ISNUMBER(Items!L25))),AND(Items!M25&lt;&gt;"",NOT(ISNUMBER(Items!M25)))),"CHECK: text in a number column",IF(AND(ISNUMBER(Items!M25),OR(N(Items!M25)&lt;0,N(Items!M25)&gt;1)),"CHECK: dutiable share must be 0% to 100%",IF(AND(UPPER(TRIM(CLEAN(SUBSTITUTE(Items!F25&amp;""," "," "))))&lt;&gt;"",UPPER(TRIM(CLEAN(SUBSTITUTE(Items!F25&amp;""," "," "))))&lt;&gt;"Y",UPPER(TRIM(CLEAN(SUBSTITUTE(Items!F25&amp;""," "," "))))&lt;&gt;"N"),"CHECK: USMCA flag must be Y, N or blank",IF(AND(UPPER(TRIM(CLEAN(SUBSTITUTE(Items!F25&amp;""," "," "))))="Y",$E25&lt;&gt;"US",$E25&lt;&gt;"CA",$E25&lt;&gt;"MX"),"CHECK: USMCA flag on an origin other than US, CA or MX",IF(AND($L25="Y",$AO25=0,NOT(ISNUMBER(act_Rate))),"CHECK: in scope but no rate (add a rate line or B15)",IF(AND($L25="Y",UPPER(TRIM(CLEAN(SUBSTITUTE(act_RateType&amp;""," "," "))))="REPLACE",NOT(ISNUMBER(act_PriorRate)),IF($AO25=0,TRUE,NOT(ISNUMBER(INDEX(rate_Prior,MOD($AO25,100)))))),"CHECK: REPLACE but no earlier rate (B17 or the rate line's AD)",IF(AND($L25="Y",$AP25&gt;1),"CHECK: two rate lines match equally",IF(AND($L25="Y",$AN25&gt;1),"CHECK: HTS prefix listed twice on the scope list",IF(AND($L25="Y",$P25="PART",NOT(ISNUMBER(Items!M25))),"CHECK: dutiable share missing (PART base)",IF(AND($L25="Y",$P25="FULL",ISNUMBER(Items!M25),N(Items!M25)&lt;&gt;1),"CHECK: dutiable share entered, but the rate taxes the full value",IF(AND($L25="Y",$Q25+0.0000001&lt;$T25*$S25+$U25),"CHECK: current rate is below the duty being replaced or displaced",IF(AND($L25="Y",$AD25=0),"NOTE: in scope, no quantity",IF(AND($L25="Y",$AF25="N"),"NOTE: in scope, no sell price (left out of margin %)",IF(AND($L25="Y",N(Items!H25)&gt;N(Items!K25)),"NOTE: customs value above standard cost (check unit of measure)",IF(AND($L25="Y",$Q25&gt;1),"NOTE: current rate above 100% (check it was entered as a percentage)","OK")))))))))))))))))))))))</f>
        <v/>
      </c>
      <c r="AK25" s="20">
        <f>IF($A25="","",IF(AND($L25="Y",$AE25&lt;&gt;0),ABS($AE25)+ROW()/1000000000,""))</f>
        <v/>
      </c>
      <c r="AL25" s="10">
        <f>IF($A25="","",UPPER($A25)&amp;"/"&amp;UPPER(TRIM(CLEAN(SUBSTITUTE(Items!C25&amp;""," "," ")))))</f>
        <v/>
      </c>
      <c r="AM25" s="13">
        <f>IF($A25="",0,SUMPRODUCT(MAX((scope_HTS&lt;&gt;"")*(LEFT($C25,LEN(scope_HTS))=scope_HTS)*(LEN(scope_HTS)*1000+ROW(scope_HTS)-4))))</f>
        <v/>
      </c>
      <c r="AN25" s="13">
        <f>IF($AM25=0,0,SUMPRODUCT((scope_HTS&lt;&gt;"")*(LEFT($C25,LEN(scope_HTS))=scope_HTS)*(LEN(scope_HTS)=INT($AM25/1000))))</f>
        <v/>
      </c>
      <c r="AO25" s="13">
        <f>IF($L25&lt;&gt;"Y",0,SUMPRODUCT(MAX(ISNUMBER(rate_Rate)*((UPPER(TRIM(CLEAN(SUBSTITUTE(rate_Group&amp;""," "," "))))="")+(UPPER(TRIM(CLEAN(SUBSTITUTE(rate_Group&amp;""," "," "))))=$N25)&gt;0)*((UPPER(TRIM(CLEAN(SUBSTITUTE(rate_COO&amp;""," "," "))))="")+(UPPER(TRIM(CLEAN(SUBSTITUTE(rate_COO&amp;""," "," "))))=$E25)&gt;0)*((UPPER(TRIM(CLEAN(SUBSTITUTE(rate_USMCA&amp;""," "," "))))="")+(UPPER(TRIM(CLEAN(SUBSTITUTE(rate_USMCA&amp;""," "," "))))=IF(UPPER(TRIM(CLEAN(SUBSTITUTE(Items!F25&amp;""," "," "))))="Y","Y","N"))&gt;0)*((1+(UPPER(TRIM(CLEAN(SUBSTITUTE(rate_Group&amp;""," "," "))))&lt;&gt;"")+2*(UPPER(TRIM(CLEAN(SUBSTITUTE(rate_USMCA&amp;""," "," "))))&lt;&gt;"")+4*(UPPER(TRIM(CLEAN(SUBSTITUTE(rate_COO&amp;""," "," "))))&lt;&gt;""))*100+ROW(rate_Rate)-4))))</f>
        <v/>
      </c>
      <c r="AP25" s="13">
        <f>IF($AO25=0,0,SUMPRODUCT(ISNUMBER(rate_Rate)*((UPPER(TRIM(CLEAN(SUBSTITUTE(rate_Group&amp;""," "," "))))="")+(UPPER(TRIM(CLEAN(SUBSTITUTE(rate_Group&amp;""," "," "))))=$N25)&gt;0)*((UPPER(TRIM(CLEAN(SUBSTITUTE(rate_COO&amp;""," "," "))))="")+(UPPER(TRIM(CLEAN(SUBSTITUTE(rate_COO&amp;""," "," "))))=$E25)&gt;0)*((UPPER(TRIM(CLEAN(SUBSTITUTE(rate_USMCA&amp;""," "," "))))="")+(UPPER(TRIM(CLEAN(SUBSTITUTE(rate_USMCA&amp;""," "," "))))=IF(UPPER(TRIM(CLEAN(SUBSTITUTE(Items!F25&amp;""," "," "))))="Y","Y","N"))&gt;0)*((1+(UPPER(TRIM(CLEAN(SUBSTITUTE(rate_Group&amp;""," "," "))))&lt;&gt;"")+2*(UPPER(TRIM(CLEAN(SUBSTITUTE(rate_USMCA&amp;""," "," "))))&lt;&gt;"")+4*(UPPER(TRIM(CLEAN(SUBSTITUTE(rate_COO&amp;""," "," "))))&lt;&gt;""))=INT($AO25/100))))</f>
        <v/>
      </c>
      <c r="AQ25" s="13">
        <f>IF($A25="",0,IFERROR(MATCH($AL25,det_Key,0),0))</f>
        <v/>
      </c>
    </row>
    <row r="26">
      <c r="A26" s="10">
        <f>IF(TRIM(CLEAN(SUBSTITUTE(Items!A26&amp;""," "," ")))="","",TRIM(CLEAN(SUBSTITUTE(Items!A26&amp;""," "," "))))</f>
        <v/>
      </c>
      <c r="B26" s="10">
        <f>IF($A26="","",Items!B26&amp;"")</f>
        <v/>
      </c>
      <c r="C26" s="10">
        <f>IF($A26="","",SUBSTITUTE(SUBSTITUTE(SUBSTITUTE(SUBSTITUTE(CLEAN(Items!D26&amp;"")," ",""),".","")," ",""),"-",""))</f>
        <v/>
      </c>
      <c r="D26" s="10">
        <f>IF($A26="","",LEFT($C26,2))</f>
        <v/>
      </c>
      <c r="E26" s="10">
        <f>IF($A26="","",UPPER(TRIM(CLEAN(SUBSTITUTE(Items!E26&amp;""," "," ")))))</f>
        <v/>
      </c>
      <c r="F26" s="10">
        <f>IF($A26="","",IF(UPPER(TRIM(CLEAN(SUBSTITUTE(Items!C26&amp;""," "," "))))=UPPER(TRIM(CLEAN(SUBSTITUTE(act_Country&amp;""," "," ")))),"Y","N"))</f>
        <v/>
      </c>
      <c r="G26" s="10">
        <f>IF($A26="","",IF($AM26&gt;0,"Y","N"))</f>
        <v/>
      </c>
      <c r="H26" s="10">
        <f>IF($A26="","",IF(SUMPRODUCT((excl_HTS&lt;&gt;"")*(LEFT($C26,LEN(excl_HTS))=excl_HTS))&gt;0,"Y","N"))</f>
        <v/>
      </c>
      <c r="I26" s="10">
        <f>IF($A26="","",IF($E26="","N",IF(SUMPRODUCT(--(UPPER(TRIM(CLEAN(SUBSTITUTE(scope_COO&amp;""," "," "))))=$E26))&gt;0,"Y","N")))</f>
        <v/>
      </c>
      <c r="J26" s="10">
        <f>IF($A26="","",IF(AND(UPPER(TRIM(CLEAN(SUBSTITUTE(act_USMCAExempt&amp;""," "," "))))="Y",UPPER(TRIM(CLEAN(SUBSTITUTE(Items!F26&amp;""," "," "))))="Y"),"Y","N"))</f>
        <v/>
      </c>
      <c r="K26" s="10">
        <f>IF($A26="","",IF($AQ26=0,"",UPPER(TRIM(CLEAN(SUBSTITUTE(INDEX(det_Status,$AQ26)&amp;""," "," "))))))</f>
        <v/>
      </c>
      <c r="L26" s="10">
        <f>IF($A26="","",IF($F26="N","N",IF($K26="IN","Y",IF($K26="OUT","N",IF(AND($G26="Y",$H26="N",$I26="Y",$J26="N"),"Y","N")))))</f>
        <v/>
      </c>
      <c r="M26" s="10">
        <f>IF($A26="","",IF($F26="N","Out: different import country",IF($K26="IN","In: Research determination",IF($K26="OUT","Out: Research determination",IF($G26="N","Out: HTS not on scope list",IF($H26="Y","Out: HTS on exclusion list",IF($I26="N","Out: origin not on scope list",IF($J26="Y","Out: USMCA-qualifying, exempt","In: matches scope rules"))))))))</f>
        <v/>
      </c>
      <c r="N26" s="10">
        <f>IF(OR($A26="",$AM26=0),"",UPPER(TRIM(CLEAN(SUBSTITUTE(INDEX(scope_Group,MOD($AM26,1000))&amp;""," "," ")))))</f>
        <v/>
      </c>
      <c r="O26" s="10">
        <f>IF($L26&lt;&gt;"Y","",IF($AO26=0,"Default (B15)",UPPER(TRIM(CLEAN(SUBSTITUTE(INDEX(rate_ID,MOD($AO26,100))&amp;""," "," "))))))</f>
        <v/>
      </c>
      <c r="P26" s="10">
        <f>IF($L26&lt;&gt;"Y","",IF($AO26=0,IF(UPPER(TRIM(CLEAN(SUBSTITUTE(act_DefaultBase&amp;""," "," "))))="PART","PART","FULL"),IF(UPPER(TRIM(CLEAN(SUBSTITUTE(INDEX(rate_Base,MOD($AO26,100))&amp;""," "," "))))="PART","PART","FULL")))</f>
        <v/>
      </c>
      <c r="Q26" s="17">
        <f>IF($A26="","",N(Items!J26))</f>
        <v/>
      </c>
      <c r="R26" s="17">
        <f>IF($A26="","",IF($L26&lt;&gt;"Y",0,IF($AO26=0,N(act_Rate),N(INDEX(rate_Rate,MOD($AO26,100))))))</f>
        <v/>
      </c>
      <c r="S26" s="17">
        <f>IF($A26="","",IF($L26&lt;&gt;"Y",0,IF($AO26=0,IF(UPPER(TRIM(CLEAN(SUBSTITUTE(act_RateType&amp;""," "," "))))="REPLACE",N(act_PriorRate),0),IF(ISNUMBER(INDEX(rate_Prior,MOD($AO26,100))),INDEX(rate_Prior,MOD($AO26,100)),IF(UPPER(TRIM(CLEAN(SUBSTITUTE(act_RateType&amp;""," "," "))))="REPLACE",N(act_PriorRate),0)))))</f>
        <v/>
      </c>
      <c r="T26" s="17">
        <f>IF($A26="","",IF(AND($L26="Y",$P26="PART",ISNUMBER(Items!M26)),Items!M26,1))</f>
        <v/>
      </c>
      <c r="U26" s="17">
        <f>IF($A26="","",IF($L26&lt;&gt;"Y",0,IF($AQ26&gt;0,IF(ISNUMBER(INDEX(det_Displaced,$AQ26)),INDEX(det_Displaced,$AQ26),IF($AO26=0,0,N(INDEX(rate_Displaced,MOD($AO26,100))))),IF($AO26=0,0,N(INDEX(rate_Displaced,MOD($AO26,100)))))))</f>
        <v/>
      </c>
      <c r="V26" s="17">
        <f>IF($A26="","",IF($L26="Y",$Q26+$T26*($R26-$S26)-$U26,$Q26))</f>
        <v/>
      </c>
      <c r="W26" s="18">
        <f>IF($A26="","",N(Items!H26)*$Q26)</f>
        <v/>
      </c>
      <c r="X26" s="18">
        <f>IF($A26="","",N(Items!H26)*$V26)</f>
        <v/>
      </c>
      <c r="Y26" s="18">
        <f>IF($A26="","",$X26-$W26)</f>
        <v/>
      </c>
      <c r="Z26" s="18">
        <f>IF($A26="","",N(Items!K26)+$Y26)</f>
        <v/>
      </c>
      <c r="AA26" s="17">
        <f>IF($A26="","",IF(N(Items!L26)=0,"",(N(Items!L26)-N(Items!K26))/N(Items!L26)))</f>
        <v/>
      </c>
      <c r="AB26" s="17">
        <f>IF($A26="","",IF(N(Items!L26)=0,"",(N(Items!L26)-$Z26)/N(Items!L26)))</f>
        <v/>
      </c>
      <c r="AC26" s="17">
        <f>IF(OR($AA26="",$AB26=""),"",$AB26-$AA26)</f>
        <v/>
      </c>
      <c r="AD26" s="13">
        <f>IF($A26="","",N(Items!I26))</f>
        <v/>
      </c>
      <c r="AE26" s="19">
        <f>IF($A26="","",$Y26*$AD26)</f>
        <v/>
      </c>
      <c r="AF26" s="10">
        <f>IF($A26="","",IF(N(Items!L26)&gt;0,"Y","N"))</f>
        <v/>
      </c>
      <c r="AG26" s="19">
        <f>IF($A26="","",IF($AF26="Y",N(Items!L26)*$AD26,0))</f>
        <v/>
      </c>
      <c r="AH26" s="19">
        <f>IF($A26="","",IF($AF26="Y",(N(Items!L26)-N(Items!K26))*$AD26,0))</f>
        <v/>
      </c>
      <c r="AI26" s="19">
        <f>IF($A26="","",IF($AF26="Y",$AH26-$AE26,0))</f>
        <v/>
      </c>
      <c r="AJ26" s="10">
        <f>IF($A26="","",IF(COUNTIF($AL$5:$AL$254,$AL26)&gt;1,"CHECK: duplicate item and import country",IF(TRIM(CLEAN(SUBSTITUTE(Items!C26&amp;""," "," ")))="","CHECK: import country missing",IF(AND(UPPER(TRIM(CLEAN(SUBSTITUTE(Items!C26&amp;""," "," "))))&lt;&gt;"US",UPPER(TRIM(CLEAN(SUBSTITUTE(Items!C26&amp;""," "," "))))&lt;&gt;"CA",UPPER(TRIM(CLEAN(SUBSTITUTE(Items!C26&amp;""," "," "))))&lt;&gt;"MX"),"CHECK: import country must be US, CA or MX",IF(NOT(AND(LEN($C26)=10,IFERROR(TEXT(VALUE($C26),REPT("0",LEN($C26)))=$C26,FALSE))),"CHECK: HTS must be 10 digits",IF(LEN($E26)&lt;&gt;2,"CHECK: origin code missing or not 2 letters",IF(TRIM(CLEAN(SUBSTITUTE(Items!G26&amp;""," "," ")))="","CHECK: unit of measure missing",IF(OR(Items!H26="",Items!J26="",Items!K26=""),"CHECK: value, rate or cost missing",IF(OR(NOT(ISNUMBER(Items!H26)),NOT(ISNUMBER(Items!J26)),NOT(ISNUMBER(Items!K26)),AND(Items!I26&lt;&gt;"",NOT(ISNUMBER(Items!I26))),AND(Items!L26&lt;&gt;"",NOT(ISNUMBER(Items!L26))),AND(Items!M26&lt;&gt;"",NOT(ISNUMBER(Items!M26)))),"CHECK: text in a number column",IF(AND(ISNUMBER(Items!M26),OR(N(Items!M26)&lt;0,N(Items!M26)&gt;1)),"CHECK: dutiable share must be 0% to 100%",IF(AND(UPPER(TRIM(CLEAN(SUBSTITUTE(Items!F26&amp;""," "," "))))&lt;&gt;"",UPPER(TRIM(CLEAN(SUBSTITUTE(Items!F26&amp;""," "," "))))&lt;&gt;"Y",UPPER(TRIM(CLEAN(SUBSTITUTE(Items!F26&amp;""," "," "))))&lt;&gt;"N"),"CHECK: USMCA flag must be Y, N or blank",IF(AND(UPPER(TRIM(CLEAN(SUBSTITUTE(Items!F26&amp;""," "," "))))="Y",$E26&lt;&gt;"US",$E26&lt;&gt;"CA",$E26&lt;&gt;"MX"),"CHECK: USMCA flag on an origin other than US, CA or MX",IF(AND($L26="Y",$AO26=0,NOT(ISNUMBER(act_Rate))),"CHECK: in scope but no rate (add a rate line or B15)",IF(AND($L26="Y",UPPER(TRIM(CLEAN(SUBSTITUTE(act_RateType&amp;""," "," "))))="REPLACE",NOT(ISNUMBER(act_PriorRate)),IF($AO26=0,TRUE,NOT(ISNUMBER(INDEX(rate_Prior,MOD($AO26,100)))))),"CHECK: REPLACE but no earlier rate (B17 or the rate line's AD)",IF(AND($L26="Y",$AP26&gt;1),"CHECK: two rate lines match equally",IF(AND($L26="Y",$AN26&gt;1),"CHECK: HTS prefix listed twice on the scope list",IF(AND($L26="Y",$P26="PART",NOT(ISNUMBER(Items!M26))),"CHECK: dutiable share missing (PART base)",IF(AND($L26="Y",$P26="FULL",ISNUMBER(Items!M26),N(Items!M26)&lt;&gt;1),"CHECK: dutiable share entered, but the rate taxes the full value",IF(AND($L26="Y",$Q26+0.0000001&lt;$T26*$S26+$U26),"CHECK: current rate is below the duty being replaced or displaced",IF(AND($L26="Y",$AD26=0),"NOTE: in scope, no quantity",IF(AND($L26="Y",$AF26="N"),"NOTE: in scope, no sell price (left out of margin %)",IF(AND($L26="Y",N(Items!H26)&gt;N(Items!K26)),"NOTE: customs value above standard cost (check unit of measure)",IF(AND($L26="Y",$Q26&gt;1),"NOTE: current rate above 100% (check it was entered as a percentage)","OK")))))))))))))))))))))))</f>
        <v/>
      </c>
      <c r="AK26" s="20">
        <f>IF($A26="","",IF(AND($L26="Y",$AE26&lt;&gt;0),ABS($AE26)+ROW()/1000000000,""))</f>
        <v/>
      </c>
      <c r="AL26" s="10">
        <f>IF($A26="","",UPPER($A26)&amp;"/"&amp;UPPER(TRIM(CLEAN(SUBSTITUTE(Items!C26&amp;""," "," ")))))</f>
        <v/>
      </c>
      <c r="AM26" s="13">
        <f>IF($A26="",0,SUMPRODUCT(MAX((scope_HTS&lt;&gt;"")*(LEFT($C26,LEN(scope_HTS))=scope_HTS)*(LEN(scope_HTS)*1000+ROW(scope_HTS)-4))))</f>
        <v/>
      </c>
      <c r="AN26" s="13">
        <f>IF($AM26=0,0,SUMPRODUCT((scope_HTS&lt;&gt;"")*(LEFT($C26,LEN(scope_HTS))=scope_HTS)*(LEN(scope_HTS)=INT($AM26/1000))))</f>
        <v/>
      </c>
      <c r="AO26" s="13">
        <f>IF($L26&lt;&gt;"Y",0,SUMPRODUCT(MAX(ISNUMBER(rate_Rate)*((UPPER(TRIM(CLEAN(SUBSTITUTE(rate_Group&amp;""," "," "))))="")+(UPPER(TRIM(CLEAN(SUBSTITUTE(rate_Group&amp;""," "," "))))=$N26)&gt;0)*((UPPER(TRIM(CLEAN(SUBSTITUTE(rate_COO&amp;""," "," "))))="")+(UPPER(TRIM(CLEAN(SUBSTITUTE(rate_COO&amp;""," "," "))))=$E26)&gt;0)*((UPPER(TRIM(CLEAN(SUBSTITUTE(rate_USMCA&amp;""," "," "))))="")+(UPPER(TRIM(CLEAN(SUBSTITUTE(rate_USMCA&amp;""," "," "))))=IF(UPPER(TRIM(CLEAN(SUBSTITUTE(Items!F26&amp;""," "," "))))="Y","Y","N"))&gt;0)*((1+(UPPER(TRIM(CLEAN(SUBSTITUTE(rate_Group&amp;""," "," "))))&lt;&gt;"")+2*(UPPER(TRIM(CLEAN(SUBSTITUTE(rate_USMCA&amp;""," "," "))))&lt;&gt;"")+4*(UPPER(TRIM(CLEAN(SUBSTITUTE(rate_COO&amp;""," "," "))))&lt;&gt;""))*100+ROW(rate_Rate)-4))))</f>
        <v/>
      </c>
      <c r="AP26" s="13">
        <f>IF($AO26=0,0,SUMPRODUCT(ISNUMBER(rate_Rate)*((UPPER(TRIM(CLEAN(SUBSTITUTE(rate_Group&amp;""," "," "))))="")+(UPPER(TRIM(CLEAN(SUBSTITUTE(rate_Group&amp;""," "," "))))=$N26)&gt;0)*((UPPER(TRIM(CLEAN(SUBSTITUTE(rate_COO&amp;""," "," "))))="")+(UPPER(TRIM(CLEAN(SUBSTITUTE(rate_COO&amp;""," "," "))))=$E26)&gt;0)*((UPPER(TRIM(CLEAN(SUBSTITUTE(rate_USMCA&amp;""," "," "))))="")+(UPPER(TRIM(CLEAN(SUBSTITUTE(rate_USMCA&amp;""," "," "))))=IF(UPPER(TRIM(CLEAN(SUBSTITUTE(Items!F26&amp;""," "," "))))="Y","Y","N"))&gt;0)*((1+(UPPER(TRIM(CLEAN(SUBSTITUTE(rate_Group&amp;""," "," "))))&lt;&gt;"")+2*(UPPER(TRIM(CLEAN(SUBSTITUTE(rate_USMCA&amp;""," "," "))))&lt;&gt;"")+4*(UPPER(TRIM(CLEAN(SUBSTITUTE(rate_COO&amp;""," "," "))))&lt;&gt;""))=INT($AO26/100))))</f>
        <v/>
      </c>
      <c r="AQ26" s="13">
        <f>IF($A26="",0,IFERROR(MATCH($AL26,det_Key,0),0))</f>
        <v/>
      </c>
    </row>
    <row r="27">
      <c r="A27" s="10">
        <f>IF(TRIM(CLEAN(SUBSTITUTE(Items!A27&amp;""," "," ")))="","",TRIM(CLEAN(SUBSTITUTE(Items!A27&amp;""," "," "))))</f>
        <v/>
      </c>
      <c r="B27" s="10">
        <f>IF($A27="","",Items!B27&amp;"")</f>
        <v/>
      </c>
      <c r="C27" s="10">
        <f>IF($A27="","",SUBSTITUTE(SUBSTITUTE(SUBSTITUTE(SUBSTITUTE(CLEAN(Items!D27&amp;"")," ",""),".","")," ",""),"-",""))</f>
        <v/>
      </c>
      <c r="D27" s="10">
        <f>IF($A27="","",LEFT($C27,2))</f>
        <v/>
      </c>
      <c r="E27" s="10">
        <f>IF($A27="","",UPPER(TRIM(CLEAN(SUBSTITUTE(Items!E27&amp;""," "," ")))))</f>
        <v/>
      </c>
      <c r="F27" s="10">
        <f>IF($A27="","",IF(UPPER(TRIM(CLEAN(SUBSTITUTE(Items!C27&amp;""," "," "))))=UPPER(TRIM(CLEAN(SUBSTITUTE(act_Country&amp;""," "," ")))),"Y","N"))</f>
        <v/>
      </c>
      <c r="G27" s="10">
        <f>IF($A27="","",IF($AM27&gt;0,"Y","N"))</f>
        <v/>
      </c>
      <c r="H27" s="10">
        <f>IF($A27="","",IF(SUMPRODUCT((excl_HTS&lt;&gt;"")*(LEFT($C27,LEN(excl_HTS))=excl_HTS))&gt;0,"Y","N"))</f>
        <v/>
      </c>
      <c r="I27" s="10">
        <f>IF($A27="","",IF($E27="","N",IF(SUMPRODUCT(--(UPPER(TRIM(CLEAN(SUBSTITUTE(scope_COO&amp;""," "," "))))=$E27))&gt;0,"Y","N")))</f>
        <v/>
      </c>
      <c r="J27" s="10">
        <f>IF($A27="","",IF(AND(UPPER(TRIM(CLEAN(SUBSTITUTE(act_USMCAExempt&amp;""," "," "))))="Y",UPPER(TRIM(CLEAN(SUBSTITUTE(Items!F27&amp;""," "," "))))="Y"),"Y","N"))</f>
        <v/>
      </c>
      <c r="K27" s="10">
        <f>IF($A27="","",IF($AQ27=0,"",UPPER(TRIM(CLEAN(SUBSTITUTE(INDEX(det_Status,$AQ27)&amp;""," "," "))))))</f>
        <v/>
      </c>
      <c r="L27" s="10">
        <f>IF($A27="","",IF($F27="N","N",IF($K27="IN","Y",IF($K27="OUT","N",IF(AND($G27="Y",$H27="N",$I27="Y",$J27="N"),"Y","N")))))</f>
        <v/>
      </c>
      <c r="M27" s="10">
        <f>IF($A27="","",IF($F27="N","Out: different import country",IF($K27="IN","In: Research determination",IF($K27="OUT","Out: Research determination",IF($G27="N","Out: HTS not on scope list",IF($H27="Y","Out: HTS on exclusion list",IF($I27="N","Out: origin not on scope list",IF($J27="Y","Out: USMCA-qualifying, exempt","In: matches scope rules"))))))))</f>
        <v/>
      </c>
      <c r="N27" s="10">
        <f>IF(OR($A27="",$AM27=0),"",UPPER(TRIM(CLEAN(SUBSTITUTE(INDEX(scope_Group,MOD($AM27,1000))&amp;""," "," ")))))</f>
        <v/>
      </c>
      <c r="O27" s="10">
        <f>IF($L27&lt;&gt;"Y","",IF($AO27=0,"Default (B15)",UPPER(TRIM(CLEAN(SUBSTITUTE(INDEX(rate_ID,MOD($AO27,100))&amp;""," "," "))))))</f>
        <v/>
      </c>
      <c r="P27" s="10">
        <f>IF($L27&lt;&gt;"Y","",IF($AO27=0,IF(UPPER(TRIM(CLEAN(SUBSTITUTE(act_DefaultBase&amp;""," "," "))))="PART","PART","FULL"),IF(UPPER(TRIM(CLEAN(SUBSTITUTE(INDEX(rate_Base,MOD($AO27,100))&amp;""," "," "))))="PART","PART","FULL")))</f>
        <v/>
      </c>
      <c r="Q27" s="17">
        <f>IF($A27="","",N(Items!J27))</f>
        <v/>
      </c>
      <c r="R27" s="17">
        <f>IF($A27="","",IF($L27&lt;&gt;"Y",0,IF($AO27=0,N(act_Rate),N(INDEX(rate_Rate,MOD($AO27,100))))))</f>
        <v/>
      </c>
      <c r="S27" s="17">
        <f>IF($A27="","",IF($L27&lt;&gt;"Y",0,IF($AO27=0,IF(UPPER(TRIM(CLEAN(SUBSTITUTE(act_RateType&amp;""," "," "))))="REPLACE",N(act_PriorRate),0),IF(ISNUMBER(INDEX(rate_Prior,MOD($AO27,100))),INDEX(rate_Prior,MOD($AO27,100)),IF(UPPER(TRIM(CLEAN(SUBSTITUTE(act_RateType&amp;""," "," "))))="REPLACE",N(act_PriorRate),0)))))</f>
        <v/>
      </c>
      <c r="T27" s="17">
        <f>IF($A27="","",IF(AND($L27="Y",$P27="PART",ISNUMBER(Items!M27)),Items!M27,1))</f>
        <v/>
      </c>
      <c r="U27" s="17">
        <f>IF($A27="","",IF($L27&lt;&gt;"Y",0,IF($AQ27&gt;0,IF(ISNUMBER(INDEX(det_Displaced,$AQ27)),INDEX(det_Displaced,$AQ27),IF($AO27=0,0,N(INDEX(rate_Displaced,MOD($AO27,100))))),IF($AO27=0,0,N(INDEX(rate_Displaced,MOD($AO27,100)))))))</f>
        <v/>
      </c>
      <c r="V27" s="17">
        <f>IF($A27="","",IF($L27="Y",$Q27+$T27*($R27-$S27)-$U27,$Q27))</f>
        <v/>
      </c>
      <c r="W27" s="18">
        <f>IF($A27="","",N(Items!H27)*$Q27)</f>
        <v/>
      </c>
      <c r="X27" s="18">
        <f>IF($A27="","",N(Items!H27)*$V27)</f>
        <v/>
      </c>
      <c r="Y27" s="18">
        <f>IF($A27="","",$X27-$W27)</f>
        <v/>
      </c>
      <c r="Z27" s="18">
        <f>IF($A27="","",N(Items!K27)+$Y27)</f>
        <v/>
      </c>
      <c r="AA27" s="17">
        <f>IF($A27="","",IF(N(Items!L27)=0,"",(N(Items!L27)-N(Items!K27))/N(Items!L27)))</f>
        <v/>
      </c>
      <c r="AB27" s="17">
        <f>IF($A27="","",IF(N(Items!L27)=0,"",(N(Items!L27)-$Z27)/N(Items!L27)))</f>
        <v/>
      </c>
      <c r="AC27" s="17">
        <f>IF(OR($AA27="",$AB27=""),"",$AB27-$AA27)</f>
        <v/>
      </c>
      <c r="AD27" s="13">
        <f>IF($A27="","",N(Items!I27))</f>
        <v/>
      </c>
      <c r="AE27" s="19">
        <f>IF($A27="","",$Y27*$AD27)</f>
        <v/>
      </c>
      <c r="AF27" s="10">
        <f>IF($A27="","",IF(N(Items!L27)&gt;0,"Y","N"))</f>
        <v/>
      </c>
      <c r="AG27" s="19">
        <f>IF($A27="","",IF($AF27="Y",N(Items!L27)*$AD27,0))</f>
        <v/>
      </c>
      <c r="AH27" s="19">
        <f>IF($A27="","",IF($AF27="Y",(N(Items!L27)-N(Items!K27))*$AD27,0))</f>
        <v/>
      </c>
      <c r="AI27" s="19">
        <f>IF($A27="","",IF($AF27="Y",$AH27-$AE27,0))</f>
        <v/>
      </c>
      <c r="AJ27" s="10">
        <f>IF($A27="","",IF(COUNTIF($AL$5:$AL$254,$AL27)&gt;1,"CHECK: duplicate item and import country",IF(TRIM(CLEAN(SUBSTITUTE(Items!C27&amp;""," "," ")))="","CHECK: import country missing",IF(AND(UPPER(TRIM(CLEAN(SUBSTITUTE(Items!C27&amp;""," "," "))))&lt;&gt;"US",UPPER(TRIM(CLEAN(SUBSTITUTE(Items!C27&amp;""," "," "))))&lt;&gt;"CA",UPPER(TRIM(CLEAN(SUBSTITUTE(Items!C27&amp;""," "," "))))&lt;&gt;"MX"),"CHECK: import country must be US, CA or MX",IF(NOT(AND(LEN($C27)=10,IFERROR(TEXT(VALUE($C27),REPT("0",LEN($C27)))=$C27,FALSE))),"CHECK: HTS must be 10 digits",IF(LEN($E27)&lt;&gt;2,"CHECK: origin code missing or not 2 letters",IF(TRIM(CLEAN(SUBSTITUTE(Items!G27&amp;""," "," ")))="","CHECK: unit of measure missing",IF(OR(Items!H27="",Items!J27="",Items!K27=""),"CHECK: value, rate or cost missing",IF(OR(NOT(ISNUMBER(Items!H27)),NOT(ISNUMBER(Items!J27)),NOT(ISNUMBER(Items!K27)),AND(Items!I27&lt;&gt;"",NOT(ISNUMBER(Items!I27))),AND(Items!L27&lt;&gt;"",NOT(ISNUMBER(Items!L27))),AND(Items!M27&lt;&gt;"",NOT(ISNUMBER(Items!M27)))),"CHECK: text in a number column",IF(AND(ISNUMBER(Items!M27),OR(N(Items!M27)&lt;0,N(Items!M27)&gt;1)),"CHECK: dutiable share must be 0% to 100%",IF(AND(UPPER(TRIM(CLEAN(SUBSTITUTE(Items!F27&amp;""," "," "))))&lt;&gt;"",UPPER(TRIM(CLEAN(SUBSTITUTE(Items!F27&amp;""," "," "))))&lt;&gt;"Y",UPPER(TRIM(CLEAN(SUBSTITUTE(Items!F27&amp;""," "," "))))&lt;&gt;"N"),"CHECK: USMCA flag must be Y, N or blank",IF(AND(UPPER(TRIM(CLEAN(SUBSTITUTE(Items!F27&amp;""," "," "))))="Y",$E27&lt;&gt;"US",$E27&lt;&gt;"CA",$E27&lt;&gt;"MX"),"CHECK: USMCA flag on an origin other than US, CA or MX",IF(AND($L27="Y",$AO27=0,NOT(ISNUMBER(act_Rate))),"CHECK: in scope but no rate (add a rate line or B15)",IF(AND($L27="Y",UPPER(TRIM(CLEAN(SUBSTITUTE(act_RateType&amp;""," "," "))))="REPLACE",NOT(ISNUMBER(act_PriorRate)),IF($AO27=0,TRUE,NOT(ISNUMBER(INDEX(rate_Prior,MOD($AO27,100)))))),"CHECK: REPLACE but no earlier rate (B17 or the rate line's AD)",IF(AND($L27="Y",$AP27&gt;1),"CHECK: two rate lines match equally",IF(AND($L27="Y",$AN27&gt;1),"CHECK: HTS prefix listed twice on the scope list",IF(AND($L27="Y",$P27="PART",NOT(ISNUMBER(Items!M27))),"CHECK: dutiable share missing (PART base)",IF(AND($L27="Y",$P27="FULL",ISNUMBER(Items!M27),N(Items!M27)&lt;&gt;1),"CHECK: dutiable share entered, but the rate taxes the full value",IF(AND($L27="Y",$Q27+0.0000001&lt;$T27*$S27+$U27),"CHECK: current rate is below the duty being replaced or displaced",IF(AND($L27="Y",$AD27=0),"NOTE: in scope, no quantity",IF(AND($L27="Y",$AF27="N"),"NOTE: in scope, no sell price (left out of margin %)",IF(AND($L27="Y",N(Items!H27)&gt;N(Items!K27)),"NOTE: customs value above standard cost (check unit of measure)",IF(AND($L27="Y",$Q27&gt;1),"NOTE: current rate above 100% (check it was entered as a percentage)","OK")))))))))))))))))))))))</f>
        <v/>
      </c>
      <c r="AK27" s="20">
        <f>IF($A27="","",IF(AND($L27="Y",$AE27&lt;&gt;0),ABS($AE27)+ROW()/1000000000,""))</f>
        <v/>
      </c>
      <c r="AL27" s="10">
        <f>IF($A27="","",UPPER($A27)&amp;"/"&amp;UPPER(TRIM(CLEAN(SUBSTITUTE(Items!C27&amp;""," "," ")))))</f>
        <v/>
      </c>
      <c r="AM27" s="13">
        <f>IF($A27="",0,SUMPRODUCT(MAX((scope_HTS&lt;&gt;"")*(LEFT($C27,LEN(scope_HTS))=scope_HTS)*(LEN(scope_HTS)*1000+ROW(scope_HTS)-4))))</f>
        <v/>
      </c>
      <c r="AN27" s="13">
        <f>IF($AM27=0,0,SUMPRODUCT((scope_HTS&lt;&gt;"")*(LEFT($C27,LEN(scope_HTS))=scope_HTS)*(LEN(scope_HTS)=INT($AM27/1000))))</f>
        <v/>
      </c>
      <c r="AO27" s="13">
        <f>IF($L27&lt;&gt;"Y",0,SUMPRODUCT(MAX(ISNUMBER(rate_Rate)*((UPPER(TRIM(CLEAN(SUBSTITUTE(rate_Group&amp;""," "," "))))="")+(UPPER(TRIM(CLEAN(SUBSTITUTE(rate_Group&amp;""," "," "))))=$N27)&gt;0)*((UPPER(TRIM(CLEAN(SUBSTITUTE(rate_COO&amp;""," "," "))))="")+(UPPER(TRIM(CLEAN(SUBSTITUTE(rate_COO&amp;""," "," "))))=$E27)&gt;0)*((UPPER(TRIM(CLEAN(SUBSTITUTE(rate_USMCA&amp;""," "," "))))="")+(UPPER(TRIM(CLEAN(SUBSTITUTE(rate_USMCA&amp;""," "," "))))=IF(UPPER(TRIM(CLEAN(SUBSTITUTE(Items!F27&amp;""," "," "))))="Y","Y","N"))&gt;0)*((1+(UPPER(TRIM(CLEAN(SUBSTITUTE(rate_Group&amp;""," "," "))))&lt;&gt;"")+2*(UPPER(TRIM(CLEAN(SUBSTITUTE(rate_USMCA&amp;""," "," "))))&lt;&gt;"")+4*(UPPER(TRIM(CLEAN(SUBSTITUTE(rate_COO&amp;""," "," "))))&lt;&gt;""))*100+ROW(rate_Rate)-4))))</f>
        <v/>
      </c>
      <c r="AP27" s="13">
        <f>IF($AO27=0,0,SUMPRODUCT(ISNUMBER(rate_Rate)*((UPPER(TRIM(CLEAN(SUBSTITUTE(rate_Group&amp;""," "," "))))="")+(UPPER(TRIM(CLEAN(SUBSTITUTE(rate_Group&amp;""," "," "))))=$N27)&gt;0)*((UPPER(TRIM(CLEAN(SUBSTITUTE(rate_COO&amp;""," "," "))))="")+(UPPER(TRIM(CLEAN(SUBSTITUTE(rate_COO&amp;""," "," "))))=$E27)&gt;0)*((UPPER(TRIM(CLEAN(SUBSTITUTE(rate_USMCA&amp;""," "," "))))="")+(UPPER(TRIM(CLEAN(SUBSTITUTE(rate_USMCA&amp;""," "," "))))=IF(UPPER(TRIM(CLEAN(SUBSTITUTE(Items!F27&amp;""," "," "))))="Y","Y","N"))&gt;0)*((1+(UPPER(TRIM(CLEAN(SUBSTITUTE(rate_Group&amp;""," "," "))))&lt;&gt;"")+2*(UPPER(TRIM(CLEAN(SUBSTITUTE(rate_USMCA&amp;""," "," "))))&lt;&gt;"")+4*(UPPER(TRIM(CLEAN(SUBSTITUTE(rate_COO&amp;""," "," "))))&lt;&gt;""))=INT($AO27/100))))</f>
        <v/>
      </c>
      <c r="AQ27" s="13">
        <f>IF($A27="",0,IFERROR(MATCH($AL27,det_Key,0),0))</f>
        <v/>
      </c>
    </row>
    <row r="28">
      <c r="A28" s="10">
        <f>IF(TRIM(CLEAN(SUBSTITUTE(Items!A28&amp;""," "," ")))="","",TRIM(CLEAN(SUBSTITUTE(Items!A28&amp;""," "," "))))</f>
        <v/>
      </c>
      <c r="B28" s="10">
        <f>IF($A28="","",Items!B28&amp;"")</f>
        <v/>
      </c>
      <c r="C28" s="10">
        <f>IF($A28="","",SUBSTITUTE(SUBSTITUTE(SUBSTITUTE(SUBSTITUTE(CLEAN(Items!D28&amp;"")," ",""),".","")," ",""),"-",""))</f>
        <v/>
      </c>
      <c r="D28" s="10">
        <f>IF($A28="","",LEFT($C28,2))</f>
        <v/>
      </c>
      <c r="E28" s="10">
        <f>IF($A28="","",UPPER(TRIM(CLEAN(SUBSTITUTE(Items!E28&amp;""," "," ")))))</f>
        <v/>
      </c>
      <c r="F28" s="10">
        <f>IF($A28="","",IF(UPPER(TRIM(CLEAN(SUBSTITUTE(Items!C28&amp;""," "," "))))=UPPER(TRIM(CLEAN(SUBSTITUTE(act_Country&amp;""," "," ")))),"Y","N"))</f>
        <v/>
      </c>
      <c r="G28" s="10">
        <f>IF($A28="","",IF($AM28&gt;0,"Y","N"))</f>
        <v/>
      </c>
      <c r="H28" s="10">
        <f>IF($A28="","",IF(SUMPRODUCT((excl_HTS&lt;&gt;"")*(LEFT($C28,LEN(excl_HTS))=excl_HTS))&gt;0,"Y","N"))</f>
        <v/>
      </c>
      <c r="I28" s="10">
        <f>IF($A28="","",IF($E28="","N",IF(SUMPRODUCT(--(UPPER(TRIM(CLEAN(SUBSTITUTE(scope_COO&amp;""," "," "))))=$E28))&gt;0,"Y","N")))</f>
        <v/>
      </c>
      <c r="J28" s="10">
        <f>IF($A28="","",IF(AND(UPPER(TRIM(CLEAN(SUBSTITUTE(act_USMCAExempt&amp;""," "," "))))="Y",UPPER(TRIM(CLEAN(SUBSTITUTE(Items!F28&amp;""," "," "))))="Y"),"Y","N"))</f>
        <v/>
      </c>
      <c r="K28" s="10">
        <f>IF($A28="","",IF($AQ28=0,"",UPPER(TRIM(CLEAN(SUBSTITUTE(INDEX(det_Status,$AQ28)&amp;""," "," "))))))</f>
        <v/>
      </c>
      <c r="L28" s="10">
        <f>IF($A28="","",IF($F28="N","N",IF($K28="IN","Y",IF($K28="OUT","N",IF(AND($G28="Y",$H28="N",$I28="Y",$J28="N"),"Y","N")))))</f>
        <v/>
      </c>
      <c r="M28" s="10">
        <f>IF($A28="","",IF($F28="N","Out: different import country",IF($K28="IN","In: Research determination",IF($K28="OUT","Out: Research determination",IF($G28="N","Out: HTS not on scope list",IF($H28="Y","Out: HTS on exclusion list",IF($I28="N","Out: origin not on scope list",IF($J28="Y","Out: USMCA-qualifying, exempt","In: matches scope rules"))))))))</f>
        <v/>
      </c>
      <c r="N28" s="10">
        <f>IF(OR($A28="",$AM28=0),"",UPPER(TRIM(CLEAN(SUBSTITUTE(INDEX(scope_Group,MOD($AM28,1000))&amp;""," "," ")))))</f>
        <v/>
      </c>
      <c r="O28" s="10">
        <f>IF($L28&lt;&gt;"Y","",IF($AO28=0,"Default (B15)",UPPER(TRIM(CLEAN(SUBSTITUTE(INDEX(rate_ID,MOD($AO28,100))&amp;""," "," "))))))</f>
        <v/>
      </c>
      <c r="P28" s="10">
        <f>IF($L28&lt;&gt;"Y","",IF($AO28=0,IF(UPPER(TRIM(CLEAN(SUBSTITUTE(act_DefaultBase&amp;""," "," "))))="PART","PART","FULL"),IF(UPPER(TRIM(CLEAN(SUBSTITUTE(INDEX(rate_Base,MOD($AO28,100))&amp;""," "," "))))="PART","PART","FULL")))</f>
        <v/>
      </c>
      <c r="Q28" s="17">
        <f>IF($A28="","",N(Items!J28))</f>
        <v/>
      </c>
      <c r="R28" s="17">
        <f>IF($A28="","",IF($L28&lt;&gt;"Y",0,IF($AO28=0,N(act_Rate),N(INDEX(rate_Rate,MOD($AO28,100))))))</f>
        <v/>
      </c>
      <c r="S28" s="17">
        <f>IF($A28="","",IF($L28&lt;&gt;"Y",0,IF($AO28=0,IF(UPPER(TRIM(CLEAN(SUBSTITUTE(act_RateType&amp;""," "," "))))="REPLACE",N(act_PriorRate),0),IF(ISNUMBER(INDEX(rate_Prior,MOD($AO28,100))),INDEX(rate_Prior,MOD($AO28,100)),IF(UPPER(TRIM(CLEAN(SUBSTITUTE(act_RateType&amp;""," "," "))))="REPLACE",N(act_PriorRate),0)))))</f>
        <v/>
      </c>
      <c r="T28" s="17">
        <f>IF($A28="","",IF(AND($L28="Y",$P28="PART",ISNUMBER(Items!M28)),Items!M28,1))</f>
        <v/>
      </c>
      <c r="U28" s="17">
        <f>IF($A28="","",IF($L28&lt;&gt;"Y",0,IF($AQ28&gt;0,IF(ISNUMBER(INDEX(det_Displaced,$AQ28)),INDEX(det_Displaced,$AQ28),IF($AO28=0,0,N(INDEX(rate_Displaced,MOD($AO28,100))))),IF($AO28=0,0,N(INDEX(rate_Displaced,MOD($AO28,100)))))))</f>
        <v/>
      </c>
      <c r="V28" s="17">
        <f>IF($A28="","",IF($L28="Y",$Q28+$T28*($R28-$S28)-$U28,$Q28))</f>
        <v/>
      </c>
      <c r="W28" s="18">
        <f>IF($A28="","",N(Items!H28)*$Q28)</f>
        <v/>
      </c>
      <c r="X28" s="18">
        <f>IF($A28="","",N(Items!H28)*$V28)</f>
        <v/>
      </c>
      <c r="Y28" s="18">
        <f>IF($A28="","",$X28-$W28)</f>
        <v/>
      </c>
      <c r="Z28" s="18">
        <f>IF($A28="","",N(Items!K28)+$Y28)</f>
        <v/>
      </c>
      <c r="AA28" s="17">
        <f>IF($A28="","",IF(N(Items!L28)=0,"",(N(Items!L28)-N(Items!K28))/N(Items!L28)))</f>
        <v/>
      </c>
      <c r="AB28" s="17">
        <f>IF($A28="","",IF(N(Items!L28)=0,"",(N(Items!L28)-$Z28)/N(Items!L28)))</f>
        <v/>
      </c>
      <c r="AC28" s="17">
        <f>IF(OR($AA28="",$AB28=""),"",$AB28-$AA28)</f>
        <v/>
      </c>
      <c r="AD28" s="13">
        <f>IF($A28="","",N(Items!I28))</f>
        <v/>
      </c>
      <c r="AE28" s="19">
        <f>IF($A28="","",$Y28*$AD28)</f>
        <v/>
      </c>
      <c r="AF28" s="10">
        <f>IF($A28="","",IF(N(Items!L28)&gt;0,"Y","N"))</f>
        <v/>
      </c>
      <c r="AG28" s="19">
        <f>IF($A28="","",IF($AF28="Y",N(Items!L28)*$AD28,0))</f>
        <v/>
      </c>
      <c r="AH28" s="19">
        <f>IF($A28="","",IF($AF28="Y",(N(Items!L28)-N(Items!K28))*$AD28,0))</f>
        <v/>
      </c>
      <c r="AI28" s="19">
        <f>IF($A28="","",IF($AF28="Y",$AH28-$AE28,0))</f>
        <v/>
      </c>
      <c r="AJ28" s="10">
        <f>IF($A28="","",IF(COUNTIF($AL$5:$AL$254,$AL28)&gt;1,"CHECK: duplicate item and import country",IF(TRIM(CLEAN(SUBSTITUTE(Items!C28&amp;""," "," ")))="","CHECK: import country missing",IF(AND(UPPER(TRIM(CLEAN(SUBSTITUTE(Items!C28&amp;""," "," "))))&lt;&gt;"US",UPPER(TRIM(CLEAN(SUBSTITUTE(Items!C28&amp;""," "," "))))&lt;&gt;"CA",UPPER(TRIM(CLEAN(SUBSTITUTE(Items!C28&amp;""," "," "))))&lt;&gt;"MX"),"CHECK: import country must be US, CA or MX",IF(NOT(AND(LEN($C28)=10,IFERROR(TEXT(VALUE($C28),REPT("0",LEN($C28)))=$C28,FALSE))),"CHECK: HTS must be 10 digits",IF(LEN($E28)&lt;&gt;2,"CHECK: origin code missing or not 2 letters",IF(TRIM(CLEAN(SUBSTITUTE(Items!G28&amp;""," "," ")))="","CHECK: unit of measure missing",IF(OR(Items!H28="",Items!J28="",Items!K28=""),"CHECK: value, rate or cost missing",IF(OR(NOT(ISNUMBER(Items!H28)),NOT(ISNUMBER(Items!J28)),NOT(ISNUMBER(Items!K28)),AND(Items!I28&lt;&gt;"",NOT(ISNUMBER(Items!I28))),AND(Items!L28&lt;&gt;"",NOT(ISNUMBER(Items!L28))),AND(Items!M28&lt;&gt;"",NOT(ISNUMBER(Items!M28)))),"CHECK: text in a number column",IF(AND(ISNUMBER(Items!M28),OR(N(Items!M28)&lt;0,N(Items!M28)&gt;1)),"CHECK: dutiable share must be 0% to 100%",IF(AND(UPPER(TRIM(CLEAN(SUBSTITUTE(Items!F28&amp;""," "," "))))&lt;&gt;"",UPPER(TRIM(CLEAN(SUBSTITUTE(Items!F28&amp;""," "," "))))&lt;&gt;"Y",UPPER(TRIM(CLEAN(SUBSTITUTE(Items!F28&amp;""," "," "))))&lt;&gt;"N"),"CHECK: USMCA flag must be Y, N or blank",IF(AND(UPPER(TRIM(CLEAN(SUBSTITUTE(Items!F28&amp;""," "," "))))="Y",$E28&lt;&gt;"US",$E28&lt;&gt;"CA",$E28&lt;&gt;"MX"),"CHECK: USMCA flag on an origin other than US, CA or MX",IF(AND($L28="Y",$AO28=0,NOT(ISNUMBER(act_Rate))),"CHECK: in scope but no rate (add a rate line or B15)",IF(AND($L28="Y",UPPER(TRIM(CLEAN(SUBSTITUTE(act_RateType&amp;""," "," "))))="REPLACE",NOT(ISNUMBER(act_PriorRate)),IF($AO28=0,TRUE,NOT(ISNUMBER(INDEX(rate_Prior,MOD($AO28,100)))))),"CHECK: REPLACE but no earlier rate (B17 or the rate line's AD)",IF(AND($L28="Y",$AP28&gt;1),"CHECK: two rate lines match equally",IF(AND($L28="Y",$AN28&gt;1),"CHECK: HTS prefix listed twice on the scope list",IF(AND($L28="Y",$P28="PART",NOT(ISNUMBER(Items!M28))),"CHECK: dutiable share missing (PART base)",IF(AND($L28="Y",$P28="FULL",ISNUMBER(Items!M28),N(Items!M28)&lt;&gt;1),"CHECK: dutiable share entered, but the rate taxes the full value",IF(AND($L28="Y",$Q28+0.0000001&lt;$T28*$S28+$U28),"CHECK: current rate is below the duty being replaced or displaced",IF(AND($L28="Y",$AD28=0),"NOTE: in scope, no quantity",IF(AND($L28="Y",$AF28="N"),"NOTE: in scope, no sell price (left out of margin %)",IF(AND($L28="Y",N(Items!H28)&gt;N(Items!K28)),"NOTE: customs value above standard cost (check unit of measure)",IF(AND($L28="Y",$Q28&gt;1),"NOTE: current rate above 100% (check it was entered as a percentage)","OK")))))))))))))))))))))))</f>
        <v/>
      </c>
      <c r="AK28" s="20">
        <f>IF($A28="","",IF(AND($L28="Y",$AE28&lt;&gt;0),ABS($AE28)+ROW()/1000000000,""))</f>
        <v/>
      </c>
      <c r="AL28" s="10">
        <f>IF($A28="","",UPPER($A28)&amp;"/"&amp;UPPER(TRIM(CLEAN(SUBSTITUTE(Items!C28&amp;""," "," ")))))</f>
        <v/>
      </c>
      <c r="AM28" s="13">
        <f>IF($A28="",0,SUMPRODUCT(MAX((scope_HTS&lt;&gt;"")*(LEFT($C28,LEN(scope_HTS))=scope_HTS)*(LEN(scope_HTS)*1000+ROW(scope_HTS)-4))))</f>
        <v/>
      </c>
      <c r="AN28" s="13">
        <f>IF($AM28=0,0,SUMPRODUCT((scope_HTS&lt;&gt;"")*(LEFT($C28,LEN(scope_HTS))=scope_HTS)*(LEN(scope_HTS)=INT($AM28/1000))))</f>
        <v/>
      </c>
      <c r="AO28" s="13">
        <f>IF($L28&lt;&gt;"Y",0,SUMPRODUCT(MAX(ISNUMBER(rate_Rate)*((UPPER(TRIM(CLEAN(SUBSTITUTE(rate_Group&amp;""," "," "))))="")+(UPPER(TRIM(CLEAN(SUBSTITUTE(rate_Group&amp;""," "," "))))=$N28)&gt;0)*((UPPER(TRIM(CLEAN(SUBSTITUTE(rate_COO&amp;""," "," "))))="")+(UPPER(TRIM(CLEAN(SUBSTITUTE(rate_COO&amp;""," "," "))))=$E28)&gt;0)*((UPPER(TRIM(CLEAN(SUBSTITUTE(rate_USMCA&amp;""," "," "))))="")+(UPPER(TRIM(CLEAN(SUBSTITUTE(rate_USMCA&amp;""," "," "))))=IF(UPPER(TRIM(CLEAN(SUBSTITUTE(Items!F28&amp;""," "," "))))="Y","Y","N"))&gt;0)*((1+(UPPER(TRIM(CLEAN(SUBSTITUTE(rate_Group&amp;""," "," "))))&lt;&gt;"")+2*(UPPER(TRIM(CLEAN(SUBSTITUTE(rate_USMCA&amp;""," "," "))))&lt;&gt;"")+4*(UPPER(TRIM(CLEAN(SUBSTITUTE(rate_COO&amp;""," "," "))))&lt;&gt;""))*100+ROW(rate_Rate)-4))))</f>
        <v/>
      </c>
      <c r="AP28" s="13">
        <f>IF($AO28=0,0,SUMPRODUCT(ISNUMBER(rate_Rate)*((UPPER(TRIM(CLEAN(SUBSTITUTE(rate_Group&amp;""," "," "))))="")+(UPPER(TRIM(CLEAN(SUBSTITUTE(rate_Group&amp;""," "," "))))=$N28)&gt;0)*((UPPER(TRIM(CLEAN(SUBSTITUTE(rate_COO&amp;""," "," "))))="")+(UPPER(TRIM(CLEAN(SUBSTITUTE(rate_COO&amp;""," "," "))))=$E28)&gt;0)*((UPPER(TRIM(CLEAN(SUBSTITUTE(rate_USMCA&amp;""," "," "))))="")+(UPPER(TRIM(CLEAN(SUBSTITUTE(rate_USMCA&amp;""," "," "))))=IF(UPPER(TRIM(CLEAN(SUBSTITUTE(Items!F28&amp;""," "," "))))="Y","Y","N"))&gt;0)*((1+(UPPER(TRIM(CLEAN(SUBSTITUTE(rate_Group&amp;""," "," "))))&lt;&gt;"")+2*(UPPER(TRIM(CLEAN(SUBSTITUTE(rate_USMCA&amp;""," "," "))))&lt;&gt;"")+4*(UPPER(TRIM(CLEAN(SUBSTITUTE(rate_COO&amp;""," "," "))))&lt;&gt;""))=INT($AO28/100))))</f>
        <v/>
      </c>
      <c r="AQ28" s="13">
        <f>IF($A28="",0,IFERROR(MATCH($AL28,det_Key,0),0))</f>
        <v/>
      </c>
    </row>
    <row r="29">
      <c r="A29" s="10">
        <f>IF(TRIM(CLEAN(SUBSTITUTE(Items!A29&amp;""," "," ")))="","",TRIM(CLEAN(SUBSTITUTE(Items!A29&amp;""," "," "))))</f>
        <v/>
      </c>
      <c r="B29" s="10">
        <f>IF($A29="","",Items!B29&amp;"")</f>
        <v/>
      </c>
      <c r="C29" s="10">
        <f>IF($A29="","",SUBSTITUTE(SUBSTITUTE(SUBSTITUTE(SUBSTITUTE(CLEAN(Items!D29&amp;"")," ",""),".","")," ",""),"-",""))</f>
        <v/>
      </c>
      <c r="D29" s="10">
        <f>IF($A29="","",LEFT($C29,2))</f>
        <v/>
      </c>
      <c r="E29" s="10">
        <f>IF($A29="","",UPPER(TRIM(CLEAN(SUBSTITUTE(Items!E29&amp;""," "," ")))))</f>
        <v/>
      </c>
      <c r="F29" s="10">
        <f>IF($A29="","",IF(UPPER(TRIM(CLEAN(SUBSTITUTE(Items!C29&amp;""," "," "))))=UPPER(TRIM(CLEAN(SUBSTITUTE(act_Country&amp;""," "," ")))),"Y","N"))</f>
        <v/>
      </c>
      <c r="G29" s="10">
        <f>IF($A29="","",IF($AM29&gt;0,"Y","N"))</f>
        <v/>
      </c>
      <c r="H29" s="10">
        <f>IF($A29="","",IF(SUMPRODUCT((excl_HTS&lt;&gt;"")*(LEFT($C29,LEN(excl_HTS))=excl_HTS))&gt;0,"Y","N"))</f>
        <v/>
      </c>
      <c r="I29" s="10">
        <f>IF($A29="","",IF($E29="","N",IF(SUMPRODUCT(--(UPPER(TRIM(CLEAN(SUBSTITUTE(scope_COO&amp;""," "," "))))=$E29))&gt;0,"Y","N")))</f>
        <v/>
      </c>
      <c r="J29" s="10">
        <f>IF($A29="","",IF(AND(UPPER(TRIM(CLEAN(SUBSTITUTE(act_USMCAExempt&amp;""," "," "))))="Y",UPPER(TRIM(CLEAN(SUBSTITUTE(Items!F29&amp;""," "," "))))="Y"),"Y","N"))</f>
        <v/>
      </c>
      <c r="K29" s="10">
        <f>IF($A29="","",IF($AQ29=0,"",UPPER(TRIM(CLEAN(SUBSTITUTE(INDEX(det_Status,$AQ29)&amp;""," "," "))))))</f>
        <v/>
      </c>
      <c r="L29" s="10">
        <f>IF($A29="","",IF($F29="N","N",IF($K29="IN","Y",IF($K29="OUT","N",IF(AND($G29="Y",$H29="N",$I29="Y",$J29="N"),"Y","N")))))</f>
        <v/>
      </c>
      <c r="M29" s="10">
        <f>IF($A29="","",IF($F29="N","Out: different import country",IF($K29="IN","In: Research determination",IF($K29="OUT","Out: Research determination",IF($G29="N","Out: HTS not on scope list",IF($H29="Y","Out: HTS on exclusion list",IF($I29="N","Out: origin not on scope list",IF($J29="Y","Out: USMCA-qualifying, exempt","In: matches scope rules"))))))))</f>
        <v/>
      </c>
      <c r="N29" s="10">
        <f>IF(OR($A29="",$AM29=0),"",UPPER(TRIM(CLEAN(SUBSTITUTE(INDEX(scope_Group,MOD($AM29,1000))&amp;""," "," ")))))</f>
        <v/>
      </c>
      <c r="O29" s="10">
        <f>IF($L29&lt;&gt;"Y","",IF($AO29=0,"Default (B15)",UPPER(TRIM(CLEAN(SUBSTITUTE(INDEX(rate_ID,MOD($AO29,100))&amp;""," "," "))))))</f>
        <v/>
      </c>
      <c r="P29" s="10">
        <f>IF($L29&lt;&gt;"Y","",IF($AO29=0,IF(UPPER(TRIM(CLEAN(SUBSTITUTE(act_DefaultBase&amp;""," "," "))))="PART","PART","FULL"),IF(UPPER(TRIM(CLEAN(SUBSTITUTE(INDEX(rate_Base,MOD($AO29,100))&amp;""," "," "))))="PART","PART","FULL")))</f>
        <v/>
      </c>
      <c r="Q29" s="17">
        <f>IF($A29="","",N(Items!J29))</f>
        <v/>
      </c>
      <c r="R29" s="17">
        <f>IF($A29="","",IF($L29&lt;&gt;"Y",0,IF($AO29=0,N(act_Rate),N(INDEX(rate_Rate,MOD($AO29,100))))))</f>
        <v/>
      </c>
      <c r="S29" s="17">
        <f>IF($A29="","",IF($L29&lt;&gt;"Y",0,IF($AO29=0,IF(UPPER(TRIM(CLEAN(SUBSTITUTE(act_RateType&amp;""," "," "))))="REPLACE",N(act_PriorRate),0),IF(ISNUMBER(INDEX(rate_Prior,MOD($AO29,100))),INDEX(rate_Prior,MOD($AO29,100)),IF(UPPER(TRIM(CLEAN(SUBSTITUTE(act_RateType&amp;""," "," "))))="REPLACE",N(act_PriorRate),0)))))</f>
        <v/>
      </c>
      <c r="T29" s="17">
        <f>IF($A29="","",IF(AND($L29="Y",$P29="PART",ISNUMBER(Items!M29)),Items!M29,1))</f>
        <v/>
      </c>
      <c r="U29" s="17">
        <f>IF($A29="","",IF($L29&lt;&gt;"Y",0,IF($AQ29&gt;0,IF(ISNUMBER(INDEX(det_Displaced,$AQ29)),INDEX(det_Displaced,$AQ29),IF($AO29=0,0,N(INDEX(rate_Displaced,MOD($AO29,100))))),IF($AO29=0,0,N(INDEX(rate_Displaced,MOD($AO29,100)))))))</f>
        <v/>
      </c>
      <c r="V29" s="17">
        <f>IF($A29="","",IF($L29="Y",$Q29+$T29*($R29-$S29)-$U29,$Q29))</f>
        <v/>
      </c>
      <c r="W29" s="18">
        <f>IF($A29="","",N(Items!H29)*$Q29)</f>
        <v/>
      </c>
      <c r="X29" s="18">
        <f>IF($A29="","",N(Items!H29)*$V29)</f>
        <v/>
      </c>
      <c r="Y29" s="18">
        <f>IF($A29="","",$X29-$W29)</f>
        <v/>
      </c>
      <c r="Z29" s="18">
        <f>IF($A29="","",N(Items!K29)+$Y29)</f>
        <v/>
      </c>
      <c r="AA29" s="17">
        <f>IF($A29="","",IF(N(Items!L29)=0,"",(N(Items!L29)-N(Items!K29))/N(Items!L29)))</f>
        <v/>
      </c>
      <c r="AB29" s="17">
        <f>IF($A29="","",IF(N(Items!L29)=0,"",(N(Items!L29)-$Z29)/N(Items!L29)))</f>
        <v/>
      </c>
      <c r="AC29" s="17">
        <f>IF(OR($AA29="",$AB29=""),"",$AB29-$AA29)</f>
        <v/>
      </c>
      <c r="AD29" s="13">
        <f>IF($A29="","",N(Items!I29))</f>
        <v/>
      </c>
      <c r="AE29" s="19">
        <f>IF($A29="","",$Y29*$AD29)</f>
        <v/>
      </c>
      <c r="AF29" s="10">
        <f>IF($A29="","",IF(N(Items!L29)&gt;0,"Y","N"))</f>
        <v/>
      </c>
      <c r="AG29" s="19">
        <f>IF($A29="","",IF($AF29="Y",N(Items!L29)*$AD29,0))</f>
        <v/>
      </c>
      <c r="AH29" s="19">
        <f>IF($A29="","",IF($AF29="Y",(N(Items!L29)-N(Items!K29))*$AD29,0))</f>
        <v/>
      </c>
      <c r="AI29" s="19">
        <f>IF($A29="","",IF($AF29="Y",$AH29-$AE29,0))</f>
        <v/>
      </c>
      <c r="AJ29" s="10">
        <f>IF($A29="","",IF(COUNTIF($AL$5:$AL$254,$AL29)&gt;1,"CHECK: duplicate item and import country",IF(TRIM(CLEAN(SUBSTITUTE(Items!C29&amp;""," "," ")))="","CHECK: import country missing",IF(AND(UPPER(TRIM(CLEAN(SUBSTITUTE(Items!C29&amp;""," "," "))))&lt;&gt;"US",UPPER(TRIM(CLEAN(SUBSTITUTE(Items!C29&amp;""," "," "))))&lt;&gt;"CA",UPPER(TRIM(CLEAN(SUBSTITUTE(Items!C29&amp;""," "," "))))&lt;&gt;"MX"),"CHECK: import country must be US, CA or MX",IF(NOT(AND(LEN($C29)=10,IFERROR(TEXT(VALUE($C29),REPT("0",LEN($C29)))=$C29,FALSE))),"CHECK: HTS must be 10 digits",IF(LEN($E29)&lt;&gt;2,"CHECK: origin code missing or not 2 letters",IF(TRIM(CLEAN(SUBSTITUTE(Items!G29&amp;""," "," ")))="","CHECK: unit of measure missing",IF(OR(Items!H29="",Items!J29="",Items!K29=""),"CHECK: value, rate or cost missing",IF(OR(NOT(ISNUMBER(Items!H29)),NOT(ISNUMBER(Items!J29)),NOT(ISNUMBER(Items!K29)),AND(Items!I29&lt;&gt;"",NOT(ISNUMBER(Items!I29))),AND(Items!L29&lt;&gt;"",NOT(ISNUMBER(Items!L29))),AND(Items!M29&lt;&gt;"",NOT(ISNUMBER(Items!M29)))),"CHECK: text in a number column",IF(AND(ISNUMBER(Items!M29),OR(N(Items!M29)&lt;0,N(Items!M29)&gt;1)),"CHECK: dutiable share must be 0% to 100%",IF(AND(UPPER(TRIM(CLEAN(SUBSTITUTE(Items!F29&amp;""," "," "))))&lt;&gt;"",UPPER(TRIM(CLEAN(SUBSTITUTE(Items!F29&amp;""," "," "))))&lt;&gt;"Y",UPPER(TRIM(CLEAN(SUBSTITUTE(Items!F29&amp;""," "," "))))&lt;&gt;"N"),"CHECK: USMCA flag must be Y, N or blank",IF(AND(UPPER(TRIM(CLEAN(SUBSTITUTE(Items!F29&amp;""," "," "))))="Y",$E29&lt;&gt;"US",$E29&lt;&gt;"CA",$E29&lt;&gt;"MX"),"CHECK: USMCA flag on an origin other than US, CA or MX",IF(AND($L29="Y",$AO29=0,NOT(ISNUMBER(act_Rate))),"CHECK: in scope but no rate (add a rate line or B15)",IF(AND($L29="Y",UPPER(TRIM(CLEAN(SUBSTITUTE(act_RateType&amp;""," "," "))))="REPLACE",NOT(ISNUMBER(act_PriorRate)),IF($AO29=0,TRUE,NOT(ISNUMBER(INDEX(rate_Prior,MOD($AO29,100)))))),"CHECK: REPLACE but no earlier rate (B17 or the rate line's AD)",IF(AND($L29="Y",$AP29&gt;1),"CHECK: two rate lines match equally",IF(AND($L29="Y",$AN29&gt;1),"CHECK: HTS prefix listed twice on the scope list",IF(AND($L29="Y",$P29="PART",NOT(ISNUMBER(Items!M29))),"CHECK: dutiable share missing (PART base)",IF(AND($L29="Y",$P29="FULL",ISNUMBER(Items!M29),N(Items!M29)&lt;&gt;1),"CHECK: dutiable share entered, but the rate taxes the full value",IF(AND($L29="Y",$Q29+0.0000001&lt;$T29*$S29+$U29),"CHECK: current rate is below the duty being replaced or displaced",IF(AND($L29="Y",$AD29=0),"NOTE: in scope, no quantity",IF(AND($L29="Y",$AF29="N"),"NOTE: in scope, no sell price (left out of margin %)",IF(AND($L29="Y",N(Items!H29)&gt;N(Items!K29)),"NOTE: customs value above standard cost (check unit of measure)",IF(AND($L29="Y",$Q29&gt;1),"NOTE: current rate above 100% (check it was entered as a percentage)","OK")))))))))))))))))))))))</f>
        <v/>
      </c>
      <c r="AK29" s="20">
        <f>IF($A29="","",IF(AND($L29="Y",$AE29&lt;&gt;0),ABS($AE29)+ROW()/1000000000,""))</f>
        <v/>
      </c>
      <c r="AL29" s="10">
        <f>IF($A29="","",UPPER($A29)&amp;"/"&amp;UPPER(TRIM(CLEAN(SUBSTITUTE(Items!C29&amp;""," "," ")))))</f>
        <v/>
      </c>
      <c r="AM29" s="13">
        <f>IF($A29="",0,SUMPRODUCT(MAX((scope_HTS&lt;&gt;"")*(LEFT($C29,LEN(scope_HTS))=scope_HTS)*(LEN(scope_HTS)*1000+ROW(scope_HTS)-4))))</f>
        <v/>
      </c>
      <c r="AN29" s="13">
        <f>IF($AM29=0,0,SUMPRODUCT((scope_HTS&lt;&gt;"")*(LEFT($C29,LEN(scope_HTS))=scope_HTS)*(LEN(scope_HTS)=INT($AM29/1000))))</f>
        <v/>
      </c>
      <c r="AO29" s="13">
        <f>IF($L29&lt;&gt;"Y",0,SUMPRODUCT(MAX(ISNUMBER(rate_Rate)*((UPPER(TRIM(CLEAN(SUBSTITUTE(rate_Group&amp;""," "," "))))="")+(UPPER(TRIM(CLEAN(SUBSTITUTE(rate_Group&amp;""," "," "))))=$N29)&gt;0)*((UPPER(TRIM(CLEAN(SUBSTITUTE(rate_COO&amp;""," "," "))))="")+(UPPER(TRIM(CLEAN(SUBSTITUTE(rate_COO&amp;""," "," "))))=$E29)&gt;0)*((UPPER(TRIM(CLEAN(SUBSTITUTE(rate_USMCA&amp;""," "," "))))="")+(UPPER(TRIM(CLEAN(SUBSTITUTE(rate_USMCA&amp;""," "," "))))=IF(UPPER(TRIM(CLEAN(SUBSTITUTE(Items!F29&amp;""," "," "))))="Y","Y","N"))&gt;0)*((1+(UPPER(TRIM(CLEAN(SUBSTITUTE(rate_Group&amp;""," "," "))))&lt;&gt;"")+2*(UPPER(TRIM(CLEAN(SUBSTITUTE(rate_USMCA&amp;""," "," "))))&lt;&gt;"")+4*(UPPER(TRIM(CLEAN(SUBSTITUTE(rate_COO&amp;""," "," "))))&lt;&gt;""))*100+ROW(rate_Rate)-4))))</f>
        <v/>
      </c>
      <c r="AP29" s="13">
        <f>IF($AO29=0,0,SUMPRODUCT(ISNUMBER(rate_Rate)*((UPPER(TRIM(CLEAN(SUBSTITUTE(rate_Group&amp;""," "," "))))="")+(UPPER(TRIM(CLEAN(SUBSTITUTE(rate_Group&amp;""," "," "))))=$N29)&gt;0)*((UPPER(TRIM(CLEAN(SUBSTITUTE(rate_COO&amp;""," "," "))))="")+(UPPER(TRIM(CLEAN(SUBSTITUTE(rate_COO&amp;""," "," "))))=$E29)&gt;0)*((UPPER(TRIM(CLEAN(SUBSTITUTE(rate_USMCA&amp;""," "," "))))="")+(UPPER(TRIM(CLEAN(SUBSTITUTE(rate_USMCA&amp;""," "," "))))=IF(UPPER(TRIM(CLEAN(SUBSTITUTE(Items!F29&amp;""," "," "))))="Y","Y","N"))&gt;0)*((1+(UPPER(TRIM(CLEAN(SUBSTITUTE(rate_Group&amp;""," "," "))))&lt;&gt;"")+2*(UPPER(TRIM(CLEAN(SUBSTITUTE(rate_USMCA&amp;""," "," "))))&lt;&gt;"")+4*(UPPER(TRIM(CLEAN(SUBSTITUTE(rate_COO&amp;""," "," "))))&lt;&gt;""))=INT($AO29/100))))</f>
        <v/>
      </c>
      <c r="AQ29" s="13">
        <f>IF($A29="",0,IFERROR(MATCH($AL29,det_Key,0),0))</f>
        <v/>
      </c>
    </row>
    <row r="30">
      <c r="A30" s="10">
        <f>IF(TRIM(CLEAN(SUBSTITUTE(Items!A30&amp;""," "," ")))="","",TRIM(CLEAN(SUBSTITUTE(Items!A30&amp;""," "," "))))</f>
        <v/>
      </c>
      <c r="B30" s="10">
        <f>IF($A30="","",Items!B30&amp;"")</f>
        <v/>
      </c>
      <c r="C30" s="10">
        <f>IF($A30="","",SUBSTITUTE(SUBSTITUTE(SUBSTITUTE(SUBSTITUTE(CLEAN(Items!D30&amp;"")," ",""),".","")," ",""),"-",""))</f>
        <v/>
      </c>
      <c r="D30" s="10">
        <f>IF($A30="","",LEFT($C30,2))</f>
        <v/>
      </c>
      <c r="E30" s="10">
        <f>IF($A30="","",UPPER(TRIM(CLEAN(SUBSTITUTE(Items!E30&amp;""," "," ")))))</f>
        <v/>
      </c>
      <c r="F30" s="10">
        <f>IF($A30="","",IF(UPPER(TRIM(CLEAN(SUBSTITUTE(Items!C30&amp;""," "," "))))=UPPER(TRIM(CLEAN(SUBSTITUTE(act_Country&amp;""," "," ")))),"Y","N"))</f>
        <v/>
      </c>
      <c r="G30" s="10">
        <f>IF($A30="","",IF($AM30&gt;0,"Y","N"))</f>
        <v/>
      </c>
      <c r="H30" s="10">
        <f>IF($A30="","",IF(SUMPRODUCT((excl_HTS&lt;&gt;"")*(LEFT($C30,LEN(excl_HTS))=excl_HTS))&gt;0,"Y","N"))</f>
        <v/>
      </c>
      <c r="I30" s="10">
        <f>IF($A30="","",IF($E30="","N",IF(SUMPRODUCT(--(UPPER(TRIM(CLEAN(SUBSTITUTE(scope_COO&amp;""," "," "))))=$E30))&gt;0,"Y","N")))</f>
        <v/>
      </c>
      <c r="J30" s="10">
        <f>IF($A30="","",IF(AND(UPPER(TRIM(CLEAN(SUBSTITUTE(act_USMCAExempt&amp;""," "," "))))="Y",UPPER(TRIM(CLEAN(SUBSTITUTE(Items!F30&amp;""," "," "))))="Y"),"Y","N"))</f>
        <v/>
      </c>
      <c r="K30" s="10">
        <f>IF($A30="","",IF($AQ30=0,"",UPPER(TRIM(CLEAN(SUBSTITUTE(INDEX(det_Status,$AQ30)&amp;""," "," "))))))</f>
        <v/>
      </c>
      <c r="L30" s="10">
        <f>IF($A30="","",IF($F30="N","N",IF($K30="IN","Y",IF($K30="OUT","N",IF(AND($G30="Y",$H30="N",$I30="Y",$J30="N"),"Y","N")))))</f>
        <v/>
      </c>
      <c r="M30" s="10">
        <f>IF($A30="","",IF($F30="N","Out: different import country",IF($K30="IN","In: Research determination",IF($K30="OUT","Out: Research determination",IF($G30="N","Out: HTS not on scope list",IF($H30="Y","Out: HTS on exclusion list",IF($I30="N","Out: origin not on scope list",IF($J30="Y","Out: USMCA-qualifying, exempt","In: matches scope rules"))))))))</f>
        <v/>
      </c>
      <c r="N30" s="10">
        <f>IF(OR($A30="",$AM30=0),"",UPPER(TRIM(CLEAN(SUBSTITUTE(INDEX(scope_Group,MOD($AM30,1000))&amp;""," "," ")))))</f>
        <v/>
      </c>
      <c r="O30" s="10">
        <f>IF($L30&lt;&gt;"Y","",IF($AO30=0,"Default (B15)",UPPER(TRIM(CLEAN(SUBSTITUTE(INDEX(rate_ID,MOD($AO30,100))&amp;""," "," "))))))</f>
        <v/>
      </c>
      <c r="P30" s="10">
        <f>IF($L30&lt;&gt;"Y","",IF($AO30=0,IF(UPPER(TRIM(CLEAN(SUBSTITUTE(act_DefaultBase&amp;""," "," "))))="PART","PART","FULL"),IF(UPPER(TRIM(CLEAN(SUBSTITUTE(INDEX(rate_Base,MOD($AO30,100))&amp;""," "," "))))="PART","PART","FULL")))</f>
        <v/>
      </c>
      <c r="Q30" s="17">
        <f>IF($A30="","",N(Items!J30))</f>
        <v/>
      </c>
      <c r="R30" s="17">
        <f>IF($A30="","",IF($L30&lt;&gt;"Y",0,IF($AO30=0,N(act_Rate),N(INDEX(rate_Rate,MOD($AO30,100))))))</f>
        <v/>
      </c>
      <c r="S30" s="17">
        <f>IF($A30="","",IF($L30&lt;&gt;"Y",0,IF($AO30=0,IF(UPPER(TRIM(CLEAN(SUBSTITUTE(act_RateType&amp;""," "," "))))="REPLACE",N(act_PriorRate),0),IF(ISNUMBER(INDEX(rate_Prior,MOD($AO30,100))),INDEX(rate_Prior,MOD($AO30,100)),IF(UPPER(TRIM(CLEAN(SUBSTITUTE(act_RateType&amp;""," "," "))))="REPLACE",N(act_PriorRate),0)))))</f>
        <v/>
      </c>
      <c r="T30" s="17">
        <f>IF($A30="","",IF(AND($L30="Y",$P30="PART",ISNUMBER(Items!M30)),Items!M30,1))</f>
        <v/>
      </c>
      <c r="U30" s="17">
        <f>IF($A30="","",IF($L30&lt;&gt;"Y",0,IF($AQ30&gt;0,IF(ISNUMBER(INDEX(det_Displaced,$AQ30)),INDEX(det_Displaced,$AQ30),IF($AO30=0,0,N(INDEX(rate_Displaced,MOD($AO30,100))))),IF($AO30=0,0,N(INDEX(rate_Displaced,MOD($AO30,100)))))))</f>
        <v/>
      </c>
      <c r="V30" s="17">
        <f>IF($A30="","",IF($L30="Y",$Q30+$T30*($R30-$S30)-$U30,$Q30))</f>
        <v/>
      </c>
      <c r="W30" s="18">
        <f>IF($A30="","",N(Items!H30)*$Q30)</f>
        <v/>
      </c>
      <c r="X30" s="18">
        <f>IF($A30="","",N(Items!H30)*$V30)</f>
        <v/>
      </c>
      <c r="Y30" s="18">
        <f>IF($A30="","",$X30-$W30)</f>
        <v/>
      </c>
      <c r="Z30" s="18">
        <f>IF($A30="","",N(Items!K30)+$Y30)</f>
        <v/>
      </c>
      <c r="AA30" s="17">
        <f>IF($A30="","",IF(N(Items!L30)=0,"",(N(Items!L30)-N(Items!K30))/N(Items!L30)))</f>
        <v/>
      </c>
      <c r="AB30" s="17">
        <f>IF($A30="","",IF(N(Items!L30)=0,"",(N(Items!L30)-$Z30)/N(Items!L30)))</f>
        <v/>
      </c>
      <c r="AC30" s="17">
        <f>IF(OR($AA30="",$AB30=""),"",$AB30-$AA30)</f>
        <v/>
      </c>
      <c r="AD30" s="13">
        <f>IF($A30="","",N(Items!I30))</f>
        <v/>
      </c>
      <c r="AE30" s="19">
        <f>IF($A30="","",$Y30*$AD30)</f>
        <v/>
      </c>
      <c r="AF30" s="10">
        <f>IF($A30="","",IF(N(Items!L30)&gt;0,"Y","N"))</f>
        <v/>
      </c>
      <c r="AG30" s="19">
        <f>IF($A30="","",IF($AF30="Y",N(Items!L30)*$AD30,0))</f>
        <v/>
      </c>
      <c r="AH30" s="19">
        <f>IF($A30="","",IF($AF30="Y",(N(Items!L30)-N(Items!K30))*$AD30,0))</f>
        <v/>
      </c>
      <c r="AI30" s="19">
        <f>IF($A30="","",IF($AF30="Y",$AH30-$AE30,0))</f>
        <v/>
      </c>
      <c r="AJ30" s="10">
        <f>IF($A30="","",IF(COUNTIF($AL$5:$AL$254,$AL30)&gt;1,"CHECK: duplicate item and import country",IF(TRIM(CLEAN(SUBSTITUTE(Items!C30&amp;""," "," ")))="","CHECK: import country missing",IF(AND(UPPER(TRIM(CLEAN(SUBSTITUTE(Items!C30&amp;""," "," "))))&lt;&gt;"US",UPPER(TRIM(CLEAN(SUBSTITUTE(Items!C30&amp;""," "," "))))&lt;&gt;"CA",UPPER(TRIM(CLEAN(SUBSTITUTE(Items!C30&amp;""," "," "))))&lt;&gt;"MX"),"CHECK: import country must be US, CA or MX",IF(NOT(AND(LEN($C30)=10,IFERROR(TEXT(VALUE($C30),REPT("0",LEN($C30)))=$C30,FALSE))),"CHECK: HTS must be 10 digits",IF(LEN($E30)&lt;&gt;2,"CHECK: origin code missing or not 2 letters",IF(TRIM(CLEAN(SUBSTITUTE(Items!G30&amp;""," "," ")))="","CHECK: unit of measure missing",IF(OR(Items!H30="",Items!J30="",Items!K30=""),"CHECK: value, rate or cost missing",IF(OR(NOT(ISNUMBER(Items!H30)),NOT(ISNUMBER(Items!J30)),NOT(ISNUMBER(Items!K30)),AND(Items!I30&lt;&gt;"",NOT(ISNUMBER(Items!I30))),AND(Items!L30&lt;&gt;"",NOT(ISNUMBER(Items!L30))),AND(Items!M30&lt;&gt;"",NOT(ISNUMBER(Items!M30)))),"CHECK: text in a number column",IF(AND(ISNUMBER(Items!M30),OR(N(Items!M30)&lt;0,N(Items!M30)&gt;1)),"CHECK: dutiable share must be 0% to 100%",IF(AND(UPPER(TRIM(CLEAN(SUBSTITUTE(Items!F30&amp;""," "," "))))&lt;&gt;"",UPPER(TRIM(CLEAN(SUBSTITUTE(Items!F30&amp;""," "," "))))&lt;&gt;"Y",UPPER(TRIM(CLEAN(SUBSTITUTE(Items!F30&amp;""," "," "))))&lt;&gt;"N"),"CHECK: USMCA flag must be Y, N or blank",IF(AND(UPPER(TRIM(CLEAN(SUBSTITUTE(Items!F30&amp;""," "," "))))="Y",$E30&lt;&gt;"US",$E30&lt;&gt;"CA",$E30&lt;&gt;"MX"),"CHECK: USMCA flag on an origin other than US, CA or MX",IF(AND($L30="Y",$AO30=0,NOT(ISNUMBER(act_Rate))),"CHECK: in scope but no rate (add a rate line or B15)",IF(AND($L30="Y",UPPER(TRIM(CLEAN(SUBSTITUTE(act_RateType&amp;""," "," "))))="REPLACE",NOT(ISNUMBER(act_PriorRate)),IF($AO30=0,TRUE,NOT(ISNUMBER(INDEX(rate_Prior,MOD($AO30,100)))))),"CHECK: REPLACE but no earlier rate (B17 or the rate line's AD)",IF(AND($L30="Y",$AP30&gt;1),"CHECK: two rate lines match equally",IF(AND($L30="Y",$AN30&gt;1),"CHECK: HTS prefix listed twice on the scope list",IF(AND($L30="Y",$P30="PART",NOT(ISNUMBER(Items!M30))),"CHECK: dutiable share missing (PART base)",IF(AND($L30="Y",$P30="FULL",ISNUMBER(Items!M30),N(Items!M30)&lt;&gt;1),"CHECK: dutiable share entered, but the rate taxes the full value",IF(AND($L30="Y",$Q30+0.0000001&lt;$T30*$S30+$U30),"CHECK: current rate is below the duty being replaced or displaced",IF(AND($L30="Y",$AD30=0),"NOTE: in scope, no quantity",IF(AND($L30="Y",$AF30="N"),"NOTE: in scope, no sell price (left out of margin %)",IF(AND($L30="Y",N(Items!H30)&gt;N(Items!K30)),"NOTE: customs value above standard cost (check unit of measure)",IF(AND($L30="Y",$Q30&gt;1),"NOTE: current rate above 100% (check it was entered as a percentage)","OK")))))))))))))))))))))))</f>
        <v/>
      </c>
      <c r="AK30" s="20">
        <f>IF($A30="","",IF(AND($L30="Y",$AE30&lt;&gt;0),ABS($AE30)+ROW()/1000000000,""))</f>
        <v/>
      </c>
      <c r="AL30" s="10">
        <f>IF($A30="","",UPPER($A30)&amp;"/"&amp;UPPER(TRIM(CLEAN(SUBSTITUTE(Items!C30&amp;""," "," ")))))</f>
        <v/>
      </c>
      <c r="AM30" s="13">
        <f>IF($A30="",0,SUMPRODUCT(MAX((scope_HTS&lt;&gt;"")*(LEFT($C30,LEN(scope_HTS))=scope_HTS)*(LEN(scope_HTS)*1000+ROW(scope_HTS)-4))))</f>
        <v/>
      </c>
      <c r="AN30" s="13">
        <f>IF($AM30=0,0,SUMPRODUCT((scope_HTS&lt;&gt;"")*(LEFT($C30,LEN(scope_HTS))=scope_HTS)*(LEN(scope_HTS)=INT($AM30/1000))))</f>
        <v/>
      </c>
      <c r="AO30" s="13">
        <f>IF($L30&lt;&gt;"Y",0,SUMPRODUCT(MAX(ISNUMBER(rate_Rate)*((UPPER(TRIM(CLEAN(SUBSTITUTE(rate_Group&amp;""," "," "))))="")+(UPPER(TRIM(CLEAN(SUBSTITUTE(rate_Group&amp;""," "," "))))=$N30)&gt;0)*((UPPER(TRIM(CLEAN(SUBSTITUTE(rate_COO&amp;""," "," "))))="")+(UPPER(TRIM(CLEAN(SUBSTITUTE(rate_COO&amp;""," "," "))))=$E30)&gt;0)*((UPPER(TRIM(CLEAN(SUBSTITUTE(rate_USMCA&amp;""," "," "))))="")+(UPPER(TRIM(CLEAN(SUBSTITUTE(rate_USMCA&amp;""," "," "))))=IF(UPPER(TRIM(CLEAN(SUBSTITUTE(Items!F30&amp;""," "," "))))="Y","Y","N"))&gt;0)*((1+(UPPER(TRIM(CLEAN(SUBSTITUTE(rate_Group&amp;""," "," "))))&lt;&gt;"")+2*(UPPER(TRIM(CLEAN(SUBSTITUTE(rate_USMCA&amp;""," "," "))))&lt;&gt;"")+4*(UPPER(TRIM(CLEAN(SUBSTITUTE(rate_COO&amp;""," "," "))))&lt;&gt;""))*100+ROW(rate_Rate)-4))))</f>
        <v/>
      </c>
      <c r="AP30" s="13">
        <f>IF($AO30=0,0,SUMPRODUCT(ISNUMBER(rate_Rate)*((UPPER(TRIM(CLEAN(SUBSTITUTE(rate_Group&amp;""," "," "))))="")+(UPPER(TRIM(CLEAN(SUBSTITUTE(rate_Group&amp;""," "," "))))=$N30)&gt;0)*((UPPER(TRIM(CLEAN(SUBSTITUTE(rate_COO&amp;""," "," "))))="")+(UPPER(TRIM(CLEAN(SUBSTITUTE(rate_COO&amp;""," "," "))))=$E30)&gt;0)*((UPPER(TRIM(CLEAN(SUBSTITUTE(rate_USMCA&amp;""," "," "))))="")+(UPPER(TRIM(CLEAN(SUBSTITUTE(rate_USMCA&amp;""," "," "))))=IF(UPPER(TRIM(CLEAN(SUBSTITUTE(Items!F30&amp;""," "," "))))="Y","Y","N"))&gt;0)*((1+(UPPER(TRIM(CLEAN(SUBSTITUTE(rate_Group&amp;""," "," "))))&lt;&gt;"")+2*(UPPER(TRIM(CLEAN(SUBSTITUTE(rate_USMCA&amp;""," "," "))))&lt;&gt;"")+4*(UPPER(TRIM(CLEAN(SUBSTITUTE(rate_COO&amp;""," "," "))))&lt;&gt;""))=INT($AO30/100))))</f>
        <v/>
      </c>
      <c r="AQ30" s="13">
        <f>IF($A30="",0,IFERROR(MATCH($AL30,det_Key,0),0))</f>
        <v/>
      </c>
    </row>
    <row r="31">
      <c r="A31" s="10">
        <f>IF(TRIM(CLEAN(SUBSTITUTE(Items!A31&amp;""," "," ")))="","",TRIM(CLEAN(SUBSTITUTE(Items!A31&amp;""," "," "))))</f>
        <v/>
      </c>
      <c r="B31" s="10">
        <f>IF($A31="","",Items!B31&amp;"")</f>
        <v/>
      </c>
      <c r="C31" s="10">
        <f>IF($A31="","",SUBSTITUTE(SUBSTITUTE(SUBSTITUTE(SUBSTITUTE(CLEAN(Items!D31&amp;"")," ",""),".","")," ",""),"-",""))</f>
        <v/>
      </c>
      <c r="D31" s="10">
        <f>IF($A31="","",LEFT($C31,2))</f>
        <v/>
      </c>
      <c r="E31" s="10">
        <f>IF($A31="","",UPPER(TRIM(CLEAN(SUBSTITUTE(Items!E31&amp;""," "," ")))))</f>
        <v/>
      </c>
      <c r="F31" s="10">
        <f>IF($A31="","",IF(UPPER(TRIM(CLEAN(SUBSTITUTE(Items!C31&amp;""," "," "))))=UPPER(TRIM(CLEAN(SUBSTITUTE(act_Country&amp;""," "," ")))),"Y","N"))</f>
        <v/>
      </c>
      <c r="G31" s="10">
        <f>IF($A31="","",IF($AM31&gt;0,"Y","N"))</f>
        <v/>
      </c>
      <c r="H31" s="10">
        <f>IF($A31="","",IF(SUMPRODUCT((excl_HTS&lt;&gt;"")*(LEFT($C31,LEN(excl_HTS))=excl_HTS))&gt;0,"Y","N"))</f>
        <v/>
      </c>
      <c r="I31" s="10">
        <f>IF($A31="","",IF($E31="","N",IF(SUMPRODUCT(--(UPPER(TRIM(CLEAN(SUBSTITUTE(scope_COO&amp;""," "," "))))=$E31))&gt;0,"Y","N")))</f>
        <v/>
      </c>
      <c r="J31" s="10">
        <f>IF($A31="","",IF(AND(UPPER(TRIM(CLEAN(SUBSTITUTE(act_USMCAExempt&amp;""," "," "))))="Y",UPPER(TRIM(CLEAN(SUBSTITUTE(Items!F31&amp;""," "," "))))="Y"),"Y","N"))</f>
        <v/>
      </c>
      <c r="K31" s="10">
        <f>IF($A31="","",IF($AQ31=0,"",UPPER(TRIM(CLEAN(SUBSTITUTE(INDEX(det_Status,$AQ31)&amp;""," "," "))))))</f>
        <v/>
      </c>
      <c r="L31" s="10">
        <f>IF($A31="","",IF($F31="N","N",IF($K31="IN","Y",IF($K31="OUT","N",IF(AND($G31="Y",$H31="N",$I31="Y",$J31="N"),"Y","N")))))</f>
        <v/>
      </c>
      <c r="M31" s="10">
        <f>IF($A31="","",IF($F31="N","Out: different import country",IF($K31="IN","In: Research determination",IF($K31="OUT","Out: Research determination",IF($G31="N","Out: HTS not on scope list",IF($H31="Y","Out: HTS on exclusion list",IF($I31="N","Out: origin not on scope list",IF($J31="Y","Out: USMCA-qualifying, exempt","In: matches scope rules"))))))))</f>
        <v/>
      </c>
      <c r="N31" s="10">
        <f>IF(OR($A31="",$AM31=0),"",UPPER(TRIM(CLEAN(SUBSTITUTE(INDEX(scope_Group,MOD($AM31,1000))&amp;""," "," ")))))</f>
        <v/>
      </c>
      <c r="O31" s="10">
        <f>IF($L31&lt;&gt;"Y","",IF($AO31=0,"Default (B15)",UPPER(TRIM(CLEAN(SUBSTITUTE(INDEX(rate_ID,MOD($AO31,100))&amp;""," "," "))))))</f>
        <v/>
      </c>
      <c r="P31" s="10">
        <f>IF($L31&lt;&gt;"Y","",IF($AO31=0,IF(UPPER(TRIM(CLEAN(SUBSTITUTE(act_DefaultBase&amp;""," "," "))))="PART","PART","FULL"),IF(UPPER(TRIM(CLEAN(SUBSTITUTE(INDEX(rate_Base,MOD($AO31,100))&amp;""," "," "))))="PART","PART","FULL")))</f>
        <v/>
      </c>
      <c r="Q31" s="17">
        <f>IF($A31="","",N(Items!J31))</f>
        <v/>
      </c>
      <c r="R31" s="17">
        <f>IF($A31="","",IF($L31&lt;&gt;"Y",0,IF($AO31=0,N(act_Rate),N(INDEX(rate_Rate,MOD($AO31,100))))))</f>
        <v/>
      </c>
      <c r="S31" s="17">
        <f>IF($A31="","",IF($L31&lt;&gt;"Y",0,IF($AO31=0,IF(UPPER(TRIM(CLEAN(SUBSTITUTE(act_RateType&amp;""," "," "))))="REPLACE",N(act_PriorRate),0),IF(ISNUMBER(INDEX(rate_Prior,MOD($AO31,100))),INDEX(rate_Prior,MOD($AO31,100)),IF(UPPER(TRIM(CLEAN(SUBSTITUTE(act_RateType&amp;""," "," "))))="REPLACE",N(act_PriorRate),0)))))</f>
        <v/>
      </c>
      <c r="T31" s="17">
        <f>IF($A31="","",IF(AND($L31="Y",$P31="PART",ISNUMBER(Items!M31)),Items!M31,1))</f>
        <v/>
      </c>
      <c r="U31" s="17">
        <f>IF($A31="","",IF($L31&lt;&gt;"Y",0,IF($AQ31&gt;0,IF(ISNUMBER(INDEX(det_Displaced,$AQ31)),INDEX(det_Displaced,$AQ31),IF($AO31=0,0,N(INDEX(rate_Displaced,MOD($AO31,100))))),IF($AO31=0,0,N(INDEX(rate_Displaced,MOD($AO31,100)))))))</f>
        <v/>
      </c>
      <c r="V31" s="17">
        <f>IF($A31="","",IF($L31="Y",$Q31+$T31*($R31-$S31)-$U31,$Q31))</f>
        <v/>
      </c>
      <c r="W31" s="18">
        <f>IF($A31="","",N(Items!H31)*$Q31)</f>
        <v/>
      </c>
      <c r="X31" s="18">
        <f>IF($A31="","",N(Items!H31)*$V31)</f>
        <v/>
      </c>
      <c r="Y31" s="18">
        <f>IF($A31="","",$X31-$W31)</f>
        <v/>
      </c>
      <c r="Z31" s="18">
        <f>IF($A31="","",N(Items!K31)+$Y31)</f>
        <v/>
      </c>
      <c r="AA31" s="17">
        <f>IF($A31="","",IF(N(Items!L31)=0,"",(N(Items!L31)-N(Items!K31))/N(Items!L31)))</f>
        <v/>
      </c>
      <c r="AB31" s="17">
        <f>IF($A31="","",IF(N(Items!L31)=0,"",(N(Items!L31)-$Z31)/N(Items!L31)))</f>
        <v/>
      </c>
      <c r="AC31" s="17">
        <f>IF(OR($AA31="",$AB31=""),"",$AB31-$AA31)</f>
        <v/>
      </c>
      <c r="AD31" s="13">
        <f>IF($A31="","",N(Items!I31))</f>
        <v/>
      </c>
      <c r="AE31" s="19">
        <f>IF($A31="","",$Y31*$AD31)</f>
        <v/>
      </c>
      <c r="AF31" s="10">
        <f>IF($A31="","",IF(N(Items!L31)&gt;0,"Y","N"))</f>
        <v/>
      </c>
      <c r="AG31" s="19">
        <f>IF($A31="","",IF($AF31="Y",N(Items!L31)*$AD31,0))</f>
        <v/>
      </c>
      <c r="AH31" s="19">
        <f>IF($A31="","",IF($AF31="Y",(N(Items!L31)-N(Items!K31))*$AD31,0))</f>
        <v/>
      </c>
      <c r="AI31" s="19">
        <f>IF($A31="","",IF($AF31="Y",$AH31-$AE31,0))</f>
        <v/>
      </c>
      <c r="AJ31" s="10">
        <f>IF($A31="","",IF(COUNTIF($AL$5:$AL$254,$AL31)&gt;1,"CHECK: duplicate item and import country",IF(TRIM(CLEAN(SUBSTITUTE(Items!C31&amp;""," "," ")))="","CHECK: import country missing",IF(AND(UPPER(TRIM(CLEAN(SUBSTITUTE(Items!C31&amp;""," "," "))))&lt;&gt;"US",UPPER(TRIM(CLEAN(SUBSTITUTE(Items!C31&amp;""," "," "))))&lt;&gt;"CA",UPPER(TRIM(CLEAN(SUBSTITUTE(Items!C31&amp;""," "," "))))&lt;&gt;"MX"),"CHECK: import country must be US, CA or MX",IF(NOT(AND(LEN($C31)=10,IFERROR(TEXT(VALUE($C31),REPT("0",LEN($C31)))=$C31,FALSE))),"CHECK: HTS must be 10 digits",IF(LEN($E31)&lt;&gt;2,"CHECK: origin code missing or not 2 letters",IF(TRIM(CLEAN(SUBSTITUTE(Items!G31&amp;""," "," ")))="","CHECK: unit of measure missing",IF(OR(Items!H31="",Items!J31="",Items!K31=""),"CHECK: value, rate or cost missing",IF(OR(NOT(ISNUMBER(Items!H31)),NOT(ISNUMBER(Items!J31)),NOT(ISNUMBER(Items!K31)),AND(Items!I31&lt;&gt;"",NOT(ISNUMBER(Items!I31))),AND(Items!L31&lt;&gt;"",NOT(ISNUMBER(Items!L31))),AND(Items!M31&lt;&gt;"",NOT(ISNUMBER(Items!M31)))),"CHECK: text in a number column",IF(AND(ISNUMBER(Items!M31),OR(N(Items!M31)&lt;0,N(Items!M31)&gt;1)),"CHECK: dutiable share must be 0% to 100%",IF(AND(UPPER(TRIM(CLEAN(SUBSTITUTE(Items!F31&amp;""," "," "))))&lt;&gt;"",UPPER(TRIM(CLEAN(SUBSTITUTE(Items!F31&amp;""," "," "))))&lt;&gt;"Y",UPPER(TRIM(CLEAN(SUBSTITUTE(Items!F31&amp;""," "," "))))&lt;&gt;"N"),"CHECK: USMCA flag must be Y, N or blank",IF(AND(UPPER(TRIM(CLEAN(SUBSTITUTE(Items!F31&amp;""," "," "))))="Y",$E31&lt;&gt;"US",$E31&lt;&gt;"CA",$E31&lt;&gt;"MX"),"CHECK: USMCA flag on an origin other than US, CA or MX",IF(AND($L31="Y",$AO31=0,NOT(ISNUMBER(act_Rate))),"CHECK: in scope but no rate (add a rate line or B15)",IF(AND($L31="Y",UPPER(TRIM(CLEAN(SUBSTITUTE(act_RateType&amp;""," "," "))))="REPLACE",NOT(ISNUMBER(act_PriorRate)),IF($AO31=0,TRUE,NOT(ISNUMBER(INDEX(rate_Prior,MOD($AO31,100)))))),"CHECK: REPLACE but no earlier rate (B17 or the rate line's AD)",IF(AND($L31="Y",$AP31&gt;1),"CHECK: two rate lines match equally",IF(AND($L31="Y",$AN31&gt;1),"CHECK: HTS prefix listed twice on the scope list",IF(AND($L31="Y",$P31="PART",NOT(ISNUMBER(Items!M31))),"CHECK: dutiable share missing (PART base)",IF(AND($L31="Y",$P31="FULL",ISNUMBER(Items!M31),N(Items!M31)&lt;&gt;1),"CHECK: dutiable share entered, but the rate taxes the full value",IF(AND($L31="Y",$Q31+0.0000001&lt;$T31*$S31+$U31),"CHECK: current rate is below the duty being replaced or displaced",IF(AND($L31="Y",$AD31=0),"NOTE: in scope, no quantity",IF(AND($L31="Y",$AF31="N"),"NOTE: in scope, no sell price (left out of margin %)",IF(AND($L31="Y",N(Items!H31)&gt;N(Items!K31)),"NOTE: customs value above standard cost (check unit of measure)",IF(AND($L31="Y",$Q31&gt;1),"NOTE: current rate above 100% (check it was entered as a percentage)","OK")))))))))))))))))))))))</f>
        <v/>
      </c>
      <c r="AK31" s="20">
        <f>IF($A31="","",IF(AND($L31="Y",$AE31&lt;&gt;0),ABS($AE31)+ROW()/1000000000,""))</f>
        <v/>
      </c>
      <c r="AL31" s="10">
        <f>IF($A31="","",UPPER($A31)&amp;"/"&amp;UPPER(TRIM(CLEAN(SUBSTITUTE(Items!C31&amp;""," "," ")))))</f>
        <v/>
      </c>
      <c r="AM31" s="13">
        <f>IF($A31="",0,SUMPRODUCT(MAX((scope_HTS&lt;&gt;"")*(LEFT($C31,LEN(scope_HTS))=scope_HTS)*(LEN(scope_HTS)*1000+ROW(scope_HTS)-4))))</f>
        <v/>
      </c>
      <c r="AN31" s="13">
        <f>IF($AM31=0,0,SUMPRODUCT((scope_HTS&lt;&gt;"")*(LEFT($C31,LEN(scope_HTS))=scope_HTS)*(LEN(scope_HTS)=INT($AM31/1000))))</f>
        <v/>
      </c>
      <c r="AO31" s="13">
        <f>IF($L31&lt;&gt;"Y",0,SUMPRODUCT(MAX(ISNUMBER(rate_Rate)*((UPPER(TRIM(CLEAN(SUBSTITUTE(rate_Group&amp;""," "," "))))="")+(UPPER(TRIM(CLEAN(SUBSTITUTE(rate_Group&amp;""," "," "))))=$N31)&gt;0)*((UPPER(TRIM(CLEAN(SUBSTITUTE(rate_COO&amp;""," "," "))))="")+(UPPER(TRIM(CLEAN(SUBSTITUTE(rate_COO&amp;""," "," "))))=$E31)&gt;0)*((UPPER(TRIM(CLEAN(SUBSTITUTE(rate_USMCA&amp;""," "," "))))="")+(UPPER(TRIM(CLEAN(SUBSTITUTE(rate_USMCA&amp;""," "," "))))=IF(UPPER(TRIM(CLEAN(SUBSTITUTE(Items!F31&amp;""," "," "))))="Y","Y","N"))&gt;0)*((1+(UPPER(TRIM(CLEAN(SUBSTITUTE(rate_Group&amp;""," "," "))))&lt;&gt;"")+2*(UPPER(TRIM(CLEAN(SUBSTITUTE(rate_USMCA&amp;""," "," "))))&lt;&gt;"")+4*(UPPER(TRIM(CLEAN(SUBSTITUTE(rate_COO&amp;""," "," "))))&lt;&gt;""))*100+ROW(rate_Rate)-4))))</f>
        <v/>
      </c>
      <c r="AP31" s="13">
        <f>IF($AO31=0,0,SUMPRODUCT(ISNUMBER(rate_Rate)*((UPPER(TRIM(CLEAN(SUBSTITUTE(rate_Group&amp;""," "," "))))="")+(UPPER(TRIM(CLEAN(SUBSTITUTE(rate_Group&amp;""," "," "))))=$N31)&gt;0)*((UPPER(TRIM(CLEAN(SUBSTITUTE(rate_COO&amp;""," "," "))))="")+(UPPER(TRIM(CLEAN(SUBSTITUTE(rate_COO&amp;""," "," "))))=$E31)&gt;0)*((UPPER(TRIM(CLEAN(SUBSTITUTE(rate_USMCA&amp;""," "," "))))="")+(UPPER(TRIM(CLEAN(SUBSTITUTE(rate_USMCA&amp;""," "," "))))=IF(UPPER(TRIM(CLEAN(SUBSTITUTE(Items!F31&amp;""," "," "))))="Y","Y","N"))&gt;0)*((1+(UPPER(TRIM(CLEAN(SUBSTITUTE(rate_Group&amp;""," "," "))))&lt;&gt;"")+2*(UPPER(TRIM(CLEAN(SUBSTITUTE(rate_USMCA&amp;""," "," "))))&lt;&gt;"")+4*(UPPER(TRIM(CLEAN(SUBSTITUTE(rate_COO&amp;""," "," "))))&lt;&gt;""))=INT($AO31/100))))</f>
        <v/>
      </c>
      <c r="AQ31" s="13">
        <f>IF($A31="",0,IFERROR(MATCH($AL31,det_Key,0),0))</f>
        <v/>
      </c>
    </row>
    <row r="32">
      <c r="A32" s="10">
        <f>IF(TRIM(CLEAN(SUBSTITUTE(Items!A32&amp;""," "," ")))="","",TRIM(CLEAN(SUBSTITUTE(Items!A32&amp;""," "," "))))</f>
        <v/>
      </c>
      <c r="B32" s="10">
        <f>IF($A32="","",Items!B32&amp;"")</f>
        <v/>
      </c>
      <c r="C32" s="10">
        <f>IF($A32="","",SUBSTITUTE(SUBSTITUTE(SUBSTITUTE(SUBSTITUTE(CLEAN(Items!D32&amp;"")," ",""),".","")," ",""),"-",""))</f>
        <v/>
      </c>
      <c r="D32" s="10">
        <f>IF($A32="","",LEFT($C32,2))</f>
        <v/>
      </c>
      <c r="E32" s="10">
        <f>IF($A32="","",UPPER(TRIM(CLEAN(SUBSTITUTE(Items!E32&amp;""," "," ")))))</f>
        <v/>
      </c>
      <c r="F32" s="10">
        <f>IF($A32="","",IF(UPPER(TRIM(CLEAN(SUBSTITUTE(Items!C32&amp;""," "," "))))=UPPER(TRIM(CLEAN(SUBSTITUTE(act_Country&amp;""," "," ")))),"Y","N"))</f>
        <v/>
      </c>
      <c r="G32" s="10">
        <f>IF($A32="","",IF($AM32&gt;0,"Y","N"))</f>
        <v/>
      </c>
      <c r="H32" s="10">
        <f>IF($A32="","",IF(SUMPRODUCT((excl_HTS&lt;&gt;"")*(LEFT($C32,LEN(excl_HTS))=excl_HTS))&gt;0,"Y","N"))</f>
        <v/>
      </c>
      <c r="I32" s="10">
        <f>IF($A32="","",IF($E32="","N",IF(SUMPRODUCT(--(UPPER(TRIM(CLEAN(SUBSTITUTE(scope_COO&amp;""," "," "))))=$E32))&gt;0,"Y","N")))</f>
        <v/>
      </c>
      <c r="J32" s="10">
        <f>IF($A32="","",IF(AND(UPPER(TRIM(CLEAN(SUBSTITUTE(act_USMCAExempt&amp;""," "," "))))="Y",UPPER(TRIM(CLEAN(SUBSTITUTE(Items!F32&amp;""," "," "))))="Y"),"Y","N"))</f>
        <v/>
      </c>
      <c r="K32" s="10">
        <f>IF($A32="","",IF($AQ32=0,"",UPPER(TRIM(CLEAN(SUBSTITUTE(INDEX(det_Status,$AQ32)&amp;""," "," "))))))</f>
        <v/>
      </c>
      <c r="L32" s="10">
        <f>IF($A32="","",IF($F32="N","N",IF($K32="IN","Y",IF($K32="OUT","N",IF(AND($G32="Y",$H32="N",$I32="Y",$J32="N"),"Y","N")))))</f>
        <v/>
      </c>
      <c r="M32" s="10">
        <f>IF($A32="","",IF($F32="N","Out: different import country",IF($K32="IN","In: Research determination",IF($K32="OUT","Out: Research determination",IF($G32="N","Out: HTS not on scope list",IF($H32="Y","Out: HTS on exclusion list",IF($I32="N","Out: origin not on scope list",IF($J32="Y","Out: USMCA-qualifying, exempt","In: matches scope rules"))))))))</f>
        <v/>
      </c>
      <c r="N32" s="10">
        <f>IF(OR($A32="",$AM32=0),"",UPPER(TRIM(CLEAN(SUBSTITUTE(INDEX(scope_Group,MOD($AM32,1000))&amp;""," "," ")))))</f>
        <v/>
      </c>
      <c r="O32" s="10">
        <f>IF($L32&lt;&gt;"Y","",IF($AO32=0,"Default (B15)",UPPER(TRIM(CLEAN(SUBSTITUTE(INDEX(rate_ID,MOD($AO32,100))&amp;""," "," "))))))</f>
        <v/>
      </c>
      <c r="P32" s="10">
        <f>IF($L32&lt;&gt;"Y","",IF($AO32=0,IF(UPPER(TRIM(CLEAN(SUBSTITUTE(act_DefaultBase&amp;""," "," "))))="PART","PART","FULL"),IF(UPPER(TRIM(CLEAN(SUBSTITUTE(INDEX(rate_Base,MOD($AO32,100))&amp;""," "," "))))="PART","PART","FULL")))</f>
        <v/>
      </c>
      <c r="Q32" s="17">
        <f>IF($A32="","",N(Items!J32))</f>
        <v/>
      </c>
      <c r="R32" s="17">
        <f>IF($A32="","",IF($L32&lt;&gt;"Y",0,IF($AO32=0,N(act_Rate),N(INDEX(rate_Rate,MOD($AO32,100))))))</f>
        <v/>
      </c>
      <c r="S32" s="17">
        <f>IF($A32="","",IF($L32&lt;&gt;"Y",0,IF($AO32=0,IF(UPPER(TRIM(CLEAN(SUBSTITUTE(act_RateType&amp;""," "," "))))="REPLACE",N(act_PriorRate),0),IF(ISNUMBER(INDEX(rate_Prior,MOD($AO32,100))),INDEX(rate_Prior,MOD($AO32,100)),IF(UPPER(TRIM(CLEAN(SUBSTITUTE(act_RateType&amp;""," "," "))))="REPLACE",N(act_PriorRate),0)))))</f>
        <v/>
      </c>
      <c r="T32" s="17">
        <f>IF($A32="","",IF(AND($L32="Y",$P32="PART",ISNUMBER(Items!M32)),Items!M32,1))</f>
        <v/>
      </c>
      <c r="U32" s="17">
        <f>IF($A32="","",IF($L32&lt;&gt;"Y",0,IF($AQ32&gt;0,IF(ISNUMBER(INDEX(det_Displaced,$AQ32)),INDEX(det_Displaced,$AQ32),IF($AO32=0,0,N(INDEX(rate_Displaced,MOD($AO32,100))))),IF($AO32=0,0,N(INDEX(rate_Displaced,MOD($AO32,100)))))))</f>
        <v/>
      </c>
      <c r="V32" s="17">
        <f>IF($A32="","",IF($L32="Y",$Q32+$T32*($R32-$S32)-$U32,$Q32))</f>
        <v/>
      </c>
      <c r="W32" s="18">
        <f>IF($A32="","",N(Items!H32)*$Q32)</f>
        <v/>
      </c>
      <c r="X32" s="18">
        <f>IF($A32="","",N(Items!H32)*$V32)</f>
        <v/>
      </c>
      <c r="Y32" s="18">
        <f>IF($A32="","",$X32-$W32)</f>
        <v/>
      </c>
      <c r="Z32" s="18">
        <f>IF($A32="","",N(Items!K32)+$Y32)</f>
        <v/>
      </c>
      <c r="AA32" s="17">
        <f>IF($A32="","",IF(N(Items!L32)=0,"",(N(Items!L32)-N(Items!K32))/N(Items!L32)))</f>
        <v/>
      </c>
      <c r="AB32" s="17">
        <f>IF($A32="","",IF(N(Items!L32)=0,"",(N(Items!L32)-$Z32)/N(Items!L32)))</f>
        <v/>
      </c>
      <c r="AC32" s="17">
        <f>IF(OR($AA32="",$AB32=""),"",$AB32-$AA32)</f>
        <v/>
      </c>
      <c r="AD32" s="13">
        <f>IF($A32="","",N(Items!I32))</f>
        <v/>
      </c>
      <c r="AE32" s="19">
        <f>IF($A32="","",$Y32*$AD32)</f>
        <v/>
      </c>
      <c r="AF32" s="10">
        <f>IF($A32="","",IF(N(Items!L32)&gt;0,"Y","N"))</f>
        <v/>
      </c>
      <c r="AG32" s="19">
        <f>IF($A32="","",IF($AF32="Y",N(Items!L32)*$AD32,0))</f>
        <v/>
      </c>
      <c r="AH32" s="19">
        <f>IF($A32="","",IF($AF32="Y",(N(Items!L32)-N(Items!K32))*$AD32,0))</f>
        <v/>
      </c>
      <c r="AI32" s="19">
        <f>IF($A32="","",IF($AF32="Y",$AH32-$AE32,0))</f>
        <v/>
      </c>
      <c r="AJ32" s="10">
        <f>IF($A32="","",IF(COUNTIF($AL$5:$AL$254,$AL32)&gt;1,"CHECK: duplicate item and import country",IF(TRIM(CLEAN(SUBSTITUTE(Items!C32&amp;""," "," ")))="","CHECK: import country missing",IF(AND(UPPER(TRIM(CLEAN(SUBSTITUTE(Items!C32&amp;""," "," "))))&lt;&gt;"US",UPPER(TRIM(CLEAN(SUBSTITUTE(Items!C32&amp;""," "," "))))&lt;&gt;"CA",UPPER(TRIM(CLEAN(SUBSTITUTE(Items!C32&amp;""," "," "))))&lt;&gt;"MX"),"CHECK: import country must be US, CA or MX",IF(NOT(AND(LEN($C32)=10,IFERROR(TEXT(VALUE($C32),REPT("0",LEN($C32)))=$C32,FALSE))),"CHECK: HTS must be 10 digits",IF(LEN($E32)&lt;&gt;2,"CHECK: origin code missing or not 2 letters",IF(TRIM(CLEAN(SUBSTITUTE(Items!G32&amp;""," "," ")))="","CHECK: unit of measure missing",IF(OR(Items!H32="",Items!J32="",Items!K32=""),"CHECK: value, rate or cost missing",IF(OR(NOT(ISNUMBER(Items!H32)),NOT(ISNUMBER(Items!J32)),NOT(ISNUMBER(Items!K32)),AND(Items!I32&lt;&gt;"",NOT(ISNUMBER(Items!I32))),AND(Items!L32&lt;&gt;"",NOT(ISNUMBER(Items!L32))),AND(Items!M32&lt;&gt;"",NOT(ISNUMBER(Items!M32)))),"CHECK: text in a number column",IF(AND(ISNUMBER(Items!M32),OR(N(Items!M32)&lt;0,N(Items!M32)&gt;1)),"CHECK: dutiable share must be 0% to 100%",IF(AND(UPPER(TRIM(CLEAN(SUBSTITUTE(Items!F32&amp;""," "," "))))&lt;&gt;"",UPPER(TRIM(CLEAN(SUBSTITUTE(Items!F32&amp;""," "," "))))&lt;&gt;"Y",UPPER(TRIM(CLEAN(SUBSTITUTE(Items!F32&amp;""," "," "))))&lt;&gt;"N"),"CHECK: USMCA flag must be Y, N or blank",IF(AND(UPPER(TRIM(CLEAN(SUBSTITUTE(Items!F32&amp;""," "," "))))="Y",$E32&lt;&gt;"US",$E32&lt;&gt;"CA",$E32&lt;&gt;"MX"),"CHECK: USMCA flag on an origin other than US, CA or MX",IF(AND($L32="Y",$AO32=0,NOT(ISNUMBER(act_Rate))),"CHECK: in scope but no rate (add a rate line or B15)",IF(AND($L32="Y",UPPER(TRIM(CLEAN(SUBSTITUTE(act_RateType&amp;""," "," "))))="REPLACE",NOT(ISNUMBER(act_PriorRate)),IF($AO32=0,TRUE,NOT(ISNUMBER(INDEX(rate_Prior,MOD($AO32,100)))))),"CHECK: REPLACE but no earlier rate (B17 or the rate line's AD)",IF(AND($L32="Y",$AP32&gt;1),"CHECK: two rate lines match equally",IF(AND($L32="Y",$AN32&gt;1),"CHECK: HTS prefix listed twice on the scope list",IF(AND($L32="Y",$P32="PART",NOT(ISNUMBER(Items!M32))),"CHECK: dutiable share missing (PART base)",IF(AND($L32="Y",$P32="FULL",ISNUMBER(Items!M32),N(Items!M32)&lt;&gt;1),"CHECK: dutiable share entered, but the rate taxes the full value",IF(AND($L32="Y",$Q32+0.0000001&lt;$T32*$S32+$U32),"CHECK: current rate is below the duty being replaced or displaced",IF(AND($L32="Y",$AD32=0),"NOTE: in scope, no quantity",IF(AND($L32="Y",$AF32="N"),"NOTE: in scope, no sell price (left out of margin %)",IF(AND($L32="Y",N(Items!H32)&gt;N(Items!K32)),"NOTE: customs value above standard cost (check unit of measure)",IF(AND($L32="Y",$Q32&gt;1),"NOTE: current rate above 100% (check it was entered as a percentage)","OK")))))))))))))))))))))))</f>
        <v/>
      </c>
      <c r="AK32" s="20">
        <f>IF($A32="","",IF(AND($L32="Y",$AE32&lt;&gt;0),ABS($AE32)+ROW()/1000000000,""))</f>
        <v/>
      </c>
      <c r="AL32" s="10">
        <f>IF($A32="","",UPPER($A32)&amp;"/"&amp;UPPER(TRIM(CLEAN(SUBSTITUTE(Items!C32&amp;""," "," ")))))</f>
        <v/>
      </c>
      <c r="AM32" s="13">
        <f>IF($A32="",0,SUMPRODUCT(MAX((scope_HTS&lt;&gt;"")*(LEFT($C32,LEN(scope_HTS))=scope_HTS)*(LEN(scope_HTS)*1000+ROW(scope_HTS)-4))))</f>
        <v/>
      </c>
      <c r="AN32" s="13">
        <f>IF($AM32=0,0,SUMPRODUCT((scope_HTS&lt;&gt;"")*(LEFT($C32,LEN(scope_HTS))=scope_HTS)*(LEN(scope_HTS)=INT($AM32/1000))))</f>
        <v/>
      </c>
      <c r="AO32" s="13">
        <f>IF($L32&lt;&gt;"Y",0,SUMPRODUCT(MAX(ISNUMBER(rate_Rate)*((UPPER(TRIM(CLEAN(SUBSTITUTE(rate_Group&amp;""," "," "))))="")+(UPPER(TRIM(CLEAN(SUBSTITUTE(rate_Group&amp;""," "," "))))=$N32)&gt;0)*((UPPER(TRIM(CLEAN(SUBSTITUTE(rate_COO&amp;""," "," "))))="")+(UPPER(TRIM(CLEAN(SUBSTITUTE(rate_COO&amp;""," "," "))))=$E32)&gt;0)*((UPPER(TRIM(CLEAN(SUBSTITUTE(rate_USMCA&amp;""," "," "))))="")+(UPPER(TRIM(CLEAN(SUBSTITUTE(rate_USMCA&amp;""," "," "))))=IF(UPPER(TRIM(CLEAN(SUBSTITUTE(Items!F32&amp;""," "," "))))="Y","Y","N"))&gt;0)*((1+(UPPER(TRIM(CLEAN(SUBSTITUTE(rate_Group&amp;""," "," "))))&lt;&gt;"")+2*(UPPER(TRIM(CLEAN(SUBSTITUTE(rate_USMCA&amp;""," "," "))))&lt;&gt;"")+4*(UPPER(TRIM(CLEAN(SUBSTITUTE(rate_COO&amp;""," "," "))))&lt;&gt;""))*100+ROW(rate_Rate)-4))))</f>
        <v/>
      </c>
      <c r="AP32" s="13">
        <f>IF($AO32=0,0,SUMPRODUCT(ISNUMBER(rate_Rate)*((UPPER(TRIM(CLEAN(SUBSTITUTE(rate_Group&amp;""," "," "))))="")+(UPPER(TRIM(CLEAN(SUBSTITUTE(rate_Group&amp;""," "," "))))=$N32)&gt;0)*((UPPER(TRIM(CLEAN(SUBSTITUTE(rate_COO&amp;""," "," "))))="")+(UPPER(TRIM(CLEAN(SUBSTITUTE(rate_COO&amp;""," "," "))))=$E32)&gt;0)*((UPPER(TRIM(CLEAN(SUBSTITUTE(rate_USMCA&amp;""," "," "))))="")+(UPPER(TRIM(CLEAN(SUBSTITUTE(rate_USMCA&amp;""," "," "))))=IF(UPPER(TRIM(CLEAN(SUBSTITUTE(Items!F32&amp;""," "," "))))="Y","Y","N"))&gt;0)*((1+(UPPER(TRIM(CLEAN(SUBSTITUTE(rate_Group&amp;""," "," "))))&lt;&gt;"")+2*(UPPER(TRIM(CLEAN(SUBSTITUTE(rate_USMCA&amp;""," "," "))))&lt;&gt;"")+4*(UPPER(TRIM(CLEAN(SUBSTITUTE(rate_COO&amp;""," "," "))))&lt;&gt;""))=INT($AO32/100))))</f>
        <v/>
      </c>
      <c r="AQ32" s="13">
        <f>IF($A32="",0,IFERROR(MATCH($AL32,det_Key,0),0))</f>
        <v/>
      </c>
    </row>
    <row r="33">
      <c r="A33" s="10">
        <f>IF(TRIM(CLEAN(SUBSTITUTE(Items!A33&amp;""," "," ")))="","",TRIM(CLEAN(SUBSTITUTE(Items!A33&amp;""," "," "))))</f>
        <v/>
      </c>
      <c r="B33" s="10">
        <f>IF($A33="","",Items!B33&amp;"")</f>
        <v/>
      </c>
      <c r="C33" s="10">
        <f>IF($A33="","",SUBSTITUTE(SUBSTITUTE(SUBSTITUTE(SUBSTITUTE(CLEAN(Items!D33&amp;"")," ",""),".","")," ",""),"-",""))</f>
        <v/>
      </c>
      <c r="D33" s="10">
        <f>IF($A33="","",LEFT($C33,2))</f>
        <v/>
      </c>
      <c r="E33" s="10">
        <f>IF($A33="","",UPPER(TRIM(CLEAN(SUBSTITUTE(Items!E33&amp;""," "," ")))))</f>
        <v/>
      </c>
      <c r="F33" s="10">
        <f>IF($A33="","",IF(UPPER(TRIM(CLEAN(SUBSTITUTE(Items!C33&amp;""," "," "))))=UPPER(TRIM(CLEAN(SUBSTITUTE(act_Country&amp;""," "," ")))),"Y","N"))</f>
        <v/>
      </c>
      <c r="G33" s="10">
        <f>IF($A33="","",IF($AM33&gt;0,"Y","N"))</f>
        <v/>
      </c>
      <c r="H33" s="10">
        <f>IF($A33="","",IF(SUMPRODUCT((excl_HTS&lt;&gt;"")*(LEFT($C33,LEN(excl_HTS))=excl_HTS))&gt;0,"Y","N"))</f>
        <v/>
      </c>
      <c r="I33" s="10">
        <f>IF($A33="","",IF($E33="","N",IF(SUMPRODUCT(--(UPPER(TRIM(CLEAN(SUBSTITUTE(scope_COO&amp;""," "," "))))=$E33))&gt;0,"Y","N")))</f>
        <v/>
      </c>
      <c r="J33" s="10">
        <f>IF($A33="","",IF(AND(UPPER(TRIM(CLEAN(SUBSTITUTE(act_USMCAExempt&amp;""," "," "))))="Y",UPPER(TRIM(CLEAN(SUBSTITUTE(Items!F33&amp;""," "," "))))="Y"),"Y","N"))</f>
        <v/>
      </c>
      <c r="K33" s="10">
        <f>IF($A33="","",IF($AQ33=0,"",UPPER(TRIM(CLEAN(SUBSTITUTE(INDEX(det_Status,$AQ33)&amp;""," "," "))))))</f>
        <v/>
      </c>
      <c r="L33" s="10">
        <f>IF($A33="","",IF($F33="N","N",IF($K33="IN","Y",IF($K33="OUT","N",IF(AND($G33="Y",$H33="N",$I33="Y",$J33="N"),"Y","N")))))</f>
        <v/>
      </c>
      <c r="M33" s="10">
        <f>IF($A33="","",IF($F33="N","Out: different import country",IF($K33="IN","In: Research determination",IF($K33="OUT","Out: Research determination",IF($G33="N","Out: HTS not on scope list",IF($H33="Y","Out: HTS on exclusion list",IF($I33="N","Out: origin not on scope list",IF($J33="Y","Out: USMCA-qualifying, exempt","In: matches scope rules"))))))))</f>
        <v/>
      </c>
      <c r="N33" s="10">
        <f>IF(OR($A33="",$AM33=0),"",UPPER(TRIM(CLEAN(SUBSTITUTE(INDEX(scope_Group,MOD($AM33,1000))&amp;""," "," ")))))</f>
        <v/>
      </c>
      <c r="O33" s="10">
        <f>IF($L33&lt;&gt;"Y","",IF($AO33=0,"Default (B15)",UPPER(TRIM(CLEAN(SUBSTITUTE(INDEX(rate_ID,MOD($AO33,100))&amp;""," "," "))))))</f>
        <v/>
      </c>
      <c r="P33" s="10">
        <f>IF($L33&lt;&gt;"Y","",IF($AO33=0,IF(UPPER(TRIM(CLEAN(SUBSTITUTE(act_DefaultBase&amp;""," "," "))))="PART","PART","FULL"),IF(UPPER(TRIM(CLEAN(SUBSTITUTE(INDEX(rate_Base,MOD($AO33,100))&amp;""," "," "))))="PART","PART","FULL")))</f>
        <v/>
      </c>
      <c r="Q33" s="17">
        <f>IF($A33="","",N(Items!J33))</f>
        <v/>
      </c>
      <c r="R33" s="17">
        <f>IF($A33="","",IF($L33&lt;&gt;"Y",0,IF($AO33=0,N(act_Rate),N(INDEX(rate_Rate,MOD($AO33,100))))))</f>
        <v/>
      </c>
      <c r="S33" s="17">
        <f>IF($A33="","",IF($L33&lt;&gt;"Y",0,IF($AO33=0,IF(UPPER(TRIM(CLEAN(SUBSTITUTE(act_RateType&amp;""," "," "))))="REPLACE",N(act_PriorRate),0),IF(ISNUMBER(INDEX(rate_Prior,MOD($AO33,100))),INDEX(rate_Prior,MOD($AO33,100)),IF(UPPER(TRIM(CLEAN(SUBSTITUTE(act_RateType&amp;""," "," "))))="REPLACE",N(act_PriorRate),0)))))</f>
        <v/>
      </c>
      <c r="T33" s="17">
        <f>IF($A33="","",IF(AND($L33="Y",$P33="PART",ISNUMBER(Items!M33)),Items!M33,1))</f>
        <v/>
      </c>
      <c r="U33" s="17">
        <f>IF($A33="","",IF($L33&lt;&gt;"Y",0,IF($AQ33&gt;0,IF(ISNUMBER(INDEX(det_Displaced,$AQ33)),INDEX(det_Displaced,$AQ33),IF($AO33=0,0,N(INDEX(rate_Displaced,MOD($AO33,100))))),IF($AO33=0,0,N(INDEX(rate_Displaced,MOD($AO33,100)))))))</f>
        <v/>
      </c>
      <c r="V33" s="17">
        <f>IF($A33="","",IF($L33="Y",$Q33+$T33*($R33-$S33)-$U33,$Q33))</f>
        <v/>
      </c>
      <c r="W33" s="18">
        <f>IF($A33="","",N(Items!H33)*$Q33)</f>
        <v/>
      </c>
      <c r="X33" s="18">
        <f>IF($A33="","",N(Items!H33)*$V33)</f>
        <v/>
      </c>
      <c r="Y33" s="18">
        <f>IF($A33="","",$X33-$W33)</f>
        <v/>
      </c>
      <c r="Z33" s="18">
        <f>IF($A33="","",N(Items!K33)+$Y33)</f>
        <v/>
      </c>
      <c r="AA33" s="17">
        <f>IF($A33="","",IF(N(Items!L33)=0,"",(N(Items!L33)-N(Items!K33))/N(Items!L33)))</f>
        <v/>
      </c>
      <c r="AB33" s="17">
        <f>IF($A33="","",IF(N(Items!L33)=0,"",(N(Items!L33)-$Z33)/N(Items!L33)))</f>
        <v/>
      </c>
      <c r="AC33" s="17">
        <f>IF(OR($AA33="",$AB33=""),"",$AB33-$AA33)</f>
        <v/>
      </c>
      <c r="AD33" s="13">
        <f>IF($A33="","",N(Items!I33))</f>
        <v/>
      </c>
      <c r="AE33" s="19">
        <f>IF($A33="","",$Y33*$AD33)</f>
        <v/>
      </c>
      <c r="AF33" s="10">
        <f>IF($A33="","",IF(N(Items!L33)&gt;0,"Y","N"))</f>
        <v/>
      </c>
      <c r="AG33" s="19">
        <f>IF($A33="","",IF($AF33="Y",N(Items!L33)*$AD33,0))</f>
        <v/>
      </c>
      <c r="AH33" s="19">
        <f>IF($A33="","",IF($AF33="Y",(N(Items!L33)-N(Items!K33))*$AD33,0))</f>
        <v/>
      </c>
      <c r="AI33" s="19">
        <f>IF($A33="","",IF($AF33="Y",$AH33-$AE33,0))</f>
        <v/>
      </c>
      <c r="AJ33" s="10">
        <f>IF($A33="","",IF(COUNTIF($AL$5:$AL$254,$AL33)&gt;1,"CHECK: duplicate item and import country",IF(TRIM(CLEAN(SUBSTITUTE(Items!C33&amp;""," "," ")))="","CHECK: import country missing",IF(AND(UPPER(TRIM(CLEAN(SUBSTITUTE(Items!C33&amp;""," "," "))))&lt;&gt;"US",UPPER(TRIM(CLEAN(SUBSTITUTE(Items!C33&amp;""," "," "))))&lt;&gt;"CA",UPPER(TRIM(CLEAN(SUBSTITUTE(Items!C33&amp;""," "," "))))&lt;&gt;"MX"),"CHECK: import country must be US, CA or MX",IF(NOT(AND(LEN($C33)=10,IFERROR(TEXT(VALUE($C33),REPT("0",LEN($C33)))=$C33,FALSE))),"CHECK: HTS must be 10 digits",IF(LEN($E33)&lt;&gt;2,"CHECK: origin code missing or not 2 letters",IF(TRIM(CLEAN(SUBSTITUTE(Items!G33&amp;""," "," ")))="","CHECK: unit of measure missing",IF(OR(Items!H33="",Items!J33="",Items!K33=""),"CHECK: value, rate or cost missing",IF(OR(NOT(ISNUMBER(Items!H33)),NOT(ISNUMBER(Items!J33)),NOT(ISNUMBER(Items!K33)),AND(Items!I33&lt;&gt;"",NOT(ISNUMBER(Items!I33))),AND(Items!L33&lt;&gt;"",NOT(ISNUMBER(Items!L33))),AND(Items!M33&lt;&gt;"",NOT(ISNUMBER(Items!M33)))),"CHECK: text in a number column",IF(AND(ISNUMBER(Items!M33),OR(N(Items!M33)&lt;0,N(Items!M33)&gt;1)),"CHECK: dutiable share must be 0% to 100%",IF(AND(UPPER(TRIM(CLEAN(SUBSTITUTE(Items!F33&amp;""," "," "))))&lt;&gt;"",UPPER(TRIM(CLEAN(SUBSTITUTE(Items!F33&amp;""," "," "))))&lt;&gt;"Y",UPPER(TRIM(CLEAN(SUBSTITUTE(Items!F33&amp;""," "," "))))&lt;&gt;"N"),"CHECK: USMCA flag must be Y, N or blank",IF(AND(UPPER(TRIM(CLEAN(SUBSTITUTE(Items!F33&amp;""," "," "))))="Y",$E33&lt;&gt;"US",$E33&lt;&gt;"CA",$E33&lt;&gt;"MX"),"CHECK: USMCA flag on an origin other than US, CA or MX",IF(AND($L33="Y",$AO33=0,NOT(ISNUMBER(act_Rate))),"CHECK: in scope but no rate (add a rate line or B15)",IF(AND($L33="Y",UPPER(TRIM(CLEAN(SUBSTITUTE(act_RateType&amp;""," "," "))))="REPLACE",NOT(ISNUMBER(act_PriorRate)),IF($AO33=0,TRUE,NOT(ISNUMBER(INDEX(rate_Prior,MOD($AO33,100)))))),"CHECK: REPLACE but no earlier rate (B17 or the rate line's AD)",IF(AND($L33="Y",$AP33&gt;1),"CHECK: two rate lines match equally",IF(AND($L33="Y",$AN33&gt;1),"CHECK: HTS prefix listed twice on the scope list",IF(AND($L33="Y",$P33="PART",NOT(ISNUMBER(Items!M33))),"CHECK: dutiable share missing (PART base)",IF(AND($L33="Y",$P33="FULL",ISNUMBER(Items!M33),N(Items!M33)&lt;&gt;1),"CHECK: dutiable share entered, but the rate taxes the full value",IF(AND($L33="Y",$Q33+0.0000001&lt;$T33*$S33+$U33),"CHECK: current rate is below the duty being replaced or displaced",IF(AND($L33="Y",$AD33=0),"NOTE: in scope, no quantity",IF(AND($L33="Y",$AF33="N"),"NOTE: in scope, no sell price (left out of margin %)",IF(AND($L33="Y",N(Items!H33)&gt;N(Items!K33)),"NOTE: customs value above standard cost (check unit of measure)",IF(AND($L33="Y",$Q33&gt;1),"NOTE: current rate above 100% (check it was entered as a percentage)","OK")))))))))))))))))))))))</f>
        <v/>
      </c>
      <c r="AK33" s="20">
        <f>IF($A33="","",IF(AND($L33="Y",$AE33&lt;&gt;0),ABS($AE33)+ROW()/1000000000,""))</f>
        <v/>
      </c>
      <c r="AL33" s="10">
        <f>IF($A33="","",UPPER($A33)&amp;"/"&amp;UPPER(TRIM(CLEAN(SUBSTITUTE(Items!C33&amp;""," "," ")))))</f>
        <v/>
      </c>
      <c r="AM33" s="13">
        <f>IF($A33="",0,SUMPRODUCT(MAX((scope_HTS&lt;&gt;"")*(LEFT($C33,LEN(scope_HTS))=scope_HTS)*(LEN(scope_HTS)*1000+ROW(scope_HTS)-4))))</f>
        <v/>
      </c>
      <c r="AN33" s="13">
        <f>IF($AM33=0,0,SUMPRODUCT((scope_HTS&lt;&gt;"")*(LEFT($C33,LEN(scope_HTS))=scope_HTS)*(LEN(scope_HTS)=INT($AM33/1000))))</f>
        <v/>
      </c>
      <c r="AO33" s="13">
        <f>IF($L33&lt;&gt;"Y",0,SUMPRODUCT(MAX(ISNUMBER(rate_Rate)*((UPPER(TRIM(CLEAN(SUBSTITUTE(rate_Group&amp;""," "," "))))="")+(UPPER(TRIM(CLEAN(SUBSTITUTE(rate_Group&amp;""," "," "))))=$N33)&gt;0)*((UPPER(TRIM(CLEAN(SUBSTITUTE(rate_COO&amp;""," "," "))))="")+(UPPER(TRIM(CLEAN(SUBSTITUTE(rate_COO&amp;""," "," "))))=$E33)&gt;0)*((UPPER(TRIM(CLEAN(SUBSTITUTE(rate_USMCA&amp;""," "," "))))="")+(UPPER(TRIM(CLEAN(SUBSTITUTE(rate_USMCA&amp;""," "," "))))=IF(UPPER(TRIM(CLEAN(SUBSTITUTE(Items!F33&amp;""," "," "))))="Y","Y","N"))&gt;0)*((1+(UPPER(TRIM(CLEAN(SUBSTITUTE(rate_Group&amp;""," "," "))))&lt;&gt;"")+2*(UPPER(TRIM(CLEAN(SUBSTITUTE(rate_USMCA&amp;""," "," "))))&lt;&gt;"")+4*(UPPER(TRIM(CLEAN(SUBSTITUTE(rate_COO&amp;""," "," "))))&lt;&gt;""))*100+ROW(rate_Rate)-4))))</f>
        <v/>
      </c>
      <c r="AP33" s="13">
        <f>IF($AO33=0,0,SUMPRODUCT(ISNUMBER(rate_Rate)*((UPPER(TRIM(CLEAN(SUBSTITUTE(rate_Group&amp;""," "," "))))="")+(UPPER(TRIM(CLEAN(SUBSTITUTE(rate_Group&amp;""," "," "))))=$N33)&gt;0)*((UPPER(TRIM(CLEAN(SUBSTITUTE(rate_COO&amp;""," "," "))))="")+(UPPER(TRIM(CLEAN(SUBSTITUTE(rate_COO&amp;""," "," "))))=$E33)&gt;0)*((UPPER(TRIM(CLEAN(SUBSTITUTE(rate_USMCA&amp;""," "," "))))="")+(UPPER(TRIM(CLEAN(SUBSTITUTE(rate_USMCA&amp;""," "," "))))=IF(UPPER(TRIM(CLEAN(SUBSTITUTE(Items!F33&amp;""," "," "))))="Y","Y","N"))&gt;0)*((1+(UPPER(TRIM(CLEAN(SUBSTITUTE(rate_Group&amp;""," "," "))))&lt;&gt;"")+2*(UPPER(TRIM(CLEAN(SUBSTITUTE(rate_USMCA&amp;""," "," "))))&lt;&gt;"")+4*(UPPER(TRIM(CLEAN(SUBSTITUTE(rate_COO&amp;""," "," "))))&lt;&gt;""))=INT($AO33/100))))</f>
        <v/>
      </c>
      <c r="AQ33" s="13">
        <f>IF($A33="",0,IFERROR(MATCH($AL33,det_Key,0),0))</f>
        <v/>
      </c>
    </row>
    <row r="34">
      <c r="A34" s="10">
        <f>IF(TRIM(CLEAN(SUBSTITUTE(Items!A34&amp;""," "," ")))="","",TRIM(CLEAN(SUBSTITUTE(Items!A34&amp;""," "," "))))</f>
        <v/>
      </c>
      <c r="B34" s="10">
        <f>IF($A34="","",Items!B34&amp;"")</f>
        <v/>
      </c>
      <c r="C34" s="10">
        <f>IF($A34="","",SUBSTITUTE(SUBSTITUTE(SUBSTITUTE(SUBSTITUTE(CLEAN(Items!D34&amp;"")," ",""),".","")," ",""),"-",""))</f>
        <v/>
      </c>
      <c r="D34" s="10">
        <f>IF($A34="","",LEFT($C34,2))</f>
        <v/>
      </c>
      <c r="E34" s="10">
        <f>IF($A34="","",UPPER(TRIM(CLEAN(SUBSTITUTE(Items!E34&amp;""," "," ")))))</f>
        <v/>
      </c>
      <c r="F34" s="10">
        <f>IF($A34="","",IF(UPPER(TRIM(CLEAN(SUBSTITUTE(Items!C34&amp;""," "," "))))=UPPER(TRIM(CLEAN(SUBSTITUTE(act_Country&amp;""," "," ")))),"Y","N"))</f>
        <v/>
      </c>
      <c r="G34" s="10">
        <f>IF($A34="","",IF($AM34&gt;0,"Y","N"))</f>
        <v/>
      </c>
      <c r="H34" s="10">
        <f>IF($A34="","",IF(SUMPRODUCT((excl_HTS&lt;&gt;"")*(LEFT($C34,LEN(excl_HTS))=excl_HTS))&gt;0,"Y","N"))</f>
        <v/>
      </c>
      <c r="I34" s="10">
        <f>IF($A34="","",IF($E34="","N",IF(SUMPRODUCT(--(UPPER(TRIM(CLEAN(SUBSTITUTE(scope_COO&amp;""," "," "))))=$E34))&gt;0,"Y","N")))</f>
        <v/>
      </c>
      <c r="J34" s="10">
        <f>IF($A34="","",IF(AND(UPPER(TRIM(CLEAN(SUBSTITUTE(act_USMCAExempt&amp;""," "," "))))="Y",UPPER(TRIM(CLEAN(SUBSTITUTE(Items!F34&amp;""," "," "))))="Y"),"Y","N"))</f>
        <v/>
      </c>
      <c r="K34" s="10">
        <f>IF($A34="","",IF($AQ34=0,"",UPPER(TRIM(CLEAN(SUBSTITUTE(INDEX(det_Status,$AQ34)&amp;""," "," "))))))</f>
        <v/>
      </c>
      <c r="L34" s="10">
        <f>IF($A34="","",IF($F34="N","N",IF($K34="IN","Y",IF($K34="OUT","N",IF(AND($G34="Y",$H34="N",$I34="Y",$J34="N"),"Y","N")))))</f>
        <v/>
      </c>
      <c r="M34" s="10">
        <f>IF($A34="","",IF($F34="N","Out: different import country",IF($K34="IN","In: Research determination",IF($K34="OUT","Out: Research determination",IF($G34="N","Out: HTS not on scope list",IF($H34="Y","Out: HTS on exclusion list",IF($I34="N","Out: origin not on scope list",IF($J34="Y","Out: USMCA-qualifying, exempt","In: matches scope rules"))))))))</f>
        <v/>
      </c>
      <c r="N34" s="10">
        <f>IF(OR($A34="",$AM34=0),"",UPPER(TRIM(CLEAN(SUBSTITUTE(INDEX(scope_Group,MOD($AM34,1000))&amp;""," "," ")))))</f>
        <v/>
      </c>
      <c r="O34" s="10">
        <f>IF($L34&lt;&gt;"Y","",IF($AO34=0,"Default (B15)",UPPER(TRIM(CLEAN(SUBSTITUTE(INDEX(rate_ID,MOD($AO34,100))&amp;""," "," "))))))</f>
        <v/>
      </c>
      <c r="P34" s="10">
        <f>IF($L34&lt;&gt;"Y","",IF($AO34=0,IF(UPPER(TRIM(CLEAN(SUBSTITUTE(act_DefaultBase&amp;""," "," "))))="PART","PART","FULL"),IF(UPPER(TRIM(CLEAN(SUBSTITUTE(INDEX(rate_Base,MOD($AO34,100))&amp;""," "," "))))="PART","PART","FULL")))</f>
        <v/>
      </c>
      <c r="Q34" s="17">
        <f>IF($A34="","",N(Items!J34))</f>
        <v/>
      </c>
      <c r="R34" s="17">
        <f>IF($A34="","",IF($L34&lt;&gt;"Y",0,IF($AO34=0,N(act_Rate),N(INDEX(rate_Rate,MOD($AO34,100))))))</f>
        <v/>
      </c>
      <c r="S34" s="17">
        <f>IF($A34="","",IF($L34&lt;&gt;"Y",0,IF($AO34=0,IF(UPPER(TRIM(CLEAN(SUBSTITUTE(act_RateType&amp;""," "," "))))="REPLACE",N(act_PriorRate),0),IF(ISNUMBER(INDEX(rate_Prior,MOD($AO34,100))),INDEX(rate_Prior,MOD($AO34,100)),IF(UPPER(TRIM(CLEAN(SUBSTITUTE(act_RateType&amp;""," "," "))))="REPLACE",N(act_PriorRate),0)))))</f>
        <v/>
      </c>
      <c r="T34" s="17">
        <f>IF($A34="","",IF(AND($L34="Y",$P34="PART",ISNUMBER(Items!M34)),Items!M34,1))</f>
        <v/>
      </c>
      <c r="U34" s="17">
        <f>IF($A34="","",IF($L34&lt;&gt;"Y",0,IF($AQ34&gt;0,IF(ISNUMBER(INDEX(det_Displaced,$AQ34)),INDEX(det_Displaced,$AQ34),IF($AO34=0,0,N(INDEX(rate_Displaced,MOD($AO34,100))))),IF($AO34=0,0,N(INDEX(rate_Displaced,MOD($AO34,100)))))))</f>
        <v/>
      </c>
      <c r="V34" s="17">
        <f>IF($A34="","",IF($L34="Y",$Q34+$T34*($R34-$S34)-$U34,$Q34))</f>
        <v/>
      </c>
      <c r="W34" s="18">
        <f>IF($A34="","",N(Items!H34)*$Q34)</f>
        <v/>
      </c>
      <c r="X34" s="18">
        <f>IF($A34="","",N(Items!H34)*$V34)</f>
        <v/>
      </c>
      <c r="Y34" s="18">
        <f>IF($A34="","",$X34-$W34)</f>
        <v/>
      </c>
      <c r="Z34" s="18">
        <f>IF($A34="","",N(Items!K34)+$Y34)</f>
        <v/>
      </c>
      <c r="AA34" s="17">
        <f>IF($A34="","",IF(N(Items!L34)=0,"",(N(Items!L34)-N(Items!K34))/N(Items!L34)))</f>
        <v/>
      </c>
      <c r="AB34" s="17">
        <f>IF($A34="","",IF(N(Items!L34)=0,"",(N(Items!L34)-$Z34)/N(Items!L34)))</f>
        <v/>
      </c>
      <c r="AC34" s="17">
        <f>IF(OR($AA34="",$AB34=""),"",$AB34-$AA34)</f>
        <v/>
      </c>
      <c r="AD34" s="13">
        <f>IF($A34="","",N(Items!I34))</f>
        <v/>
      </c>
      <c r="AE34" s="19">
        <f>IF($A34="","",$Y34*$AD34)</f>
        <v/>
      </c>
      <c r="AF34" s="10">
        <f>IF($A34="","",IF(N(Items!L34)&gt;0,"Y","N"))</f>
        <v/>
      </c>
      <c r="AG34" s="19">
        <f>IF($A34="","",IF($AF34="Y",N(Items!L34)*$AD34,0))</f>
        <v/>
      </c>
      <c r="AH34" s="19">
        <f>IF($A34="","",IF($AF34="Y",(N(Items!L34)-N(Items!K34))*$AD34,0))</f>
        <v/>
      </c>
      <c r="AI34" s="19">
        <f>IF($A34="","",IF($AF34="Y",$AH34-$AE34,0))</f>
        <v/>
      </c>
      <c r="AJ34" s="10">
        <f>IF($A34="","",IF(COUNTIF($AL$5:$AL$254,$AL34)&gt;1,"CHECK: duplicate item and import country",IF(TRIM(CLEAN(SUBSTITUTE(Items!C34&amp;""," "," ")))="","CHECK: import country missing",IF(AND(UPPER(TRIM(CLEAN(SUBSTITUTE(Items!C34&amp;""," "," "))))&lt;&gt;"US",UPPER(TRIM(CLEAN(SUBSTITUTE(Items!C34&amp;""," "," "))))&lt;&gt;"CA",UPPER(TRIM(CLEAN(SUBSTITUTE(Items!C34&amp;""," "," "))))&lt;&gt;"MX"),"CHECK: import country must be US, CA or MX",IF(NOT(AND(LEN($C34)=10,IFERROR(TEXT(VALUE($C34),REPT("0",LEN($C34)))=$C34,FALSE))),"CHECK: HTS must be 10 digits",IF(LEN($E34)&lt;&gt;2,"CHECK: origin code missing or not 2 letters",IF(TRIM(CLEAN(SUBSTITUTE(Items!G34&amp;""," "," ")))="","CHECK: unit of measure missing",IF(OR(Items!H34="",Items!J34="",Items!K34=""),"CHECK: value, rate or cost missing",IF(OR(NOT(ISNUMBER(Items!H34)),NOT(ISNUMBER(Items!J34)),NOT(ISNUMBER(Items!K34)),AND(Items!I34&lt;&gt;"",NOT(ISNUMBER(Items!I34))),AND(Items!L34&lt;&gt;"",NOT(ISNUMBER(Items!L34))),AND(Items!M34&lt;&gt;"",NOT(ISNUMBER(Items!M34)))),"CHECK: text in a number column",IF(AND(ISNUMBER(Items!M34),OR(N(Items!M34)&lt;0,N(Items!M34)&gt;1)),"CHECK: dutiable share must be 0% to 100%",IF(AND(UPPER(TRIM(CLEAN(SUBSTITUTE(Items!F34&amp;""," "," "))))&lt;&gt;"",UPPER(TRIM(CLEAN(SUBSTITUTE(Items!F34&amp;""," "," "))))&lt;&gt;"Y",UPPER(TRIM(CLEAN(SUBSTITUTE(Items!F34&amp;""," "," "))))&lt;&gt;"N"),"CHECK: USMCA flag must be Y, N or blank",IF(AND(UPPER(TRIM(CLEAN(SUBSTITUTE(Items!F34&amp;""," "," "))))="Y",$E34&lt;&gt;"US",$E34&lt;&gt;"CA",$E34&lt;&gt;"MX"),"CHECK: USMCA flag on an origin other than US, CA or MX",IF(AND($L34="Y",$AO34=0,NOT(ISNUMBER(act_Rate))),"CHECK: in scope but no rate (add a rate line or B15)",IF(AND($L34="Y",UPPER(TRIM(CLEAN(SUBSTITUTE(act_RateType&amp;""," "," "))))="REPLACE",NOT(ISNUMBER(act_PriorRate)),IF($AO34=0,TRUE,NOT(ISNUMBER(INDEX(rate_Prior,MOD($AO34,100)))))),"CHECK: REPLACE but no earlier rate (B17 or the rate line's AD)",IF(AND($L34="Y",$AP34&gt;1),"CHECK: two rate lines match equally",IF(AND($L34="Y",$AN34&gt;1),"CHECK: HTS prefix listed twice on the scope list",IF(AND($L34="Y",$P34="PART",NOT(ISNUMBER(Items!M34))),"CHECK: dutiable share missing (PART base)",IF(AND($L34="Y",$P34="FULL",ISNUMBER(Items!M34),N(Items!M34)&lt;&gt;1),"CHECK: dutiable share entered, but the rate taxes the full value",IF(AND($L34="Y",$Q34+0.0000001&lt;$T34*$S34+$U34),"CHECK: current rate is below the duty being replaced or displaced",IF(AND($L34="Y",$AD34=0),"NOTE: in scope, no quantity",IF(AND($L34="Y",$AF34="N"),"NOTE: in scope, no sell price (left out of margin %)",IF(AND($L34="Y",N(Items!H34)&gt;N(Items!K34)),"NOTE: customs value above standard cost (check unit of measure)",IF(AND($L34="Y",$Q34&gt;1),"NOTE: current rate above 100% (check it was entered as a percentage)","OK")))))))))))))))))))))))</f>
        <v/>
      </c>
      <c r="AK34" s="20">
        <f>IF($A34="","",IF(AND($L34="Y",$AE34&lt;&gt;0),ABS($AE34)+ROW()/1000000000,""))</f>
        <v/>
      </c>
      <c r="AL34" s="10">
        <f>IF($A34="","",UPPER($A34)&amp;"/"&amp;UPPER(TRIM(CLEAN(SUBSTITUTE(Items!C34&amp;""," "," ")))))</f>
        <v/>
      </c>
      <c r="AM34" s="13">
        <f>IF($A34="",0,SUMPRODUCT(MAX((scope_HTS&lt;&gt;"")*(LEFT($C34,LEN(scope_HTS))=scope_HTS)*(LEN(scope_HTS)*1000+ROW(scope_HTS)-4))))</f>
        <v/>
      </c>
      <c r="AN34" s="13">
        <f>IF($AM34=0,0,SUMPRODUCT((scope_HTS&lt;&gt;"")*(LEFT($C34,LEN(scope_HTS))=scope_HTS)*(LEN(scope_HTS)=INT($AM34/1000))))</f>
        <v/>
      </c>
      <c r="AO34" s="13">
        <f>IF($L34&lt;&gt;"Y",0,SUMPRODUCT(MAX(ISNUMBER(rate_Rate)*((UPPER(TRIM(CLEAN(SUBSTITUTE(rate_Group&amp;""," "," "))))="")+(UPPER(TRIM(CLEAN(SUBSTITUTE(rate_Group&amp;""," "," "))))=$N34)&gt;0)*((UPPER(TRIM(CLEAN(SUBSTITUTE(rate_COO&amp;""," "," "))))="")+(UPPER(TRIM(CLEAN(SUBSTITUTE(rate_COO&amp;""," "," "))))=$E34)&gt;0)*((UPPER(TRIM(CLEAN(SUBSTITUTE(rate_USMCA&amp;""," "," "))))="")+(UPPER(TRIM(CLEAN(SUBSTITUTE(rate_USMCA&amp;""," "," "))))=IF(UPPER(TRIM(CLEAN(SUBSTITUTE(Items!F34&amp;""," "," "))))="Y","Y","N"))&gt;0)*((1+(UPPER(TRIM(CLEAN(SUBSTITUTE(rate_Group&amp;""," "," "))))&lt;&gt;"")+2*(UPPER(TRIM(CLEAN(SUBSTITUTE(rate_USMCA&amp;""," "," "))))&lt;&gt;"")+4*(UPPER(TRIM(CLEAN(SUBSTITUTE(rate_COO&amp;""," "," "))))&lt;&gt;""))*100+ROW(rate_Rate)-4))))</f>
        <v/>
      </c>
      <c r="AP34" s="13">
        <f>IF($AO34=0,0,SUMPRODUCT(ISNUMBER(rate_Rate)*((UPPER(TRIM(CLEAN(SUBSTITUTE(rate_Group&amp;""," "," "))))="")+(UPPER(TRIM(CLEAN(SUBSTITUTE(rate_Group&amp;""," "," "))))=$N34)&gt;0)*((UPPER(TRIM(CLEAN(SUBSTITUTE(rate_COO&amp;""," "," "))))="")+(UPPER(TRIM(CLEAN(SUBSTITUTE(rate_COO&amp;""," "," "))))=$E34)&gt;0)*((UPPER(TRIM(CLEAN(SUBSTITUTE(rate_USMCA&amp;""," "," "))))="")+(UPPER(TRIM(CLEAN(SUBSTITUTE(rate_USMCA&amp;""," "," "))))=IF(UPPER(TRIM(CLEAN(SUBSTITUTE(Items!F34&amp;""," "," "))))="Y","Y","N"))&gt;0)*((1+(UPPER(TRIM(CLEAN(SUBSTITUTE(rate_Group&amp;""," "," "))))&lt;&gt;"")+2*(UPPER(TRIM(CLEAN(SUBSTITUTE(rate_USMCA&amp;""," "," "))))&lt;&gt;"")+4*(UPPER(TRIM(CLEAN(SUBSTITUTE(rate_COO&amp;""," "," "))))&lt;&gt;""))=INT($AO34/100))))</f>
        <v/>
      </c>
      <c r="AQ34" s="13">
        <f>IF($A34="",0,IFERROR(MATCH($AL34,det_Key,0),0))</f>
        <v/>
      </c>
    </row>
    <row r="35">
      <c r="A35" s="10">
        <f>IF(TRIM(CLEAN(SUBSTITUTE(Items!A35&amp;""," "," ")))="","",TRIM(CLEAN(SUBSTITUTE(Items!A35&amp;""," "," "))))</f>
        <v/>
      </c>
      <c r="B35" s="10">
        <f>IF($A35="","",Items!B35&amp;"")</f>
        <v/>
      </c>
      <c r="C35" s="10">
        <f>IF($A35="","",SUBSTITUTE(SUBSTITUTE(SUBSTITUTE(SUBSTITUTE(CLEAN(Items!D35&amp;"")," ",""),".","")," ",""),"-",""))</f>
        <v/>
      </c>
      <c r="D35" s="10">
        <f>IF($A35="","",LEFT($C35,2))</f>
        <v/>
      </c>
      <c r="E35" s="10">
        <f>IF($A35="","",UPPER(TRIM(CLEAN(SUBSTITUTE(Items!E35&amp;""," "," ")))))</f>
        <v/>
      </c>
      <c r="F35" s="10">
        <f>IF($A35="","",IF(UPPER(TRIM(CLEAN(SUBSTITUTE(Items!C35&amp;""," "," "))))=UPPER(TRIM(CLEAN(SUBSTITUTE(act_Country&amp;""," "," ")))),"Y","N"))</f>
        <v/>
      </c>
      <c r="G35" s="10">
        <f>IF($A35="","",IF($AM35&gt;0,"Y","N"))</f>
        <v/>
      </c>
      <c r="H35" s="10">
        <f>IF($A35="","",IF(SUMPRODUCT((excl_HTS&lt;&gt;"")*(LEFT($C35,LEN(excl_HTS))=excl_HTS))&gt;0,"Y","N"))</f>
        <v/>
      </c>
      <c r="I35" s="10">
        <f>IF($A35="","",IF($E35="","N",IF(SUMPRODUCT(--(UPPER(TRIM(CLEAN(SUBSTITUTE(scope_COO&amp;""," "," "))))=$E35))&gt;0,"Y","N")))</f>
        <v/>
      </c>
      <c r="J35" s="10">
        <f>IF($A35="","",IF(AND(UPPER(TRIM(CLEAN(SUBSTITUTE(act_USMCAExempt&amp;""," "," "))))="Y",UPPER(TRIM(CLEAN(SUBSTITUTE(Items!F35&amp;""," "," "))))="Y"),"Y","N"))</f>
        <v/>
      </c>
      <c r="K35" s="10">
        <f>IF($A35="","",IF($AQ35=0,"",UPPER(TRIM(CLEAN(SUBSTITUTE(INDEX(det_Status,$AQ35)&amp;""," "," "))))))</f>
        <v/>
      </c>
      <c r="L35" s="10">
        <f>IF($A35="","",IF($F35="N","N",IF($K35="IN","Y",IF($K35="OUT","N",IF(AND($G35="Y",$H35="N",$I35="Y",$J35="N"),"Y","N")))))</f>
        <v/>
      </c>
      <c r="M35" s="10">
        <f>IF($A35="","",IF($F35="N","Out: different import country",IF($K35="IN","In: Research determination",IF($K35="OUT","Out: Research determination",IF($G35="N","Out: HTS not on scope list",IF($H35="Y","Out: HTS on exclusion list",IF($I35="N","Out: origin not on scope list",IF($J35="Y","Out: USMCA-qualifying, exempt","In: matches scope rules"))))))))</f>
        <v/>
      </c>
      <c r="N35" s="10">
        <f>IF(OR($A35="",$AM35=0),"",UPPER(TRIM(CLEAN(SUBSTITUTE(INDEX(scope_Group,MOD($AM35,1000))&amp;""," "," ")))))</f>
        <v/>
      </c>
      <c r="O35" s="10">
        <f>IF($L35&lt;&gt;"Y","",IF($AO35=0,"Default (B15)",UPPER(TRIM(CLEAN(SUBSTITUTE(INDEX(rate_ID,MOD($AO35,100))&amp;""," "," "))))))</f>
        <v/>
      </c>
      <c r="P35" s="10">
        <f>IF($L35&lt;&gt;"Y","",IF($AO35=0,IF(UPPER(TRIM(CLEAN(SUBSTITUTE(act_DefaultBase&amp;""," "," "))))="PART","PART","FULL"),IF(UPPER(TRIM(CLEAN(SUBSTITUTE(INDEX(rate_Base,MOD($AO35,100))&amp;""," "," "))))="PART","PART","FULL")))</f>
        <v/>
      </c>
      <c r="Q35" s="17">
        <f>IF($A35="","",N(Items!J35))</f>
        <v/>
      </c>
      <c r="R35" s="17">
        <f>IF($A35="","",IF($L35&lt;&gt;"Y",0,IF($AO35=0,N(act_Rate),N(INDEX(rate_Rate,MOD($AO35,100))))))</f>
        <v/>
      </c>
      <c r="S35" s="17">
        <f>IF($A35="","",IF($L35&lt;&gt;"Y",0,IF($AO35=0,IF(UPPER(TRIM(CLEAN(SUBSTITUTE(act_RateType&amp;""," "," "))))="REPLACE",N(act_PriorRate),0),IF(ISNUMBER(INDEX(rate_Prior,MOD($AO35,100))),INDEX(rate_Prior,MOD($AO35,100)),IF(UPPER(TRIM(CLEAN(SUBSTITUTE(act_RateType&amp;""," "," "))))="REPLACE",N(act_PriorRate),0)))))</f>
        <v/>
      </c>
      <c r="T35" s="17">
        <f>IF($A35="","",IF(AND($L35="Y",$P35="PART",ISNUMBER(Items!M35)),Items!M35,1))</f>
        <v/>
      </c>
      <c r="U35" s="17">
        <f>IF($A35="","",IF($L35&lt;&gt;"Y",0,IF($AQ35&gt;0,IF(ISNUMBER(INDEX(det_Displaced,$AQ35)),INDEX(det_Displaced,$AQ35),IF($AO35=0,0,N(INDEX(rate_Displaced,MOD($AO35,100))))),IF($AO35=0,0,N(INDEX(rate_Displaced,MOD($AO35,100)))))))</f>
        <v/>
      </c>
      <c r="V35" s="17">
        <f>IF($A35="","",IF($L35="Y",$Q35+$T35*($R35-$S35)-$U35,$Q35))</f>
        <v/>
      </c>
      <c r="W35" s="18">
        <f>IF($A35="","",N(Items!H35)*$Q35)</f>
        <v/>
      </c>
      <c r="X35" s="18">
        <f>IF($A35="","",N(Items!H35)*$V35)</f>
        <v/>
      </c>
      <c r="Y35" s="18">
        <f>IF($A35="","",$X35-$W35)</f>
        <v/>
      </c>
      <c r="Z35" s="18">
        <f>IF($A35="","",N(Items!K35)+$Y35)</f>
        <v/>
      </c>
      <c r="AA35" s="17">
        <f>IF($A35="","",IF(N(Items!L35)=0,"",(N(Items!L35)-N(Items!K35))/N(Items!L35)))</f>
        <v/>
      </c>
      <c r="AB35" s="17">
        <f>IF($A35="","",IF(N(Items!L35)=0,"",(N(Items!L35)-$Z35)/N(Items!L35)))</f>
        <v/>
      </c>
      <c r="AC35" s="17">
        <f>IF(OR($AA35="",$AB35=""),"",$AB35-$AA35)</f>
        <v/>
      </c>
      <c r="AD35" s="13">
        <f>IF($A35="","",N(Items!I35))</f>
        <v/>
      </c>
      <c r="AE35" s="19">
        <f>IF($A35="","",$Y35*$AD35)</f>
        <v/>
      </c>
      <c r="AF35" s="10">
        <f>IF($A35="","",IF(N(Items!L35)&gt;0,"Y","N"))</f>
        <v/>
      </c>
      <c r="AG35" s="19">
        <f>IF($A35="","",IF($AF35="Y",N(Items!L35)*$AD35,0))</f>
        <v/>
      </c>
      <c r="AH35" s="19">
        <f>IF($A35="","",IF($AF35="Y",(N(Items!L35)-N(Items!K35))*$AD35,0))</f>
        <v/>
      </c>
      <c r="AI35" s="19">
        <f>IF($A35="","",IF($AF35="Y",$AH35-$AE35,0))</f>
        <v/>
      </c>
      <c r="AJ35" s="10">
        <f>IF($A35="","",IF(COUNTIF($AL$5:$AL$254,$AL35)&gt;1,"CHECK: duplicate item and import country",IF(TRIM(CLEAN(SUBSTITUTE(Items!C35&amp;""," "," ")))="","CHECK: import country missing",IF(AND(UPPER(TRIM(CLEAN(SUBSTITUTE(Items!C35&amp;""," "," "))))&lt;&gt;"US",UPPER(TRIM(CLEAN(SUBSTITUTE(Items!C35&amp;""," "," "))))&lt;&gt;"CA",UPPER(TRIM(CLEAN(SUBSTITUTE(Items!C35&amp;""," "," "))))&lt;&gt;"MX"),"CHECK: import country must be US, CA or MX",IF(NOT(AND(LEN($C35)=10,IFERROR(TEXT(VALUE($C35),REPT("0",LEN($C35)))=$C35,FALSE))),"CHECK: HTS must be 10 digits",IF(LEN($E35)&lt;&gt;2,"CHECK: origin code missing or not 2 letters",IF(TRIM(CLEAN(SUBSTITUTE(Items!G35&amp;""," "," ")))="","CHECK: unit of measure missing",IF(OR(Items!H35="",Items!J35="",Items!K35=""),"CHECK: value, rate or cost missing",IF(OR(NOT(ISNUMBER(Items!H35)),NOT(ISNUMBER(Items!J35)),NOT(ISNUMBER(Items!K35)),AND(Items!I35&lt;&gt;"",NOT(ISNUMBER(Items!I35))),AND(Items!L35&lt;&gt;"",NOT(ISNUMBER(Items!L35))),AND(Items!M35&lt;&gt;"",NOT(ISNUMBER(Items!M35)))),"CHECK: text in a number column",IF(AND(ISNUMBER(Items!M35),OR(N(Items!M35)&lt;0,N(Items!M35)&gt;1)),"CHECK: dutiable share must be 0% to 100%",IF(AND(UPPER(TRIM(CLEAN(SUBSTITUTE(Items!F35&amp;""," "," "))))&lt;&gt;"",UPPER(TRIM(CLEAN(SUBSTITUTE(Items!F35&amp;""," "," "))))&lt;&gt;"Y",UPPER(TRIM(CLEAN(SUBSTITUTE(Items!F35&amp;""," "," "))))&lt;&gt;"N"),"CHECK: USMCA flag must be Y, N or blank",IF(AND(UPPER(TRIM(CLEAN(SUBSTITUTE(Items!F35&amp;""," "," "))))="Y",$E35&lt;&gt;"US",$E35&lt;&gt;"CA",$E35&lt;&gt;"MX"),"CHECK: USMCA flag on an origin other than US, CA or MX",IF(AND($L35="Y",$AO35=0,NOT(ISNUMBER(act_Rate))),"CHECK: in scope but no rate (add a rate line or B15)",IF(AND($L35="Y",UPPER(TRIM(CLEAN(SUBSTITUTE(act_RateType&amp;""," "," "))))="REPLACE",NOT(ISNUMBER(act_PriorRate)),IF($AO35=0,TRUE,NOT(ISNUMBER(INDEX(rate_Prior,MOD($AO35,100)))))),"CHECK: REPLACE but no earlier rate (B17 or the rate line's AD)",IF(AND($L35="Y",$AP35&gt;1),"CHECK: two rate lines match equally",IF(AND($L35="Y",$AN35&gt;1),"CHECK: HTS prefix listed twice on the scope list",IF(AND($L35="Y",$P35="PART",NOT(ISNUMBER(Items!M35))),"CHECK: dutiable share missing (PART base)",IF(AND($L35="Y",$P35="FULL",ISNUMBER(Items!M35),N(Items!M35)&lt;&gt;1),"CHECK: dutiable share entered, but the rate taxes the full value",IF(AND($L35="Y",$Q35+0.0000001&lt;$T35*$S35+$U35),"CHECK: current rate is below the duty being replaced or displaced",IF(AND($L35="Y",$AD35=0),"NOTE: in scope, no quantity",IF(AND($L35="Y",$AF35="N"),"NOTE: in scope, no sell price (left out of margin %)",IF(AND($L35="Y",N(Items!H35)&gt;N(Items!K35)),"NOTE: customs value above standard cost (check unit of measure)",IF(AND($L35="Y",$Q35&gt;1),"NOTE: current rate above 100% (check it was entered as a percentage)","OK")))))))))))))))))))))))</f>
        <v/>
      </c>
      <c r="AK35" s="20">
        <f>IF($A35="","",IF(AND($L35="Y",$AE35&lt;&gt;0),ABS($AE35)+ROW()/1000000000,""))</f>
        <v/>
      </c>
      <c r="AL35" s="10">
        <f>IF($A35="","",UPPER($A35)&amp;"/"&amp;UPPER(TRIM(CLEAN(SUBSTITUTE(Items!C35&amp;""," "," ")))))</f>
        <v/>
      </c>
      <c r="AM35" s="13">
        <f>IF($A35="",0,SUMPRODUCT(MAX((scope_HTS&lt;&gt;"")*(LEFT($C35,LEN(scope_HTS))=scope_HTS)*(LEN(scope_HTS)*1000+ROW(scope_HTS)-4))))</f>
        <v/>
      </c>
      <c r="AN35" s="13">
        <f>IF($AM35=0,0,SUMPRODUCT((scope_HTS&lt;&gt;"")*(LEFT($C35,LEN(scope_HTS))=scope_HTS)*(LEN(scope_HTS)=INT($AM35/1000))))</f>
        <v/>
      </c>
      <c r="AO35" s="13">
        <f>IF($L35&lt;&gt;"Y",0,SUMPRODUCT(MAX(ISNUMBER(rate_Rate)*((UPPER(TRIM(CLEAN(SUBSTITUTE(rate_Group&amp;""," "," "))))="")+(UPPER(TRIM(CLEAN(SUBSTITUTE(rate_Group&amp;""," "," "))))=$N35)&gt;0)*((UPPER(TRIM(CLEAN(SUBSTITUTE(rate_COO&amp;""," "," "))))="")+(UPPER(TRIM(CLEAN(SUBSTITUTE(rate_COO&amp;""," "," "))))=$E35)&gt;0)*((UPPER(TRIM(CLEAN(SUBSTITUTE(rate_USMCA&amp;""," "," "))))="")+(UPPER(TRIM(CLEAN(SUBSTITUTE(rate_USMCA&amp;""," "," "))))=IF(UPPER(TRIM(CLEAN(SUBSTITUTE(Items!F35&amp;""," "," "))))="Y","Y","N"))&gt;0)*((1+(UPPER(TRIM(CLEAN(SUBSTITUTE(rate_Group&amp;""," "," "))))&lt;&gt;"")+2*(UPPER(TRIM(CLEAN(SUBSTITUTE(rate_USMCA&amp;""," "," "))))&lt;&gt;"")+4*(UPPER(TRIM(CLEAN(SUBSTITUTE(rate_COO&amp;""," "," "))))&lt;&gt;""))*100+ROW(rate_Rate)-4))))</f>
        <v/>
      </c>
      <c r="AP35" s="13">
        <f>IF($AO35=0,0,SUMPRODUCT(ISNUMBER(rate_Rate)*((UPPER(TRIM(CLEAN(SUBSTITUTE(rate_Group&amp;""," "," "))))="")+(UPPER(TRIM(CLEAN(SUBSTITUTE(rate_Group&amp;""," "," "))))=$N35)&gt;0)*((UPPER(TRIM(CLEAN(SUBSTITUTE(rate_COO&amp;""," "," "))))="")+(UPPER(TRIM(CLEAN(SUBSTITUTE(rate_COO&amp;""," "," "))))=$E35)&gt;0)*((UPPER(TRIM(CLEAN(SUBSTITUTE(rate_USMCA&amp;""," "," "))))="")+(UPPER(TRIM(CLEAN(SUBSTITUTE(rate_USMCA&amp;""," "," "))))=IF(UPPER(TRIM(CLEAN(SUBSTITUTE(Items!F35&amp;""," "," "))))="Y","Y","N"))&gt;0)*((1+(UPPER(TRIM(CLEAN(SUBSTITUTE(rate_Group&amp;""," "," "))))&lt;&gt;"")+2*(UPPER(TRIM(CLEAN(SUBSTITUTE(rate_USMCA&amp;""," "," "))))&lt;&gt;"")+4*(UPPER(TRIM(CLEAN(SUBSTITUTE(rate_COO&amp;""," "," "))))&lt;&gt;""))=INT($AO35/100))))</f>
        <v/>
      </c>
      <c r="AQ35" s="13">
        <f>IF($A35="",0,IFERROR(MATCH($AL35,det_Key,0),0))</f>
        <v/>
      </c>
    </row>
    <row r="36">
      <c r="A36" s="10">
        <f>IF(TRIM(CLEAN(SUBSTITUTE(Items!A36&amp;""," "," ")))="","",TRIM(CLEAN(SUBSTITUTE(Items!A36&amp;""," "," "))))</f>
        <v/>
      </c>
      <c r="B36" s="10">
        <f>IF($A36="","",Items!B36&amp;"")</f>
        <v/>
      </c>
      <c r="C36" s="10">
        <f>IF($A36="","",SUBSTITUTE(SUBSTITUTE(SUBSTITUTE(SUBSTITUTE(CLEAN(Items!D36&amp;"")," ",""),".","")," ",""),"-",""))</f>
        <v/>
      </c>
      <c r="D36" s="10">
        <f>IF($A36="","",LEFT($C36,2))</f>
        <v/>
      </c>
      <c r="E36" s="10">
        <f>IF($A36="","",UPPER(TRIM(CLEAN(SUBSTITUTE(Items!E36&amp;""," "," ")))))</f>
        <v/>
      </c>
      <c r="F36" s="10">
        <f>IF($A36="","",IF(UPPER(TRIM(CLEAN(SUBSTITUTE(Items!C36&amp;""," "," "))))=UPPER(TRIM(CLEAN(SUBSTITUTE(act_Country&amp;""," "," ")))),"Y","N"))</f>
        <v/>
      </c>
      <c r="G36" s="10">
        <f>IF($A36="","",IF($AM36&gt;0,"Y","N"))</f>
        <v/>
      </c>
      <c r="H36" s="10">
        <f>IF($A36="","",IF(SUMPRODUCT((excl_HTS&lt;&gt;"")*(LEFT($C36,LEN(excl_HTS))=excl_HTS))&gt;0,"Y","N"))</f>
        <v/>
      </c>
      <c r="I36" s="10">
        <f>IF($A36="","",IF($E36="","N",IF(SUMPRODUCT(--(UPPER(TRIM(CLEAN(SUBSTITUTE(scope_COO&amp;""," "," "))))=$E36))&gt;0,"Y","N")))</f>
        <v/>
      </c>
      <c r="J36" s="10">
        <f>IF($A36="","",IF(AND(UPPER(TRIM(CLEAN(SUBSTITUTE(act_USMCAExempt&amp;""," "," "))))="Y",UPPER(TRIM(CLEAN(SUBSTITUTE(Items!F36&amp;""," "," "))))="Y"),"Y","N"))</f>
        <v/>
      </c>
      <c r="K36" s="10">
        <f>IF($A36="","",IF($AQ36=0,"",UPPER(TRIM(CLEAN(SUBSTITUTE(INDEX(det_Status,$AQ36)&amp;""," "," "))))))</f>
        <v/>
      </c>
      <c r="L36" s="10">
        <f>IF($A36="","",IF($F36="N","N",IF($K36="IN","Y",IF($K36="OUT","N",IF(AND($G36="Y",$H36="N",$I36="Y",$J36="N"),"Y","N")))))</f>
        <v/>
      </c>
      <c r="M36" s="10">
        <f>IF($A36="","",IF($F36="N","Out: different import country",IF($K36="IN","In: Research determination",IF($K36="OUT","Out: Research determination",IF($G36="N","Out: HTS not on scope list",IF($H36="Y","Out: HTS on exclusion list",IF($I36="N","Out: origin not on scope list",IF($J36="Y","Out: USMCA-qualifying, exempt","In: matches scope rules"))))))))</f>
        <v/>
      </c>
      <c r="N36" s="10">
        <f>IF(OR($A36="",$AM36=0),"",UPPER(TRIM(CLEAN(SUBSTITUTE(INDEX(scope_Group,MOD($AM36,1000))&amp;""," "," ")))))</f>
        <v/>
      </c>
      <c r="O36" s="10">
        <f>IF($L36&lt;&gt;"Y","",IF($AO36=0,"Default (B15)",UPPER(TRIM(CLEAN(SUBSTITUTE(INDEX(rate_ID,MOD($AO36,100))&amp;""," "," "))))))</f>
        <v/>
      </c>
      <c r="P36" s="10">
        <f>IF($L36&lt;&gt;"Y","",IF($AO36=0,IF(UPPER(TRIM(CLEAN(SUBSTITUTE(act_DefaultBase&amp;""," "," "))))="PART","PART","FULL"),IF(UPPER(TRIM(CLEAN(SUBSTITUTE(INDEX(rate_Base,MOD($AO36,100))&amp;""," "," "))))="PART","PART","FULL")))</f>
        <v/>
      </c>
      <c r="Q36" s="17">
        <f>IF($A36="","",N(Items!J36))</f>
        <v/>
      </c>
      <c r="R36" s="17">
        <f>IF($A36="","",IF($L36&lt;&gt;"Y",0,IF($AO36=0,N(act_Rate),N(INDEX(rate_Rate,MOD($AO36,100))))))</f>
        <v/>
      </c>
      <c r="S36" s="17">
        <f>IF($A36="","",IF($L36&lt;&gt;"Y",0,IF($AO36=0,IF(UPPER(TRIM(CLEAN(SUBSTITUTE(act_RateType&amp;""," "," "))))="REPLACE",N(act_PriorRate),0),IF(ISNUMBER(INDEX(rate_Prior,MOD($AO36,100))),INDEX(rate_Prior,MOD($AO36,100)),IF(UPPER(TRIM(CLEAN(SUBSTITUTE(act_RateType&amp;""," "," "))))="REPLACE",N(act_PriorRate),0)))))</f>
        <v/>
      </c>
      <c r="T36" s="17">
        <f>IF($A36="","",IF(AND($L36="Y",$P36="PART",ISNUMBER(Items!M36)),Items!M36,1))</f>
        <v/>
      </c>
      <c r="U36" s="17">
        <f>IF($A36="","",IF($L36&lt;&gt;"Y",0,IF($AQ36&gt;0,IF(ISNUMBER(INDEX(det_Displaced,$AQ36)),INDEX(det_Displaced,$AQ36),IF($AO36=0,0,N(INDEX(rate_Displaced,MOD($AO36,100))))),IF($AO36=0,0,N(INDEX(rate_Displaced,MOD($AO36,100)))))))</f>
        <v/>
      </c>
      <c r="V36" s="17">
        <f>IF($A36="","",IF($L36="Y",$Q36+$T36*($R36-$S36)-$U36,$Q36))</f>
        <v/>
      </c>
      <c r="W36" s="18">
        <f>IF($A36="","",N(Items!H36)*$Q36)</f>
        <v/>
      </c>
      <c r="X36" s="18">
        <f>IF($A36="","",N(Items!H36)*$V36)</f>
        <v/>
      </c>
      <c r="Y36" s="18">
        <f>IF($A36="","",$X36-$W36)</f>
        <v/>
      </c>
      <c r="Z36" s="18">
        <f>IF($A36="","",N(Items!K36)+$Y36)</f>
        <v/>
      </c>
      <c r="AA36" s="17">
        <f>IF($A36="","",IF(N(Items!L36)=0,"",(N(Items!L36)-N(Items!K36))/N(Items!L36)))</f>
        <v/>
      </c>
      <c r="AB36" s="17">
        <f>IF($A36="","",IF(N(Items!L36)=0,"",(N(Items!L36)-$Z36)/N(Items!L36)))</f>
        <v/>
      </c>
      <c r="AC36" s="17">
        <f>IF(OR($AA36="",$AB36=""),"",$AB36-$AA36)</f>
        <v/>
      </c>
      <c r="AD36" s="13">
        <f>IF($A36="","",N(Items!I36))</f>
        <v/>
      </c>
      <c r="AE36" s="19">
        <f>IF($A36="","",$Y36*$AD36)</f>
        <v/>
      </c>
      <c r="AF36" s="10">
        <f>IF($A36="","",IF(N(Items!L36)&gt;0,"Y","N"))</f>
        <v/>
      </c>
      <c r="AG36" s="19">
        <f>IF($A36="","",IF($AF36="Y",N(Items!L36)*$AD36,0))</f>
        <v/>
      </c>
      <c r="AH36" s="19">
        <f>IF($A36="","",IF($AF36="Y",(N(Items!L36)-N(Items!K36))*$AD36,0))</f>
        <v/>
      </c>
      <c r="AI36" s="19">
        <f>IF($A36="","",IF($AF36="Y",$AH36-$AE36,0))</f>
        <v/>
      </c>
      <c r="AJ36" s="10">
        <f>IF($A36="","",IF(COUNTIF($AL$5:$AL$254,$AL36)&gt;1,"CHECK: duplicate item and import country",IF(TRIM(CLEAN(SUBSTITUTE(Items!C36&amp;""," "," ")))="","CHECK: import country missing",IF(AND(UPPER(TRIM(CLEAN(SUBSTITUTE(Items!C36&amp;""," "," "))))&lt;&gt;"US",UPPER(TRIM(CLEAN(SUBSTITUTE(Items!C36&amp;""," "," "))))&lt;&gt;"CA",UPPER(TRIM(CLEAN(SUBSTITUTE(Items!C36&amp;""," "," "))))&lt;&gt;"MX"),"CHECK: import country must be US, CA or MX",IF(NOT(AND(LEN($C36)=10,IFERROR(TEXT(VALUE($C36),REPT("0",LEN($C36)))=$C36,FALSE))),"CHECK: HTS must be 10 digits",IF(LEN($E36)&lt;&gt;2,"CHECK: origin code missing or not 2 letters",IF(TRIM(CLEAN(SUBSTITUTE(Items!G36&amp;""," "," ")))="","CHECK: unit of measure missing",IF(OR(Items!H36="",Items!J36="",Items!K36=""),"CHECK: value, rate or cost missing",IF(OR(NOT(ISNUMBER(Items!H36)),NOT(ISNUMBER(Items!J36)),NOT(ISNUMBER(Items!K36)),AND(Items!I36&lt;&gt;"",NOT(ISNUMBER(Items!I36))),AND(Items!L36&lt;&gt;"",NOT(ISNUMBER(Items!L36))),AND(Items!M36&lt;&gt;"",NOT(ISNUMBER(Items!M36)))),"CHECK: text in a number column",IF(AND(ISNUMBER(Items!M36),OR(N(Items!M36)&lt;0,N(Items!M36)&gt;1)),"CHECK: dutiable share must be 0% to 100%",IF(AND(UPPER(TRIM(CLEAN(SUBSTITUTE(Items!F36&amp;""," "," "))))&lt;&gt;"",UPPER(TRIM(CLEAN(SUBSTITUTE(Items!F36&amp;""," "," "))))&lt;&gt;"Y",UPPER(TRIM(CLEAN(SUBSTITUTE(Items!F36&amp;""," "," "))))&lt;&gt;"N"),"CHECK: USMCA flag must be Y, N or blank",IF(AND(UPPER(TRIM(CLEAN(SUBSTITUTE(Items!F36&amp;""," "," "))))="Y",$E36&lt;&gt;"US",$E36&lt;&gt;"CA",$E36&lt;&gt;"MX"),"CHECK: USMCA flag on an origin other than US, CA or MX",IF(AND($L36="Y",$AO36=0,NOT(ISNUMBER(act_Rate))),"CHECK: in scope but no rate (add a rate line or B15)",IF(AND($L36="Y",UPPER(TRIM(CLEAN(SUBSTITUTE(act_RateType&amp;""," "," "))))="REPLACE",NOT(ISNUMBER(act_PriorRate)),IF($AO36=0,TRUE,NOT(ISNUMBER(INDEX(rate_Prior,MOD($AO36,100)))))),"CHECK: REPLACE but no earlier rate (B17 or the rate line's AD)",IF(AND($L36="Y",$AP36&gt;1),"CHECK: two rate lines match equally",IF(AND($L36="Y",$AN36&gt;1),"CHECK: HTS prefix listed twice on the scope list",IF(AND($L36="Y",$P36="PART",NOT(ISNUMBER(Items!M36))),"CHECK: dutiable share missing (PART base)",IF(AND($L36="Y",$P36="FULL",ISNUMBER(Items!M36),N(Items!M36)&lt;&gt;1),"CHECK: dutiable share entered, but the rate taxes the full value",IF(AND($L36="Y",$Q36+0.0000001&lt;$T36*$S36+$U36),"CHECK: current rate is below the duty being replaced or displaced",IF(AND($L36="Y",$AD36=0),"NOTE: in scope, no quantity",IF(AND($L36="Y",$AF36="N"),"NOTE: in scope, no sell price (left out of margin %)",IF(AND($L36="Y",N(Items!H36)&gt;N(Items!K36)),"NOTE: customs value above standard cost (check unit of measure)",IF(AND($L36="Y",$Q36&gt;1),"NOTE: current rate above 100% (check it was entered as a percentage)","OK")))))))))))))))))))))))</f>
        <v/>
      </c>
      <c r="AK36" s="20">
        <f>IF($A36="","",IF(AND($L36="Y",$AE36&lt;&gt;0),ABS($AE36)+ROW()/1000000000,""))</f>
        <v/>
      </c>
      <c r="AL36" s="10">
        <f>IF($A36="","",UPPER($A36)&amp;"/"&amp;UPPER(TRIM(CLEAN(SUBSTITUTE(Items!C36&amp;""," "," ")))))</f>
        <v/>
      </c>
      <c r="AM36" s="13">
        <f>IF($A36="",0,SUMPRODUCT(MAX((scope_HTS&lt;&gt;"")*(LEFT($C36,LEN(scope_HTS))=scope_HTS)*(LEN(scope_HTS)*1000+ROW(scope_HTS)-4))))</f>
        <v/>
      </c>
      <c r="AN36" s="13">
        <f>IF($AM36=0,0,SUMPRODUCT((scope_HTS&lt;&gt;"")*(LEFT($C36,LEN(scope_HTS))=scope_HTS)*(LEN(scope_HTS)=INT($AM36/1000))))</f>
        <v/>
      </c>
      <c r="AO36" s="13">
        <f>IF($L36&lt;&gt;"Y",0,SUMPRODUCT(MAX(ISNUMBER(rate_Rate)*((UPPER(TRIM(CLEAN(SUBSTITUTE(rate_Group&amp;""," "," "))))="")+(UPPER(TRIM(CLEAN(SUBSTITUTE(rate_Group&amp;""," "," "))))=$N36)&gt;0)*((UPPER(TRIM(CLEAN(SUBSTITUTE(rate_COO&amp;""," "," "))))="")+(UPPER(TRIM(CLEAN(SUBSTITUTE(rate_COO&amp;""," "," "))))=$E36)&gt;0)*((UPPER(TRIM(CLEAN(SUBSTITUTE(rate_USMCA&amp;""," "," "))))="")+(UPPER(TRIM(CLEAN(SUBSTITUTE(rate_USMCA&amp;""," "," "))))=IF(UPPER(TRIM(CLEAN(SUBSTITUTE(Items!F36&amp;""," "," "))))="Y","Y","N"))&gt;0)*((1+(UPPER(TRIM(CLEAN(SUBSTITUTE(rate_Group&amp;""," "," "))))&lt;&gt;"")+2*(UPPER(TRIM(CLEAN(SUBSTITUTE(rate_USMCA&amp;""," "," "))))&lt;&gt;"")+4*(UPPER(TRIM(CLEAN(SUBSTITUTE(rate_COO&amp;""," "," "))))&lt;&gt;""))*100+ROW(rate_Rate)-4))))</f>
        <v/>
      </c>
      <c r="AP36" s="13">
        <f>IF($AO36=0,0,SUMPRODUCT(ISNUMBER(rate_Rate)*((UPPER(TRIM(CLEAN(SUBSTITUTE(rate_Group&amp;""," "," "))))="")+(UPPER(TRIM(CLEAN(SUBSTITUTE(rate_Group&amp;""," "," "))))=$N36)&gt;0)*((UPPER(TRIM(CLEAN(SUBSTITUTE(rate_COO&amp;""," "," "))))="")+(UPPER(TRIM(CLEAN(SUBSTITUTE(rate_COO&amp;""," "," "))))=$E36)&gt;0)*((UPPER(TRIM(CLEAN(SUBSTITUTE(rate_USMCA&amp;""," "," "))))="")+(UPPER(TRIM(CLEAN(SUBSTITUTE(rate_USMCA&amp;""," "," "))))=IF(UPPER(TRIM(CLEAN(SUBSTITUTE(Items!F36&amp;""," "," "))))="Y","Y","N"))&gt;0)*((1+(UPPER(TRIM(CLEAN(SUBSTITUTE(rate_Group&amp;""," "," "))))&lt;&gt;"")+2*(UPPER(TRIM(CLEAN(SUBSTITUTE(rate_USMCA&amp;""," "," "))))&lt;&gt;"")+4*(UPPER(TRIM(CLEAN(SUBSTITUTE(rate_COO&amp;""," "," "))))&lt;&gt;""))=INT($AO36/100))))</f>
        <v/>
      </c>
      <c r="AQ36" s="13">
        <f>IF($A36="",0,IFERROR(MATCH($AL36,det_Key,0),0))</f>
        <v/>
      </c>
    </row>
    <row r="37">
      <c r="A37" s="10">
        <f>IF(TRIM(CLEAN(SUBSTITUTE(Items!A37&amp;""," "," ")))="","",TRIM(CLEAN(SUBSTITUTE(Items!A37&amp;""," "," "))))</f>
        <v/>
      </c>
      <c r="B37" s="10">
        <f>IF($A37="","",Items!B37&amp;"")</f>
        <v/>
      </c>
      <c r="C37" s="10">
        <f>IF($A37="","",SUBSTITUTE(SUBSTITUTE(SUBSTITUTE(SUBSTITUTE(CLEAN(Items!D37&amp;"")," ",""),".","")," ",""),"-",""))</f>
        <v/>
      </c>
      <c r="D37" s="10">
        <f>IF($A37="","",LEFT($C37,2))</f>
        <v/>
      </c>
      <c r="E37" s="10">
        <f>IF($A37="","",UPPER(TRIM(CLEAN(SUBSTITUTE(Items!E37&amp;""," "," ")))))</f>
        <v/>
      </c>
      <c r="F37" s="10">
        <f>IF($A37="","",IF(UPPER(TRIM(CLEAN(SUBSTITUTE(Items!C37&amp;""," "," "))))=UPPER(TRIM(CLEAN(SUBSTITUTE(act_Country&amp;""," "," ")))),"Y","N"))</f>
        <v/>
      </c>
      <c r="G37" s="10">
        <f>IF($A37="","",IF($AM37&gt;0,"Y","N"))</f>
        <v/>
      </c>
      <c r="H37" s="10">
        <f>IF($A37="","",IF(SUMPRODUCT((excl_HTS&lt;&gt;"")*(LEFT($C37,LEN(excl_HTS))=excl_HTS))&gt;0,"Y","N"))</f>
        <v/>
      </c>
      <c r="I37" s="10">
        <f>IF($A37="","",IF($E37="","N",IF(SUMPRODUCT(--(UPPER(TRIM(CLEAN(SUBSTITUTE(scope_COO&amp;""," "," "))))=$E37))&gt;0,"Y","N")))</f>
        <v/>
      </c>
      <c r="J37" s="10">
        <f>IF($A37="","",IF(AND(UPPER(TRIM(CLEAN(SUBSTITUTE(act_USMCAExempt&amp;""," "," "))))="Y",UPPER(TRIM(CLEAN(SUBSTITUTE(Items!F37&amp;""," "," "))))="Y"),"Y","N"))</f>
        <v/>
      </c>
      <c r="K37" s="10">
        <f>IF($A37="","",IF($AQ37=0,"",UPPER(TRIM(CLEAN(SUBSTITUTE(INDEX(det_Status,$AQ37)&amp;""," "," "))))))</f>
        <v/>
      </c>
      <c r="L37" s="10">
        <f>IF($A37="","",IF($F37="N","N",IF($K37="IN","Y",IF($K37="OUT","N",IF(AND($G37="Y",$H37="N",$I37="Y",$J37="N"),"Y","N")))))</f>
        <v/>
      </c>
      <c r="M37" s="10">
        <f>IF($A37="","",IF($F37="N","Out: different import country",IF($K37="IN","In: Research determination",IF($K37="OUT","Out: Research determination",IF($G37="N","Out: HTS not on scope list",IF($H37="Y","Out: HTS on exclusion list",IF($I37="N","Out: origin not on scope list",IF($J37="Y","Out: USMCA-qualifying, exempt","In: matches scope rules"))))))))</f>
        <v/>
      </c>
      <c r="N37" s="10">
        <f>IF(OR($A37="",$AM37=0),"",UPPER(TRIM(CLEAN(SUBSTITUTE(INDEX(scope_Group,MOD($AM37,1000))&amp;""," "," ")))))</f>
        <v/>
      </c>
      <c r="O37" s="10">
        <f>IF($L37&lt;&gt;"Y","",IF($AO37=0,"Default (B15)",UPPER(TRIM(CLEAN(SUBSTITUTE(INDEX(rate_ID,MOD($AO37,100))&amp;""," "," "))))))</f>
        <v/>
      </c>
      <c r="P37" s="10">
        <f>IF($L37&lt;&gt;"Y","",IF($AO37=0,IF(UPPER(TRIM(CLEAN(SUBSTITUTE(act_DefaultBase&amp;""," "," "))))="PART","PART","FULL"),IF(UPPER(TRIM(CLEAN(SUBSTITUTE(INDEX(rate_Base,MOD($AO37,100))&amp;""," "," "))))="PART","PART","FULL")))</f>
        <v/>
      </c>
      <c r="Q37" s="17">
        <f>IF($A37="","",N(Items!J37))</f>
        <v/>
      </c>
      <c r="R37" s="17">
        <f>IF($A37="","",IF($L37&lt;&gt;"Y",0,IF($AO37=0,N(act_Rate),N(INDEX(rate_Rate,MOD($AO37,100))))))</f>
        <v/>
      </c>
      <c r="S37" s="17">
        <f>IF($A37="","",IF($L37&lt;&gt;"Y",0,IF($AO37=0,IF(UPPER(TRIM(CLEAN(SUBSTITUTE(act_RateType&amp;""," "," "))))="REPLACE",N(act_PriorRate),0),IF(ISNUMBER(INDEX(rate_Prior,MOD($AO37,100))),INDEX(rate_Prior,MOD($AO37,100)),IF(UPPER(TRIM(CLEAN(SUBSTITUTE(act_RateType&amp;""," "," "))))="REPLACE",N(act_PriorRate),0)))))</f>
        <v/>
      </c>
      <c r="T37" s="17">
        <f>IF($A37="","",IF(AND($L37="Y",$P37="PART",ISNUMBER(Items!M37)),Items!M37,1))</f>
        <v/>
      </c>
      <c r="U37" s="17">
        <f>IF($A37="","",IF($L37&lt;&gt;"Y",0,IF($AQ37&gt;0,IF(ISNUMBER(INDEX(det_Displaced,$AQ37)),INDEX(det_Displaced,$AQ37),IF($AO37=0,0,N(INDEX(rate_Displaced,MOD($AO37,100))))),IF($AO37=0,0,N(INDEX(rate_Displaced,MOD($AO37,100)))))))</f>
        <v/>
      </c>
      <c r="V37" s="17">
        <f>IF($A37="","",IF($L37="Y",$Q37+$T37*($R37-$S37)-$U37,$Q37))</f>
        <v/>
      </c>
      <c r="W37" s="18">
        <f>IF($A37="","",N(Items!H37)*$Q37)</f>
        <v/>
      </c>
      <c r="X37" s="18">
        <f>IF($A37="","",N(Items!H37)*$V37)</f>
        <v/>
      </c>
      <c r="Y37" s="18">
        <f>IF($A37="","",$X37-$W37)</f>
        <v/>
      </c>
      <c r="Z37" s="18">
        <f>IF($A37="","",N(Items!K37)+$Y37)</f>
        <v/>
      </c>
      <c r="AA37" s="17">
        <f>IF($A37="","",IF(N(Items!L37)=0,"",(N(Items!L37)-N(Items!K37))/N(Items!L37)))</f>
        <v/>
      </c>
      <c r="AB37" s="17">
        <f>IF($A37="","",IF(N(Items!L37)=0,"",(N(Items!L37)-$Z37)/N(Items!L37)))</f>
        <v/>
      </c>
      <c r="AC37" s="17">
        <f>IF(OR($AA37="",$AB37=""),"",$AB37-$AA37)</f>
        <v/>
      </c>
      <c r="AD37" s="13">
        <f>IF($A37="","",N(Items!I37))</f>
        <v/>
      </c>
      <c r="AE37" s="19">
        <f>IF($A37="","",$Y37*$AD37)</f>
        <v/>
      </c>
      <c r="AF37" s="10">
        <f>IF($A37="","",IF(N(Items!L37)&gt;0,"Y","N"))</f>
        <v/>
      </c>
      <c r="AG37" s="19">
        <f>IF($A37="","",IF($AF37="Y",N(Items!L37)*$AD37,0))</f>
        <v/>
      </c>
      <c r="AH37" s="19">
        <f>IF($A37="","",IF($AF37="Y",(N(Items!L37)-N(Items!K37))*$AD37,0))</f>
        <v/>
      </c>
      <c r="AI37" s="19">
        <f>IF($A37="","",IF($AF37="Y",$AH37-$AE37,0))</f>
        <v/>
      </c>
      <c r="AJ37" s="10">
        <f>IF($A37="","",IF(COUNTIF($AL$5:$AL$254,$AL37)&gt;1,"CHECK: duplicate item and import country",IF(TRIM(CLEAN(SUBSTITUTE(Items!C37&amp;""," "," ")))="","CHECK: import country missing",IF(AND(UPPER(TRIM(CLEAN(SUBSTITUTE(Items!C37&amp;""," "," "))))&lt;&gt;"US",UPPER(TRIM(CLEAN(SUBSTITUTE(Items!C37&amp;""," "," "))))&lt;&gt;"CA",UPPER(TRIM(CLEAN(SUBSTITUTE(Items!C37&amp;""," "," "))))&lt;&gt;"MX"),"CHECK: import country must be US, CA or MX",IF(NOT(AND(LEN($C37)=10,IFERROR(TEXT(VALUE($C37),REPT("0",LEN($C37)))=$C37,FALSE))),"CHECK: HTS must be 10 digits",IF(LEN($E37)&lt;&gt;2,"CHECK: origin code missing or not 2 letters",IF(TRIM(CLEAN(SUBSTITUTE(Items!G37&amp;""," "," ")))="","CHECK: unit of measure missing",IF(OR(Items!H37="",Items!J37="",Items!K37=""),"CHECK: value, rate or cost missing",IF(OR(NOT(ISNUMBER(Items!H37)),NOT(ISNUMBER(Items!J37)),NOT(ISNUMBER(Items!K37)),AND(Items!I37&lt;&gt;"",NOT(ISNUMBER(Items!I37))),AND(Items!L37&lt;&gt;"",NOT(ISNUMBER(Items!L37))),AND(Items!M37&lt;&gt;"",NOT(ISNUMBER(Items!M37)))),"CHECK: text in a number column",IF(AND(ISNUMBER(Items!M37),OR(N(Items!M37)&lt;0,N(Items!M37)&gt;1)),"CHECK: dutiable share must be 0% to 100%",IF(AND(UPPER(TRIM(CLEAN(SUBSTITUTE(Items!F37&amp;""," "," "))))&lt;&gt;"",UPPER(TRIM(CLEAN(SUBSTITUTE(Items!F37&amp;""," "," "))))&lt;&gt;"Y",UPPER(TRIM(CLEAN(SUBSTITUTE(Items!F37&amp;""," "," "))))&lt;&gt;"N"),"CHECK: USMCA flag must be Y, N or blank",IF(AND(UPPER(TRIM(CLEAN(SUBSTITUTE(Items!F37&amp;""," "," "))))="Y",$E37&lt;&gt;"US",$E37&lt;&gt;"CA",$E37&lt;&gt;"MX"),"CHECK: USMCA flag on an origin other than US, CA or MX",IF(AND($L37="Y",$AO37=0,NOT(ISNUMBER(act_Rate))),"CHECK: in scope but no rate (add a rate line or B15)",IF(AND($L37="Y",UPPER(TRIM(CLEAN(SUBSTITUTE(act_RateType&amp;""," "," "))))="REPLACE",NOT(ISNUMBER(act_PriorRate)),IF($AO37=0,TRUE,NOT(ISNUMBER(INDEX(rate_Prior,MOD($AO37,100)))))),"CHECK: REPLACE but no earlier rate (B17 or the rate line's AD)",IF(AND($L37="Y",$AP37&gt;1),"CHECK: two rate lines match equally",IF(AND($L37="Y",$AN37&gt;1),"CHECK: HTS prefix listed twice on the scope list",IF(AND($L37="Y",$P37="PART",NOT(ISNUMBER(Items!M37))),"CHECK: dutiable share missing (PART base)",IF(AND($L37="Y",$P37="FULL",ISNUMBER(Items!M37),N(Items!M37)&lt;&gt;1),"CHECK: dutiable share entered, but the rate taxes the full value",IF(AND($L37="Y",$Q37+0.0000001&lt;$T37*$S37+$U37),"CHECK: current rate is below the duty being replaced or displaced",IF(AND($L37="Y",$AD37=0),"NOTE: in scope, no quantity",IF(AND($L37="Y",$AF37="N"),"NOTE: in scope, no sell price (left out of margin %)",IF(AND($L37="Y",N(Items!H37)&gt;N(Items!K37)),"NOTE: customs value above standard cost (check unit of measure)",IF(AND($L37="Y",$Q37&gt;1),"NOTE: current rate above 100% (check it was entered as a percentage)","OK")))))))))))))))))))))))</f>
        <v/>
      </c>
      <c r="AK37" s="20">
        <f>IF($A37="","",IF(AND($L37="Y",$AE37&lt;&gt;0),ABS($AE37)+ROW()/1000000000,""))</f>
        <v/>
      </c>
      <c r="AL37" s="10">
        <f>IF($A37="","",UPPER($A37)&amp;"/"&amp;UPPER(TRIM(CLEAN(SUBSTITUTE(Items!C37&amp;""," "," ")))))</f>
        <v/>
      </c>
      <c r="AM37" s="13">
        <f>IF($A37="",0,SUMPRODUCT(MAX((scope_HTS&lt;&gt;"")*(LEFT($C37,LEN(scope_HTS))=scope_HTS)*(LEN(scope_HTS)*1000+ROW(scope_HTS)-4))))</f>
        <v/>
      </c>
      <c r="AN37" s="13">
        <f>IF($AM37=0,0,SUMPRODUCT((scope_HTS&lt;&gt;"")*(LEFT($C37,LEN(scope_HTS))=scope_HTS)*(LEN(scope_HTS)=INT($AM37/1000))))</f>
        <v/>
      </c>
      <c r="AO37" s="13">
        <f>IF($L37&lt;&gt;"Y",0,SUMPRODUCT(MAX(ISNUMBER(rate_Rate)*((UPPER(TRIM(CLEAN(SUBSTITUTE(rate_Group&amp;""," "," "))))="")+(UPPER(TRIM(CLEAN(SUBSTITUTE(rate_Group&amp;""," "," "))))=$N37)&gt;0)*((UPPER(TRIM(CLEAN(SUBSTITUTE(rate_COO&amp;""," "," "))))="")+(UPPER(TRIM(CLEAN(SUBSTITUTE(rate_COO&amp;""," "," "))))=$E37)&gt;0)*((UPPER(TRIM(CLEAN(SUBSTITUTE(rate_USMCA&amp;""," "," "))))="")+(UPPER(TRIM(CLEAN(SUBSTITUTE(rate_USMCA&amp;""," "," "))))=IF(UPPER(TRIM(CLEAN(SUBSTITUTE(Items!F37&amp;""," "," "))))="Y","Y","N"))&gt;0)*((1+(UPPER(TRIM(CLEAN(SUBSTITUTE(rate_Group&amp;""," "," "))))&lt;&gt;"")+2*(UPPER(TRIM(CLEAN(SUBSTITUTE(rate_USMCA&amp;""," "," "))))&lt;&gt;"")+4*(UPPER(TRIM(CLEAN(SUBSTITUTE(rate_COO&amp;""," "," "))))&lt;&gt;""))*100+ROW(rate_Rate)-4))))</f>
        <v/>
      </c>
      <c r="AP37" s="13">
        <f>IF($AO37=0,0,SUMPRODUCT(ISNUMBER(rate_Rate)*((UPPER(TRIM(CLEAN(SUBSTITUTE(rate_Group&amp;""," "," "))))="")+(UPPER(TRIM(CLEAN(SUBSTITUTE(rate_Group&amp;""," "," "))))=$N37)&gt;0)*((UPPER(TRIM(CLEAN(SUBSTITUTE(rate_COO&amp;""," "," "))))="")+(UPPER(TRIM(CLEAN(SUBSTITUTE(rate_COO&amp;""," "," "))))=$E37)&gt;0)*((UPPER(TRIM(CLEAN(SUBSTITUTE(rate_USMCA&amp;""," "," "))))="")+(UPPER(TRIM(CLEAN(SUBSTITUTE(rate_USMCA&amp;""," "," "))))=IF(UPPER(TRIM(CLEAN(SUBSTITUTE(Items!F37&amp;""," "," "))))="Y","Y","N"))&gt;0)*((1+(UPPER(TRIM(CLEAN(SUBSTITUTE(rate_Group&amp;""," "," "))))&lt;&gt;"")+2*(UPPER(TRIM(CLEAN(SUBSTITUTE(rate_USMCA&amp;""," "," "))))&lt;&gt;"")+4*(UPPER(TRIM(CLEAN(SUBSTITUTE(rate_COO&amp;""," "," "))))&lt;&gt;""))=INT($AO37/100))))</f>
        <v/>
      </c>
      <c r="AQ37" s="13">
        <f>IF($A37="",0,IFERROR(MATCH($AL37,det_Key,0),0))</f>
        <v/>
      </c>
    </row>
    <row r="38">
      <c r="A38" s="10">
        <f>IF(TRIM(CLEAN(SUBSTITUTE(Items!A38&amp;""," "," ")))="","",TRIM(CLEAN(SUBSTITUTE(Items!A38&amp;""," "," "))))</f>
        <v/>
      </c>
      <c r="B38" s="10">
        <f>IF($A38="","",Items!B38&amp;"")</f>
        <v/>
      </c>
      <c r="C38" s="10">
        <f>IF($A38="","",SUBSTITUTE(SUBSTITUTE(SUBSTITUTE(SUBSTITUTE(CLEAN(Items!D38&amp;"")," ",""),".","")," ",""),"-",""))</f>
        <v/>
      </c>
      <c r="D38" s="10">
        <f>IF($A38="","",LEFT($C38,2))</f>
        <v/>
      </c>
      <c r="E38" s="10">
        <f>IF($A38="","",UPPER(TRIM(CLEAN(SUBSTITUTE(Items!E38&amp;""," "," ")))))</f>
        <v/>
      </c>
      <c r="F38" s="10">
        <f>IF($A38="","",IF(UPPER(TRIM(CLEAN(SUBSTITUTE(Items!C38&amp;""," "," "))))=UPPER(TRIM(CLEAN(SUBSTITUTE(act_Country&amp;""," "," ")))),"Y","N"))</f>
        <v/>
      </c>
      <c r="G38" s="10">
        <f>IF($A38="","",IF($AM38&gt;0,"Y","N"))</f>
        <v/>
      </c>
      <c r="H38" s="10">
        <f>IF($A38="","",IF(SUMPRODUCT((excl_HTS&lt;&gt;"")*(LEFT($C38,LEN(excl_HTS))=excl_HTS))&gt;0,"Y","N"))</f>
        <v/>
      </c>
      <c r="I38" s="10">
        <f>IF($A38="","",IF($E38="","N",IF(SUMPRODUCT(--(UPPER(TRIM(CLEAN(SUBSTITUTE(scope_COO&amp;""," "," "))))=$E38))&gt;0,"Y","N")))</f>
        <v/>
      </c>
      <c r="J38" s="10">
        <f>IF($A38="","",IF(AND(UPPER(TRIM(CLEAN(SUBSTITUTE(act_USMCAExempt&amp;""," "," "))))="Y",UPPER(TRIM(CLEAN(SUBSTITUTE(Items!F38&amp;""," "," "))))="Y"),"Y","N"))</f>
        <v/>
      </c>
      <c r="K38" s="10">
        <f>IF($A38="","",IF($AQ38=0,"",UPPER(TRIM(CLEAN(SUBSTITUTE(INDEX(det_Status,$AQ38)&amp;""," "," "))))))</f>
        <v/>
      </c>
      <c r="L38" s="10">
        <f>IF($A38="","",IF($F38="N","N",IF($K38="IN","Y",IF($K38="OUT","N",IF(AND($G38="Y",$H38="N",$I38="Y",$J38="N"),"Y","N")))))</f>
        <v/>
      </c>
      <c r="M38" s="10">
        <f>IF($A38="","",IF($F38="N","Out: different import country",IF($K38="IN","In: Research determination",IF($K38="OUT","Out: Research determination",IF($G38="N","Out: HTS not on scope list",IF($H38="Y","Out: HTS on exclusion list",IF($I38="N","Out: origin not on scope list",IF($J38="Y","Out: USMCA-qualifying, exempt","In: matches scope rules"))))))))</f>
        <v/>
      </c>
      <c r="N38" s="10">
        <f>IF(OR($A38="",$AM38=0),"",UPPER(TRIM(CLEAN(SUBSTITUTE(INDEX(scope_Group,MOD($AM38,1000))&amp;""," "," ")))))</f>
        <v/>
      </c>
      <c r="O38" s="10">
        <f>IF($L38&lt;&gt;"Y","",IF($AO38=0,"Default (B15)",UPPER(TRIM(CLEAN(SUBSTITUTE(INDEX(rate_ID,MOD($AO38,100))&amp;""," "," "))))))</f>
        <v/>
      </c>
      <c r="P38" s="10">
        <f>IF($L38&lt;&gt;"Y","",IF($AO38=0,IF(UPPER(TRIM(CLEAN(SUBSTITUTE(act_DefaultBase&amp;""," "," "))))="PART","PART","FULL"),IF(UPPER(TRIM(CLEAN(SUBSTITUTE(INDEX(rate_Base,MOD($AO38,100))&amp;""," "," "))))="PART","PART","FULL")))</f>
        <v/>
      </c>
      <c r="Q38" s="17">
        <f>IF($A38="","",N(Items!J38))</f>
        <v/>
      </c>
      <c r="R38" s="17">
        <f>IF($A38="","",IF($L38&lt;&gt;"Y",0,IF($AO38=0,N(act_Rate),N(INDEX(rate_Rate,MOD($AO38,100))))))</f>
        <v/>
      </c>
      <c r="S38" s="17">
        <f>IF($A38="","",IF($L38&lt;&gt;"Y",0,IF($AO38=0,IF(UPPER(TRIM(CLEAN(SUBSTITUTE(act_RateType&amp;""," "," "))))="REPLACE",N(act_PriorRate),0),IF(ISNUMBER(INDEX(rate_Prior,MOD($AO38,100))),INDEX(rate_Prior,MOD($AO38,100)),IF(UPPER(TRIM(CLEAN(SUBSTITUTE(act_RateType&amp;""," "," "))))="REPLACE",N(act_PriorRate),0)))))</f>
        <v/>
      </c>
      <c r="T38" s="17">
        <f>IF($A38="","",IF(AND($L38="Y",$P38="PART",ISNUMBER(Items!M38)),Items!M38,1))</f>
        <v/>
      </c>
      <c r="U38" s="17">
        <f>IF($A38="","",IF($L38&lt;&gt;"Y",0,IF($AQ38&gt;0,IF(ISNUMBER(INDEX(det_Displaced,$AQ38)),INDEX(det_Displaced,$AQ38),IF($AO38=0,0,N(INDEX(rate_Displaced,MOD($AO38,100))))),IF($AO38=0,0,N(INDEX(rate_Displaced,MOD($AO38,100)))))))</f>
        <v/>
      </c>
      <c r="V38" s="17">
        <f>IF($A38="","",IF($L38="Y",$Q38+$T38*($R38-$S38)-$U38,$Q38))</f>
        <v/>
      </c>
      <c r="W38" s="18">
        <f>IF($A38="","",N(Items!H38)*$Q38)</f>
        <v/>
      </c>
      <c r="X38" s="18">
        <f>IF($A38="","",N(Items!H38)*$V38)</f>
        <v/>
      </c>
      <c r="Y38" s="18">
        <f>IF($A38="","",$X38-$W38)</f>
        <v/>
      </c>
      <c r="Z38" s="18">
        <f>IF($A38="","",N(Items!K38)+$Y38)</f>
        <v/>
      </c>
      <c r="AA38" s="17">
        <f>IF($A38="","",IF(N(Items!L38)=0,"",(N(Items!L38)-N(Items!K38))/N(Items!L38)))</f>
        <v/>
      </c>
      <c r="AB38" s="17">
        <f>IF($A38="","",IF(N(Items!L38)=0,"",(N(Items!L38)-$Z38)/N(Items!L38)))</f>
        <v/>
      </c>
      <c r="AC38" s="17">
        <f>IF(OR($AA38="",$AB38=""),"",$AB38-$AA38)</f>
        <v/>
      </c>
      <c r="AD38" s="13">
        <f>IF($A38="","",N(Items!I38))</f>
        <v/>
      </c>
      <c r="AE38" s="19">
        <f>IF($A38="","",$Y38*$AD38)</f>
        <v/>
      </c>
      <c r="AF38" s="10">
        <f>IF($A38="","",IF(N(Items!L38)&gt;0,"Y","N"))</f>
        <v/>
      </c>
      <c r="AG38" s="19">
        <f>IF($A38="","",IF($AF38="Y",N(Items!L38)*$AD38,0))</f>
        <v/>
      </c>
      <c r="AH38" s="19">
        <f>IF($A38="","",IF($AF38="Y",(N(Items!L38)-N(Items!K38))*$AD38,0))</f>
        <v/>
      </c>
      <c r="AI38" s="19">
        <f>IF($A38="","",IF($AF38="Y",$AH38-$AE38,0))</f>
        <v/>
      </c>
      <c r="AJ38" s="10">
        <f>IF($A38="","",IF(COUNTIF($AL$5:$AL$254,$AL38)&gt;1,"CHECK: duplicate item and import country",IF(TRIM(CLEAN(SUBSTITUTE(Items!C38&amp;""," "," ")))="","CHECK: import country missing",IF(AND(UPPER(TRIM(CLEAN(SUBSTITUTE(Items!C38&amp;""," "," "))))&lt;&gt;"US",UPPER(TRIM(CLEAN(SUBSTITUTE(Items!C38&amp;""," "," "))))&lt;&gt;"CA",UPPER(TRIM(CLEAN(SUBSTITUTE(Items!C38&amp;""," "," "))))&lt;&gt;"MX"),"CHECK: import country must be US, CA or MX",IF(NOT(AND(LEN($C38)=10,IFERROR(TEXT(VALUE($C38),REPT("0",LEN($C38)))=$C38,FALSE))),"CHECK: HTS must be 10 digits",IF(LEN($E38)&lt;&gt;2,"CHECK: origin code missing or not 2 letters",IF(TRIM(CLEAN(SUBSTITUTE(Items!G38&amp;""," "," ")))="","CHECK: unit of measure missing",IF(OR(Items!H38="",Items!J38="",Items!K38=""),"CHECK: value, rate or cost missing",IF(OR(NOT(ISNUMBER(Items!H38)),NOT(ISNUMBER(Items!J38)),NOT(ISNUMBER(Items!K38)),AND(Items!I38&lt;&gt;"",NOT(ISNUMBER(Items!I38))),AND(Items!L38&lt;&gt;"",NOT(ISNUMBER(Items!L38))),AND(Items!M38&lt;&gt;"",NOT(ISNUMBER(Items!M38)))),"CHECK: text in a number column",IF(AND(ISNUMBER(Items!M38),OR(N(Items!M38)&lt;0,N(Items!M38)&gt;1)),"CHECK: dutiable share must be 0% to 100%",IF(AND(UPPER(TRIM(CLEAN(SUBSTITUTE(Items!F38&amp;""," "," "))))&lt;&gt;"",UPPER(TRIM(CLEAN(SUBSTITUTE(Items!F38&amp;""," "," "))))&lt;&gt;"Y",UPPER(TRIM(CLEAN(SUBSTITUTE(Items!F38&amp;""," "," "))))&lt;&gt;"N"),"CHECK: USMCA flag must be Y, N or blank",IF(AND(UPPER(TRIM(CLEAN(SUBSTITUTE(Items!F38&amp;""," "," "))))="Y",$E38&lt;&gt;"US",$E38&lt;&gt;"CA",$E38&lt;&gt;"MX"),"CHECK: USMCA flag on an origin other than US, CA or MX",IF(AND($L38="Y",$AO38=0,NOT(ISNUMBER(act_Rate))),"CHECK: in scope but no rate (add a rate line or B15)",IF(AND($L38="Y",UPPER(TRIM(CLEAN(SUBSTITUTE(act_RateType&amp;""," "," "))))="REPLACE",NOT(ISNUMBER(act_PriorRate)),IF($AO38=0,TRUE,NOT(ISNUMBER(INDEX(rate_Prior,MOD($AO38,100)))))),"CHECK: REPLACE but no earlier rate (B17 or the rate line's AD)",IF(AND($L38="Y",$AP38&gt;1),"CHECK: two rate lines match equally",IF(AND($L38="Y",$AN38&gt;1),"CHECK: HTS prefix listed twice on the scope list",IF(AND($L38="Y",$P38="PART",NOT(ISNUMBER(Items!M38))),"CHECK: dutiable share missing (PART base)",IF(AND($L38="Y",$P38="FULL",ISNUMBER(Items!M38),N(Items!M38)&lt;&gt;1),"CHECK: dutiable share entered, but the rate taxes the full value",IF(AND($L38="Y",$Q38+0.0000001&lt;$T38*$S38+$U38),"CHECK: current rate is below the duty being replaced or displaced",IF(AND($L38="Y",$AD38=0),"NOTE: in scope, no quantity",IF(AND($L38="Y",$AF38="N"),"NOTE: in scope, no sell price (left out of margin %)",IF(AND($L38="Y",N(Items!H38)&gt;N(Items!K38)),"NOTE: customs value above standard cost (check unit of measure)",IF(AND($L38="Y",$Q38&gt;1),"NOTE: current rate above 100% (check it was entered as a percentage)","OK")))))))))))))))))))))))</f>
        <v/>
      </c>
      <c r="AK38" s="20">
        <f>IF($A38="","",IF(AND($L38="Y",$AE38&lt;&gt;0),ABS($AE38)+ROW()/1000000000,""))</f>
        <v/>
      </c>
      <c r="AL38" s="10">
        <f>IF($A38="","",UPPER($A38)&amp;"/"&amp;UPPER(TRIM(CLEAN(SUBSTITUTE(Items!C38&amp;""," "," ")))))</f>
        <v/>
      </c>
      <c r="AM38" s="13">
        <f>IF($A38="",0,SUMPRODUCT(MAX((scope_HTS&lt;&gt;"")*(LEFT($C38,LEN(scope_HTS))=scope_HTS)*(LEN(scope_HTS)*1000+ROW(scope_HTS)-4))))</f>
        <v/>
      </c>
      <c r="AN38" s="13">
        <f>IF($AM38=0,0,SUMPRODUCT((scope_HTS&lt;&gt;"")*(LEFT($C38,LEN(scope_HTS))=scope_HTS)*(LEN(scope_HTS)=INT($AM38/1000))))</f>
        <v/>
      </c>
      <c r="AO38" s="13">
        <f>IF($L38&lt;&gt;"Y",0,SUMPRODUCT(MAX(ISNUMBER(rate_Rate)*((UPPER(TRIM(CLEAN(SUBSTITUTE(rate_Group&amp;""," "," "))))="")+(UPPER(TRIM(CLEAN(SUBSTITUTE(rate_Group&amp;""," "," "))))=$N38)&gt;0)*((UPPER(TRIM(CLEAN(SUBSTITUTE(rate_COO&amp;""," "," "))))="")+(UPPER(TRIM(CLEAN(SUBSTITUTE(rate_COO&amp;""," "," "))))=$E38)&gt;0)*((UPPER(TRIM(CLEAN(SUBSTITUTE(rate_USMCA&amp;""," "," "))))="")+(UPPER(TRIM(CLEAN(SUBSTITUTE(rate_USMCA&amp;""," "," "))))=IF(UPPER(TRIM(CLEAN(SUBSTITUTE(Items!F38&amp;""," "," "))))="Y","Y","N"))&gt;0)*((1+(UPPER(TRIM(CLEAN(SUBSTITUTE(rate_Group&amp;""," "," "))))&lt;&gt;"")+2*(UPPER(TRIM(CLEAN(SUBSTITUTE(rate_USMCA&amp;""," "," "))))&lt;&gt;"")+4*(UPPER(TRIM(CLEAN(SUBSTITUTE(rate_COO&amp;""," "," "))))&lt;&gt;""))*100+ROW(rate_Rate)-4))))</f>
        <v/>
      </c>
      <c r="AP38" s="13">
        <f>IF($AO38=0,0,SUMPRODUCT(ISNUMBER(rate_Rate)*((UPPER(TRIM(CLEAN(SUBSTITUTE(rate_Group&amp;""," "," "))))="")+(UPPER(TRIM(CLEAN(SUBSTITUTE(rate_Group&amp;""," "," "))))=$N38)&gt;0)*((UPPER(TRIM(CLEAN(SUBSTITUTE(rate_COO&amp;""," "," "))))="")+(UPPER(TRIM(CLEAN(SUBSTITUTE(rate_COO&amp;""," "," "))))=$E38)&gt;0)*((UPPER(TRIM(CLEAN(SUBSTITUTE(rate_USMCA&amp;""," "," "))))="")+(UPPER(TRIM(CLEAN(SUBSTITUTE(rate_USMCA&amp;""," "," "))))=IF(UPPER(TRIM(CLEAN(SUBSTITUTE(Items!F38&amp;""," "," "))))="Y","Y","N"))&gt;0)*((1+(UPPER(TRIM(CLEAN(SUBSTITUTE(rate_Group&amp;""," "," "))))&lt;&gt;"")+2*(UPPER(TRIM(CLEAN(SUBSTITUTE(rate_USMCA&amp;""," "," "))))&lt;&gt;"")+4*(UPPER(TRIM(CLEAN(SUBSTITUTE(rate_COO&amp;""," "," "))))&lt;&gt;""))=INT($AO38/100))))</f>
        <v/>
      </c>
      <c r="AQ38" s="13">
        <f>IF($A38="",0,IFERROR(MATCH($AL38,det_Key,0),0))</f>
        <v/>
      </c>
    </row>
    <row r="39">
      <c r="A39" s="10">
        <f>IF(TRIM(CLEAN(SUBSTITUTE(Items!A39&amp;""," "," ")))="","",TRIM(CLEAN(SUBSTITUTE(Items!A39&amp;""," "," "))))</f>
        <v/>
      </c>
      <c r="B39" s="10">
        <f>IF($A39="","",Items!B39&amp;"")</f>
        <v/>
      </c>
      <c r="C39" s="10">
        <f>IF($A39="","",SUBSTITUTE(SUBSTITUTE(SUBSTITUTE(SUBSTITUTE(CLEAN(Items!D39&amp;"")," ",""),".","")," ",""),"-",""))</f>
        <v/>
      </c>
      <c r="D39" s="10">
        <f>IF($A39="","",LEFT($C39,2))</f>
        <v/>
      </c>
      <c r="E39" s="10">
        <f>IF($A39="","",UPPER(TRIM(CLEAN(SUBSTITUTE(Items!E39&amp;""," "," ")))))</f>
        <v/>
      </c>
      <c r="F39" s="10">
        <f>IF($A39="","",IF(UPPER(TRIM(CLEAN(SUBSTITUTE(Items!C39&amp;""," "," "))))=UPPER(TRIM(CLEAN(SUBSTITUTE(act_Country&amp;""," "," ")))),"Y","N"))</f>
        <v/>
      </c>
      <c r="G39" s="10">
        <f>IF($A39="","",IF($AM39&gt;0,"Y","N"))</f>
        <v/>
      </c>
      <c r="H39" s="10">
        <f>IF($A39="","",IF(SUMPRODUCT((excl_HTS&lt;&gt;"")*(LEFT($C39,LEN(excl_HTS))=excl_HTS))&gt;0,"Y","N"))</f>
        <v/>
      </c>
      <c r="I39" s="10">
        <f>IF($A39="","",IF($E39="","N",IF(SUMPRODUCT(--(UPPER(TRIM(CLEAN(SUBSTITUTE(scope_COO&amp;""," "," "))))=$E39))&gt;0,"Y","N")))</f>
        <v/>
      </c>
      <c r="J39" s="10">
        <f>IF($A39="","",IF(AND(UPPER(TRIM(CLEAN(SUBSTITUTE(act_USMCAExempt&amp;""," "," "))))="Y",UPPER(TRIM(CLEAN(SUBSTITUTE(Items!F39&amp;""," "," "))))="Y"),"Y","N"))</f>
        <v/>
      </c>
      <c r="K39" s="10">
        <f>IF($A39="","",IF($AQ39=0,"",UPPER(TRIM(CLEAN(SUBSTITUTE(INDEX(det_Status,$AQ39)&amp;""," "," "))))))</f>
        <v/>
      </c>
      <c r="L39" s="10">
        <f>IF($A39="","",IF($F39="N","N",IF($K39="IN","Y",IF($K39="OUT","N",IF(AND($G39="Y",$H39="N",$I39="Y",$J39="N"),"Y","N")))))</f>
        <v/>
      </c>
      <c r="M39" s="10">
        <f>IF($A39="","",IF($F39="N","Out: different import country",IF($K39="IN","In: Research determination",IF($K39="OUT","Out: Research determination",IF($G39="N","Out: HTS not on scope list",IF($H39="Y","Out: HTS on exclusion list",IF($I39="N","Out: origin not on scope list",IF($J39="Y","Out: USMCA-qualifying, exempt","In: matches scope rules"))))))))</f>
        <v/>
      </c>
      <c r="N39" s="10">
        <f>IF(OR($A39="",$AM39=0),"",UPPER(TRIM(CLEAN(SUBSTITUTE(INDEX(scope_Group,MOD($AM39,1000))&amp;""," "," ")))))</f>
        <v/>
      </c>
      <c r="O39" s="10">
        <f>IF($L39&lt;&gt;"Y","",IF($AO39=0,"Default (B15)",UPPER(TRIM(CLEAN(SUBSTITUTE(INDEX(rate_ID,MOD($AO39,100))&amp;""," "," "))))))</f>
        <v/>
      </c>
      <c r="P39" s="10">
        <f>IF($L39&lt;&gt;"Y","",IF($AO39=0,IF(UPPER(TRIM(CLEAN(SUBSTITUTE(act_DefaultBase&amp;""," "," "))))="PART","PART","FULL"),IF(UPPER(TRIM(CLEAN(SUBSTITUTE(INDEX(rate_Base,MOD($AO39,100))&amp;""," "," "))))="PART","PART","FULL")))</f>
        <v/>
      </c>
      <c r="Q39" s="17">
        <f>IF($A39="","",N(Items!J39))</f>
        <v/>
      </c>
      <c r="R39" s="17">
        <f>IF($A39="","",IF($L39&lt;&gt;"Y",0,IF($AO39=0,N(act_Rate),N(INDEX(rate_Rate,MOD($AO39,100))))))</f>
        <v/>
      </c>
      <c r="S39" s="17">
        <f>IF($A39="","",IF($L39&lt;&gt;"Y",0,IF($AO39=0,IF(UPPER(TRIM(CLEAN(SUBSTITUTE(act_RateType&amp;""," "," "))))="REPLACE",N(act_PriorRate),0),IF(ISNUMBER(INDEX(rate_Prior,MOD($AO39,100))),INDEX(rate_Prior,MOD($AO39,100)),IF(UPPER(TRIM(CLEAN(SUBSTITUTE(act_RateType&amp;""," "," "))))="REPLACE",N(act_PriorRate),0)))))</f>
        <v/>
      </c>
      <c r="T39" s="17">
        <f>IF($A39="","",IF(AND($L39="Y",$P39="PART",ISNUMBER(Items!M39)),Items!M39,1))</f>
        <v/>
      </c>
      <c r="U39" s="17">
        <f>IF($A39="","",IF($L39&lt;&gt;"Y",0,IF($AQ39&gt;0,IF(ISNUMBER(INDEX(det_Displaced,$AQ39)),INDEX(det_Displaced,$AQ39),IF($AO39=0,0,N(INDEX(rate_Displaced,MOD($AO39,100))))),IF($AO39=0,0,N(INDEX(rate_Displaced,MOD($AO39,100)))))))</f>
        <v/>
      </c>
      <c r="V39" s="17">
        <f>IF($A39="","",IF($L39="Y",$Q39+$T39*($R39-$S39)-$U39,$Q39))</f>
        <v/>
      </c>
      <c r="W39" s="18">
        <f>IF($A39="","",N(Items!H39)*$Q39)</f>
        <v/>
      </c>
      <c r="X39" s="18">
        <f>IF($A39="","",N(Items!H39)*$V39)</f>
        <v/>
      </c>
      <c r="Y39" s="18">
        <f>IF($A39="","",$X39-$W39)</f>
        <v/>
      </c>
      <c r="Z39" s="18">
        <f>IF($A39="","",N(Items!K39)+$Y39)</f>
        <v/>
      </c>
      <c r="AA39" s="17">
        <f>IF($A39="","",IF(N(Items!L39)=0,"",(N(Items!L39)-N(Items!K39))/N(Items!L39)))</f>
        <v/>
      </c>
      <c r="AB39" s="17">
        <f>IF($A39="","",IF(N(Items!L39)=0,"",(N(Items!L39)-$Z39)/N(Items!L39)))</f>
        <v/>
      </c>
      <c r="AC39" s="17">
        <f>IF(OR($AA39="",$AB39=""),"",$AB39-$AA39)</f>
        <v/>
      </c>
      <c r="AD39" s="13">
        <f>IF($A39="","",N(Items!I39))</f>
        <v/>
      </c>
      <c r="AE39" s="19">
        <f>IF($A39="","",$Y39*$AD39)</f>
        <v/>
      </c>
      <c r="AF39" s="10">
        <f>IF($A39="","",IF(N(Items!L39)&gt;0,"Y","N"))</f>
        <v/>
      </c>
      <c r="AG39" s="19">
        <f>IF($A39="","",IF($AF39="Y",N(Items!L39)*$AD39,0))</f>
        <v/>
      </c>
      <c r="AH39" s="19">
        <f>IF($A39="","",IF($AF39="Y",(N(Items!L39)-N(Items!K39))*$AD39,0))</f>
        <v/>
      </c>
      <c r="AI39" s="19">
        <f>IF($A39="","",IF($AF39="Y",$AH39-$AE39,0))</f>
        <v/>
      </c>
      <c r="AJ39" s="10">
        <f>IF($A39="","",IF(COUNTIF($AL$5:$AL$254,$AL39)&gt;1,"CHECK: duplicate item and import country",IF(TRIM(CLEAN(SUBSTITUTE(Items!C39&amp;""," "," ")))="","CHECK: import country missing",IF(AND(UPPER(TRIM(CLEAN(SUBSTITUTE(Items!C39&amp;""," "," "))))&lt;&gt;"US",UPPER(TRIM(CLEAN(SUBSTITUTE(Items!C39&amp;""," "," "))))&lt;&gt;"CA",UPPER(TRIM(CLEAN(SUBSTITUTE(Items!C39&amp;""," "," "))))&lt;&gt;"MX"),"CHECK: import country must be US, CA or MX",IF(NOT(AND(LEN($C39)=10,IFERROR(TEXT(VALUE($C39),REPT("0",LEN($C39)))=$C39,FALSE))),"CHECK: HTS must be 10 digits",IF(LEN($E39)&lt;&gt;2,"CHECK: origin code missing or not 2 letters",IF(TRIM(CLEAN(SUBSTITUTE(Items!G39&amp;""," "," ")))="","CHECK: unit of measure missing",IF(OR(Items!H39="",Items!J39="",Items!K39=""),"CHECK: value, rate or cost missing",IF(OR(NOT(ISNUMBER(Items!H39)),NOT(ISNUMBER(Items!J39)),NOT(ISNUMBER(Items!K39)),AND(Items!I39&lt;&gt;"",NOT(ISNUMBER(Items!I39))),AND(Items!L39&lt;&gt;"",NOT(ISNUMBER(Items!L39))),AND(Items!M39&lt;&gt;"",NOT(ISNUMBER(Items!M39)))),"CHECK: text in a number column",IF(AND(ISNUMBER(Items!M39),OR(N(Items!M39)&lt;0,N(Items!M39)&gt;1)),"CHECK: dutiable share must be 0% to 100%",IF(AND(UPPER(TRIM(CLEAN(SUBSTITUTE(Items!F39&amp;""," "," "))))&lt;&gt;"",UPPER(TRIM(CLEAN(SUBSTITUTE(Items!F39&amp;""," "," "))))&lt;&gt;"Y",UPPER(TRIM(CLEAN(SUBSTITUTE(Items!F39&amp;""," "," "))))&lt;&gt;"N"),"CHECK: USMCA flag must be Y, N or blank",IF(AND(UPPER(TRIM(CLEAN(SUBSTITUTE(Items!F39&amp;""," "," "))))="Y",$E39&lt;&gt;"US",$E39&lt;&gt;"CA",$E39&lt;&gt;"MX"),"CHECK: USMCA flag on an origin other than US, CA or MX",IF(AND($L39="Y",$AO39=0,NOT(ISNUMBER(act_Rate))),"CHECK: in scope but no rate (add a rate line or B15)",IF(AND($L39="Y",UPPER(TRIM(CLEAN(SUBSTITUTE(act_RateType&amp;""," "," "))))="REPLACE",NOT(ISNUMBER(act_PriorRate)),IF($AO39=0,TRUE,NOT(ISNUMBER(INDEX(rate_Prior,MOD($AO39,100)))))),"CHECK: REPLACE but no earlier rate (B17 or the rate line's AD)",IF(AND($L39="Y",$AP39&gt;1),"CHECK: two rate lines match equally",IF(AND($L39="Y",$AN39&gt;1),"CHECK: HTS prefix listed twice on the scope list",IF(AND($L39="Y",$P39="PART",NOT(ISNUMBER(Items!M39))),"CHECK: dutiable share missing (PART base)",IF(AND($L39="Y",$P39="FULL",ISNUMBER(Items!M39),N(Items!M39)&lt;&gt;1),"CHECK: dutiable share entered, but the rate taxes the full value",IF(AND($L39="Y",$Q39+0.0000001&lt;$T39*$S39+$U39),"CHECK: current rate is below the duty being replaced or displaced",IF(AND($L39="Y",$AD39=0),"NOTE: in scope, no quantity",IF(AND($L39="Y",$AF39="N"),"NOTE: in scope, no sell price (left out of margin %)",IF(AND($L39="Y",N(Items!H39)&gt;N(Items!K39)),"NOTE: customs value above standard cost (check unit of measure)",IF(AND($L39="Y",$Q39&gt;1),"NOTE: current rate above 100% (check it was entered as a percentage)","OK")))))))))))))))))))))))</f>
        <v/>
      </c>
      <c r="AK39" s="20">
        <f>IF($A39="","",IF(AND($L39="Y",$AE39&lt;&gt;0),ABS($AE39)+ROW()/1000000000,""))</f>
        <v/>
      </c>
      <c r="AL39" s="10">
        <f>IF($A39="","",UPPER($A39)&amp;"/"&amp;UPPER(TRIM(CLEAN(SUBSTITUTE(Items!C39&amp;""," "," ")))))</f>
        <v/>
      </c>
      <c r="AM39" s="13">
        <f>IF($A39="",0,SUMPRODUCT(MAX((scope_HTS&lt;&gt;"")*(LEFT($C39,LEN(scope_HTS))=scope_HTS)*(LEN(scope_HTS)*1000+ROW(scope_HTS)-4))))</f>
        <v/>
      </c>
      <c r="AN39" s="13">
        <f>IF($AM39=0,0,SUMPRODUCT((scope_HTS&lt;&gt;"")*(LEFT($C39,LEN(scope_HTS))=scope_HTS)*(LEN(scope_HTS)=INT($AM39/1000))))</f>
        <v/>
      </c>
      <c r="AO39" s="13">
        <f>IF($L39&lt;&gt;"Y",0,SUMPRODUCT(MAX(ISNUMBER(rate_Rate)*((UPPER(TRIM(CLEAN(SUBSTITUTE(rate_Group&amp;""," "," "))))="")+(UPPER(TRIM(CLEAN(SUBSTITUTE(rate_Group&amp;""," "," "))))=$N39)&gt;0)*((UPPER(TRIM(CLEAN(SUBSTITUTE(rate_COO&amp;""," "," "))))="")+(UPPER(TRIM(CLEAN(SUBSTITUTE(rate_COO&amp;""," "," "))))=$E39)&gt;0)*((UPPER(TRIM(CLEAN(SUBSTITUTE(rate_USMCA&amp;""," "," "))))="")+(UPPER(TRIM(CLEAN(SUBSTITUTE(rate_USMCA&amp;""," "," "))))=IF(UPPER(TRIM(CLEAN(SUBSTITUTE(Items!F39&amp;""," "," "))))="Y","Y","N"))&gt;0)*((1+(UPPER(TRIM(CLEAN(SUBSTITUTE(rate_Group&amp;""," "," "))))&lt;&gt;"")+2*(UPPER(TRIM(CLEAN(SUBSTITUTE(rate_USMCA&amp;""," "," "))))&lt;&gt;"")+4*(UPPER(TRIM(CLEAN(SUBSTITUTE(rate_COO&amp;""," "," "))))&lt;&gt;""))*100+ROW(rate_Rate)-4))))</f>
        <v/>
      </c>
      <c r="AP39" s="13">
        <f>IF($AO39=0,0,SUMPRODUCT(ISNUMBER(rate_Rate)*((UPPER(TRIM(CLEAN(SUBSTITUTE(rate_Group&amp;""," "," "))))="")+(UPPER(TRIM(CLEAN(SUBSTITUTE(rate_Group&amp;""," "," "))))=$N39)&gt;0)*((UPPER(TRIM(CLEAN(SUBSTITUTE(rate_COO&amp;""," "," "))))="")+(UPPER(TRIM(CLEAN(SUBSTITUTE(rate_COO&amp;""," "," "))))=$E39)&gt;0)*((UPPER(TRIM(CLEAN(SUBSTITUTE(rate_USMCA&amp;""," "," "))))="")+(UPPER(TRIM(CLEAN(SUBSTITUTE(rate_USMCA&amp;""," "," "))))=IF(UPPER(TRIM(CLEAN(SUBSTITUTE(Items!F39&amp;""," "," "))))="Y","Y","N"))&gt;0)*((1+(UPPER(TRIM(CLEAN(SUBSTITUTE(rate_Group&amp;""," "," "))))&lt;&gt;"")+2*(UPPER(TRIM(CLEAN(SUBSTITUTE(rate_USMCA&amp;""," "," "))))&lt;&gt;"")+4*(UPPER(TRIM(CLEAN(SUBSTITUTE(rate_COO&amp;""," "," "))))&lt;&gt;""))=INT($AO39/100))))</f>
        <v/>
      </c>
      <c r="AQ39" s="13">
        <f>IF($A39="",0,IFERROR(MATCH($AL39,det_Key,0),0))</f>
        <v/>
      </c>
    </row>
    <row r="40">
      <c r="A40" s="10">
        <f>IF(TRIM(CLEAN(SUBSTITUTE(Items!A40&amp;""," "," ")))="","",TRIM(CLEAN(SUBSTITUTE(Items!A40&amp;""," "," "))))</f>
        <v/>
      </c>
      <c r="B40" s="10">
        <f>IF($A40="","",Items!B40&amp;"")</f>
        <v/>
      </c>
      <c r="C40" s="10">
        <f>IF($A40="","",SUBSTITUTE(SUBSTITUTE(SUBSTITUTE(SUBSTITUTE(CLEAN(Items!D40&amp;"")," ",""),".","")," ",""),"-",""))</f>
        <v/>
      </c>
      <c r="D40" s="10">
        <f>IF($A40="","",LEFT($C40,2))</f>
        <v/>
      </c>
      <c r="E40" s="10">
        <f>IF($A40="","",UPPER(TRIM(CLEAN(SUBSTITUTE(Items!E40&amp;""," "," ")))))</f>
        <v/>
      </c>
      <c r="F40" s="10">
        <f>IF($A40="","",IF(UPPER(TRIM(CLEAN(SUBSTITUTE(Items!C40&amp;""," "," "))))=UPPER(TRIM(CLEAN(SUBSTITUTE(act_Country&amp;""," "," ")))),"Y","N"))</f>
        <v/>
      </c>
      <c r="G40" s="10">
        <f>IF($A40="","",IF($AM40&gt;0,"Y","N"))</f>
        <v/>
      </c>
      <c r="H40" s="10">
        <f>IF($A40="","",IF(SUMPRODUCT((excl_HTS&lt;&gt;"")*(LEFT($C40,LEN(excl_HTS))=excl_HTS))&gt;0,"Y","N"))</f>
        <v/>
      </c>
      <c r="I40" s="10">
        <f>IF($A40="","",IF($E40="","N",IF(SUMPRODUCT(--(UPPER(TRIM(CLEAN(SUBSTITUTE(scope_COO&amp;""," "," "))))=$E40))&gt;0,"Y","N")))</f>
        <v/>
      </c>
      <c r="J40" s="10">
        <f>IF($A40="","",IF(AND(UPPER(TRIM(CLEAN(SUBSTITUTE(act_USMCAExempt&amp;""," "," "))))="Y",UPPER(TRIM(CLEAN(SUBSTITUTE(Items!F40&amp;""," "," "))))="Y"),"Y","N"))</f>
        <v/>
      </c>
      <c r="K40" s="10">
        <f>IF($A40="","",IF($AQ40=0,"",UPPER(TRIM(CLEAN(SUBSTITUTE(INDEX(det_Status,$AQ40)&amp;""," "," "))))))</f>
        <v/>
      </c>
      <c r="L40" s="10">
        <f>IF($A40="","",IF($F40="N","N",IF($K40="IN","Y",IF($K40="OUT","N",IF(AND($G40="Y",$H40="N",$I40="Y",$J40="N"),"Y","N")))))</f>
        <v/>
      </c>
      <c r="M40" s="10">
        <f>IF($A40="","",IF($F40="N","Out: different import country",IF($K40="IN","In: Research determination",IF($K40="OUT","Out: Research determination",IF($G40="N","Out: HTS not on scope list",IF($H40="Y","Out: HTS on exclusion list",IF($I40="N","Out: origin not on scope list",IF($J40="Y","Out: USMCA-qualifying, exempt","In: matches scope rules"))))))))</f>
        <v/>
      </c>
      <c r="N40" s="10">
        <f>IF(OR($A40="",$AM40=0),"",UPPER(TRIM(CLEAN(SUBSTITUTE(INDEX(scope_Group,MOD($AM40,1000))&amp;""," "," ")))))</f>
        <v/>
      </c>
      <c r="O40" s="10">
        <f>IF($L40&lt;&gt;"Y","",IF($AO40=0,"Default (B15)",UPPER(TRIM(CLEAN(SUBSTITUTE(INDEX(rate_ID,MOD($AO40,100))&amp;""," "," "))))))</f>
        <v/>
      </c>
      <c r="P40" s="10">
        <f>IF($L40&lt;&gt;"Y","",IF($AO40=0,IF(UPPER(TRIM(CLEAN(SUBSTITUTE(act_DefaultBase&amp;""," "," "))))="PART","PART","FULL"),IF(UPPER(TRIM(CLEAN(SUBSTITUTE(INDEX(rate_Base,MOD($AO40,100))&amp;""," "," "))))="PART","PART","FULL")))</f>
        <v/>
      </c>
      <c r="Q40" s="17">
        <f>IF($A40="","",N(Items!J40))</f>
        <v/>
      </c>
      <c r="R40" s="17">
        <f>IF($A40="","",IF($L40&lt;&gt;"Y",0,IF($AO40=0,N(act_Rate),N(INDEX(rate_Rate,MOD($AO40,100))))))</f>
        <v/>
      </c>
      <c r="S40" s="17">
        <f>IF($A40="","",IF($L40&lt;&gt;"Y",0,IF($AO40=0,IF(UPPER(TRIM(CLEAN(SUBSTITUTE(act_RateType&amp;""," "," "))))="REPLACE",N(act_PriorRate),0),IF(ISNUMBER(INDEX(rate_Prior,MOD($AO40,100))),INDEX(rate_Prior,MOD($AO40,100)),IF(UPPER(TRIM(CLEAN(SUBSTITUTE(act_RateType&amp;""," "," "))))="REPLACE",N(act_PriorRate),0)))))</f>
        <v/>
      </c>
      <c r="T40" s="17">
        <f>IF($A40="","",IF(AND($L40="Y",$P40="PART",ISNUMBER(Items!M40)),Items!M40,1))</f>
        <v/>
      </c>
      <c r="U40" s="17">
        <f>IF($A40="","",IF($L40&lt;&gt;"Y",0,IF($AQ40&gt;0,IF(ISNUMBER(INDEX(det_Displaced,$AQ40)),INDEX(det_Displaced,$AQ40),IF($AO40=0,0,N(INDEX(rate_Displaced,MOD($AO40,100))))),IF($AO40=0,0,N(INDEX(rate_Displaced,MOD($AO40,100)))))))</f>
        <v/>
      </c>
      <c r="V40" s="17">
        <f>IF($A40="","",IF($L40="Y",$Q40+$T40*($R40-$S40)-$U40,$Q40))</f>
        <v/>
      </c>
      <c r="W40" s="18">
        <f>IF($A40="","",N(Items!H40)*$Q40)</f>
        <v/>
      </c>
      <c r="X40" s="18">
        <f>IF($A40="","",N(Items!H40)*$V40)</f>
        <v/>
      </c>
      <c r="Y40" s="18">
        <f>IF($A40="","",$X40-$W40)</f>
        <v/>
      </c>
      <c r="Z40" s="18">
        <f>IF($A40="","",N(Items!K40)+$Y40)</f>
        <v/>
      </c>
      <c r="AA40" s="17">
        <f>IF($A40="","",IF(N(Items!L40)=0,"",(N(Items!L40)-N(Items!K40))/N(Items!L40)))</f>
        <v/>
      </c>
      <c r="AB40" s="17">
        <f>IF($A40="","",IF(N(Items!L40)=0,"",(N(Items!L40)-$Z40)/N(Items!L40)))</f>
        <v/>
      </c>
      <c r="AC40" s="17">
        <f>IF(OR($AA40="",$AB40=""),"",$AB40-$AA40)</f>
        <v/>
      </c>
      <c r="AD40" s="13">
        <f>IF($A40="","",N(Items!I40))</f>
        <v/>
      </c>
      <c r="AE40" s="19">
        <f>IF($A40="","",$Y40*$AD40)</f>
        <v/>
      </c>
      <c r="AF40" s="10">
        <f>IF($A40="","",IF(N(Items!L40)&gt;0,"Y","N"))</f>
        <v/>
      </c>
      <c r="AG40" s="19">
        <f>IF($A40="","",IF($AF40="Y",N(Items!L40)*$AD40,0))</f>
        <v/>
      </c>
      <c r="AH40" s="19">
        <f>IF($A40="","",IF($AF40="Y",(N(Items!L40)-N(Items!K40))*$AD40,0))</f>
        <v/>
      </c>
      <c r="AI40" s="19">
        <f>IF($A40="","",IF($AF40="Y",$AH40-$AE40,0))</f>
        <v/>
      </c>
      <c r="AJ40" s="10">
        <f>IF($A40="","",IF(COUNTIF($AL$5:$AL$254,$AL40)&gt;1,"CHECK: duplicate item and import country",IF(TRIM(CLEAN(SUBSTITUTE(Items!C40&amp;""," "," ")))="","CHECK: import country missing",IF(AND(UPPER(TRIM(CLEAN(SUBSTITUTE(Items!C40&amp;""," "," "))))&lt;&gt;"US",UPPER(TRIM(CLEAN(SUBSTITUTE(Items!C40&amp;""," "," "))))&lt;&gt;"CA",UPPER(TRIM(CLEAN(SUBSTITUTE(Items!C40&amp;""," "," "))))&lt;&gt;"MX"),"CHECK: import country must be US, CA or MX",IF(NOT(AND(LEN($C40)=10,IFERROR(TEXT(VALUE($C40),REPT("0",LEN($C40)))=$C40,FALSE))),"CHECK: HTS must be 10 digits",IF(LEN($E40)&lt;&gt;2,"CHECK: origin code missing or not 2 letters",IF(TRIM(CLEAN(SUBSTITUTE(Items!G40&amp;""," "," ")))="","CHECK: unit of measure missing",IF(OR(Items!H40="",Items!J40="",Items!K40=""),"CHECK: value, rate or cost missing",IF(OR(NOT(ISNUMBER(Items!H40)),NOT(ISNUMBER(Items!J40)),NOT(ISNUMBER(Items!K40)),AND(Items!I40&lt;&gt;"",NOT(ISNUMBER(Items!I40))),AND(Items!L40&lt;&gt;"",NOT(ISNUMBER(Items!L40))),AND(Items!M40&lt;&gt;"",NOT(ISNUMBER(Items!M40)))),"CHECK: text in a number column",IF(AND(ISNUMBER(Items!M40),OR(N(Items!M40)&lt;0,N(Items!M40)&gt;1)),"CHECK: dutiable share must be 0% to 100%",IF(AND(UPPER(TRIM(CLEAN(SUBSTITUTE(Items!F40&amp;""," "," "))))&lt;&gt;"",UPPER(TRIM(CLEAN(SUBSTITUTE(Items!F40&amp;""," "," "))))&lt;&gt;"Y",UPPER(TRIM(CLEAN(SUBSTITUTE(Items!F40&amp;""," "," "))))&lt;&gt;"N"),"CHECK: USMCA flag must be Y, N or blank",IF(AND(UPPER(TRIM(CLEAN(SUBSTITUTE(Items!F40&amp;""," "," "))))="Y",$E40&lt;&gt;"US",$E40&lt;&gt;"CA",$E40&lt;&gt;"MX"),"CHECK: USMCA flag on an origin other than US, CA or MX",IF(AND($L40="Y",$AO40=0,NOT(ISNUMBER(act_Rate))),"CHECK: in scope but no rate (add a rate line or B15)",IF(AND($L40="Y",UPPER(TRIM(CLEAN(SUBSTITUTE(act_RateType&amp;""," "," "))))="REPLACE",NOT(ISNUMBER(act_PriorRate)),IF($AO40=0,TRUE,NOT(ISNUMBER(INDEX(rate_Prior,MOD($AO40,100)))))),"CHECK: REPLACE but no earlier rate (B17 or the rate line's AD)",IF(AND($L40="Y",$AP40&gt;1),"CHECK: two rate lines match equally",IF(AND($L40="Y",$AN40&gt;1),"CHECK: HTS prefix listed twice on the scope list",IF(AND($L40="Y",$P40="PART",NOT(ISNUMBER(Items!M40))),"CHECK: dutiable share missing (PART base)",IF(AND($L40="Y",$P40="FULL",ISNUMBER(Items!M40),N(Items!M40)&lt;&gt;1),"CHECK: dutiable share entered, but the rate taxes the full value",IF(AND($L40="Y",$Q40+0.0000001&lt;$T40*$S40+$U40),"CHECK: current rate is below the duty being replaced or displaced",IF(AND($L40="Y",$AD40=0),"NOTE: in scope, no quantity",IF(AND($L40="Y",$AF40="N"),"NOTE: in scope, no sell price (left out of margin %)",IF(AND($L40="Y",N(Items!H40)&gt;N(Items!K40)),"NOTE: customs value above standard cost (check unit of measure)",IF(AND($L40="Y",$Q40&gt;1),"NOTE: current rate above 100% (check it was entered as a percentage)","OK")))))))))))))))))))))))</f>
        <v/>
      </c>
      <c r="AK40" s="20">
        <f>IF($A40="","",IF(AND($L40="Y",$AE40&lt;&gt;0),ABS($AE40)+ROW()/1000000000,""))</f>
        <v/>
      </c>
      <c r="AL40" s="10">
        <f>IF($A40="","",UPPER($A40)&amp;"/"&amp;UPPER(TRIM(CLEAN(SUBSTITUTE(Items!C40&amp;""," "," ")))))</f>
        <v/>
      </c>
      <c r="AM40" s="13">
        <f>IF($A40="",0,SUMPRODUCT(MAX((scope_HTS&lt;&gt;"")*(LEFT($C40,LEN(scope_HTS))=scope_HTS)*(LEN(scope_HTS)*1000+ROW(scope_HTS)-4))))</f>
        <v/>
      </c>
      <c r="AN40" s="13">
        <f>IF($AM40=0,0,SUMPRODUCT((scope_HTS&lt;&gt;"")*(LEFT($C40,LEN(scope_HTS))=scope_HTS)*(LEN(scope_HTS)=INT($AM40/1000))))</f>
        <v/>
      </c>
      <c r="AO40" s="13">
        <f>IF($L40&lt;&gt;"Y",0,SUMPRODUCT(MAX(ISNUMBER(rate_Rate)*((UPPER(TRIM(CLEAN(SUBSTITUTE(rate_Group&amp;""," "," "))))="")+(UPPER(TRIM(CLEAN(SUBSTITUTE(rate_Group&amp;""," "," "))))=$N40)&gt;0)*((UPPER(TRIM(CLEAN(SUBSTITUTE(rate_COO&amp;""," "," "))))="")+(UPPER(TRIM(CLEAN(SUBSTITUTE(rate_COO&amp;""," "," "))))=$E40)&gt;0)*((UPPER(TRIM(CLEAN(SUBSTITUTE(rate_USMCA&amp;""," "," "))))="")+(UPPER(TRIM(CLEAN(SUBSTITUTE(rate_USMCA&amp;""," "," "))))=IF(UPPER(TRIM(CLEAN(SUBSTITUTE(Items!F40&amp;""," "," "))))="Y","Y","N"))&gt;0)*((1+(UPPER(TRIM(CLEAN(SUBSTITUTE(rate_Group&amp;""," "," "))))&lt;&gt;"")+2*(UPPER(TRIM(CLEAN(SUBSTITUTE(rate_USMCA&amp;""," "," "))))&lt;&gt;"")+4*(UPPER(TRIM(CLEAN(SUBSTITUTE(rate_COO&amp;""," "," "))))&lt;&gt;""))*100+ROW(rate_Rate)-4))))</f>
        <v/>
      </c>
      <c r="AP40" s="13">
        <f>IF($AO40=0,0,SUMPRODUCT(ISNUMBER(rate_Rate)*((UPPER(TRIM(CLEAN(SUBSTITUTE(rate_Group&amp;""," "," "))))="")+(UPPER(TRIM(CLEAN(SUBSTITUTE(rate_Group&amp;""," "," "))))=$N40)&gt;0)*((UPPER(TRIM(CLEAN(SUBSTITUTE(rate_COO&amp;""," "," "))))="")+(UPPER(TRIM(CLEAN(SUBSTITUTE(rate_COO&amp;""," "," "))))=$E40)&gt;0)*((UPPER(TRIM(CLEAN(SUBSTITUTE(rate_USMCA&amp;""," "," "))))="")+(UPPER(TRIM(CLEAN(SUBSTITUTE(rate_USMCA&amp;""," "," "))))=IF(UPPER(TRIM(CLEAN(SUBSTITUTE(Items!F40&amp;""," "," "))))="Y","Y","N"))&gt;0)*((1+(UPPER(TRIM(CLEAN(SUBSTITUTE(rate_Group&amp;""," "," "))))&lt;&gt;"")+2*(UPPER(TRIM(CLEAN(SUBSTITUTE(rate_USMCA&amp;""," "," "))))&lt;&gt;"")+4*(UPPER(TRIM(CLEAN(SUBSTITUTE(rate_COO&amp;""," "," "))))&lt;&gt;""))=INT($AO40/100))))</f>
        <v/>
      </c>
      <c r="AQ40" s="13">
        <f>IF($A40="",0,IFERROR(MATCH($AL40,det_Key,0),0))</f>
        <v/>
      </c>
    </row>
    <row r="41">
      <c r="A41" s="10">
        <f>IF(TRIM(CLEAN(SUBSTITUTE(Items!A41&amp;""," "," ")))="","",TRIM(CLEAN(SUBSTITUTE(Items!A41&amp;""," "," "))))</f>
        <v/>
      </c>
      <c r="B41" s="10">
        <f>IF($A41="","",Items!B41&amp;"")</f>
        <v/>
      </c>
      <c r="C41" s="10">
        <f>IF($A41="","",SUBSTITUTE(SUBSTITUTE(SUBSTITUTE(SUBSTITUTE(CLEAN(Items!D41&amp;"")," ",""),".","")," ",""),"-",""))</f>
        <v/>
      </c>
      <c r="D41" s="10">
        <f>IF($A41="","",LEFT($C41,2))</f>
        <v/>
      </c>
      <c r="E41" s="10">
        <f>IF($A41="","",UPPER(TRIM(CLEAN(SUBSTITUTE(Items!E41&amp;""," "," ")))))</f>
        <v/>
      </c>
      <c r="F41" s="10">
        <f>IF($A41="","",IF(UPPER(TRIM(CLEAN(SUBSTITUTE(Items!C41&amp;""," "," "))))=UPPER(TRIM(CLEAN(SUBSTITUTE(act_Country&amp;""," "," ")))),"Y","N"))</f>
        <v/>
      </c>
      <c r="G41" s="10">
        <f>IF($A41="","",IF($AM41&gt;0,"Y","N"))</f>
        <v/>
      </c>
      <c r="H41" s="10">
        <f>IF($A41="","",IF(SUMPRODUCT((excl_HTS&lt;&gt;"")*(LEFT($C41,LEN(excl_HTS))=excl_HTS))&gt;0,"Y","N"))</f>
        <v/>
      </c>
      <c r="I41" s="10">
        <f>IF($A41="","",IF($E41="","N",IF(SUMPRODUCT(--(UPPER(TRIM(CLEAN(SUBSTITUTE(scope_COO&amp;""," "," "))))=$E41))&gt;0,"Y","N")))</f>
        <v/>
      </c>
      <c r="J41" s="10">
        <f>IF($A41="","",IF(AND(UPPER(TRIM(CLEAN(SUBSTITUTE(act_USMCAExempt&amp;""," "," "))))="Y",UPPER(TRIM(CLEAN(SUBSTITUTE(Items!F41&amp;""," "," "))))="Y"),"Y","N"))</f>
        <v/>
      </c>
      <c r="K41" s="10">
        <f>IF($A41="","",IF($AQ41=0,"",UPPER(TRIM(CLEAN(SUBSTITUTE(INDEX(det_Status,$AQ41)&amp;""," "," "))))))</f>
        <v/>
      </c>
      <c r="L41" s="10">
        <f>IF($A41="","",IF($F41="N","N",IF($K41="IN","Y",IF($K41="OUT","N",IF(AND($G41="Y",$H41="N",$I41="Y",$J41="N"),"Y","N")))))</f>
        <v/>
      </c>
      <c r="M41" s="10">
        <f>IF($A41="","",IF($F41="N","Out: different import country",IF($K41="IN","In: Research determination",IF($K41="OUT","Out: Research determination",IF($G41="N","Out: HTS not on scope list",IF($H41="Y","Out: HTS on exclusion list",IF($I41="N","Out: origin not on scope list",IF($J41="Y","Out: USMCA-qualifying, exempt","In: matches scope rules"))))))))</f>
        <v/>
      </c>
      <c r="N41" s="10">
        <f>IF(OR($A41="",$AM41=0),"",UPPER(TRIM(CLEAN(SUBSTITUTE(INDEX(scope_Group,MOD($AM41,1000))&amp;""," "," ")))))</f>
        <v/>
      </c>
      <c r="O41" s="10">
        <f>IF($L41&lt;&gt;"Y","",IF($AO41=0,"Default (B15)",UPPER(TRIM(CLEAN(SUBSTITUTE(INDEX(rate_ID,MOD($AO41,100))&amp;""," "," "))))))</f>
        <v/>
      </c>
      <c r="P41" s="10">
        <f>IF($L41&lt;&gt;"Y","",IF($AO41=0,IF(UPPER(TRIM(CLEAN(SUBSTITUTE(act_DefaultBase&amp;""," "," "))))="PART","PART","FULL"),IF(UPPER(TRIM(CLEAN(SUBSTITUTE(INDEX(rate_Base,MOD($AO41,100))&amp;""," "," "))))="PART","PART","FULL")))</f>
        <v/>
      </c>
      <c r="Q41" s="17">
        <f>IF($A41="","",N(Items!J41))</f>
        <v/>
      </c>
      <c r="R41" s="17">
        <f>IF($A41="","",IF($L41&lt;&gt;"Y",0,IF($AO41=0,N(act_Rate),N(INDEX(rate_Rate,MOD($AO41,100))))))</f>
        <v/>
      </c>
      <c r="S41" s="17">
        <f>IF($A41="","",IF($L41&lt;&gt;"Y",0,IF($AO41=0,IF(UPPER(TRIM(CLEAN(SUBSTITUTE(act_RateType&amp;""," "," "))))="REPLACE",N(act_PriorRate),0),IF(ISNUMBER(INDEX(rate_Prior,MOD($AO41,100))),INDEX(rate_Prior,MOD($AO41,100)),IF(UPPER(TRIM(CLEAN(SUBSTITUTE(act_RateType&amp;""," "," "))))="REPLACE",N(act_PriorRate),0)))))</f>
        <v/>
      </c>
      <c r="T41" s="17">
        <f>IF($A41="","",IF(AND($L41="Y",$P41="PART",ISNUMBER(Items!M41)),Items!M41,1))</f>
        <v/>
      </c>
      <c r="U41" s="17">
        <f>IF($A41="","",IF($L41&lt;&gt;"Y",0,IF($AQ41&gt;0,IF(ISNUMBER(INDEX(det_Displaced,$AQ41)),INDEX(det_Displaced,$AQ41),IF($AO41=0,0,N(INDEX(rate_Displaced,MOD($AO41,100))))),IF($AO41=0,0,N(INDEX(rate_Displaced,MOD($AO41,100)))))))</f>
        <v/>
      </c>
      <c r="V41" s="17">
        <f>IF($A41="","",IF($L41="Y",$Q41+$T41*($R41-$S41)-$U41,$Q41))</f>
        <v/>
      </c>
      <c r="W41" s="18">
        <f>IF($A41="","",N(Items!H41)*$Q41)</f>
        <v/>
      </c>
      <c r="X41" s="18">
        <f>IF($A41="","",N(Items!H41)*$V41)</f>
        <v/>
      </c>
      <c r="Y41" s="18">
        <f>IF($A41="","",$X41-$W41)</f>
        <v/>
      </c>
      <c r="Z41" s="18">
        <f>IF($A41="","",N(Items!K41)+$Y41)</f>
        <v/>
      </c>
      <c r="AA41" s="17">
        <f>IF($A41="","",IF(N(Items!L41)=0,"",(N(Items!L41)-N(Items!K41))/N(Items!L41)))</f>
        <v/>
      </c>
      <c r="AB41" s="17">
        <f>IF($A41="","",IF(N(Items!L41)=0,"",(N(Items!L41)-$Z41)/N(Items!L41)))</f>
        <v/>
      </c>
      <c r="AC41" s="17">
        <f>IF(OR($AA41="",$AB41=""),"",$AB41-$AA41)</f>
        <v/>
      </c>
      <c r="AD41" s="13">
        <f>IF($A41="","",N(Items!I41))</f>
        <v/>
      </c>
      <c r="AE41" s="19">
        <f>IF($A41="","",$Y41*$AD41)</f>
        <v/>
      </c>
      <c r="AF41" s="10">
        <f>IF($A41="","",IF(N(Items!L41)&gt;0,"Y","N"))</f>
        <v/>
      </c>
      <c r="AG41" s="19">
        <f>IF($A41="","",IF($AF41="Y",N(Items!L41)*$AD41,0))</f>
        <v/>
      </c>
      <c r="AH41" s="19">
        <f>IF($A41="","",IF($AF41="Y",(N(Items!L41)-N(Items!K41))*$AD41,0))</f>
        <v/>
      </c>
      <c r="AI41" s="19">
        <f>IF($A41="","",IF($AF41="Y",$AH41-$AE41,0))</f>
        <v/>
      </c>
      <c r="AJ41" s="10">
        <f>IF($A41="","",IF(COUNTIF($AL$5:$AL$254,$AL41)&gt;1,"CHECK: duplicate item and import country",IF(TRIM(CLEAN(SUBSTITUTE(Items!C41&amp;""," "," ")))="","CHECK: import country missing",IF(AND(UPPER(TRIM(CLEAN(SUBSTITUTE(Items!C41&amp;""," "," "))))&lt;&gt;"US",UPPER(TRIM(CLEAN(SUBSTITUTE(Items!C41&amp;""," "," "))))&lt;&gt;"CA",UPPER(TRIM(CLEAN(SUBSTITUTE(Items!C41&amp;""," "," "))))&lt;&gt;"MX"),"CHECK: import country must be US, CA or MX",IF(NOT(AND(LEN($C41)=10,IFERROR(TEXT(VALUE($C41),REPT("0",LEN($C41)))=$C41,FALSE))),"CHECK: HTS must be 10 digits",IF(LEN($E41)&lt;&gt;2,"CHECK: origin code missing or not 2 letters",IF(TRIM(CLEAN(SUBSTITUTE(Items!G41&amp;""," "," ")))="","CHECK: unit of measure missing",IF(OR(Items!H41="",Items!J41="",Items!K41=""),"CHECK: value, rate or cost missing",IF(OR(NOT(ISNUMBER(Items!H41)),NOT(ISNUMBER(Items!J41)),NOT(ISNUMBER(Items!K41)),AND(Items!I41&lt;&gt;"",NOT(ISNUMBER(Items!I41))),AND(Items!L41&lt;&gt;"",NOT(ISNUMBER(Items!L41))),AND(Items!M41&lt;&gt;"",NOT(ISNUMBER(Items!M41)))),"CHECK: text in a number column",IF(AND(ISNUMBER(Items!M41),OR(N(Items!M41)&lt;0,N(Items!M41)&gt;1)),"CHECK: dutiable share must be 0% to 100%",IF(AND(UPPER(TRIM(CLEAN(SUBSTITUTE(Items!F41&amp;""," "," "))))&lt;&gt;"",UPPER(TRIM(CLEAN(SUBSTITUTE(Items!F41&amp;""," "," "))))&lt;&gt;"Y",UPPER(TRIM(CLEAN(SUBSTITUTE(Items!F41&amp;""," "," "))))&lt;&gt;"N"),"CHECK: USMCA flag must be Y, N or blank",IF(AND(UPPER(TRIM(CLEAN(SUBSTITUTE(Items!F41&amp;""," "," "))))="Y",$E41&lt;&gt;"US",$E41&lt;&gt;"CA",$E41&lt;&gt;"MX"),"CHECK: USMCA flag on an origin other than US, CA or MX",IF(AND($L41="Y",$AO41=0,NOT(ISNUMBER(act_Rate))),"CHECK: in scope but no rate (add a rate line or B15)",IF(AND($L41="Y",UPPER(TRIM(CLEAN(SUBSTITUTE(act_RateType&amp;""," "," "))))="REPLACE",NOT(ISNUMBER(act_PriorRate)),IF($AO41=0,TRUE,NOT(ISNUMBER(INDEX(rate_Prior,MOD($AO41,100)))))),"CHECK: REPLACE but no earlier rate (B17 or the rate line's AD)",IF(AND($L41="Y",$AP41&gt;1),"CHECK: two rate lines match equally",IF(AND($L41="Y",$AN41&gt;1),"CHECK: HTS prefix listed twice on the scope list",IF(AND($L41="Y",$P41="PART",NOT(ISNUMBER(Items!M41))),"CHECK: dutiable share missing (PART base)",IF(AND($L41="Y",$P41="FULL",ISNUMBER(Items!M41),N(Items!M41)&lt;&gt;1),"CHECK: dutiable share entered, but the rate taxes the full value",IF(AND($L41="Y",$Q41+0.0000001&lt;$T41*$S41+$U41),"CHECK: current rate is below the duty being replaced or displaced",IF(AND($L41="Y",$AD41=0),"NOTE: in scope, no quantity",IF(AND($L41="Y",$AF41="N"),"NOTE: in scope, no sell price (left out of margin %)",IF(AND($L41="Y",N(Items!H41)&gt;N(Items!K41)),"NOTE: customs value above standard cost (check unit of measure)",IF(AND($L41="Y",$Q41&gt;1),"NOTE: current rate above 100% (check it was entered as a percentage)","OK")))))))))))))))))))))))</f>
        <v/>
      </c>
      <c r="AK41" s="20">
        <f>IF($A41="","",IF(AND($L41="Y",$AE41&lt;&gt;0),ABS($AE41)+ROW()/1000000000,""))</f>
        <v/>
      </c>
      <c r="AL41" s="10">
        <f>IF($A41="","",UPPER($A41)&amp;"/"&amp;UPPER(TRIM(CLEAN(SUBSTITUTE(Items!C41&amp;""," "," ")))))</f>
        <v/>
      </c>
      <c r="AM41" s="13">
        <f>IF($A41="",0,SUMPRODUCT(MAX((scope_HTS&lt;&gt;"")*(LEFT($C41,LEN(scope_HTS))=scope_HTS)*(LEN(scope_HTS)*1000+ROW(scope_HTS)-4))))</f>
        <v/>
      </c>
      <c r="AN41" s="13">
        <f>IF($AM41=0,0,SUMPRODUCT((scope_HTS&lt;&gt;"")*(LEFT($C41,LEN(scope_HTS))=scope_HTS)*(LEN(scope_HTS)=INT($AM41/1000))))</f>
        <v/>
      </c>
      <c r="AO41" s="13">
        <f>IF($L41&lt;&gt;"Y",0,SUMPRODUCT(MAX(ISNUMBER(rate_Rate)*((UPPER(TRIM(CLEAN(SUBSTITUTE(rate_Group&amp;""," "," "))))="")+(UPPER(TRIM(CLEAN(SUBSTITUTE(rate_Group&amp;""," "," "))))=$N41)&gt;0)*((UPPER(TRIM(CLEAN(SUBSTITUTE(rate_COO&amp;""," "," "))))="")+(UPPER(TRIM(CLEAN(SUBSTITUTE(rate_COO&amp;""," "," "))))=$E41)&gt;0)*((UPPER(TRIM(CLEAN(SUBSTITUTE(rate_USMCA&amp;""," "," "))))="")+(UPPER(TRIM(CLEAN(SUBSTITUTE(rate_USMCA&amp;""," "," "))))=IF(UPPER(TRIM(CLEAN(SUBSTITUTE(Items!F41&amp;""," "," "))))="Y","Y","N"))&gt;0)*((1+(UPPER(TRIM(CLEAN(SUBSTITUTE(rate_Group&amp;""," "," "))))&lt;&gt;"")+2*(UPPER(TRIM(CLEAN(SUBSTITUTE(rate_USMCA&amp;""," "," "))))&lt;&gt;"")+4*(UPPER(TRIM(CLEAN(SUBSTITUTE(rate_COO&amp;""," "," "))))&lt;&gt;""))*100+ROW(rate_Rate)-4))))</f>
        <v/>
      </c>
      <c r="AP41" s="13">
        <f>IF($AO41=0,0,SUMPRODUCT(ISNUMBER(rate_Rate)*((UPPER(TRIM(CLEAN(SUBSTITUTE(rate_Group&amp;""," "," "))))="")+(UPPER(TRIM(CLEAN(SUBSTITUTE(rate_Group&amp;""," "," "))))=$N41)&gt;0)*((UPPER(TRIM(CLEAN(SUBSTITUTE(rate_COO&amp;""," "," "))))="")+(UPPER(TRIM(CLEAN(SUBSTITUTE(rate_COO&amp;""," "," "))))=$E41)&gt;0)*((UPPER(TRIM(CLEAN(SUBSTITUTE(rate_USMCA&amp;""," "," "))))="")+(UPPER(TRIM(CLEAN(SUBSTITUTE(rate_USMCA&amp;""," "," "))))=IF(UPPER(TRIM(CLEAN(SUBSTITUTE(Items!F41&amp;""," "," "))))="Y","Y","N"))&gt;0)*((1+(UPPER(TRIM(CLEAN(SUBSTITUTE(rate_Group&amp;""," "," "))))&lt;&gt;"")+2*(UPPER(TRIM(CLEAN(SUBSTITUTE(rate_USMCA&amp;""," "," "))))&lt;&gt;"")+4*(UPPER(TRIM(CLEAN(SUBSTITUTE(rate_COO&amp;""," "," "))))&lt;&gt;""))=INT($AO41/100))))</f>
        <v/>
      </c>
      <c r="AQ41" s="13">
        <f>IF($A41="",0,IFERROR(MATCH($AL41,det_Key,0),0))</f>
        <v/>
      </c>
    </row>
    <row r="42">
      <c r="A42" s="10">
        <f>IF(TRIM(CLEAN(SUBSTITUTE(Items!A42&amp;""," "," ")))="","",TRIM(CLEAN(SUBSTITUTE(Items!A42&amp;""," "," "))))</f>
        <v/>
      </c>
      <c r="B42" s="10">
        <f>IF($A42="","",Items!B42&amp;"")</f>
        <v/>
      </c>
      <c r="C42" s="10">
        <f>IF($A42="","",SUBSTITUTE(SUBSTITUTE(SUBSTITUTE(SUBSTITUTE(CLEAN(Items!D42&amp;"")," ",""),".","")," ",""),"-",""))</f>
        <v/>
      </c>
      <c r="D42" s="10">
        <f>IF($A42="","",LEFT($C42,2))</f>
        <v/>
      </c>
      <c r="E42" s="10">
        <f>IF($A42="","",UPPER(TRIM(CLEAN(SUBSTITUTE(Items!E42&amp;""," "," ")))))</f>
        <v/>
      </c>
      <c r="F42" s="10">
        <f>IF($A42="","",IF(UPPER(TRIM(CLEAN(SUBSTITUTE(Items!C42&amp;""," "," "))))=UPPER(TRIM(CLEAN(SUBSTITUTE(act_Country&amp;""," "," ")))),"Y","N"))</f>
        <v/>
      </c>
      <c r="G42" s="10">
        <f>IF($A42="","",IF($AM42&gt;0,"Y","N"))</f>
        <v/>
      </c>
      <c r="H42" s="10">
        <f>IF($A42="","",IF(SUMPRODUCT((excl_HTS&lt;&gt;"")*(LEFT($C42,LEN(excl_HTS))=excl_HTS))&gt;0,"Y","N"))</f>
        <v/>
      </c>
      <c r="I42" s="10">
        <f>IF($A42="","",IF($E42="","N",IF(SUMPRODUCT(--(UPPER(TRIM(CLEAN(SUBSTITUTE(scope_COO&amp;""," "," "))))=$E42))&gt;0,"Y","N")))</f>
        <v/>
      </c>
      <c r="J42" s="10">
        <f>IF($A42="","",IF(AND(UPPER(TRIM(CLEAN(SUBSTITUTE(act_USMCAExempt&amp;""," "," "))))="Y",UPPER(TRIM(CLEAN(SUBSTITUTE(Items!F42&amp;""," "," "))))="Y"),"Y","N"))</f>
        <v/>
      </c>
      <c r="K42" s="10">
        <f>IF($A42="","",IF($AQ42=0,"",UPPER(TRIM(CLEAN(SUBSTITUTE(INDEX(det_Status,$AQ42)&amp;""," "," "))))))</f>
        <v/>
      </c>
      <c r="L42" s="10">
        <f>IF($A42="","",IF($F42="N","N",IF($K42="IN","Y",IF($K42="OUT","N",IF(AND($G42="Y",$H42="N",$I42="Y",$J42="N"),"Y","N")))))</f>
        <v/>
      </c>
      <c r="M42" s="10">
        <f>IF($A42="","",IF($F42="N","Out: different import country",IF($K42="IN","In: Research determination",IF($K42="OUT","Out: Research determination",IF($G42="N","Out: HTS not on scope list",IF($H42="Y","Out: HTS on exclusion list",IF($I42="N","Out: origin not on scope list",IF($J42="Y","Out: USMCA-qualifying, exempt","In: matches scope rules"))))))))</f>
        <v/>
      </c>
      <c r="N42" s="10">
        <f>IF(OR($A42="",$AM42=0),"",UPPER(TRIM(CLEAN(SUBSTITUTE(INDEX(scope_Group,MOD($AM42,1000))&amp;""," "," ")))))</f>
        <v/>
      </c>
      <c r="O42" s="10">
        <f>IF($L42&lt;&gt;"Y","",IF($AO42=0,"Default (B15)",UPPER(TRIM(CLEAN(SUBSTITUTE(INDEX(rate_ID,MOD($AO42,100))&amp;""," "," "))))))</f>
        <v/>
      </c>
      <c r="P42" s="10">
        <f>IF($L42&lt;&gt;"Y","",IF($AO42=0,IF(UPPER(TRIM(CLEAN(SUBSTITUTE(act_DefaultBase&amp;""," "," "))))="PART","PART","FULL"),IF(UPPER(TRIM(CLEAN(SUBSTITUTE(INDEX(rate_Base,MOD($AO42,100))&amp;""," "," "))))="PART","PART","FULL")))</f>
        <v/>
      </c>
      <c r="Q42" s="17">
        <f>IF($A42="","",N(Items!J42))</f>
        <v/>
      </c>
      <c r="R42" s="17">
        <f>IF($A42="","",IF($L42&lt;&gt;"Y",0,IF($AO42=0,N(act_Rate),N(INDEX(rate_Rate,MOD($AO42,100))))))</f>
        <v/>
      </c>
      <c r="S42" s="17">
        <f>IF($A42="","",IF($L42&lt;&gt;"Y",0,IF($AO42=0,IF(UPPER(TRIM(CLEAN(SUBSTITUTE(act_RateType&amp;""," "," "))))="REPLACE",N(act_PriorRate),0),IF(ISNUMBER(INDEX(rate_Prior,MOD($AO42,100))),INDEX(rate_Prior,MOD($AO42,100)),IF(UPPER(TRIM(CLEAN(SUBSTITUTE(act_RateType&amp;""," "," "))))="REPLACE",N(act_PriorRate),0)))))</f>
        <v/>
      </c>
      <c r="T42" s="17">
        <f>IF($A42="","",IF(AND($L42="Y",$P42="PART",ISNUMBER(Items!M42)),Items!M42,1))</f>
        <v/>
      </c>
      <c r="U42" s="17">
        <f>IF($A42="","",IF($L42&lt;&gt;"Y",0,IF($AQ42&gt;0,IF(ISNUMBER(INDEX(det_Displaced,$AQ42)),INDEX(det_Displaced,$AQ42),IF($AO42=0,0,N(INDEX(rate_Displaced,MOD($AO42,100))))),IF($AO42=0,0,N(INDEX(rate_Displaced,MOD($AO42,100)))))))</f>
        <v/>
      </c>
      <c r="V42" s="17">
        <f>IF($A42="","",IF($L42="Y",$Q42+$T42*($R42-$S42)-$U42,$Q42))</f>
        <v/>
      </c>
      <c r="W42" s="18">
        <f>IF($A42="","",N(Items!H42)*$Q42)</f>
        <v/>
      </c>
      <c r="X42" s="18">
        <f>IF($A42="","",N(Items!H42)*$V42)</f>
        <v/>
      </c>
      <c r="Y42" s="18">
        <f>IF($A42="","",$X42-$W42)</f>
        <v/>
      </c>
      <c r="Z42" s="18">
        <f>IF($A42="","",N(Items!K42)+$Y42)</f>
        <v/>
      </c>
      <c r="AA42" s="17">
        <f>IF($A42="","",IF(N(Items!L42)=0,"",(N(Items!L42)-N(Items!K42))/N(Items!L42)))</f>
        <v/>
      </c>
      <c r="AB42" s="17">
        <f>IF($A42="","",IF(N(Items!L42)=0,"",(N(Items!L42)-$Z42)/N(Items!L42)))</f>
        <v/>
      </c>
      <c r="AC42" s="17">
        <f>IF(OR($AA42="",$AB42=""),"",$AB42-$AA42)</f>
        <v/>
      </c>
      <c r="AD42" s="13">
        <f>IF($A42="","",N(Items!I42))</f>
        <v/>
      </c>
      <c r="AE42" s="19">
        <f>IF($A42="","",$Y42*$AD42)</f>
        <v/>
      </c>
      <c r="AF42" s="10">
        <f>IF($A42="","",IF(N(Items!L42)&gt;0,"Y","N"))</f>
        <v/>
      </c>
      <c r="AG42" s="19">
        <f>IF($A42="","",IF($AF42="Y",N(Items!L42)*$AD42,0))</f>
        <v/>
      </c>
      <c r="AH42" s="19">
        <f>IF($A42="","",IF($AF42="Y",(N(Items!L42)-N(Items!K42))*$AD42,0))</f>
        <v/>
      </c>
      <c r="AI42" s="19">
        <f>IF($A42="","",IF($AF42="Y",$AH42-$AE42,0))</f>
        <v/>
      </c>
      <c r="AJ42" s="10">
        <f>IF($A42="","",IF(COUNTIF($AL$5:$AL$254,$AL42)&gt;1,"CHECK: duplicate item and import country",IF(TRIM(CLEAN(SUBSTITUTE(Items!C42&amp;""," "," ")))="","CHECK: import country missing",IF(AND(UPPER(TRIM(CLEAN(SUBSTITUTE(Items!C42&amp;""," "," "))))&lt;&gt;"US",UPPER(TRIM(CLEAN(SUBSTITUTE(Items!C42&amp;""," "," "))))&lt;&gt;"CA",UPPER(TRIM(CLEAN(SUBSTITUTE(Items!C42&amp;""," "," "))))&lt;&gt;"MX"),"CHECK: import country must be US, CA or MX",IF(NOT(AND(LEN($C42)=10,IFERROR(TEXT(VALUE($C42),REPT("0",LEN($C42)))=$C42,FALSE))),"CHECK: HTS must be 10 digits",IF(LEN($E42)&lt;&gt;2,"CHECK: origin code missing or not 2 letters",IF(TRIM(CLEAN(SUBSTITUTE(Items!G42&amp;""," "," ")))="","CHECK: unit of measure missing",IF(OR(Items!H42="",Items!J42="",Items!K42=""),"CHECK: value, rate or cost missing",IF(OR(NOT(ISNUMBER(Items!H42)),NOT(ISNUMBER(Items!J42)),NOT(ISNUMBER(Items!K42)),AND(Items!I42&lt;&gt;"",NOT(ISNUMBER(Items!I42))),AND(Items!L42&lt;&gt;"",NOT(ISNUMBER(Items!L42))),AND(Items!M42&lt;&gt;"",NOT(ISNUMBER(Items!M42)))),"CHECK: text in a number column",IF(AND(ISNUMBER(Items!M42),OR(N(Items!M42)&lt;0,N(Items!M42)&gt;1)),"CHECK: dutiable share must be 0% to 100%",IF(AND(UPPER(TRIM(CLEAN(SUBSTITUTE(Items!F42&amp;""," "," "))))&lt;&gt;"",UPPER(TRIM(CLEAN(SUBSTITUTE(Items!F42&amp;""," "," "))))&lt;&gt;"Y",UPPER(TRIM(CLEAN(SUBSTITUTE(Items!F42&amp;""," "," "))))&lt;&gt;"N"),"CHECK: USMCA flag must be Y, N or blank",IF(AND(UPPER(TRIM(CLEAN(SUBSTITUTE(Items!F42&amp;""," "," "))))="Y",$E42&lt;&gt;"US",$E42&lt;&gt;"CA",$E42&lt;&gt;"MX"),"CHECK: USMCA flag on an origin other than US, CA or MX",IF(AND($L42="Y",$AO42=0,NOT(ISNUMBER(act_Rate))),"CHECK: in scope but no rate (add a rate line or B15)",IF(AND($L42="Y",UPPER(TRIM(CLEAN(SUBSTITUTE(act_RateType&amp;""," "," "))))="REPLACE",NOT(ISNUMBER(act_PriorRate)),IF($AO42=0,TRUE,NOT(ISNUMBER(INDEX(rate_Prior,MOD($AO42,100)))))),"CHECK: REPLACE but no earlier rate (B17 or the rate line's AD)",IF(AND($L42="Y",$AP42&gt;1),"CHECK: two rate lines match equally",IF(AND($L42="Y",$AN42&gt;1),"CHECK: HTS prefix listed twice on the scope list",IF(AND($L42="Y",$P42="PART",NOT(ISNUMBER(Items!M42))),"CHECK: dutiable share missing (PART base)",IF(AND($L42="Y",$P42="FULL",ISNUMBER(Items!M42),N(Items!M42)&lt;&gt;1),"CHECK: dutiable share entered, but the rate taxes the full value",IF(AND($L42="Y",$Q42+0.0000001&lt;$T42*$S42+$U42),"CHECK: current rate is below the duty being replaced or displaced",IF(AND($L42="Y",$AD42=0),"NOTE: in scope, no quantity",IF(AND($L42="Y",$AF42="N"),"NOTE: in scope, no sell price (left out of margin %)",IF(AND($L42="Y",N(Items!H42)&gt;N(Items!K42)),"NOTE: customs value above standard cost (check unit of measure)",IF(AND($L42="Y",$Q42&gt;1),"NOTE: current rate above 100% (check it was entered as a percentage)","OK")))))))))))))))))))))))</f>
        <v/>
      </c>
      <c r="AK42" s="20">
        <f>IF($A42="","",IF(AND($L42="Y",$AE42&lt;&gt;0),ABS($AE42)+ROW()/1000000000,""))</f>
        <v/>
      </c>
      <c r="AL42" s="10">
        <f>IF($A42="","",UPPER($A42)&amp;"/"&amp;UPPER(TRIM(CLEAN(SUBSTITUTE(Items!C42&amp;""," "," ")))))</f>
        <v/>
      </c>
      <c r="AM42" s="13">
        <f>IF($A42="",0,SUMPRODUCT(MAX((scope_HTS&lt;&gt;"")*(LEFT($C42,LEN(scope_HTS))=scope_HTS)*(LEN(scope_HTS)*1000+ROW(scope_HTS)-4))))</f>
        <v/>
      </c>
      <c r="AN42" s="13">
        <f>IF($AM42=0,0,SUMPRODUCT((scope_HTS&lt;&gt;"")*(LEFT($C42,LEN(scope_HTS))=scope_HTS)*(LEN(scope_HTS)=INT($AM42/1000))))</f>
        <v/>
      </c>
      <c r="AO42" s="13">
        <f>IF($L42&lt;&gt;"Y",0,SUMPRODUCT(MAX(ISNUMBER(rate_Rate)*((UPPER(TRIM(CLEAN(SUBSTITUTE(rate_Group&amp;""," "," "))))="")+(UPPER(TRIM(CLEAN(SUBSTITUTE(rate_Group&amp;""," "," "))))=$N42)&gt;0)*((UPPER(TRIM(CLEAN(SUBSTITUTE(rate_COO&amp;""," "," "))))="")+(UPPER(TRIM(CLEAN(SUBSTITUTE(rate_COO&amp;""," "," "))))=$E42)&gt;0)*((UPPER(TRIM(CLEAN(SUBSTITUTE(rate_USMCA&amp;""," "," "))))="")+(UPPER(TRIM(CLEAN(SUBSTITUTE(rate_USMCA&amp;""," "," "))))=IF(UPPER(TRIM(CLEAN(SUBSTITUTE(Items!F42&amp;""," "," "))))="Y","Y","N"))&gt;0)*((1+(UPPER(TRIM(CLEAN(SUBSTITUTE(rate_Group&amp;""," "," "))))&lt;&gt;"")+2*(UPPER(TRIM(CLEAN(SUBSTITUTE(rate_USMCA&amp;""," "," "))))&lt;&gt;"")+4*(UPPER(TRIM(CLEAN(SUBSTITUTE(rate_COO&amp;""," "," "))))&lt;&gt;""))*100+ROW(rate_Rate)-4))))</f>
        <v/>
      </c>
      <c r="AP42" s="13">
        <f>IF($AO42=0,0,SUMPRODUCT(ISNUMBER(rate_Rate)*((UPPER(TRIM(CLEAN(SUBSTITUTE(rate_Group&amp;""," "," "))))="")+(UPPER(TRIM(CLEAN(SUBSTITUTE(rate_Group&amp;""," "," "))))=$N42)&gt;0)*((UPPER(TRIM(CLEAN(SUBSTITUTE(rate_COO&amp;""," "," "))))="")+(UPPER(TRIM(CLEAN(SUBSTITUTE(rate_COO&amp;""," "," "))))=$E42)&gt;0)*((UPPER(TRIM(CLEAN(SUBSTITUTE(rate_USMCA&amp;""," "," "))))="")+(UPPER(TRIM(CLEAN(SUBSTITUTE(rate_USMCA&amp;""," "," "))))=IF(UPPER(TRIM(CLEAN(SUBSTITUTE(Items!F42&amp;""," "," "))))="Y","Y","N"))&gt;0)*((1+(UPPER(TRIM(CLEAN(SUBSTITUTE(rate_Group&amp;""," "," "))))&lt;&gt;"")+2*(UPPER(TRIM(CLEAN(SUBSTITUTE(rate_USMCA&amp;""," "," "))))&lt;&gt;"")+4*(UPPER(TRIM(CLEAN(SUBSTITUTE(rate_COO&amp;""," "," "))))&lt;&gt;""))=INT($AO42/100))))</f>
        <v/>
      </c>
      <c r="AQ42" s="13">
        <f>IF($A42="",0,IFERROR(MATCH($AL42,det_Key,0),0))</f>
        <v/>
      </c>
    </row>
    <row r="43">
      <c r="A43" s="10">
        <f>IF(TRIM(CLEAN(SUBSTITUTE(Items!A43&amp;""," "," ")))="","",TRIM(CLEAN(SUBSTITUTE(Items!A43&amp;""," "," "))))</f>
        <v/>
      </c>
      <c r="B43" s="10">
        <f>IF($A43="","",Items!B43&amp;"")</f>
        <v/>
      </c>
      <c r="C43" s="10">
        <f>IF($A43="","",SUBSTITUTE(SUBSTITUTE(SUBSTITUTE(SUBSTITUTE(CLEAN(Items!D43&amp;"")," ",""),".","")," ",""),"-",""))</f>
        <v/>
      </c>
      <c r="D43" s="10">
        <f>IF($A43="","",LEFT($C43,2))</f>
        <v/>
      </c>
      <c r="E43" s="10">
        <f>IF($A43="","",UPPER(TRIM(CLEAN(SUBSTITUTE(Items!E43&amp;""," "," ")))))</f>
        <v/>
      </c>
      <c r="F43" s="10">
        <f>IF($A43="","",IF(UPPER(TRIM(CLEAN(SUBSTITUTE(Items!C43&amp;""," "," "))))=UPPER(TRIM(CLEAN(SUBSTITUTE(act_Country&amp;""," "," ")))),"Y","N"))</f>
        <v/>
      </c>
      <c r="G43" s="10">
        <f>IF($A43="","",IF($AM43&gt;0,"Y","N"))</f>
        <v/>
      </c>
      <c r="H43" s="10">
        <f>IF($A43="","",IF(SUMPRODUCT((excl_HTS&lt;&gt;"")*(LEFT($C43,LEN(excl_HTS))=excl_HTS))&gt;0,"Y","N"))</f>
        <v/>
      </c>
      <c r="I43" s="10">
        <f>IF($A43="","",IF($E43="","N",IF(SUMPRODUCT(--(UPPER(TRIM(CLEAN(SUBSTITUTE(scope_COO&amp;""," "," "))))=$E43))&gt;0,"Y","N")))</f>
        <v/>
      </c>
      <c r="J43" s="10">
        <f>IF($A43="","",IF(AND(UPPER(TRIM(CLEAN(SUBSTITUTE(act_USMCAExempt&amp;""," "," "))))="Y",UPPER(TRIM(CLEAN(SUBSTITUTE(Items!F43&amp;""," "," "))))="Y"),"Y","N"))</f>
        <v/>
      </c>
      <c r="K43" s="10">
        <f>IF($A43="","",IF($AQ43=0,"",UPPER(TRIM(CLEAN(SUBSTITUTE(INDEX(det_Status,$AQ43)&amp;""," "," "))))))</f>
        <v/>
      </c>
      <c r="L43" s="10">
        <f>IF($A43="","",IF($F43="N","N",IF($K43="IN","Y",IF($K43="OUT","N",IF(AND($G43="Y",$H43="N",$I43="Y",$J43="N"),"Y","N")))))</f>
        <v/>
      </c>
      <c r="M43" s="10">
        <f>IF($A43="","",IF($F43="N","Out: different import country",IF($K43="IN","In: Research determination",IF($K43="OUT","Out: Research determination",IF($G43="N","Out: HTS not on scope list",IF($H43="Y","Out: HTS on exclusion list",IF($I43="N","Out: origin not on scope list",IF($J43="Y","Out: USMCA-qualifying, exempt","In: matches scope rules"))))))))</f>
        <v/>
      </c>
      <c r="N43" s="10">
        <f>IF(OR($A43="",$AM43=0),"",UPPER(TRIM(CLEAN(SUBSTITUTE(INDEX(scope_Group,MOD($AM43,1000))&amp;""," "," ")))))</f>
        <v/>
      </c>
      <c r="O43" s="10">
        <f>IF($L43&lt;&gt;"Y","",IF($AO43=0,"Default (B15)",UPPER(TRIM(CLEAN(SUBSTITUTE(INDEX(rate_ID,MOD($AO43,100))&amp;""," "," "))))))</f>
        <v/>
      </c>
      <c r="P43" s="10">
        <f>IF($L43&lt;&gt;"Y","",IF($AO43=0,IF(UPPER(TRIM(CLEAN(SUBSTITUTE(act_DefaultBase&amp;""," "," "))))="PART","PART","FULL"),IF(UPPER(TRIM(CLEAN(SUBSTITUTE(INDEX(rate_Base,MOD($AO43,100))&amp;""," "," "))))="PART","PART","FULL")))</f>
        <v/>
      </c>
      <c r="Q43" s="17">
        <f>IF($A43="","",N(Items!J43))</f>
        <v/>
      </c>
      <c r="R43" s="17">
        <f>IF($A43="","",IF($L43&lt;&gt;"Y",0,IF($AO43=0,N(act_Rate),N(INDEX(rate_Rate,MOD($AO43,100))))))</f>
        <v/>
      </c>
      <c r="S43" s="17">
        <f>IF($A43="","",IF($L43&lt;&gt;"Y",0,IF($AO43=0,IF(UPPER(TRIM(CLEAN(SUBSTITUTE(act_RateType&amp;""," "," "))))="REPLACE",N(act_PriorRate),0),IF(ISNUMBER(INDEX(rate_Prior,MOD($AO43,100))),INDEX(rate_Prior,MOD($AO43,100)),IF(UPPER(TRIM(CLEAN(SUBSTITUTE(act_RateType&amp;""," "," "))))="REPLACE",N(act_PriorRate),0)))))</f>
        <v/>
      </c>
      <c r="T43" s="17">
        <f>IF($A43="","",IF(AND($L43="Y",$P43="PART",ISNUMBER(Items!M43)),Items!M43,1))</f>
        <v/>
      </c>
      <c r="U43" s="17">
        <f>IF($A43="","",IF($L43&lt;&gt;"Y",0,IF($AQ43&gt;0,IF(ISNUMBER(INDEX(det_Displaced,$AQ43)),INDEX(det_Displaced,$AQ43),IF($AO43=0,0,N(INDEX(rate_Displaced,MOD($AO43,100))))),IF($AO43=0,0,N(INDEX(rate_Displaced,MOD($AO43,100)))))))</f>
        <v/>
      </c>
      <c r="V43" s="17">
        <f>IF($A43="","",IF($L43="Y",$Q43+$T43*($R43-$S43)-$U43,$Q43))</f>
        <v/>
      </c>
      <c r="W43" s="18">
        <f>IF($A43="","",N(Items!H43)*$Q43)</f>
        <v/>
      </c>
      <c r="X43" s="18">
        <f>IF($A43="","",N(Items!H43)*$V43)</f>
        <v/>
      </c>
      <c r="Y43" s="18">
        <f>IF($A43="","",$X43-$W43)</f>
        <v/>
      </c>
      <c r="Z43" s="18">
        <f>IF($A43="","",N(Items!K43)+$Y43)</f>
        <v/>
      </c>
      <c r="AA43" s="17">
        <f>IF($A43="","",IF(N(Items!L43)=0,"",(N(Items!L43)-N(Items!K43))/N(Items!L43)))</f>
        <v/>
      </c>
      <c r="AB43" s="17">
        <f>IF($A43="","",IF(N(Items!L43)=0,"",(N(Items!L43)-$Z43)/N(Items!L43)))</f>
        <v/>
      </c>
      <c r="AC43" s="17">
        <f>IF(OR($AA43="",$AB43=""),"",$AB43-$AA43)</f>
        <v/>
      </c>
      <c r="AD43" s="13">
        <f>IF($A43="","",N(Items!I43))</f>
        <v/>
      </c>
      <c r="AE43" s="19">
        <f>IF($A43="","",$Y43*$AD43)</f>
        <v/>
      </c>
      <c r="AF43" s="10">
        <f>IF($A43="","",IF(N(Items!L43)&gt;0,"Y","N"))</f>
        <v/>
      </c>
      <c r="AG43" s="19">
        <f>IF($A43="","",IF($AF43="Y",N(Items!L43)*$AD43,0))</f>
        <v/>
      </c>
      <c r="AH43" s="19">
        <f>IF($A43="","",IF($AF43="Y",(N(Items!L43)-N(Items!K43))*$AD43,0))</f>
        <v/>
      </c>
      <c r="AI43" s="19">
        <f>IF($A43="","",IF($AF43="Y",$AH43-$AE43,0))</f>
        <v/>
      </c>
      <c r="AJ43" s="10">
        <f>IF($A43="","",IF(COUNTIF($AL$5:$AL$254,$AL43)&gt;1,"CHECK: duplicate item and import country",IF(TRIM(CLEAN(SUBSTITUTE(Items!C43&amp;""," "," ")))="","CHECK: import country missing",IF(AND(UPPER(TRIM(CLEAN(SUBSTITUTE(Items!C43&amp;""," "," "))))&lt;&gt;"US",UPPER(TRIM(CLEAN(SUBSTITUTE(Items!C43&amp;""," "," "))))&lt;&gt;"CA",UPPER(TRIM(CLEAN(SUBSTITUTE(Items!C43&amp;""," "," "))))&lt;&gt;"MX"),"CHECK: import country must be US, CA or MX",IF(NOT(AND(LEN($C43)=10,IFERROR(TEXT(VALUE($C43),REPT("0",LEN($C43)))=$C43,FALSE))),"CHECK: HTS must be 10 digits",IF(LEN($E43)&lt;&gt;2,"CHECK: origin code missing or not 2 letters",IF(TRIM(CLEAN(SUBSTITUTE(Items!G43&amp;""," "," ")))="","CHECK: unit of measure missing",IF(OR(Items!H43="",Items!J43="",Items!K43=""),"CHECK: value, rate or cost missing",IF(OR(NOT(ISNUMBER(Items!H43)),NOT(ISNUMBER(Items!J43)),NOT(ISNUMBER(Items!K43)),AND(Items!I43&lt;&gt;"",NOT(ISNUMBER(Items!I43))),AND(Items!L43&lt;&gt;"",NOT(ISNUMBER(Items!L43))),AND(Items!M43&lt;&gt;"",NOT(ISNUMBER(Items!M43)))),"CHECK: text in a number column",IF(AND(ISNUMBER(Items!M43),OR(N(Items!M43)&lt;0,N(Items!M43)&gt;1)),"CHECK: dutiable share must be 0% to 100%",IF(AND(UPPER(TRIM(CLEAN(SUBSTITUTE(Items!F43&amp;""," "," "))))&lt;&gt;"",UPPER(TRIM(CLEAN(SUBSTITUTE(Items!F43&amp;""," "," "))))&lt;&gt;"Y",UPPER(TRIM(CLEAN(SUBSTITUTE(Items!F43&amp;""," "," "))))&lt;&gt;"N"),"CHECK: USMCA flag must be Y, N or blank",IF(AND(UPPER(TRIM(CLEAN(SUBSTITUTE(Items!F43&amp;""," "," "))))="Y",$E43&lt;&gt;"US",$E43&lt;&gt;"CA",$E43&lt;&gt;"MX"),"CHECK: USMCA flag on an origin other than US, CA or MX",IF(AND($L43="Y",$AO43=0,NOT(ISNUMBER(act_Rate))),"CHECK: in scope but no rate (add a rate line or B15)",IF(AND($L43="Y",UPPER(TRIM(CLEAN(SUBSTITUTE(act_RateType&amp;""," "," "))))="REPLACE",NOT(ISNUMBER(act_PriorRate)),IF($AO43=0,TRUE,NOT(ISNUMBER(INDEX(rate_Prior,MOD($AO43,100)))))),"CHECK: REPLACE but no earlier rate (B17 or the rate line's AD)",IF(AND($L43="Y",$AP43&gt;1),"CHECK: two rate lines match equally",IF(AND($L43="Y",$AN43&gt;1),"CHECK: HTS prefix listed twice on the scope list",IF(AND($L43="Y",$P43="PART",NOT(ISNUMBER(Items!M43))),"CHECK: dutiable share missing (PART base)",IF(AND($L43="Y",$P43="FULL",ISNUMBER(Items!M43),N(Items!M43)&lt;&gt;1),"CHECK: dutiable share entered, but the rate taxes the full value",IF(AND($L43="Y",$Q43+0.0000001&lt;$T43*$S43+$U43),"CHECK: current rate is below the duty being replaced or displaced",IF(AND($L43="Y",$AD43=0),"NOTE: in scope, no quantity",IF(AND($L43="Y",$AF43="N"),"NOTE: in scope, no sell price (left out of margin %)",IF(AND($L43="Y",N(Items!H43)&gt;N(Items!K43)),"NOTE: customs value above standard cost (check unit of measure)",IF(AND($L43="Y",$Q43&gt;1),"NOTE: current rate above 100% (check it was entered as a percentage)","OK")))))))))))))))))))))))</f>
        <v/>
      </c>
      <c r="AK43" s="20">
        <f>IF($A43="","",IF(AND($L43="Y",$AE43&lt;&gt;0),ABS($AE43)+ROW()/1000000000,""))</f>
        <v/>
      </c>
      <c r="AL43" s="10">
        <f>IF($A43="","",UPPER($A43)&amp;"/"&amp;UPPER(TRIM(CLEAN(SUBSTITUTE(Items!C43&amp;""," "," ")))))</f>
        <v/>
      </c>
      <c r="AM43" s="13">
        <f>IF($A43="",0,SUMPRODUCT(MAX((scope_HTS&lt;&gt;"")*(LEFT($C43,LEN(scope_HTS))=scope_HTS)*(LEN(scope_HTS)*1000+ROW(scope_HTS)-4))))</f>
        <v/>
      </c>
      <c r="AN43" s="13">
        <f>IF($AM43=0,0,SUMPRODUCT((scope_HTS&lt;&gt;"")*(LEFT($C43,LEN(scope_HTS))=scope_HTS)*(LEN(scope_HTS)=INT($AM43/1000))))</f>
        <v/>
      </c>
      <c r="AO43" s="13">
        <f>IF($L43&lt;&gt;"Y",0,SUMPRODUCT(MAX(ISNUMBER(rate_Rate)*((UPPER(TRIM(CLEAN(SUBSTITUTE(rate_Group&amp;""," "," "))))="")+(UPPER(TRIM(CLEAN(SUBSTITUTE(rate_Group&amp;""," "," "))))=$N43)&gt;0)*((UPPER(TRIM(CLEAN(SUBSTITUTE(rate_COO&amp;""," "," "))))="")+(UPPER(TRIM(CLEAN(SUBSTITUTE(rate_COO&amp;""," "," "))))=$E43)&gt;0)*((UPPER(TRIM(CLEAN(SUBSTITUTE(rate_USMCA&amp;""," "," "))))="")+(UPPER(TRIM(CLEAN(SUBSTITUTE(rate_USMCA&amp;""," "," "))))=IF(UPPER(TRIM(CLEAN(SUBSTITUTE(Items!F43&amp;""," "," "))))="Y","Y","N"))&gt;0)*((1+(UPPER(TRIM(CLEAN(SUBSTITUTE(rate_Group&amp;""," "," "))))&lt;&gt;"")+2*(UPPER(TRIM(CLEAN(SUBSTITUTE(rate_USMCA&amp;""," "," "))))&lt;&gt;"")+4*(UPPER(TRIM(CLEAN(SUBSTITUTE(rate_COO&amp;""," "," "))))&lt;&gt;""))*100+ROW(rate_Rate)-4))))</f>
        <v/>
      </c>
      <c r="AP43" s="13">
        <f>IF($AO43=0,0,SUMPRODUCT(ISNUMBER(rate_Rate)*((UPPER(TRIM(CLEAN(SUBSTITUTE(rate_Group&amp;""," "," "))))="")+(UPPER(TRIM(CLEAN(SUBSTITUTE(rate_Group&amp;""," "," "))))=$N43)&gt;0)*((UPPER(TRIM(CLEAN(SUBSTITUTE(rate_COO&amp;""," "," "))))="")+(UPPER(TRIM(CLEAN(SUBSTITUTE(rate_COO&amp;""," "," "))))=$E43)&gt;0)*((UPPER(TRIM(CLEAN(SUBSTITUTE(rate_USMCA&amp;""," "," "))))="")+(UPPER(TRIM(CLEAN(SUBSTITUTE(rate_USMCA&amp;""," "," "))))=IF(UPPER(TRIM(CLEAN(SUBSTITUTE(Items!F43&amp;""," "," "))))="Y","Y","N"))&gt;0)*((1+(UPPER(TRIM(CLEAN(SUBSTITUTE(rate_Group&amp;""," "," "))))&lt;&gt;"")+2*(UPPER(TRIM(CLEAN(SUBSTITUTE(rate_USMCA&amp;""," "," "))))&lt;&gt;"")+4*(UPPER(TRIM(CLEAN(SUBSTITUTE(rate_COO&amp;""," "," "))))&lt;&gt;""))=INT($AO43/100))))</f>
        <v/>
      </c>
      <c r="AQ43" s="13">
        <f>IF($A43="",0,IFERROR(MATCH($AL43,det_Key,0),0))</f>
        <v/>
      </c>
    </row>
    <row r="44">
      <c r="A44" s="10">
        <f>IF(TRIM(CLEAN(SUBSTITUTE(Items!A44&amp;""," "," ")))="","",TRIM(CLEAN(SUBSTITUTE(Items!A44&amp;""," "," "))))</f>
        <v/>
      </c>
      <c r="B44" s="10">
        <f>IF($A44="","",Items!B44&amp;"")</f>
        <v/>
      </c>
      <c r="C44" s="10">
        <f>IF($A44="","",SUBSTITUTE(SUBSTITUTE(SUBSTITUTE(SUBSTITUTE(CLEAN(Items!D44&amp;"")," ",""),".","")," ",""),"-",""))</f>
        <v/>
      </c>
      <c r="D44" s="10">
        <f>IF($A44="","",LEFT($C44,2))</f>
        <v/>
      </c>
      <c r="E44" s="10">
        <f>IF($A44="","",UPPER(TRIM(CLEAN(SUBSTITUTE(Items!E44&amp;""," "," ")))))</f>
        <v/>
      </c>
      <c r="F44" s="10">
        <f>IF($A44="","",IF(UPPER(TRIM(CLEAN(SUBSTITUTE(Items!C44&amp;""," "," "))))=UPPER(TRIM(CLEAN(SUBSTITUTE(act_Country&amp;""," "," ")))),"Y","N"))</f>
        <v/>
      </c>
      <c r="G44" s="10">
        <f>IF($A44="","",IF($AM44&gt;0,"Y","N"))</f>
        <v/>
      </c>
      <c r="H44" s="10">
        <f>IF($A44="","",IF(SUMPRODUCT((excl_HTS&lt;&gt;"")*(LEFT($C44,LEN(excl_HTS))=excl_HTS))&gt;0,"Y","N"))</f>
        <v/>
      </c>
      <c r="I44" s="10">
        <f>IF($A44="","",IF($E44="","N",IF(SUMPRODUCT(--(UPPER(TRIM(CLEAN(SUBSTITUTE(scope_COO&amp;""," "," "))))=$E44))&gt;0,"Y","N")))</f>
        <v/>
      </c>
      <c r="J44" s="10">
        <f>IF($A44="","",IF(AND(UPPER(TRIM(CLEAN(SUBSTITUTE(act_USMCAExempt&amp;""," "," "))))="Y",UPPER(TRIM(CLEAN(SUBSTITUTE(Items!F44&amp;""," "," "))))="Y"),"Y","N"))</f>
        <v/>
      </c>
      <c r="K44" s="10">
        <f>IF($A44="","",IF($AQ44=0,"",UPPER(TRIM(CLEAN(SUBSTITUTE(INDEX(det_Status,$AQ44)&amp;""," "," "))))))</f>
        <v/>
      </c>
      <c r="L44" s="10">
        <f>IF($A44="","",IF($F44="N","N",IF($K44="IN","Y",IF($K44="OUT","N",IF(AND($G44="Y",$H44="N",$I44="Y",$J44="N"),"Y","N")))))</f>
        <v/>
      </c>
      <c r="M44" s="10">
        <f>IF($A44="","",IF($F44="N","Out: different import country",IF($K44="IN","In: Research determination",IF($K44="OUT","Out: Research determination",IF($G44="N","Out: HTS not on scope list",IF($H44="Y","Out: HTS on exclusion list",IF($I44="N","Out: origin not on scope list",IF($J44="Y","Out: USMCA-qualifying, exempt","In: matches scope rules"))))))))</f>
        <v/>
      </c>
      <c r="N44" s="10">
        <f>IF(OR($A44="",$AM44=0),"",UPPER(TRIM(CLEAN(SUBSTITUTE(INDEX(scope_Group,MOD($AM44,1000))&amp;""," "," ")))))</f>
        <v/>
      </c>
      <c r="O44" s="10">
        <f>IF($L44&lt;&gt;"Y","",IF($AO44=0,"Default (B15)",UPPER(TRIM(CLEAN(SUBSTITUTE(INDEX(rate_ID,MOD($AO44,100))&amp;""," "," "))))))</f>
        <v/>
      </c>
      <c r="P44" s="10">
        <f>IF($L44&lt;&gt;"Y","",IF($AO44=0,IF(UPPER(TRIM(CLEAN(SUBSTITUTE(act_DefaultBase&amp;""," "," "))))="PART","PART","FULL"),IF(UPPER(TRIM(CLEAN(SUBSTITUTE(INDEX(rate_Base,MOD($AO44,100))&amp;""," "," "))))="PART","PART","FULL")))</f>
        <v/>
      </c>
      <c r="Q44" s="17">
        <f>IF($A44="","",N(Items!J44))</f>
        <v/>
      </c>
      <c r="R44" s="17">
        <f>IF($A44="","",IF($L44&lt;&gt;"Y",0,IF($AO44=0,N(act_Rate),N(INDEX(rate_Rate,MOD($AO44,100))))))</f>
        <v/>
      </c>
      <c r="S44" s="17">
        <f>IF($A44="","",IF($L44&lt;&gt;"Y",0,IF($AO44=0,IF(UPPER(TRIM(CLEAN(SUBSTITUTE(act_RateType&amp;""," "," "))))="REPLACE",N(act_PriorRate),0),IF(ISNUMBER(INDEX(rate_Prior,MOD($AO44,100))),INDEX(rate_Prior,MOD($AO44,100)),IF(UPPER(TRIM(CLEAN(SUBSTITUTE(act_RateType&amp;""," "," "))))="REPLACE",N(act_PriorRate),0)))))</f>
        <v/>
      </c>
      <c r="T44" s="17">
        <f>IF($A44="","",IF(AND($L44="Y",$P44="PART",ISNUMBER(Items!M44)),Items!M44,1))</f>
        <v/>
      </c>
      <c r="U44" s="17">
        <f>IF($A44="","",IF($L44&lt;&gt;"Y",0,IF($AQ44&gt;0,IF(ISNUMBER(INDEX(det_Displaced,$AQ44)),INDEX(det_Displaced,$AQ44),IF($AO44=0,0,N(INDEX(rate_Displaced,MOD($AO44,100))))),IF($AO44=0,0,N(INDEX(rate_Displaced,MOD($AO44,100)))))))</f>
        <v/>
      </c>
      <c r="V44" s="17">
        <f>IF($A44="","",IF($L44="Y",$Q44+$T44*($R44-$S44)-$U44,$Q44))</f>
        <v/>
      </c>
      <c r="W44" s="18">
        <f>IF($A44="","",N(Items!H44)*$Q44)</f>
        <v/>
      </c>
      <c r="X44" s="18">
        <f>IF($A44="","",N(Items!H44)*$V44)</f>
        <v/>
      </c>
      <c r="Y44" s="18">
        <f>IF($A44="","",$X44-$W44)</f>
        <v/>
      </c>
      <c r="Z44" s="18">
        <f>IF($A44="","",N(Items!K44)+$Y44)</f>
        <v/>
      </c>
      <c r="AA44" s="17">
        <f>IF($A44="","",IF(N(Items!L44)=0,"",(N(Items!L44)-N(Items!K44))/N(Items!L44)))</f>
        <v/>
      </c>
      <c r="AB44" s="17">
        <f>IF($A44="","",IF(N(Items!L44)=0,"",(N(Items!L44)-$Z44)/N(Items!L44)))</f>
        <v/>
      </c>
      <c r="AC44" s="17">
        <f>IF(OR($AA44="",$AB44=""),"",$AB44-$AA44)</f>
        <v/>
      </c>
      <c r="AD44" s="13">
        <f>IF($A44="","",N(Items!I44))</f>
        <v/>
      </c>
      <c r="AE44" s="19">
        <f>IF($A44="","",$Y44*$AD44)</f>
        <v/>
      </c>
      <c r="AF44" s="10">
        <f>IF($A44="","",IF(N(Items!L44)&gt;0,"Y","N"))</f>
        <v/>
      </c>
      <c r="AG44" s="19">
        <f>IF($A44="","",IF($AF44="Y",N(Items!L44)*$AD44,0))</f>
        <v/>
      </c>
      <c r="AH44" s="19">
        <f>IF($A44="","",IF($AF44="Y",(N(Items!L44)-N(Items!K44))*$AD44,0))</f>
        <v/>
      </c>
      <c r="AI44" s="19">
        <f>IF($A44="","",IF($AF44="Y",$AH44-$AE44,0))</f>
        <v/>
      </c>
      <c r="AJ44" s="10">
        <f>IF($A44="","",IF(COUNTIF($AL$5:$AL$254,$AL44)&gt;1,"CHECK: duplicate item and import country",IF(TRIM(CLEAN(SUBSTITUTE(Items!C44&amp;""," "," ")))="","CHECK: import country missing",IF(AND(UPPER(TRIM(CLEAN(SUBSTITUTE(Items!C44&amp;""," "," "))))&lt;&gt;"US",UPPER(TRIM(CLEAN(SUBSTITUTE(Items!C44&amp;""," "," "))))&lt;&gt;"CA",UPPER(TRIM(CLEAN(SUBSTITUTE(Items!C44&amp;""," "," "))))&lt;&gt;"MX"),"CHECK: import country must be US, CA or MX",IF(NOT(AND(LEN($C44)=10,IFERROR(TEXT(VALUE($C44),REPT("0",LEN($C44)))=$C44,FALSE))),"CHECK: HTS must be 10 digits",IF(LEN($E44)&lt;&gt;2,"CHECK: origin code missing or not 2 letters",IF(TRIM(CLEAN(SUBSTITUTE(Items!G44&amp;""," "," ")))="","CHECK: unit of measure missing",IF(OR(Items!H44="",Items!J44="",Items!K44=""),"CHECK: value, rate or cost missing",IF(OR(NOT(ISNUMBER(Items!H44)),NOT(ISNUMBER(Items!J44)),NOT(ISNUMBER(Items!K44)),AND(Items!I44&lt;&gt;"",NOT(ISNUMBER(Items!I44))),AND(Items!L44&lt;&gt;"",NOT(ISNUMBER(Items!L44))),AND(Items!M44&lt;&gt;"",NOT(ISNUMBER(Items!M44)))),"CHECK: text in a number column",IF(AND(ISNUMBER(Items!M44),OR(N(Items!M44)&lt;0,N(Items!M44)&gt;1)),"CHECK: dutiable share must be 0% to 100%",IF(AND(UPPER(TRIM(CLEAN(SUBSTITUTE(Items!F44&amp;""," "," "))))&lt;&gt;"",UPPER(TRIM(CLEAN(SUBSTITUTE(Items!F44&amp;""," "," "))))&lt;&gt;"Y",UPPER(TRIM(CLEAN(SUBSTITUTE(Items!F44&amp;""," "," "))))&lt;&gt;"N"),"CHECK: USMCA flag must be Y, N or blank",IF(AND(UPPER(TRIM(CLEAN(SUBSTITUTE(Items!F44&amp;""," "," "))))="Y",$E44&lt;&gt;"US",$E44&lt;&gt;"CA",$E44&lt;&gt;"MX"),"CHECK: USMCA flag on an origin other than US, CA or MX",IF(AND($L44="Y",$AO44=0,NOT(ISNUMBER(act_Rate))),"CHECK: in scope but no rate (add a rate line or B15)",IF(AND($L44="Y",UPPER(TRIM(CLEAN(SUBSTITUTE(act_RateType&amp;""," "," "))))="REPLACE",NOT(ISNUMBER(act_PriorRate)),IF($AO44=0,TRUE,NOT(ISNUMBER(INDEX(rate_Prior,MOD($AO44,100)))))),"CHECK: REPLACE but no earlier rate (B17 or the rate line's AD)",IF(AND($L44="Y",$AP44&gt;1),"CHECK: two rate lines match equally",IF(AND($L44="Y",$AN44&gt;1),"CHECK: HTS prefix listed twice on the scope list",IF(AND($L44="Y",$P44="PART",NOT(ISNUMBER(Items!M44))),"CHECK: dutiable share missing (PART base)",IF(AND($L44="Y",$P44="FULL",ISNUMBER(Items!M44),N(Items!M44)&lt;&gt;1),"CHECK: dutiable share entered, but the rate taxes the full value",IF(AND($L44="Y",$Q44+0.0000001&lt;$T44*$S44+$U44),"CHECK: current rate is below the duty being replaced or displaced",IF(AND($L44="Y",$AD44=0),"NOTE: in scope, no quantity",IF(AND($L44="Y",$AF44="N"),"NOTE: in scope, no sell price (left out of margin %)",IF(AND($L44="Y",N(Items!H44)&gt;N(Items!K44)),"NOTE: customs value above standard cost (check unit of measure)",IF(AND($L44="Y",$Q44&gt;1),"NOTE: current rate above 100% (check it was entered as a percentage)","OK")))))))))))))))))))))))</f>
        <v/>
      </c>
      <c r="AK44" s="20">
        <f>IF($A44="","",IF(AND($L44="Y",$AE44&lt;&gt;0),ABS($AE44)+ROW()/1000000000,""))</f>
        <v/>
      </c>
      <c r="AL44" s="10">
        <f>IF($A44="","",UPPER($A44)&amp;"/"&amp;UPPER(TRIM(CLEAN(SUBSTITUTE(Items!C44&amp;""," "," ")))))</f>
        <v/>
      </c>
      <c r="AM44" s="13">
        <f>IF($A44="",0,SUMPRODUCT(MAX((scope_HTS&lt;&gt;"")*(LEFT($C44,LEN(scope_HTS))=scope_HTS)*(LEN(scope_HTS)*1000+ROW(scope_HTS)-4))))</f>
        <v/>
      </c>
      <c r="AN44" s="13">
        <f>IF($AM44=0,0,SUMPRODUCT((scope_HTS&lt;&gt;"")*(LEFT($C44,LEN(scope_HTS))=scope_HTS)*(LEN(scope_HTS)=INT($AM44/1000))))</f>
        <v/>
      </c>
      <c r="AO44" s="13">
        <f>IF($L44&lt;&gt;"Y",0,SUMPRODUCT(MAX(ISNUMBER(rate_Rate)*((UPPER(TRIM(CLEAN(SUBSTITUTE(rate_Group&amp;""," "," "))))="")+(UPPER(TRIM(CLEAN(SUBSTITUTE(rate_Group&amp;""," "," "))))=$N44)&gt;0)*((UPPER(TRIM(CLEAN(SUBSTITUTE(rate_COO&amp;""," "," "))))="")+(UPPER(TRIM(CLEAN(SUBSTITUTE(rate_COO&amp;""," "," "))))=$E44)&gt;0)*((UPPER(TRIM(CLEAN(SUBSTITUTE(rate_USMCA&amp;""," "," "))))="")+(UPPER(TRIM(CLEAN(SUBSTITUTE(rate_USMCA&amp;""," "," "))))=IF(UPPER(TRIM(CLEAN(SUBSTITUTE(Items!F44&amp;""," "," "))))="Y","Y","N"))&gt;0)*((1+(UPPER(TRIM(CLEAN(SUBSTITUTE(rate_Group&amp;""," "," "))))&lt;&gt;"")+2*(UPPER(TRIM(CLEAN(SUBSTITUTE(rate_USMCA&amp;""," "," "))))&lt;&gt;"")+4*(UPPER(TRIM(CLEAN(SUBSTITUTE(rate_COO&amp;""," "," "))))&lt;&gt;""))*100+ROW(rate_Rate)-4))))</f>
        <v/>
      </c>
      <c r="AP44" s="13">
        <f>IF($AO44=0,0,SUMPRODUCT(ISNUMBER(rate_Rate)*((UPPER(TRIM(CLEAN(SUBSTITUTE(rate_Group&amp;""," "," "))))="")+(UPPER(TRIM(CLEAN(SUBSTITUTE(rate_Group&amp;""," "," "))))=$N44)&gt;0)*((UPPER(TRIM(CLEAN(SUBSTITUTE(rate_COO&amp;""," "," "))))="")+(UPPER(TRIM(CLEAN(SUBSTITUTE(rate_COO&amp;""," "," "))))=$E44)&gt;0)*((UPPER(TRIM(CLEAN(SUBSTITUTE(rate_USMCA&amp;""," "," "))))="")+(UPPER(TRIM(CLEAN(SUBSTITUTE(rate_USMCA&amp;""," "," "))))=IF(UPPER(TRIM(CLEAN(SUBSTITUTE(Items!F44&amp;""," "," "))))="Y","Y","N"))&gt;0)*((1+(UPPER(TRIM(CLEAN(SUBSTITUTE(rate_Group&amp;""," "," "))))&lt;&gt;"")+2*(UPPER(TRIM(CLEAN(SUBSTITUTE(rate_USMCA&amp;""," "," "))))&lt;&gt;"")+4*(UPPER(TRIM(CLEAN(SUBSTITUTE(rate_COO&amp;""," "," "))))&lt;&gt;""))=INT($AO44/100))))</f>
        <v/>
      </c>
      <c r="AQ44" s="13">
        <f>IF($A44="",0,IFERROR(MATCH($AL44,det_Key,0),0))</f>
        <v/>
      </c>
    </row>
    <row r="45">
      <c r="A45" s="10">
        <f>IF(TRIM(CLEAN(SUBSTITUTE(Items!A45&amp;""," "," ")))="","",TRIM(CLEAN(SUBSTITUTE(Items!A45&amp;""," "," "))))</f>
        <v/>
      </c>
      <c r="B45" s="10">
        <f>IF($A45="","",Items!B45&amp;"")</f>
        <v/>
      </c>
      <c r="C45" s="10">
        <f>IF($A45="","",SUBSTITUTE(SUBSTITUTE(SUBSTITUTE(SUBSTITUTE(CLEAN(Items!D45&amp;"")," ",""),".","")," ",""),"-",""))</f>
        <v/>
      </c>
      <c r="D45" s="10">
        <f>IF($A45="","",LEFT($C45,2))</f>
        <v/>
      </c>
      <c r="E45" s="10">
        <f>IF($A45="","",UPPER(TRIM(CLEAN(SUBSTITUTE(Items!E45&amp;""," "," ")))))</f>
        <v/>
      </c>
      <c r="F45" s="10">
        <f>IF($A45="","",IF(UPPER(TRIM(CLEAN(SUBSTITUTE(Items!C45&amp;""," "," "))))=UPPER(TRIM(CLEAN(SUBSTITUTE(act_Country&amp;""," "," ")))),"Y","N"))</f>
        <v/>
      </c>
      <c r="G45" s="10">
        <f>IF($A45="","",IF($AM45&gt;0,"Y","N"))</f>
        <v/>
      </c>
      <c r="H45" s="10">
        <f>IF($A45="","",IF(SUMPRODUCT((excl_HTS&lt;&gt;"")*(LEFT($C45,LEN(excl_HTS))=excl_HTS))&gt;0,"Y","N"))</f>
        <v/>
      </c>
      <c r="I45" s="10">
        <f>IF($A45="","",IF($E45="","N",IF(SUMPRODUCT(--(UPPER(TRIM(CLEAN(SUBSTITUTE(scope_COO&amp;""," "," "))))=$E45))&gt;0,"Y","N")))</f>
        <v/>
      </c>
      <c r="J45" s="10">
        <f>IF($A45="","",IF(AND(UPPER(TRIM(CLEAN(SUBSTITUTE(act_USMCAExempt&amp;""," "," "))))="Y",UPPER(TRIM(CLEAN(SUBSTITUTE(Items!F45&amp;""," "," "))))="Y"),"Y","N"))</f>
        <v/>
      </c>
      <c r="K45" s="10">
        <f>IF($A45="","",IF($AQ45=0,"",UPPER(TRIM(CLEAN(SUBSTITUTE(INDEX(det_Status,$AQ45)&amp;""," "," "))))))</f>
        <v/>
      </c>
      <c r="L45" s="10">
        <f>IF($A45="","",IF($F45="N","N",IF($K45="IN","Y",IF($K45="OUT","N",IF(AND($G45="Y",$H45="N",$I45="Y",$J45="N"),"Y","N")))))</f>
        <v/>
      </c>
      <c r="M45" s="10">
        <f>IF($A45="","",IF($F45="N","Out: different import country",IF($K45="IN","In: Research determination",IF($K45="OUT","Out: Research determination",IF($G45="N","Out: HTS not on scope list",IF($H45="Y","Out: HTS on exclusion list",IF($I45="N","Out: origin not on scope list",IF($J45="Y","Out: USMCA-qualifying, exempt","In: matches scope rules"))))))))</f>
        <v/>
      </c>
      <c r="N45" s="10">
        <f>IF(OR($A45="",$AM45=0),"",UPPER(TRIM(CLEAN(SUBSTITUTE(INDEX(scope_Group,MOD($AM45,1000))&amp;""," "," ")))))</f>
        <v/>
      </c>
      <c r="O45" s="10">
        <f>IF($L45&lt;&gt;"Y","",IF($AO45=0,"Default (B15)",UPPER(TRIM(CLEAN(SUBSTITUTE(INDEX(rate_ID,MOD($AO45,100))&amp;""," "," "))))))</f>
        <v/>
      </c>
      <c r="P45" s="10">
        <f>IF($L45&lt;&gt;"Y","",IF($AO45=0,IF(UPPER(TRIM(CLEAN(SUBSTITUTE(act_DefaultBase&amp;""," "," "))))="PART","PART","FULL"),IF(UPPER(TRIM(CLEAN(SUBSTITUTE(INDEX(rate_Base,MOD($AO45,100))&amp;""," "," "))))="PART","PART","FULL")))</f>
        <v/>
      </c>
      <c r="Q45" s="17">
        <f>IF($A45="","",N(Items!J45))</f>
        <v/>
      </c>
      <c r="R45" s="17">
        <f>IF($A45="","",IF($L45&lt;&gt;"Y",0,IF($AO45=0,N(act_Rate),N(INDEX(rate_Rate,MOD($AO45,100))))))</f>
        <v/>
      </c>
      <c r="S45" s="17">
        <f>IF($A45="","",IF($L45&lt;&gt;"Y",0,IF($AO45=0,IF(UPPER(TRIM(CLEAN(SUBSTITUTE(act_RateType&amp;""," "," "))))="REPLACE",N(act_PriorRate),0),IF(ISNUMBER(INDEX(rate_Prior,MOD($AO45,100))),INDEX(rate_Prior,MOD($AO45,100)),IF(UPPER(TRIM(CLEAN(SUBSTITUTE(act_RateType&amp;""," "," "))))="REPLACE",N(act_PriorRate),0)))))</f>
        <v/>
      </c>
      <c r="T45" s="17">
        <f>IF($A45="","",IF(AND($L45="Y",$P45="PART",ISNUMBER(Items!M45)),Items!M45,1))</f>
        <v/>
      </c>
      <c r="U45" s="17">
        <f>IF($A45="","",IF($L45&lt;&gt;"Y",0,IF($AQ45&gt;0,IF(ISNUMBER(INDEX(det_Displaced,$AQ45)),INDEX(det_Displaced,$AQ45),IF($AO45=0,0,N(INDEX(rate_Displaced,MOD($AO45,100))))),IF($AO45=0,0,N(INDEX(rate_Displaced,MOD($AO45,100)))))))</f>
        <v/>
      </c>
      <c r="V45" s="17">
        <f>IF($A45="","",IF($L45="Y",$Q45+$T45*($R45-$S45)-$U45,$Q45))</f>
        <v/>
      </c>
      <c r="W45" s="18">
        <f>IF($A45="","",N(Items!H45)*$Q45)</f>
        <v/>
      </c>
      <c r="X45" s="18">
        <f>IF($A45="","",N(Items!H45)*$V45)</f>
        <v/>
      </c>
      <c r="Y45" s="18">
        <f>IF($A45="","",$X45-$W45)</f>
        <v/>
      </c>
      <c r="Z45" s="18">
        <f>IF($A45="","",N(Items!K45)+$Y45)</f>
        <v/>
      </c>
      <c r="AA45" s="17">
        <f>IF($A45="","",IF(N(Items!L45)=0,"",(N(Items!L45)-N(Items!K45))/N(Items!L45)))</f>
        <v/>
      </c>
      <c r="AB45" s="17">
        <f>IF($A45="","",IF(N(Items!L45)=0,"",(N(Items!L45)-$Z45)/N(Items!L45)))</f>
        <v/>
      </c>
      <c r="AC45" s="17">
        <f>IF(OR($AA45="",$AB45=""),"",$AB45-$AA45)</f>
        <v/>
      </c>
      <c r="AD45" s="13">
        <f>IF($A45="","",N(Items!I45))</f>
        <v/>
      </c>
      <c r="AE45" s="19">
        <f>IF($A45="","",$Y45*$AD45)</f>
        <v/>
      </c>
      <c r="AF45" s="10">
        <f>IF($A45="","",IF(N(Items!L45)&gt;0,"Y","N"))</f>
        <v/>
      </c>
      <c r="AG45" s="19">
        <f>IF($A45="","",IF($AF45="Y",N(Items!L45)*$AD45,0))</f>
        <v/>
      </c>
      <c r="AH45" s="19">
        <f>IF($A45="","",IF($AF45="Y",(N(Items!L45)-N(Items!K45))*$AD45,0))</f>
        <v/>
      </c>
      <c r="AI45" s="19">
        <f>IF($A45="","",IF($AF45="Y",$AH45-$AE45,0))</f>
        <v/>
      </c>
      <c r="AJ45" s="10">
        <f>IF($A45="","",IF(COUNTIF($AL$5:$AL$254,$AL45)&gt;1,"CHECK: duplicate item and import country",IF(TRIM(CLEAN(SUBSTITUTE(Items!C45&amp;""," "," ")))="","CHECK: import country missing",IF(AND(UPPER(TRIM(CLEAN(SUBSTITUTE(Items!C45&amp;""," "," "))))&lt;&gt;"US",UPPER(TRIM(CLEAN(SUBSTITUTE(Items!C45&amp;""," "," "))))&lt;&gt;"CA",UPPER(TRIM(CLEAN(SUBSTITUTE(Items!C45&amp;""," "," "))))&lt;&gt;"MX"),"CHECK: import country must be US, CA or MX",IF(NOT(AND(LEN($C45)=10,IFERROR(TEXT(VALUE($C45),REPT("0",LEN($C45)))=$C45,FALSE))),"CHECK: HTS must be 10 digits",IF(LEN($E45)&lt;&gt;2,"CHECK: origin code missing or not 2 letters",IF(TRIM(CLEAN(SUBSTITUTE(Items!G45&amp;""," "," ")))="","CHECK: unit of measure missing",IF(OR(Items!H45="",Items!J45="",Items!K45=""),"CHECK: value, rate or cost missing",IF(OR(NOT(ISNUMBER(Items!H45)),NOT(ISNUMBER(Items!J45)),NOT(ISNUMBER(Items!K45)),AND(Items!I45&lt;&gt;"",NOT(ISNUMBER(Items!I45))),AND(Items!L45&lt;&gt;"",NOT(ISNUMBER(Items!L45))),AND(Items!M45&lt;&gt;"",NOT(ISNUMBER(Items!M45)))),"CHECK: text in a number column",IF(AND(ISNUMBER(Items!M45),OR(N(Items!M45)&lt;0,N(Items!M45)&gt;1)),"CHECK: dutiable share must be 0% to 100%",IF(AND(UPPER(TRIM(CLEAN(SUBSTITUTE(Items!F45&amp;""," "," "))))&lt;&gt;"",UPPER(TRIM(CLEAN(SUBSTITUTE(Items!F45&amp;""," "," "))))&lt;&gt;"Y",UPPER(TRIM(CLEAN(SUBSTITUTE(Items!F45&amp;""," "," "))))&lt;&gt;"N"),"CHECK: USMCA flag must be Y, N or blank",IF(AND(UPPER(TRIM(CLEAN(SUBSTITUTE(Items!F45&amp;""," "," "))))="Y",$E45&lt;&gt;"US",$E45&lt;&gt;"CA",$E45&lt;&gt;"MX"),"CHECK: USMCA flag on an origin other than US, CA or MX",IF(AND($L45="Y",$AO45=0,NOT(ISNUMBER(act_Rate))),"CHECK: in scope but no rate (add a rate line or B15)",IF(AND($L45="Y",UPPER(TRIM(CLEAN(SUBSTITUTE(act_RateType&amp;""," "," "))))="REPLACE",NOT(ISNUMBER(act_PriorRate)),IF($AO45=0,TRUE,NOT(ISNUMBER(INDEX(rate_Prior,MOD($AO45,100)))))),"CHECK: REPLACE but no earlier rate (B17 or the rate line's AD)",IF(AND($L45="Y",$AP45&gt;1),"CHECK: two rate lines match equally",IF(AND($L45="Y",$AN45&gt;1),"CHECK: HTS prefix listed twice on the scope list",IF(AND($L45="Y",$P45="PART",NOT(ISNUMBER(Items!M45))),"CHECK: dutiable share missing (PART base)",IF(AND($L45="Y",$P45="FULL",ISNUMBER(Items!M45),N(Items!M45)&lt;&gt;1),"CHECK: dutiable share entered, but the rate taxes the full value",IF(AND($L45="Y",$Q45+0.0000001&lt;$T45*$S45+$U45),"CHECK: current rate is below the duty being replaced or displaced",IF(AND($L45="Y",$AD45=0),"NOTE: in scope, no quantity",IF(AND($L45="Y",$AF45="N"),"NOTE: in scope, no sell price (left out of margin %)",IF(AND($L45="Y",N(Items!H45)&gt;N(Items!K45)),"NOTE: customs value above standard cost (check unit of measure)",IF(AND($L45="Y",$Q45&gt;1),"NOTE: current rate above 100% (check it was entered as a percentage)","OK")))))))))))))))))))))))</f>
        <v/>
      </c>
      <c r="AK45" s="20">
        <f>IF($A45="","",IF(AND($L45="Y",$AE45&lt;&gt;0),ABS($AE45)+ROW()/1000000000,""))</f>
        <v/>
      </c>
      <c r="AL45" s="10">
        <f>IF($A45="","",UPPER($A45)&amp;"/"&amp;UPPER(TRIM(CLEAN(SUBSTITUTE(Items!C45&amp;""," "," ")))))</f>
        <v/>
      </c>
      <c r="AM45" s="13">
        <f>IF($A45="",0,SUMPRODUCT(MAX((scope_HTS&lt;&gt;"")*(LEFT($C45,LEN(scope_HTS))=scope_HTS)*(LEN(scope_HTS)*1000+ROW(scope_HTS)-4))))</f>
        <v/>
      </c>
      <c r="AN45" s="13">
        <f>IF($AM45=0,0,SUMPRODUCT((scope_HTS&lt;&gt;"")*(LEFT($C45,LEN(scope_HTS))=scope_HTS)*(LEN(scope_HTS)=INT($AM45/1000))))</f>
        <v/>
      </c>
      <c r="AO45" s="13">
        <f>IF($L45&lt;&gt;"Y",0,SUMPRODUCT(MAX(ISNUMBER(rate_Rate)*((UPPER(TRIM(CLEAN(SUBSTITUTE(rate_Group&amp;""," "," "))))="")+(UPPER(TRIM(CLEAN(SUBSTITUTE(rate_Group&amp;""," "," "))))=$N45)&gt;0)*((UPPER(TRIM(CLEAN(SUBSTITUTE(rate_COO&amp;""," "," "))))="")+(UPPER(TRIM(CLEAN(SUBSTITUTE(rate_COO&amp;""," "," "))))=$E45)&gt;0)*((UPPER(TRIM(CLEAN(SUBSTITUTE(rate_USMCA&amp;""," "," "))))="")+(UPPER(TRIM(CLEAN(SUBSTITUTE(rate_USMCA&amp;""," "," "))))=IF(UPPER(TRIM(CLEAN(SUBSTITUTE(Items!F45&amp;""," "," "))))="Y","Y","N"))&gt;0)*((1+(UPPER(TRIM(CLEAN(SUBSTITUTE(rate_Group&amp;""," "," "))))&lt;&gt;"")+2*(UPPER(TRIM(CLEAN(SUBSTITUTE(rate_USMCA&amp;""," "," "))))&lt;&gt;"")+4*(UPPER(TRIM(CLEAN(SUBSTITUTE(rate_COO&amp;""," "," "))))&lt;&gt;""))*100+ROW(rate_Rate)-4))))</f>
        <v/>
      </c>
      <c r="AP45" s="13">
        <f>IF($AO45=0,0,SUMPRODUCT(ISNUMBER(rate_Rate)*((UPPER(TRIM(CLEAN(SUBSTITUTE(rate_Group&amp;""," "," "))))="")+(UPPER(TRIM(CLEAN(SUBSTITUTE(rate_Group&amp;""," "," "))))=$N45)&gt;0)*((UPPER(TRIM(CLEAN(SUBSTITUTE(rate_COO&amp;""," "," "))))="")+(UPPER(TRIM(CLEAN(SUBSTITUTE(rate_COO&amp;""," "," "))))=$E45)&gt;0)*((UPPER(TRIM(CLEAN(SUBSTITUTE(rate_USMCA&amp;""," "," "))))="")+(UPPER(TRIM(CLEAN(SUBSTITUTE(rate_USMCA&amp;""," "," "))))=IF(UPPER(TRIM(CLEAN(SUBSTITUTE(Items!F45&amp;""," "," "))))="Y","Y","N"))&gt;0)*((1+(UPPER(TRIM(CLEAN(SUBSTITUTE(rate_Group&amp;""," "," "))))&lt;&gt;"")+2*(UPPER(TRIM(CLEAN(SUBSTITUTE(rate_USMCA&amp;""," "," "))))&lt;&gt;"")+4*(UPPER(TRIM(CLEAN(SUBSTITUTE(rate_COO&amp;""," "," "))))&lt;&gt;""))=INT($AO45/100))))</f>
        <v/>
      </c>
      <c r="AQ45" s="13">
        <f>IF($A45="",0,IFERROR(MATCH($AL45,det_Key,0),0))</f>
        <v/>
      </c>
    </row>
    <row r="46">
      <c r="A46" s="10">
        <f>IF(TRIM(CLEAN(SUBSTITUTE(Items!A46&amp;""," "," ")))="","",TRIM(CLEAN(SUBSTITUTE(Items!A46&amp;""," "," "))))</f>
        <v/>
      </c>
      <c r="B46" s="10">
        <f>IF($A46="","",Items!B46&amp;"")</f>
        <v/>
      </c>
      <c r="C46" s="10">
        <f>IF($A46="","",SUBSTITUTE(SUBSTITUTE(SUBSTITUTE(SUBSTITUTE(CLEAN(Items!D46&amp;"")," ",""),".","")," ",""),"-",""))</f>
        <v/>
      </c>
      <c r="D46" s="10">
        <f>IF($A46="","",LEFT($C46,2))</f>
        <v/>
      </c>
      <c r="E46" s="10">
        <f>IF($A46="","",UPPER(TRIM(CLEAN(SUBSTITUTE(Items!E46&amp;""," "," ")))))</f>
        <v/>
      </c>
      <c r="F46" s="10">
        <f>IF($A46="","",IF(UPPER(TRIM(CLEAN(SUBSTITUTE(Items!C46&amp;""," "," "))))=UPPER(TRIM(CLEAN(SUBSTITUTE(act_Country&amp;""," "," ")))),"Y","N"))</f>
        <v/>
      </c>
      <c r="G46" s="10">
        <f>IF($A46="","",IF($AM46&gt;0,"Y","N"))</f>
        <v/>
      </c>
      <c r="H46" s="10">
        <f>IF($A46="","",IF(SUMPRODUCT((excl_HTS&lt;&gt;"")*(LEFT($C46,LEN(excl_HTS))=excl_HTS))&gt;0,"Y","N"))</f>
        <v/>
      </c>
      <c r="I46" s="10">
        <f>IF($A46="","",IF($E46="","N",IF(SUMPRODUCT(--(UPPER(TRIM(CLEAN(SUBSTITUTE(scope_COO&amp;""," "," "))))=$E46))&gt;0,"Y","N")))</f>
        <v/>
      </c>
      <c r="J46" s="10">
        <f>IF($A46="","",IF(AND(UPPER(TRIM(CLEAN(SUBSTITUTE(act_USMCAExempt&amp;""," "," "))))="Y",UPPER(TRIM(CLEAN(SUBSTITUTE(Items!F46&amp;""," "," "))))="Y"),"Y","N"))</f>
        <v/>
      </c>
      <c r="K46" s="10">
        <f>IF($A46="","",IF($AQ46=0,"",UPPER(TRIM(CLEAN(SUBSTITUTE(INDEX(det_Status,$AQ46)&amp;""," "," "))))))</f>
        <v/>
      </c>
      <c r="L46" s="10">
        <f>IF($A46="","",IF($F46="N","N",IF($K46="IN","Y",IF($K46="OUT","N",IF(AND($G46="Y",$H46="N",$I46="Y",$J46="N"),"Y","N")))))</f>
        <v/>
      </c>
      <c r="M46" s="10">
        <f>IF($A46="","",IF($F46="N","Out: different import country",IF($K46="IN","In: Research determination",IF($K46="OUT","Out: Research determination",IF($G46="N","Out: HTS not on scope list",IF($H46="Y","Out: HTS on exclusion list",IF($I46="N","Out: origin not on scope list",IF($J46="Y","Out: USMCA-qualifying, exempt","In: matches scope rules"))))))))</f>
        <v/>
      </c>
      <c r="N46" s="10">
        <f>IF(OR($A46="",$AM46=0),"",UPPER(TRIM(CLEAN(SUBSTITUTE(INDEX(scope_Group,MOD($AM46,1000))&amp;""," "," ")))))</f>
        <v/>
      </c>
      <c r="O46" s="10">
        <f>IF($L46&lt;&gt;"Y","",IF($AO46=0,"Default (B15)",UPPER(TRIM(CLEAN(SUBSTITUTE(INDEX(rate_ID,MOD($AO46,100))&amp;""," "," "))))))</f>
        <v/>
      </c>
      <c r="P46" s="10">
        <f>IF($L46&lt;&gt;"Y","",IF($AO46=0,IF(UPPER(TRIM(CLEAN(SUBSTITUTE(act_DefaultBase&amp;""," "," "))))="PART","PART","FULL"),IF(UPPER(TRIM(CLEAN(SUBSTITUTE(INDEX(rate_Base,MOD($AO46,100))&amp;""," "," "))))="PART","PART","FULL")))</f>
        <v/>
      </c>
      <c r="Q46" s="17">
        <f>IF($A46="","",N(Items!J46))</f>
        <v/>
      </c>
      <c r="R46" s="17">
        <f>IF($A46="","",IF($L46&lt;&gt;"Y",0,IF($AO46=0,N(act_Rate),N(INDEX(rate_Rate,MOD($AO46,100))))))</f>
        <v/>
      </c>
      <c r="S46" s="17">
        <f>IF($A46="","",IF($L46&lt;&gt;"Y",0,IF($AO46=0,IF(UPPER(TRIM(CLEAN(SUBSTITUTE(act_RateType&amp;""," "," "))))="REPLACE",N(act_PriorRate),0),IF(ISNUMBER(INDEX(rate_Prior,MOD($AO46,100))),INDEX(rate_Prior,MOD($AO46,100)),IF(UPPER(TRIM(CLEAN(SUBSTITUTE(act_RateType&amp;""," "," "))))="REPLACE",N(act_PriorRate),0)))))</f>
        <v/>
      </c>
      <c r="T46" s="17">
        <f>IF($A46="","",IF(AND($L46="Y",$P46="PART",ISNUMBER(Items!M46)),Items!M46,1))</f>
        <v/>
      </c>
      <c r="U46" s="17">
        <f>IF($A46="","",IF($L46&lt;&gt;"Y",0,IF($AQ46&gt;0,IF(ISNUMBER(INDEX(det_Displaced,$AQ46)),INDEX(det_Displaced,$AQ46),IF($AO46=0,0,N(INDEX(rate_Displaced,MOD($AO46,100))))),IF($AO46=0,0,N(INDEX(rate_Displaced,MOD($AO46,100)))))))</f>
        <v/>
      </c>
      <c r="V46" s="17">
        <f>IF($A46="","",IF($L46="Y",$Q46+$T46*($R46-$S46)-$U46,$Q46))</f>
        <v/>
      </c>
      <c r="W46" s="18">
        <f>IF($A46="","",N(Items!H46)*$Q46)</f>
        <v/>
      </c>
      <c r="X46" s="18">
        <f>IF($A46="","",N(Items!H46)*$V46)</f>
        <v/>
      </c>
      <c r="Y46" s="18">
        <f>IF($A46="","",$X46-$W46)</f>
        <v/>
      </c>
      <c r="Z46" s="18">
        <f>IF($A46="","",N(Items!K46)+$Y46)</f>
        <v/>
      </c>
      <c r="AA46" s="17">
        <f>IF($A46="","",IF(N(Items!L46)=0,"",(N(Items!L46)-N(Items!K46))/N(Items!L46)))</f>
        <v/>
      </c>
      <c r="AB46" s="17">
        <f>IF($A46="","",IF(N(Items!L46)=0,"",(N(Items!L46)-$Z46)/N(Items!L46)))</f>
        <v/>
      </c>
      <c r="AC46" s="17">
        <f>IF(OR($AA46="",$AB46=""),"",$AB46-$AA46)</f>
        <v/>
      </c>
      <c r="AD46" s="13">
        <f>IF($A46="","",N(Items!I46))</f>
        <v/>
      </c>
      <c r="AE46" s="19">
        <f>IF($A46="","",$Y46*$AD46)</f>
        <v/>
      </c>
      <c r="AF46" s="10">
        <f>IF($A46="","",IF(N(Items!L46)&gt;0,"Y","N"))</f>
        <v/>
      </c>
      <c r="AG46" s="19">
        <f>IF($A46="","",IF($AF46="Y",N(Items!L46)*$AD46,0))</f>
        <v/>
      </c>
      <c r="AH46" s="19">
        <f>IF($A46="","",IF($AF46="Y",(N(Items!L46)-N(Items!K46))*$AD46,0))</f>
        <v/>
      </c>
      <c r="AI46" s="19">
        <f>IF($A46="","",IF($AF46="Y",$AH46-$AE46,0))</f>
        <v/>
      </c>
      <c r="AJ46" s="10">
        <f>IF($A46="","",IF(COUNTIF($AL$5:$AL$254,$AL46)&gt;1,"CHECK: duplicate item and import country",IF(TRIM(CLEAN(SUBSTITUTE(Items!C46&amp;""," "," ")))="","CHECK: import country missing",IF(AND(UPPER(TRIM(CLEAN(SUBSTITUTE(Items!C46&amp;""," "," "))))&lt;&gt;"US",UPPER(TRIM(CLEAN(SUBSTITUTE(Items!C46&amp;""," "," "))))&lt;&gt;"CA",UPPER(TRIM(CLEAN(SUBSTITUTE(Items!C46&amp;""," "," "))))&lt;&gt;"MX"),"CHECK: import country must be US, CA or MX",IF(NOT(AND(LEN($C46)=10,IFERROR(TEXT(VALUE($C46),REPT("0",LEN($C46)))=$C46,FALSE))),"CHECK: HTS must be 10 digits",IF(LEN($E46)&lt;&gt;2,"CHECK: origin code missing or not 2 letters",IF(TRIM(CLEAN(SUBSTITUTE(Items!G46&amp;""," "," ")))="","CHECK: unit of measure missing",IF(OR(Items!H46="",Items!J46="",Items!K46=""),"CHECK: value, rate or cost missing",IF(OR(NOT(ISNUMBER(Items!H46)),NOT(ISNUMBER(Items!J46)),NOT(ISNUMBER(Items!K46)),AND(Items!I46&lt;&gt;"",NOT(ISNUMBER(Items!I46))),AND(Items!L46&lt;&gt;"",NOT(ISNUMBER(Items!L46))),AND(Items!M46&lt;&gt;"",NOT(ISNUMBER(Items!M46)))),"CHECK: text in a number column",IF(AND(ISNUMBER(Items!M46),OR(N(Items!M46)&lt;0,N(Items!M46)&gt;1)),"CHECK: dutiable share must be 0% to 100%",IF(AND(UPPER(TRIM(CLEAN(SUBSTITUTE(Items!F46&amp;""," "," "))))&lt;&gt;"",UPPER(TRIM(CLEAN(SUBSTITUTE(Items!F46&amp;""," "," "))))&lt;&gt;"Y",UPPER(TRIM(CLEAN(SUBSTITUTE(Items!F46&amp;""," "," "))))&lt;&gt;"N"),"CHECK: USMCA flag must be Y, N or blank",IF(AND(UPPER(TRIM(CLEAN(SUBSTITUTE(Items!F46&amp;""," "," "))))="Y",$E46&lt;&gt;"US",$E46&lt;&gt;"CA",$E46&lt;&gt;"MX"),"CHECK: USMCA flag on an origin other than US, CA or MX",IF(AND($L46="Y",$AO46=0,NOT(ISNUMBER(act_Rate))),"CHECK: in scope but no rate (add a rate line or B15)",IF(AND($L46="Y",UPPER(TRIM(CLEAN(SUBSTITUTE(act_RateType&amp;""," "," "))))="REPLACE",NOT(ISNUMBER(act_PriorRate)),IF($AO46=0,TRUE,NOT(ISNUMBER(INDEX(rate_Prior,MOD($AO46,100)))))),"CHECK: REPLACE but no earlier rate (B17 or the rate line's AD)",IF(AND($L46="Y",$AP46&gt;1),"CHECK: two rate lines match equally",IF(AND($L46="Y",$AN46&gt;1),"CHECK: HTS prefix listed twice on the scope list",IF(AND($L46="Y",$P46="PART",NOT(ISNUMBER(Items!M46))),"CHECK: dutiable share missing (PART base)",IF(AND($L46="Y",$P46="FULL",ISNUMBER(Items!M46),N(Items!M46)&lt;&gt;1),"CHECK: dutiable share entered, but the rate taxes the full value",IF(AND($L46="Y",$Q46+0.0000001&lt;$T46*$S46+$U46),"CHECK: current rate is below the duty being replaced or displaced",IF(AND($L46="Y",$AD46=0),"NOTE: in scope, no quantity",IF(AND($L46="Y",$AF46="N"),"NOTE: in scope, no sell price (left out of margin %)",IF(AND($L46="Y",N(Items!H46)&gt;N(Items!K46)),"NOTE: customs value above standard cost (check unit of measure)",IF(AND($L46="Y",$Q46&gt;1),"NOTE: current rate above 100% (check it was entered as a percentage)","OK")))))))))))))))))))))))</f>
        <v/>
      </c>
      <c r="AK46" s="20">
        <f>IF($A46="","",IF(AND($L46="Y",$AE46&lt;&gt;0),ABS($AE46)+ROW()/1000000000,""))</f>
        <v/>
      </c>
      <c r="AL46" s="10">
        <f>IF($A46="","",UPPER($A46)&amp;"/"&amp;UPPER(TRIM(CLEAN(SUBSTITUTE(Items!C46&amp;""," "," ")))))</f>
        <v/>
      </c>
      <c r="AM46" s="13">
        <f>IF($A46="",0,SUMPRODUCT(MAX((scope_HTS&lt;&gt;"")*(LEFT($C46,LEN(scope_HTS))=scope_HTS)*(LEN(scope_HTS)*1000+ROW(scope_HTS)-4))))</f>
        <v/>
      </c>
      <c r="AN46" s="13">
        <f>IF($AM46=0,0,SUMPRODUCT((scope_HTS&lt;&gt;"")*(LEFT($C46,LEN(scope_HTS))=scope_HTS)*(LEN(scope_HTS)=INT($AM46/1000))))</f>
        <v/>
      </c>
      <c r="AO46" s="13">
        <f>IF($L46&lt;&gt;"Y",0,SUMPRODUCT(MAX(ISNUMBER(rate_Rate)*((UPPER(TRIM(CLEAN(SUBSTITUTE(rate_Group&amp;""," "," "))))="")+(UPPER(TRIM(CLEAN(SUBSTITUTE(rate_Group&amp;""," "," "))))=$N46)&gt;0)*((UPPER(TRIM(CLEAN(SUBSTITUTE(rate_COO&amp;""," "," "))))="")+(UPPER(TRIM(CLEAN(SUBSTITUTE(rate_COO&amp;""," "," "))))=$E46)&gt;0)*((UPPER(TRIM(CLEAN(SUBSTITUTE(rate_USMCA&amp;""," "," "))))="")+(UPPER(TRIM(CLEAN(SUBSTITUTE(rate_USMCA&amp;""," "," "))))=IF(UPPER(TRIM(CLEAN(SUBSTITUTE(Items!F46&amp;""," "," "))))="Y","Y","N"))&gt;0)*((1+(UPPER(TRIM(CLEAN(SUBSTITUTE(rate_Group&amp;""," "," "))))&lt;&gt;"")+2*(UPPER(TRIM(CLEAN(SUBSTITUTE(rate_USMCA&amp;""," "," "))))&lt;&gt;"")+4*(UPPER(TRIM(CLEAN(SUBSTITUTE(rate_COO&amp;""," "," "))))&lt;&gt;""))*100+ROW(rate_Rate)-4))))</f>
        <v/>
      </c>
      <c r="AP46" s="13">
        <f>IF($AO46=0,0,SUMPRODUCT(ISNUMBER(rate_Rate)*((UPPER(TRIM(CLEAN(SUBSTITUTE(rate_Group&amp;""," "," "))))="")+(UPPER(TRIM(CLEAN(SUBSTITUTE(rate_Group&amp;""," "," "))))=$N46)&gt;0)*((UPPER(TRIM(CLEAN(SUBSTITUTE(rate_COO&amp;""," "," "))))="")+(UPPER(TRIM(CLEAN(SUBSTITUTE(rate_COO&amp;""," "," "))))=$E46)&gt;0)*((UPPER(TRIM(CLEAN(SUBSTITUTE(rate_USMCA&amp;""," "," "))))="")+(UPPER(TRIM(CLEAN(SUBSTITUTE(rate_USMCA&amp;""," "," "))))=IF(UPPER(TRIM(CLEAN(SUBSTITUTE(Items!F46&amp;""," "," "))))="Y","Y","N"))&gt;0)*((1+(UPPER(TRIM(CLEAN(SUBSTITUTE(rate_Group&amp;""," "," "))))&lt;&gt;"")+2*(UPPER(TRIM(CLEAN(SUBSTITUTE(rate_USMCA&amp;""," "," "))))&lt;&gt;"")+4*(UPPER(TRIM(CLEAN(SUBSTITUTE(rate_COO&amp;""," "," "))))&lt;&gt;""))=INT($AO46/100))))</f>
        <v/>
      </c>
      <c r="AQ46" s="13">
        <f>IF($A46="",0,IFERROR(MATCH($AL46,det_Key,0),0))</f>
        <v/>
      </c>
    </row>
    <row r="47">
      <c r="A47" s="10">
        <f>IF(TRIM(CLEAN(SUBSTITUTE(Items!A47&amp;""," "," ")))="","",TRIM(CLEAN(SUBSTITUTE(Items!A47&amp;""," "," "))))</f>
        <v/>
      </c>
      <c r="B47" s="10">
        <f>IF($A47="","",Items!B47&amp;"")</f>
        <v/>
      </c>
      <c r="C47" s="10">
        <f>IF($A47="","",SUBSTITUTE(SUBSTITUTE(SUBSTITUTE(SUBSTITUTE(CLEAN(Items!D47&amp;"")," ",""),".","")," ",""),"-",""))</f>
        <v/>
      </c>
      <c r="D47" s="10">
        <f>IF($A47="","",LEFT($C47,2))</f>
        <v/>
      </c>
      <c r="E47" s="10">
        <f>IF($A47="","",UPPER(TRIM(CLEAN(SUBSTITUTE(Items!E47&amp;""," "," ")))))</f>
        <v/>
      </c>
      <c r="F47" s="10">
        <f>IF($A47="","",IF(UPPER(TRIM(CLEAN(SUBSTITUTE(Items!C47&amp;""," "," "))))=UPPER(TRIM(CLEAN(SUBSTITUTE(act_Country&amp;""," "," ")))),"Y","N"))</f>
        <v/>
      </c>
      <c r="G47" s="10">
        <f>IF($A47="","",IF($AM47&gt;0,"Y","N"))</f>
        <v/>
      </c>
      <c r="H47" s="10">
        <f>IF($A47="","",IF(SUMPRODUCT((excl_HTS&lt;&gt;"")*(LEFT($C47,LEN(excl_HTS))=excl_HTS))&gt;0,"Y","N"))</f>
        <v/>
      </c>
      <c r="I47" s="10">
        <f>IF($A47="","",IF($E47="","N",IF(SUMPRODUCT(--(UPPER(TRIM(CLEAN(SUBSTITUTE(scope_COO&amp;""," "," "))))=$E47))&gt;0,"Y","N")))</f>
        <v/>
      </c>
      <c r="J47" s="10">
        <f>IF($A47="","",IF(AND(UPPER(TRIM(CLEAN(SUBSTITUTE(act_USMCAExempt&amp;""," "," "))))="Y",UPPER(TRIM(CLEAN(SUBSTITUTE(Items!F47&amp;""," "," "))))="Y"),"Y","N"))</f>
        <v/>
      </c>
      <c r="K47" s="10">
        <f>IF($A47="","",IF($AQ47=0,"",UPPER(TRIM(CLEAN(SUBSTITUTE(INDEX(det_Status,$AQ47)&amp;""," "," "))))))</f>
        <v/>
      </c>
      <c r="L47" s="10">
        <f>IF($A47="","",IF($F47="N","N",IF($K47="IN","Y",IF($K47="OUT","N",IF(AND($G47="Y",$H47="N",$I47="Y",$J47="N"),"Y","N")))))</f>
        <v/>
      </c>
      <c r="M47" s="10">
        <f>IF($A47="","",IF($F47="N","Out: different import country",IF($K47="IN","In: Research determination",IF($K47="OUT","Out: Research determination",IF($G47="N","Out: HTS not on scope list",IF($H47="Y","Out: HTS on exclusion list",IF($I47="N","Out: origin not on scope list",IF($J47="Y","Out: USMCA-qualifying, exempt","In: matches scope rules"))))))))</f>
        <v/>
      </c>
      <c r="N47" s="10">
        <f>IF(OR($A47="",$AM47=0),"",UPPER(TRIM(CLEAN(SUBSTITUTE(INDEX(scope_Group,MOD($AM47,1000))&amp;""," "," ")))))</f>
        <v/>
      </c>
      <c r="O47" s="10">
        <f>IF($L47&lt;&gt;"Y","",IF($AO47=0,"Default (B15)",UPPER(TRIM(CLEAN(SUBSTITUTE(INDEX(rate_ID,MOD($AO47,100))&amp;""," "," "))))))</f>
        <v/>
      </c>
      <c r="P47" s="10">
        <f>IF($L47&lt;&gt;"Y","",IF($AO47=0,IF(UPPER(TRIM(CLEAN(SUBSTITUTE(act_DefaultBase&amp;""," "," "))))="PART","PART","FULL"),IF(UPPER(TRIM(CLEAN(SUBSTITUTE(INDEX(rate_Base,MOD($AO47,100))&amp;""," "," "))))="PART","PART","FULL")))</f>
        <v/>
      </c>
      <c r="Q47" s="17">
        <f>IF($A47="","",N(Items!J47))</f>
        <v/>
      </c>
      <c r="R47" s="17">
        <f>IF($A47="","",IF($L47&lt;&gt;"Y",0,IF($AO47=0,N(act_Rate),N(INDEX(rate_Rate,MOD($AO47,100))))))</f>
        <v/>
      </c>
      <c r="S47" s="17">
        <f>IF($A47="","",IF($L47&lt;&gt;"Y",0,IF($AO47=0,IF(UPPER(TRIM(CLEAN(SUBSTITUTE(act_RateType&amp;""," "," "))))="REPLACE",N(act_PriorRate),0),IF(ISNUMBER(INDEX(rate_Prior,MOD($AO47,100))),INDEX(rate_Prior,MOD($AO47,100)),IF(UPPER(TRIM(CLEAN(SUBSTITUTE(act_RateType&amp;""," "," "))))="REPLACE",N(act_PriorRate),0)))))</f>
        <v/>
      </c>
      <c r="T47" s="17">
        <f>IF($A47="","",IF(AND($L47="Y",$P47="PART",ISNUMBER(Items!M47)),Items!M47,1))</f>
        <v/>
      </c>
      <c r="U47" s="17">
        <f>IF($A47="","",IF($L47&lt;&gt;"Y",0,IF($AQ47&gt;0,IF(ISNUMBER(INDEX(det_Displaced,$AQ47)),INDEX(det_Displaced,$AQ47),IF($AO47=0,0,N(INDEX(rate_Displaced,MOD($AO47,100))))),IF($AO47=0,0,N(INDEX(rate_Displaced,MOD($AO47,100)))))))</f>
        <v/>
      </c>
      <c r="V47" s="17">
        <f>IF($A47="","",IF($L47="Y",$Q47+$T47*($R47-$S47)-$U47,$Q47))</f>
        <v/>
      </c>
      <c r="W47" s="18">
        <f>IF($A47="","",N(Items!H47)*$Q47)</f>
        <v/>
      </c>
      <c r="X47" s="18">
        <f>IF($A47="","",N(Items!H47)*$V47)</f>
        <v/>
      </c>
      <c r="Y47" s="18">
        <f>IF($A47="","",$X47-$W47)</f>
        <v/>
      </c>
      <c r="Z47" s="18">
        <f>IF($A47="","",N(Items!K47)+$Y47)</f>
        <v/>
      </c>
      <c r="AA47" s="17">
        <f>IF($A47="","",IF(N(Items!L47)=0,"",(N(Items!L47)-N(Items!K47))/N(Items!L47)))</f>
        <v/>
      </c>
      <c r="AB47" s="17">
        <f>IF($A47="","",IF(N(Items!L47)=0,"",(N(Items!L47)-$Z47)/N(Items!L47)))</f>
        <v/>
      </c>
      <c r="AC47" s="17">
        <f>IF(OR($AA47="",$AB47=""),"",$AB47-$AA47)</f>
        <v/>
      </c>
      <c r="AD47" s="13">
        <f>IF($A47="","",N(Items!I47))</f>
        <v/>
      </c>
      <c r="AE47" s="19">
        <f>IF($A47="","",$Y47*$AD47)</f>
        <v/>
      </c>
      <c r="AF47" s="10">
        <f>IF($A47="","",IF(N(Items!L47)&gt;0,"Y","N"))</f>
        <v/>
      </c>
      <c r="AG47" s="19">
        <f>IF($A47="","",IF($AF47="Y",N(Items!L47)*$AD47,0))</f>
        <v/>
      </c>
      <c r="AH47" s="19">
        <f>IF($A47="","",IF($AF47="Y",(N(Items!L47)-N(Items!K47))*$AD47,0))</f>
        <v/>
      </c>
      <c r="AI47" s="19">
        <f>IF($A47="","",IF($AF47="Y",$AH47-$AE47,0))</f>
        <v/>
      </c>
      <c r="AJ47" s="10">
        <f>IF($A47="","",IF(COUNTIF($AL$5:$AL$254,$AL47)&gt;1,"CHECK: duplicate item and import country",IF(TRIM(CLEAN(SUBSTITUTE(Items!C47&amp;""," "," ")))="","CHECK: import country missing",IF(AND(UPPER(TRIM(CLEAN(SUBSTITUTE(Items!C47&amp;""," "," "))))&lt;&gt;"US",UPPER(TRIM(CLEAN(SUBSTITUTE(Items!C47&amp;""," "," "))))&lt;&gt;"CA",UPPER(TRIM(CLEAN(SUBSTITUTE(Items!C47&amp;""," "," "))))&lt;&gt;"MX"),"CHECK: import country must be US, CA or MX",IF(NOT(AND(LEN($C47)=10,IFERROR(TEXT(VALUE($C47),REPT("0",LEN($C47)))=$C47,FALSE))),"CHECK: HTS must be 10 digits",IF(LEN($E47)&lt;&gt;2,"CHECK: origin code missing or not 2 letters",IF(TRIM(CLEAN(SUBSTITUTE(Items!G47&amp;""," "," ")))="","CHECK: unit of measure missing",IF(OR(Items!H47="",Items!J47="",Items!K47=""),"CHECK: value, rate or cost missing",IF(OR(NOT(ISNUMBER(Items!H47)),NOT(ISNUMBER(Items!J47)),NOT(ISNUMBER(Items!K47)),AND(Items!I47&lt;&gt;"",NOT(ISNUMBER(Items!I47))),AND(Items!L47&lt;&gt;"",NOT(ISNUMBER(Items!L47))),AND(Items!M47&lt;&gt;"",NOT(ISNUMBER(Items!M47)))),"CHECK: text in a number column",IF(AND(ISNUMBER(Items!M47),OR(N(Items!M47)&lt;0,N(Items!M47)&gt;1)),"CHECK: dutiable share must be 0% to 100%",IF(AND(UPPER(TRIM(CLEAN(SUBSTITUTE(Items!F47&amp;""," "," "))))&lt;&gt;"",UPPER(TRIM(CLEAN(SUBSTITUTE(Items!F47&amp;""," "," "))))&lt;&gt;"Y",UPPER(TRIM(CLEAN(SUBSTITUTE(Items!F47&amp;""," "," "))))&lt;&gt;"N"),"CHECK: USMCA flag must be Y, N or blank",IF(AND(UPPER(TRIM(CLEAN(SUBSTITUTE(Items!F47&amp;""," "," "))))="Y",$E47&lt;&gt;"US",$E47&lt;&gt;"CA",$E47&lt;&gt;"MX"),"CHECK: USMCA flag on an origin other than US, CA or MX",IF(AND($L47="Y",$AO47=0,NOT(ISNUMBER(act_Rate))),"CHECK: in scope but no rate (add a rate line or B15)",IF(AND($L47="Y",UPPER(TRIM(CLEAN(SUBSTITUTE(act_RateType&amp;""," "," "))))="REPLACE",NOT(ISNUMBER(act_PriorRate)),IF($AO47=0,TRUE,NOT(ISNUMBER(INDEX(rate_Prior,MOD($AO47,100)))))),"CHECK: REPLACE but no earlier rate (B17 or the rate line's AD)",IF(AND($L47="Y",$AP47&gt;1),"CHECK: two rate lines match equally",IF(AND($L47="Y",$AN47&gt;1),"CHECK: HTS prefix listed twice on the scope list",IF(AND($L47="Y",$P47="PART",NOT(ISNUMBER(Items!M47))),"CHECK: dutiable share missing (PART base)",IF(AND($L47="Y",$P47="FULL",ISNUMBER(Items!M47),N(Items!M47)&lt;&gt;1),"CHECK: dutiable share entered, but the rate taxes the full value",IF(AND($L47="Y",$Q47+0.0000001&lt;$T47*$S47+$U47),"CHECK: current rate is below the duty being replaced or displaced",IF(AND($L47="Y",$AD47=0),"NOTE: in scope, no quantity",IF(AND($L47="Y",$AF47="N"),"NOTE: in scope, no sell price (left out of margin %)",IF(AND($L47="Y",N(Items!H47)&gt;N(Items!K47)),"NOTE: customs value above standard cost (check unit of measure)",IF(AND($L47="Y",$Q47&gt;1),"NOTE: current rate above 100% (check it was entered as a percentage)","OK")))))))))))))))))))))))</f>
        <v/>
      </c>
      <c r="AK47" s="20">
        <f>IF($A47="","",IF(AND($L47="Y",$AE47&lt;&gt;0),ABS($AE47)+ROW()/1000000000,""))</f>
        <v/>
      </c>
      <c r="AL47" s="10">
        <f>IF($A47="","",UPPER($A47)&amp;"/"&amp;UPPER(TRIM(CLEAN(SUBSTITUTE(Items!C47&amp;""," "," ")))))</f>
        <v/>
      </c>
      <c r="AM47" s="13">
        <f>IF($A47="",0,SUMPRODUCT(MAX((scope_HTS&lt;&gt;"")*(LEFT($C47,LEN(scope_HTS))=scope_HTS)*(LEN(scope_HTS)*1000+ROW(scope_HTS)-4))))</f>
        <v/>
      </c>
      <c r="AN47" s="13">
        <f>IF($AM47=0,0,SUMPRODUCT((scope_HTS&lt;&gt;"")*(LEFT($C47,LEN(scope_HTS))=scope_HTS)*(LEN(scope_HTS)=INT($AM47/1000))))</f>
        <v/>
      </c>
      <c r="AO47" s="13">
        <f>IF($L47&lt;&gt;"Y",0,SUMPRODUCT(MAX(ISNUMBER(rate_Rate)*((UPPER(TRIM(CLEAN(SUBSTITUTE(rate_Group&amp;""," "," "))))="")+(UPPER(TRIM(CLEAN(SUBSTITUTE(rate_Group&amp;""," "," "))))=$N47)&gt;0)*((UPPER(TRIM(CLEAN(SUBSTITUTE(rate_COO&amp;""," "," "))))="")+(UPPER(TRIM(CLEAN(SUBSTITUTE(rate_COO&amp;""," "," "))))=$E47)&gt;0)*((UPPER(TRIM(CLEAN(SUBSTITUTE(rate_USMCA&amp;""," "," "))))="")+(UPPER(TRIM(CLEAN(SUBSTITUTE(rate_USMCA&amp;""," "," "))))=IF(UPPER(TRIM(CLEAN(SUBSTITUTE(Items!F47&amp;""," "," "))))="Y","Y","N"))&gt;0)*((1+(UPPER(TRIM(CLEAN(SUBSTITUTE(rate_Group&amp;""," "," "))))&lt;&gt;"")+2*(UPPER(TRIM(CLEAN(SUBSTITUTE(rate_USMCA&amp;""," "," "))))&lt;&gt;"")+4*(UPPER(TRIM(CLEAN(SUBSTITUTE(rate_COO&amp;""," "," "))))&lt;&gt;""))*100+ROW(rate_Rate)-4))))</f>
        <v/>
      </c>
      <c r="AP47" s="13">
        <f>IF($AO47=0,0,SUMPRODUCT(ISNUMBER(rate_Rate)*((UPPER(TRIM(CLEAN(SUBSTITUTE(rate_Group&amp;""," "," "))))="")+(UPPER(TRIM(CLEAN(SUBSTITUTE(rate_Group&amp;""," "," "))))=$N47)&gt;0)*((UPPER(TRIM(CLEAN(SUBSTITUTE(rate_COO&amp;""," "," "))))="")+(UPPER(TRIM(CLEAN(SUBSTITUTE(rate_COO&amp;""," "," "))))=$E47)&gt;0)*((UPPER(TRIM(CLEAN(SUBSTITUTE(rate_USMCA&amp;""," "," "))))="")+(UPPER(TRIM(CLEAN(SUBSTITUTE(rate_USMCA&amp;""," "," "))))=IF(UPPER(TRIM(CLEAN(SUBSTITUTE(Items!F47&amp;""," "," "))))="Y","Y","N"))&gt;0)*((1+(UPPER(TRIM(CLEAN(SUBSTITUTE(rate_Group&amp;""," "," "))))&lt;&gt;"")+2*(UPPER(TRIM(CLEAN(SUBSTITUTE(rate_USMCA&amp;""," "," "))))&lt;&gt;"")+4*(UPPER(TRIM(CLEAN(SUBSTITUTE(rate_COO&amp;""," "," "))))&lt;&gt;""))=INT($AO47/100))))</f>
        <v/>
      </c>
      <c r="AQ47" s="13">
        <f>IF($A47="",0,IFERROR(MATCH($AL47,det_Key,0),0))</f>
        <v/>
      </c>
    </row>
    <row r="48">
      <c r="A48" s="10">
        <f>IF(TRIM(CLEAN(SUBSTITUTE(Items!A48&amp;""," "," ")))="","",TRIM(CLEAN(SUBSTITUTE(Items!A48&amp;""," "," "))))</f>
        <v/>
      </c>
      <c r="B48" s="10">
        <f>IF($A48="","",Items!B48&amp;"")</f>
        <v/>
      </c>
      <c r="C48" s="10">
        <f>IF($A48="","",SUBSTITUTE(SUBSTITUTE(SUBSTITUTE(SUBSTITUTE(CLEAN(Items!D48&amp;"")," ",""),".","")," ",""),"-",""))</f>
        <v/>
      </c>
      <c r="D48" s="10">
        <f>IF($A48="","",LEFT($C48,2))</f>
        <v/>
      </c>
      <c r="E48" s="10">
        <f>IF($A48="","",UPPER(TRIM(CLEAN(SUBSTITUTE(Items!E48&amp;""," "," ")))))</f>
        <v/>
      </c>
      <c r="F48" s="10">
        <f>IF($A48="","",IF(UPPER(TRIM(CLEAN(SUBSTITUTE(Items!C48&amp;""," "," "))))=UPPER(TRIM(CLEAN(SUBSTITUTE(act_Country&amp;""," "," ")))),"Y","N"))</f>
        <v/>
      </c>
      <c r="G48" s="10">
        <f>IF($A48="","",IF($AM48&gt;0,"Y","N"))</f>
        <v/>
      </c>
      <c r="H48" s="10">
        <f>IF($A48="","",IF(SUMPRODUCT((excl_HTS&lt;&gt;"")*(LEFT($C48,LEN(excl_HTS))=excl_HTS))&gt;0,"Y","N"))</f>
        <v/>
      </c>
      <c r="I48" s="10">
        <f>IF($A48="","",IF($E48="","N",IF(SUMPRODUCT(--(UPPER(TRIM(CLEAN(SUBSTITUTE(scope_COO&amp;""," "," "))))=$E48))&gt;0,"Y","N")))</f>
        <v/>
      </c>
      <c r="J48" s="10">
        <f>IF($A48="","",IF(AND(UPPER(TRIM(CLEAN(SUBSTITUTE(act_USMCAExempt&amp;""," "," "))))="Y",UPPER(TRIM(CLEAN(SUBSTITUTE(Items!F48&amp;""," "," "))))="Y"),"Y","N"))</f>
        <v/>
      </c>
      <c r="K48" s="10">
        <f>IF($A48="","",IF($AQ48=0,"",UPPER(TRIM(CLEAN(SUBSTITUTE(INDEX(det_Status,$AQ48)&amp;""," "," "))))))</f>
        <v/>
      </c>
      <c r="L48" s="10">
        <f>IF($A48="","",IF($F48="N","N",IF($K48="IN","Y",IF($K48="OUT","N",IF(AND($G48="Y",$H48="N",$I48="Y",$J48="N"),"Y","N")))))</f>
        <v/>
      </c>
      <c r="M48" s="10">
        <f>IF($A48="","",IF($F48="N","Out: different import country",IF($K48="IN","In: Research determination",IF($K48="OUT","Out: Research determination",IF($G48="N","Out: HTS not on scope list",IF($H48="Y","Out: HTS on exclusion list",IF($I48="N","Out: origin not on scope list",IF($J48="Y","Out: USMCA-qualifying, exempt","In: matches scope rules"))))))))</f>
        <v/>
      </c>
      <c r="N48" s="10">
        <f>IF(OR($A48="",$AM48=0),"",UPPER(TRIM(CLEAN(SUBSTITUTE(INDEX(scope_Group,MOD($AM48,1000))&amp;""," "," ")))))</f>
        <v/>
      </c>
      <c r="O48" s="10">
        <f>IF($L48&lt;&gt;"Y","",IF($AO48=0,"Default (B15)",UPPER(TRIM(CLEAN(SUBSTITUTE(INDEX(rate_ID,MOD($AO48,100))&amp;""," "," "))))))</f>
        <v/>
      </c>
      <c r="P48" s="10">
        <f>IF($L48&lt;&gt;"Y","",IF($AO48=0,IF(UPPER(TRIM(CLEAN(SUBSTITUTE(act_DefaultBase&amp;""," "," "))))="PART","PART","FULL"),IF(UPPER(TRIM(CLEAN(SUBSTITUTE(INDEX(rate_Base,MOD($AO48,100))&amp;""," "," "))))="PART","PART","FULL")))</f>
        <v/>
      </c>
      <c r="Q48" s="17">
        <f>IF($A48="","",N(Items!J48))</f>
        <v/>
      </c>
      <c r="R48" s="17">
        <f>IF($A48="","",IF($L48&lt;&gt;"Y",0,IF($AO48=0,N(act_Rate),N(INDEX(rate_Rate,MOD($AO48,100))))))</f>
        <v/>
      </c>
      <c r="S48" s="17">
        <f>IF($A48="","",IF($L48&lt;&gt;"Y",0,IF($AO48=0,IF(UPPER(TRIM(CLEAN(SUBSTITUTE(act_RateType&amp;""," "," "))))="REPLACE",N(act_PriorRate),0),IF(ISNUMBER(INDEX(rate_Prior,MOD($AO48,100))),INDEX(rate_Prior,MOD($AO48,100)),IF(UPPER(TRIM(CLEAN(SUBSTITUTE(act_RateType&amp;""," "," "))))="REPLACE",N(act_PriorRate),0)))))</f>
        <v/>
      </c>
      <c r="T48" s="17">
        <f>IF($A48="","",IF(AND($L48="Y",$P48="PART",ISNUMBER(Items!M48)),Items!M48,1))</f>
        <v/>
      </c>
      <c r="U48" s="17">
        <f>IF($A48="","",IF($L48&lt;&gt;"Y",0,IF($AQ48&gt;0,IF(ISNUMBER(INDEX(det_Displaced,$AQ48)),INDEX(det_Displaced,$AQ48),IF($AO48=0,0,N(INDEX(rate_Displaced,MOD($AO48,100))))),IF($AO48=0,0,N(INDEX(rate_Displaced,MOD($AO48,100)))))))</f>
        <v/>
      </c>
      <c r="V48" s="17">
        <f>IF($A48="","",IF($L48="Y",$Q48+$T48*($R48-$S48)-$U48,$Q48))</f>
        <v/>
      </c>
      <c r="W48" s="18">
        <f>IF($A48="","",N(Items!H48)*$Q48)</f>
        <v/>
      </c>
      <c r="X48" s="18">
        <f>IF($A48="","",N(Items!H48)*$V48)</f>
        <v/>
      </c>
      <c r="Y48" s="18">
        <f>IF($A48="","",$X48-$W48)</f>
        <v/>
      </c>
      <c r="Z48" s="18">
        <f>IF($A48="","",N(Items!K48)+$Y48)</f>
        <v/>
      </c>
      <c r="AA48" s="17">
        <f>IF($A48="","",IF(N(Items!L48)=0,"",(N(Items!L48)-N(Items!K48))/N(Items!L48)))</f>
        <v/>
      </c>
      <c r="AB48" s="17">
        <f>IF($A48="","",IF(N(Items!L48)=0,"",(N(Items!L48)-$Z48)/N(Items!L48)))</f>
        <v/>
      </c>
      <c r="AC48" s="17">
        <f>IF(OR($AA48="",$AB48=""),"",$AB48-$AA48)</f>
        <v/>
      </c>
      <c r="AD48" s="13">
        <f>IF($A48="","",N(Items!I48))</f>
        <v/>
      </c>
      <c r="AE48" s="19">
        <f>IF($A48="","",$Y48*$AD48)</f>
        <v/>
      </c>
      <c r="AF48" s="10">
        <f>IF($A48="","",IF(N(Items!L48)&gt;0,"Y","N"))</f>
        <v/>
      </c>
      <c r="AG48" s="19">
        <f>IF($A48="","",IF($AF48="Y",N(Items!L48)*$AD48,0))</f>
        <v/>
      </c>
      <c r="AH48" s="19">
        <f>IF($A48="","",IF($AF48="Y",(N(Items!L48)-N(Items!K48))*$AD48,0))</f>
        <v/>
      </c>
      <c r="AI48" s="19">
        <f>IF($A48="","",IF($AF48="Y",$AH48-$AE48,0))</f>
        <v/>
      </c>
      <c r="AJ48" s="10">
        <f>IF($A48="","",IF(COUNTIF($AL$5:$AL$254,$AL48)&gt;1,"CHECK: duplicate item and import country",IF(TRIM(CLEAN(SUBSTITUTE(Items!C48&amp;""," "," ")))="","CHECK: import country missing",IF(AND(UPPER(TRIM(CLEAN(SUBSTITUTE(Items!C48&amp;""," "," "))))&lt;&gt;"US",UPPER(TRIM(CLEAN(SUBSTITUTE(Items!C48&amp;""," "," "))))&lt;&gt;"CA",UPPER(TRIM(CLEAN(SUBSTITUTE(Items!C48&amp;""," "," "))))&lt;&gt;"MX"),"CHECK: import country must be US, CA or MX",IF(NOT(AND(LEN($C48)=10,IFERROR(TEXT(VALUE($C48),REPT("0",LEN($C48)))=$C48,FALSE))),"CHECK: HTS must be 10 digits",IF(LEN($E48)&lt;&gt;2,"CHECK: origin code missing or not 2 letters",IF(TRIM(CLEAN(SUBSTITUTE(Items!G48&amp;""," "," ")))="","CHECK: unit of measure missing",IF(OR(Items!H48="",Items!J48="",Items!K48=""),"CHECK: value, rate or cost missing",IF(OR(NOT(ISNUMBER(Items!H48)),NOT(ISNUMBER(Items!J48)),NOT(ISNUMBER(Items!K48)),AND(Items!I48&lt;&gt;"",NOT(ISNUMBER(Items!I48))),AND(Items!L48&lt;&gt;"",NOT(ISNUMBER(Items!L48))),AND(Items!M48&lt;&gt;"",NOT(ISNUMBER(Items!M48)))),"CHECK: text in a number column",IF(AND(ISNUMBER(Items!M48),OR(N(Items!M48)&lt;0,N(Items!M48)&gt;1)),"CHECK: dutiable share must be 0% to 100%",IF(AND(UPPER(TRIM(CLEAN(SUBSTITUTE(Items!F48&amp;""," "," "))))&lt;&gt;"",UPPER(TRIM(CLEAN(SUBSTITUTE(Items!F48&amp;""," "," "))))&lt;&gt;"Y",UPPER(TRIM(CLEAN(SUBSTITUTE(Items!F48&amp;""," "," "))))&lt;&gt;"N"),"CHECK: USMCA flag must be Y, N or blank",IF(AND(UPPER(TRIM(CLEAN(SUBSTITUTE(Items!F48&amp;""," "," "))))="Y",$E48&lt;&gt;"US",$E48&lt;&gt;"CA",$E48&lt;&gt;"MX"),"CHECK: USMCA flag on an origin other than US, CA or MX",IF(AND($L48="Y",$AO48=0,NOT(ISNUMBER(act_Rate))),"CHECK: in scope but no rate (add a rate line or B15)",IF(AND($L48="Y",UPPER(TRIM(CLEAN(SUBSTITUTE(act_RateType&amp;""," "," "))))="REPLACE",NOT(ISNUMBER(act_PriorRate)),IF($AO48=0,TRUE,NOT(ISNUMBER(INDEX(rate_Prior,MOD($AO48,100)))))),"CHECK: REPLACE but no earlier rate (B17 or the rate line's AD)",IF(AND($L48="Y",$AP48&gt;1),"CHECK: two rate lines match equally",IF(AND($L48="Y",$AN48&gt;1),"CHECK: HTS prefix listed twice on the scope list",IF(AND($L48="Y",$P48="PART",NOT(ISNUMBER(Items!M48))),"CHECK: dutiable share missing (PART base)",IF(AND($L48="Y",$P48="FULL",ISNUMBER(Items!M48),N(Items!M48)&lt;&gt;1),"CHECK: dutiable share entered, but the rate taxes the full value",IF(AND($L48="Y",$Q48+0.0000001&lt;$T48*$S48+$U48),"CHECK: current rate is below the duty being replaced or displaced",IF(AND($L48="Y",$AD48=0),"NOTE: in scope, no quantity",IF(AND($L48="Y",$AF48="N"),"NOTE: in scope, no sell price (left out of margin %)",IF(AND($L48="Y",N(Items!H48)&gt;N(Items!K48)),"NOTE: customs value above standard cost (check unit of measure)",IF(AND($L48="Y",$Q48&gt;1),"NOTE: current rate above 100% (check it was entered as a percentage)","OK")))))))))))))))))))))))</f>
        <v/>
      </c>
      <c r="AK48" s="20">
        <f>IF($A48="","",IF(AND($L48="Y",$AE48&lt;&gt;0),ABS($AE48)+ROW()/1000000000,""))</f>
        <v/>
      </c>
      <c r="AL48" s="10">
        <f>IF($A48="","",UPPER($A48)&amp;"/"&amp;UPPER(TRIM(CLEAN(SUBSTITUTE(Items!C48&amp;""," "," ")))))</f>
        <v/>
      </c>
      <c r="AM48" s="13">
        <f>IF($A48="",0,SUMPRODUCT(MAX((scope_HTS&lt;&gt;"")*(LEFT($C48,LEN(scope_HTS))=scope_HTS)*(LEN(scope_HTS)*1000+ROW(scope_HTS)-4))))</f>
        <v/>
      </c>
      <c r="AN48" s="13">
        <f>IF($AM48=0,0,SUMPRODUCT((scope_HTS&lt;&gt;"")*(LEFT($C48,LEN(scope_HTS))=scope_HTS)*(LEN(scope_HTS)=INT($AM48/1000))))</f>
        <v/>
      </c>
      <c r="AO48" s="13">
        <f>IF($L48&lt;&gt;"Y",0,SUMPRODUCT(MAX(ISNUMBER(rate_Rate)*((UPPER(TRIM(CLEAN(SUBSTITUTE(rate_Group&amp;""," "," "))))="")+(UPPER(TRIM(CLEAN(SUBSTITUTE(rate_Group&amp;""," "," "))))=$N48)&gt;0)*((UPPER(TRIM(CLEAN(SUBSTITUTE(rate_COO&amp;""," "," "))))="")+(UPPER(TRIM(CLEAN(SUBSTITUTE(rate_COO&amp;""," "," "))))=$E48)&gt;0)*((UPPER(TRIM(CLEAN(SUBSTITUTE(rate_USMCA&amp;""," "," "))))="")+(UPPER(TRIM(CLEAN(SUBSTITUTE(rate_USMCA&amp;""," "," "))))=IF(UPPER(TRIM(CLEAN(SUBSTITUTE(Items!F48&amp;""," "," "))))="Y","Y","N"))&gt;0)*((1+(UPPER(TRIM(CLEAN(SUBSTITUTE(rate_Group&amp;""," "," "))))&lt;&gt;"")+2*(UPPER(TRIM(CLEAN(SUBSTITUTE(rate_USMCA&amp;""," "," "))))&lt;&gt;"")+4*(UPPER(TRIM(CLEAN(SUBSTITUTE(rate_COO&amp;""," "," "))))&lt;&gt;""))*100+ROW(rate_Rate)-4))))</f>
        <v/>
      </c>
      <c r="AP48" s="13">
        <f>IF($AO48=0,0,SUMPRODUCT(ISNUMBER(rate_Rate)*((UPPER(TRIM(CLEAN(SUBSTITUTE(rate_Group&amp;""," "," "))))="")+(UPPER(TRIM(CLEAN(SUBSTITUTE(rate_Group&amp;""," "," "))))=$N48)&gt;0)*((UPPER(TRIM(CLEAN(SUBSTITUTE(rate_COO&amp;""," "," "))))="")+(UPPER(TRIM(CLEAN(SUBSTITUTE(rate_COO&amp;""," "," "))))=$E48)&gt;0)*((UPPER(TRIM(CLEAN(SUBSTITUTE(rate_USMCA&amp;""," "," "))))="")+(UPPER(TRIM(CLEAN(SUBSTITUTE(rate_USMCA&amp;""," "," "))))=IF(UPPER(TRIM(CLEAN(SUBSTITUTE(Items!F48&amp;""," "," "))))="Y","Y","N"))&gt;0)*((1+(UPPER(TRIM(CLEAN(SUBSTITUTE(rate_Group&amp;""," "," "))))&lt;&gt;"")+2*(UPPER(TRIM(CLEAN(SUBSTITUTE(rate_USMCA&amp;""," "," "))))&lt;&gt;"")+4*(UPPER(TRIM(CLEAN(SUBSTITUTE(rate_COO&amp;""," "," "))))&lt;&gt;""))=INT($AO48/100))))</f>
        <v/>
      </c>
      <c r="AQ48" s="13">
        <f>IF($A48="",0,IFERROR(MATCH($AL48,det_Key,0),0))</f>
        <v/>
      </c>
    </row>
    <row r="49">
      <c r="A49" s="10">
        <f>IF(TRIM(CLEAN(SUBSTITUTE(Items!A49&amp;""," "," ")))="","",TRIM(CLEAN(SUBSTITUTE(Items!A49&amp;""," "," "))))</f>
        <v/>
      </c>
      <c r="B49" s="10">
        <f>IF($A49="","",Items!B49&amp;"")</f>
        <v/>
      </c>
      <c r="C49" s="10">
        <f>IF($A49="","",SUBSTITUTE(SUBSTITUTE(SUBSTITUTE(SUBSTITUTE(CLEAN(Items!D49&amp;"")," ",""),".","")," ",""),"-",""))</f>
        <v/>
      </c>
      <c r="D49" s="10">
        <f>IF($A49="","",LEFT($C49,2))</f>
        <v/>
      </c>
      <c r="E49" s="10">
        <f>IF($A49="","",UPPER(TRIM(CLEAN(SUBSTITUTE(Items!E49&amp;""," "," ")))))</f>
        <v/>
      </c>
      <c r="F49" s="10">
        <f>IF($A49="","",IF(UPPER(TRIM(CLEAN(SUBSTITUTE(Items!C49&amp;""," "," "))))=UPPER(TRIM(CLEAN(SUBSTITUTE(act_Country&amp;""," "," ")))),"Y","N"))</f>
        <v/>
      </c>
      <c r="G49" s="10">
        <f>IF($A49="","",IF($AM49&gt;0,"Y","N"))</f>
        <v/>
      </c>
      <c r="H49" s="10">
        <f>IF($A49="","",IF(SUMPRODUCT((excl_HTS&lt;&gt;"")*(LEFT($C49,LEN(excl_HTS))=excl_HTS))&gt;0,"Y","N"))</f>
        <v/>
      </c>
      <c r="I49" s="10">
        <f>IF($A49="","",IF($E49="","N",IF(SUMPRODUCT(--(UPPER(TRIM(CLEAN(SUBSTITUTE(scope_COO&amp;""," "," "))))=$E49))&gt;0,"Y","N")))</f>
        <v/>
      </c>
      <c r="J49" s="10">
        <f>IF($A49="","",IF(AND(UPPER(TRIM(CLEAN(SUBSTITUTE(act_USMCAExempt&amp;""," "," "))))="Y",UPPER(TRIM(CLEAN(SUBSTITUTE(Items!F49&amp;""," "," "))))="Y"),"Y","N"))</f>
        <v/>
      </c>
      <c r="K49" s="10">
        <f>IF($A49="","",IF($AQ49=0,"",UPPER(TRIM(CLEAN(SUBSTITUTE(INDEX(det_Status,$AQ49)&amp;""," "," "))))))</f>
        <v/>
      </c>
      <c r="L49" s="10">
        <f>IF($A49="","",IF($F49="N","N",IF($K49="IN","Y",IF($K49="OUT","N",IF(AND($G49="Y",$H49="N",$I49="Y",$J49="N"),"Y","N")))))</f>
        <v/>
      </c>
      <c r="M49" s="10">
        <f>IF($A49="","",IF($F49="N","Out: different import country",IF($K49="IN","In: Research determination",IF($K49="OUT","Out: Research determination",IF($G49="N","Out: HTS not on scope list",IF($H49="Y","Out: HTS on exclusion list",IF($I49="N","Out: origin not on scope list",IF($J49="Y","Out: USMCA-qualifying, exempt","In: matches scope rules"))))))))</f>
        <v/>
      </c>
      <c r="N49" s="10">
        <f>IF(OR($A49="",$AM49=0),"",UPPER(TRIM(CLEAN(SUBSTITUTE(INDEX(scope_Group,MOD($AM49,1000))&amp;""," "," ")))))</f>
        <v/>
      </c>
      <c r="O49" s="10">
        <f>IF($L49&lt;&gt;"Y","",IF($AO49=0,"Default (B15)",UPPER(TRIM(CLEAN(SUBSTITUTE(INDEX(rate_ID,MOD($AO49,100))&amp;""," "," "))))))</f>
        <v/>
      </c>
      <c r="P49" s="10">
        <f>IF($L49&lt;&gt;"Y","",IF($AO49=0,IF(UPPER(TRIM(CLEAN(SUBSTITUTE(act_DefaultBase&amp;""," "," "))))="PART","PART","FULL"),IF(UPPER(TRIM(CLEAN(SUBSTITUTE(INDEX(rate_Base,MOD($AO49,100))&amp;""," "," "))))="PART","PART","FULL")))</f>
        <v/>
      </c>
      <c r="Q49" s="17">
        <f>IF($A49="","",N(Items!J49))</f>
        <v/>
      </c>
      <c r="R49" s="17">
        <f>IF($A49="","",IF($L49&lt;&gt;"Y",0,IF($AO49=0,N(act_Rate),N(INDEX(rate_Rate,MOD($AO49,100))))))</f>
        <v/>
      </c>
      <c r="S49" s="17">
        <f>IF($A49="","",IF($L49&lt;&gt;"Y",0,IF($AO49=0,IF(UPPER(TRIM(CLEAN(SUBSTITUTE(act_RateType&amp;""," "," "))))="REPLACE",N(act_PriorRate),0),IF(ISNUMBER(INDEX(rate_Prior,MOD($AO49,100))),INDEX(rate_Prior,MOD($AO49,100)),IF(UPPER(TRIM(CLEAN(SUBSTITUTE(act_RateType&amp;""," "," "))))="REPLACE",N(act_PriorRate),0)))))</f>
        <v/>
      </c>
      <c r="T49" s="17">
        <f>IF($A49="","",IF(AND($L49="Y",$P49="PART",ISNUMBER(Items!M49)),Items!M49,1))</f>
        <v/>
      </c>
      <c r="U49" s="17">
        <f>IF($A49="","",IF($L49&lt;&gt;"Y",0,IF($AQ49&gt;0,IF(ISNUMBER(INDEX(det_Displaced,$AQ49)),INDEX(det_Displaced,$AQ49),IF($AO49=0,0,N(INDEX(rate_Displaced,MOD($AO49,100))))),IF($AO49=0,0,N(INDEX(rate_Displaced,MOD($AO49,100)))))))</f>
        <v/>
      </c>
      <c r="V49" s="17">
        <f>IF($A49="","",IF($L49="Y",$Q49+$T49*($R49-$S49)-$U49,$Q49))</f>
        <v/>
      </c>
      <c r="W49" s="18">
        <f>IF($A49="","",N(Items!H49)*$Q49)</f>
        <v/>
      </c>
      <c r="X49" s="18">
        <f>IF($A49="","",N(Items!H49)*$V49)</f>
        <v/>
      </c>
      <c r="Y49" s="18">
        <f>IF($A49="","",$X49-$W49)</f>
        <v/>
      </c>
      <c r="Z49" s="18">
        <f>IF($A49="","",N(Items!K49)+$Y49)</f>
        <v/>
      </c>
      <c r="AA49" s="17">
        <f>IF($A49="","",IF(N(Items!L49)=0,"",(N(Items!L49)-N(Items!K49))/N(Items!L49)))</f>
        <v/>
      </c>
      <c r="AB49" s="17">
        <f>IF($A49="","",IF(N(Items!L49)=0,"",(N(Items!L49)-$Z49)/N(Items!L49)))</f>
        <v/>
      </c>
      <c r="AC49" s="17">
        <f>IF(OR($AA49="",$AB49=""),"",$AB49-$AA49)</f>
        <v/>
      </c>
      <c r="AD49" s="13">
        <f>IF($A49="","",N(Items!I49))</f>
        <v/>
      </c>
      <c r="AE49" s="19">
        <f>IF($A49="","",$Y49*$AD49)</f>
        <v/>
      </c>
      <c r="AF49" s="10">
        <f>IF($A49="","",IF(N(Items!L49)&gt;0,"Y","N"))</f>
        <v/>
      </c>
      <c r="AG49" s="19">
        <f>IF($A49="","",IF($AF49="Y",N(Items!L49)*$AD49,0))</f>
        <v/>
      </c>
      <c r="AH49" s="19">
        <f>IF($A49="","",IF($AF49="Y",(N(Items!L49)-N(Items!K49))*$AD49,0))</f>
        <v/>
      </c>
      <c r="AI49" s="19">
        <f>IF($A49="","",IF($AF49="Y",$AH49-$AE49,0))</f>
        <v/>
      </c>
      <c r="AJ49" s="10">
        <f>IF($A49="","",IF(COUNTIF($AL$5:$AL$254,$AL49)&gt;1,"CHECK: duplicate item and import country",IF(TRIM(CLEAN(SUBSTITUTE(Items!C49&amp;""," "," ")))="","CHECK: import country missing",IF(AND(UPPER(TRIM(CLEAN(SUBSTITUTE(Items!C49&amp;""," "," "))))&lt;&gt;"US",UPPER(TRIM(CLEAN(SUBSTITUTE(Items!C49&amp;""," "," "))))&lt;&gt;"CA",UPPER(TRIM(CLEAN(SUBSTITUTE(Items!C49&amp;""," "," "))))&lt;&gt;"MX"),"CHECK: import country must be US, CA or MX",IF(NOT(AND(LEN($C49)=10,IFERROR(TEXT(VALUE($C49),REPT("0",LEN($C49)))=$C49,FALSE))),"CHECK: HTS must be 10 digits",IF(LEN($E49)&lt;&gt;2,"CHECK: origin code missing or not 2 letters",IF(TRIM(CLEAN(SUBSTITUTE(Items!G49&amp;""," "," ")))="","CHECK: unit of measure missing",IF(OR(Items!H49="",Items!J49="",Items!K49=""),"CHECK: value, rate or cost missing",IF(OR(NOT(ISNUMBER(Items!H49)),NOT(ISNUMBER(Items!J49)),NOT(ISNUMBER(Items!K49)),AND(Items!I49&lt;&gt;"",NOT(ISNUMBER(Items!I49))),AND(Items!L49&lt;&gt;"",NOT(ISNUMBER(Items!L49))),AND(Items!M49&lt;&gt;"",NOT(ISNUMBER(Items!M49)))),"CHECK: text in a number column",IF(AND(ISNUMBER(Items!M49),OR(N(Items!M49)&lt;0,N(Items!M49)&gt;1)),"CHECK: dutiable share must be 0% to 100%",IF(AND(UPPER(TRIM(CLEAN(SUBSTITUTE(Items!F49&amp;""," "," "))))&lt;&gt;"",UPPER(TRIM(CLEAN(SUBSTITUTE(Items!F49&amp;""," "," "))))&lt;&gt;"Y",UPPER(TRIM(CLEAN(SUBSTITUTE(Items!F49&amp;""," "," "))))&lt;&gt;"N"),"CHECK: USMCA flag must be Y, N or blank",IF(AND(UPPER(TRIM(CLEAN(SUBSTITUTE(Items!F49&amp;""," "," "))))="Y",$E49&lt;&gt;"US",$E49&lt;&gt;"CA",$E49&lt;&gt;"MX"),"CHECK: USMCA flag on an origin other than US, CA or MX",IF(AND($L49="Y",$AO49=0,NOT(ISNUMBER(act_Rate))),"CHECK: in scope but no rate (add a rate line or B15)",IF(AND($L49="Y",UPPER(TRIM(CLEAN(SUBSTITUTE(act_RateType&amp;""," "," "))))="REPLACE",NOT(ISNUMBER(act_PriorRate)),IF($AO49=0,TRUE,NOT(ISNUMBER(INDEX(rate_Prior,MOD($AO49,100)))))),"CHECK: REPLACE but no earlier rate (B17 or the rate line's AD)",IF(AND($L49="Y",$AP49&gt;1),"CHECK: two rate lines match equally",IF(AND($L49="Y",$AN49&gt;1),"CHECK: HTS prefix listed twice on the scope list",IF(AND($L49="Y",$P49="PART",NOT(ISNUMBER(Items!M49))),"CHECK: dutiable share missing (PART base)",IF(AND($L49="Y",$P49="FULL",ISNUMBER(Items!M49),N(Items!M49)&lt;&gt;1),"CHECK: dutiable share entered, but the rate taxes the full value",IF(AND($L49="Y",$Q49+0.0000001&lt;$T49*$S49+$U49),"CHECK: current rate is below the duty being replaced or displaced",IF(AND($L49="Y",$AD49=0),"NOTE: in scope, no quantity",IF(AND($L49="Y",$AF49="N"),"NOTE: in scope, no sell price (left out of margin %)",IF(AND($L49="Y",N(Items!H49)&gt;N(Items!K49)),"NOTE: customs value above standard cost (check unit of measure)",IF(AND($L49="Y",$Q49&gt;1),"NOTE: current rate above 100% (check it was entered as a percentage)","OK")))))))))))))))))))))))</f>
        <v/>
      </c>
      <c r="AK49" s="20">
        <f>IF($A49="","",IF(AND($L49="Y",$AE49&lt;&gt;0),ABS($AE49)+ROW()/1000000000,""))</f>
        <v/>
      </c>
      <c r="AL49" s="10">
        <f>IF($A49="","",UPPER($A49)&amp;"/"&amp;UPPER(TRIM(CLEAN(SUBSTITUTE(Items!C49&amp;""," "," ")))))</f>
        <v/>
      </c>
      <c r="AM49" s="13">
        <f>IF($A49="",0,SUMPRODUCT(MAX((scope_HTS&lt;&gt;"")*(LEFT($C49,LEN(scope_HTS))=scope_HTS)*(LEN(scope_HTS)*1000+ROW(scope_HTS)-4))))</f>
        <v/>
      </c>
      <c r="AN49" s="13">
        <f>IF($AM49=0,0,SUMPRODUCT((scope_HTS&lt;&gt;"")*(LEFT($C49,LEN(scope_HTS))=scope_HTS)*(LEN(scope_HTS)=INT($AM49/1000))))</f>
        <v/>
      </c>
      <c r="AO49" s="13">
        <f>IF($L49&lt;&gt;"Y",0,SUMPRODUCT(MAX(ISNUMBER(rate_Rate)*((UPPER(TRIM(CLEAN(SUBSTITUTE(rate_Group&amp;""," "," "))))="")+(UPPER(TRIM(CLEAN(SUBSTITUTE(rate_Group&amp;""," "," "))))=$N49)&gt;0)*((UPPER(TRIM(CLEAN(SUBSTITUTE(rate_COO&amp;""," "," "))))="")+(UPPER(TRIM(CLEAN(SUBSTITUTE(rate_COO&amp;""," "," "))))=$E49)&gt;0)*((UPPER(TRIM(CLEAN(SUBSTITUTE(rate_USMCA&amp;""," "," "))))="")+(UPPER(TRIM(CLEAN(SUBSTITUTE(rate_USMCA&amp;""," "," "))))=IF(UPPER(TRIM(CLEAN(SUBSTITUTE(Items!F49&amp;""," "," "))))="Y","Y","N"))&gt;0)*((1+(UPPER(TRIM(CLEAN(SUBSTITUTE(rate_Group&amp;""," "," "))))&lt;&gt;"")+2*(UPPER(TRIM(CLEAN(SUBSTITUTE(rate_USMCA&amp;""," "," "))))&lt;&gt;"")+4*(UPPER(TRIM(CLEAN(SUBSTITUTE(rate_COO&amp;""," "," "))))&lt;&gt;""))*100+ROW(rate_Rate)-4))))</f>
        <v/>
      </c>
      <c r="AP49" s="13">
        <f>IF($AO49=0,0,SUMPRODUCT(ISNUMBER(rate_Rate)*((UPPER(TRIM(CLEAN(SUBSTITUTE(rate_Group&amp;""," "," "))))="")+(UPPER(TRIM(CLEAN(SUBSTITUTE(rate_Group&amp;""," "," "))))=$N49)&gt;0)*((UPPER(TRIM(CLEAN(SUBSTITUTE(rate_COO&amp;""," "," "))))="")+(UPPER(TRIM(CLEAN(SUBSTITUTE(rate_COO&amp;""," "," "))))=$E49)&gt;0)*((UPPER(TRIM(CLEAN(SUBSTITUTE(rate_USMCA&amp;""," "," "))))="")+(UPPER(TRIM(CLEAN(SUBSTITUTE(rate_USMCA&amp;""," "," "))))=IF(UPPER(TRIM(CLEAN(SUBSTITUTE(Items!F49&amp;""," "," "))))="Y","Y","N"))&gt;0)*((1+(UPPER(TRIM(CLEAN(SUBSTITUTE(rate_Group&amp;""," "," "))))&lt;&gt;"")+2*(UPPER(TRIM(CLEAN(SUBSTITUTE(rate_USMCA&amp;""," "," "))))&lt;&gt;"")+4*(UPPER(TRIM(CLEAN(SUBSTITUTE(rate_COO&amp;""," "," "))))&lt;&gt;""))=INT($AO49/100))))</f>
        <v/>
      </c>
      <c r="AQ49" s="13">
        <f>IF($A49="",0,IFERROR(MATCH($AL49,det_Key,0),0))</f>
        <v/>
      </c>
    </row>
    <row r="50">
      <c r="A50" s="10">
        <f>IF(TRIM(CLEAN(SUBSTITUTE(Items!A50&amp;""," "," ")))="","",TRIM(CLEAN(SUBSTITUTE(Items!A50&amp;""," "," "))))</f>
        <v/>
      </c>
      <c r="B50" s="10">
        <f>IF($A50="","",Items!B50&amp;"")</f>
        <v/>
      </c>
      <c r="C50" s="10">
        <f>IF($A50="","",SUBSTITUTE(SUBSTITUTE(SUBSTITUTE(SUBSTITUTE(CLEAN(Items!D50&amp;"")," ",""),".","")," ",""),"-",""))</f>
        <v/>
      </c>
      <c r="D50" s="10">
        <f>IF($A50="","",LEFT($C50,2))</f>
        <v/>
      </c>
      <c r="E50" s="10">
        <f>IF($A50="","",UPPER(TRIM(CLEAN(SUBSTITUTE(Items!E50&amp;""," "," ")))))</f>
        <v/>
      </c>
      <c r="F50" s="10">
        <f>IF($A50="","",IF(UPPER(TRIM(CLEAN(SUBSTITUTE(Items!C50&amp;""," "," "))))=UPPER(TRIM(CLEAN(SUBSTITUTE(act_Country&amp;""," "," ")))),"Y","N"))</f>
        <v/>
      </c>
      <c r="G50" s="10">
        <f>IF($A50="","",IF($AM50&gt;0,"Y","N"))</f>
        <v/>
      </c>
      <c r="H50" s="10">
        <f>IF($A50="","",IF(SUMPRODUCT((excl_HTS&lt;&gt;"")*(LEFT($C50,LEN(excl_HTS))=excl_HTS))&gt;0,"Y","N"))</f>
        <v/>
      </c>
      <c r="I50" s="10">
        <f>IF($A50="","",IF($E50="","N",IF(SUMPRODUCT(--(UPPER(TRIM(CLEAN(SUBSTITUTE(scope_COO&amp;""," "," "))))=$E50))&gt;0,"Y","N")))</f>
        <v/>
      </c>
      <c r="J50" s="10">
        <f>IF($A50="","",IF(AND(UPPER(TRIM(CLEAN(SUBSTITUTE(act_USMCAExempt&amp;""," "," "))))="Y",UPPER(TRIM(CLEAN(SUBSTITUTE(Items!F50&amp;""," "," "))))="Y"),"Y","N"))</f>
        <v/>
      </c>
      <c r="K50" s="10">
        <f>IF($A50="","",IF($AQ50=0,"",UPPER(TRIM(CLEAN(SUBSTITUTE(INDEX(det_Status,$AQ50)&amp;""," "," "))))))</f>
        <v/>
      </c>
      <c r="L50" s="10">
        <f>IF($A50="","",IF($F50="N","N",IF($K50="IN","Y",IF($K50="OUT","N",IF(AND($G50="Y",$H50="N",$I50="Y",$J50="N"),"Y","N")))))</f>
        <v/>
      </c>
      <c r="M50" s="10">
        <f>IF($A50="","",IF($F50="N","Out: different import country",IF($K50="IN","In: Research determination",IF($K50="OUT","Out: Research determination",IF($G50="N","Out: HTS not on scope list",IF($H50="Y","Out: HTS on exclusion list",IF($I50="N","Out: origin not on scope list",IF($J50="Y","Out: USMCA-qualifying, exempt","In: matches scope rules"))))))))</f>
        <v/>
      </c>
      <c r="N50" s="10">
        <f>IF(OR($A50="",$AM50=0),"",UPPER(TRIM(CLEAN(SUBSTITUTE(INDEX(scope_Group,MOD($AM50,1000))&amp;""," "," ")))))</f>
        <v/>
      </c>
      <c r="O50" s="10">
        <f>IF($L50&lt;&gt;"Y","",IF($AO50=0,"Default (B15)",UPPER(TRIM(CLEAN(SUBSTITUTE(INDEX(rate_ID,MOD($AO50,100))&amp;""," "," "))))))</f>
        <v/>
      </c>
      <c r="P50" s="10">
        <f>IF($L50&lt;&gt;"Y","",IF($AO50=0,IF(UPPER(TRIM(CLEAN(SUBSTITUTE(act_DefaultBase&amp;""," "," "))))="PART","PART","FULL"),IF(UPPER(TRIM(CLEAN(SUBSTITUTE(INDEX(rate_Base,MOD($AO50,100))&amp;""," "," "))))="PART","PART","FULL")))</f>
        <v/>
      </c>
      <c r="Q50" s="17">
        <f>IF($A50="","",N(Items!J50))</f>
        <v/>
      </c>
      <c r="R50" s="17">
        <f>IF($A50="","",IF($L50&lt;&gt;"Y",0,IF($AO50=0,N(act_Rate),N(INDEX(rate_Rate,MOD($AO50,100))))))</f>
        <v/>
      </c>
      <c r="S50" s="17">
        <f>IF($A50="","",IF($L50&lt;&gt;"Y",0,IF($AO50=0,IF(UPPER(TRIM(CLEAN(SUBSTITUTE(act_RateType&amp;""," "," "))))="REPLACE",N(act_PriorRate),0),IF(ISNUMBER(INDEX(rate_Prior,MOD($AO50,100))),INDEX(rate_Prior,MOD($AO50,100)),IF(UPPER(TRIM(CLEAN(SUBSTITUTE(act_RateType&amp;""," "," "))))="REPLACE",N(act_PriorRate),0)))))</f>
        <v/>
      </c>
      <c r="T50" s="17">
        <f>IF($A50="","",IF(AND($L50="Y",$P50="PART",ISNUMBER(Items!M50)),Items!M50,1))</f>
        <v/>
      </c>
      <c r="U50" s="17">
        <f>IF($A50="","",IF($L50&lt;&gt;"Y",0,IF($AQ50&gt;0,IF(ISNUMBER(INDEX(det_Displaced,$AQ50)),INDEX(det_Displaced,$AQ50),IF($AO50=0,0,N(INDEX(rate_Displaced,MOD($AO50,100))))),IF($AO50=0,0,N(INDEX(rate_Displaced,MOD($AO50,100)))))))</f>
        <v/>
      </c>
      <c r="V50" s="17">
        <f>IF($A50="","",IF($L50="Y",$Q50+$T50*($R50-$S50)-$U50,$Q50))</f>
        <v/>
      </c>
      <c r="W50" s="18">
        <f>IF($A50="","",N(Items!H50)*$Q50)</f>
        <v/>
      </c>
      <c r="X50" s="18">
        <f>IF($A50="","",N(Items!H50)*$V50)</f>
        <v/>
      </c>
      <c r="Y50" s="18">
        <f>IF($A50="","",$X50-$W50)</f>
        <v/>
      </c>
      <c r="Z50" s="18">
        <f>IF($A50="","",N(Items!K50)+$Y50)</f>
        <v/>
      </c>
      <c r="AA50" s="17">
        <f>IF($A50="","",IF(N(Items!L50)=0,"",(N(Items!L50)-N(Items!K50))/N(Items!L50)))</f>
        <v/>
      </c>
      <c r="AB50" s="17">
        <f>IF($A50="","",IF(N(Items!L50)=0,"",(N(Items!L50)-$Z50)/N(Items!L50)))</f>
        <v/>
      </c>
      <c r="AC50" s="17">
        <f>IF(OR($AA50="",$AB50=""),"",$AB50-$AA50)</f>
        <v/>
      </c>
      <c r="AD50" s="13">
        <f>IF($A50="","",N(Items!I50))</f>
        <v/>
      </c>
      <c r="AE50" s="19">
        <f>IF($A50="","",$Y50*$AD50)</f>
        <v/>
      </c>
      <c r="AF50" s="10">
        <f>IF($A50="","",IF(N(Items!L50)&gt;0,"Y","N"))</f>
        <v/>
      </c>
      <c r="AG50" s="19">
        <f>IF($A50="","",IF($AF50="Y",N(Items!L50)*$AD50,0))</f>
        <v/>
      </c>
      <c r="AH50" s="19">
        <f>IF($A50="","",IF($AF50="Y",(N(Items!L50)-N(Items!K50))*$AD50,0))</f>
        <v/>
      </c>
      <c r="AI50" s="19">
        <f>IF($A50="","",IF($AF50="Y",$AH50-$AE50,0))</f>
        <v/>
      </c>
      <c r="AJ50" s="10">
        <f>IF($A50="","",IF(COUNTIF($AL$5:$AL$254,$AL50)&gt;1,"CHECK: duplicate item and import country",IF(TRIM(CLEAN(SUBSTITUTE(Items!C50&amp;""," "," ")))="","CHECK: import country missing",IF(AND(UPPER(TRIM(CLEAN(SUBSTITUTE(Items!C50&amp;""," "," "))))&lt;&gt;"US",UPPER(TRIM(CLEAN(SUBSTITUTE(Items!C50&amp;""," "," "))))&lt;&gt;"CA",UPPER(TRIM(CLEAN(SUBSTITUTE(Items!C50&amp;""," "," "))))&lt;&gt;"MX"),"CHECK: import country must be US, CA or MX",IF(NOT(AND(LEN($C50)=10,IFERROR(TEXT(VALUE($C50),REPT("0",LEN($C50)))=$C50,FALSE))),"CHECK: HTS must be 10 digits",IF(LEN($E50)&lt;&gt;2,"CHECK: origin code missing or not 2 letters",IF(TRIM(CLEAN(SUBSTITUTE(Items!G50&amp;""," "," ")))="","CHECK: unit of measure missing",IF(OR(Items!H50="",Items!J50="",Items!K50=""),"CHECK: value, rate or cost missing",IF(OR(NOT(ISNUMBER(Items!H50)),NOT(ISNUMBER(Items!J50)),NOT(ISNUMBER(Items!K50)),AND(Items!I50&lt;&gt;"",NOT(ISNUMBER(Items!I50))),AND(Items!L50&lt;&gt;"",NOT(ISNUMBER(Items!L50))),AND(Items!M50&lt;&gt;"",NOT(ISNUMBER(Items!M50)))),"CHECK: text in a number column",IF(AND(ISNUMBER(Items!M50),OR(N(Items!M50)&lt;0,N(Items!M50)&gt;1)),"CHECK: dutiable share must be 0% to 100%",IF(AND(UPPER(TRIM(CLEAN(SUBSTITUTE(Items!F50&amp;""," "," "))))&lt;&gt;"",UPPER(TRIM(CLEAN(SUBSTITUTE(Items!F50&amp;""," "," "))))&lt;&gt;"Y",UPPER(TRIM(CLEAN(SUBSTITUTE(Items!F50&amp;""," "," "))))&lt;&gt;"N"),"CHECK: USMCA flag must be Y, N or blank",IF(AND(UPPER(TRIM(CLEAN(SUBSTITUTE(Items!F50&amp;""," "," "))))="Y",$E50&lt;&gt;"US",$E50&lt;&gt;"CA",$E50&lt;&gt;"MX"),"CHECK: USMCA flag on an origin other than US, CA or MX",IF(AND($L50="Y",$AO50=0,NOT(ISNUMBER(act_Rate))),"CHECK: in scope but no rate (add a rate line or B15)",IF(AND($L50="Y",UPPER(TRIM(CLEAN(SUBSTITUTE(act_RateType&amp;""," "," "))))="REPLACE",NOT(ISNUMBER(act_PriorRate)),IF($AO50=0,TRUE,NOT(ISNUMBER(INDEX(rate_Prior,MOD($AO50,100)))))),"CHECK: REPLACE but no earlier rate (B17 or the rate line's AD)",IF(AND($L50="Y",$AP50&gt;1),"CHECK: two rate lines match equally",IF(AND($L50="Y",$AN50&gt;1),"CHECK: HTS prefix listed twice on the scope list",IF(AND($L50="Y",$P50="PART",NOT(ISNUMBER(Items!M50))),"CHECK: dutiable share missing (PART base)",IF(AND($L50="Y",$P50="FULL",ISNUMBER(Items!M50),N(Items!M50)&lt;&gt;1),"CHECK: dutiable share entered, but the rate taxes the full value",IF(AND($L50="Y",$Q50+0.0000001&lt;$T50*$S50+$U50),"CHECK: current rate is below the duty being replaced or displaced",IF(AND($L50="Y",$AD50=0),"NOTE: in scope, no quantity",IF(AND($L50="Y",$AF50="N"),"NOTE: in scope, no sell price (left out of margin %)",IF(AND($L50="Y",N(Items!H50)&gt;N(Items!K50)),"NOTE: customs value above standard cost (check unit of measure)",IF(AND($L50="Y",$Q50&gt;1),"NOTE: current rate above 100% (check it was entered as a percentage)","OK")))))))))))))))))))))))</f>
        <v/>
      </c>
      <c r="AK50" s="20">
        <f>IF($A50="","",IF(AND($L50="Y",$AE50&lt;&gt;0),ABS($AE50)+ROW()/1000000000,""))</f>
        <v/>
      </c>
      <c r="AL50" s="10">
        <f>IF($A50="","",UPPER($A50)&amp;"/"&amp;UPPER(TRIM(CLEAN(SUBSTITUTE(Items!C50&amp;""," "," ")))))</f>
        <v/>
      </c>
      <c r="AM50" s="13">
        <f>IF($A50="",0,SUMPRODUCT(MAX((scope_HTS&lt;&gt;"")*(LEFT($C50,LEN(scope_HTS))=scope_HTS)*(LEN(scope_HTS)*1000+ROW(scope_HTS)-4))))</f>
        <v/>
      </c>
      <c r="AN50" s="13">
        <f>IF($AM50=0,0,SUMPRODUCT((scope_HTS&lt;&gt;"")*(LEFT($C50,LEN(scope_HTS))=scope_HTS)*(LEN(scope_HTS)=INT($AM50/1000))))</f>
        <v/>
      </c>
      <c r="AO50" s="13">
        <f>IF($L50&lt;&gt;"Y",0,SUMPRODUCT(MAX(ISNUMBER(rate_Rate)*((UPPER(TRIM(CLEAN(SUBSTITUTE(rate_Group&amp;""," "," "))))="")+(UPPER(TRIM(CLEAN(SUBSTITUTE(rate_Group&amp;""," "," "))))=$N50)&gt;0)*((UPPER(TRIM(CLEAN(SUBSTITUTE(rate_COO&amp;""," "," "))))="")+(UPPER(TRIM(CLEAN(SUBSTITUTE(rate_COO&amp;""," "," "))))=$E50)&gt;0)*((UPPER(TRIM(CLEAN(SUBSTITUTE(rate_USMCA&amp;""," "," "))))="")+(UPPER(TRIM(CLEAN(SUBSTITUTE(rate_USMCA&amp;""," "," "))))=IF(UPPER(TRIM(CLEAN(SUBSTITUTE(Items!F50&amp;""," "," "))))="Y","Y","N"))&gt;0)*((1+(UPPER(TRIM(CLEAN(SUBSTITUTE(rate_Group&amp;""," "," "))))&lt;&gt;"")+2*(UPPER(TRIM(CLEAN(SUBSTITUTE(rate_USMCA&amp;""," "," "))))&lt;&gt;"")+4*(UPPER(TRIM(CLEAN(SUBSTITUTE(rate_COO&amp;""," "," "))))&lt;&gt;""))*100+ROW(rate_Rate)-4))))</f>
        <v/>
      </c>
      <c r="AP50" s="13">
        <f>IF($AO50=0,0,SUMPRODUCT(ISNUMBER(rate_Rate)*((UPPER(TRIM(CLEAN(SUBSTITUTE(rate_Group&amp;""," "," "))))="")+(UPPER(TRIM(CLEAN(SUBSTITUTE(rate_Group&amp;""," "," "))))=$N50)&gt;0)*((UPPER(TRIM(CLEAN(SUBSTITUTE(rate_COO&amp;""," "," "))))="")+(UPPER(TRIM(CLEAN(SUBSTITUTE(rate_COO&amp;""," "," "))))=$E50)&gt;0)*((UPPER(TRIM(CLEAN(SUBSTITUTE(rate_USMCA&amp;""," "," "))))="")+(UPPER(TRIM(CLEAN(SUBSTITUTE(rate_USMCA&amp;""," "," "))))=IF(UPPER(TRIM(CLEAN(SUBSTITUTE(Items!F50&amp;""," "," "))))="Y","Y","N"))&gt;0)*((1+(UPPER(TRIM(CLEAN(SUBSTITUTE(rate_Group&amp;""," "," "))))&lt;&gt;"")+2*(UPPER(TRIM(CLEAN(SUBSTITUTE(rate_USMCA&amp;""," "," "))))&lt;&gt;"")+4*(UPPER(TRIM(CLEAN(SUBSTITUTE(rate_COO&amp;""," "," "))))&lt;&gt;""))=INT($AO50/100))))</f>
        <v/>
      </c>
      <c r="AQ50" s="13">
        <f>IF($A50="",0,IFERROR(MATCH($AL50,det_Key,0),0))</f>
        <v/>
      </c>
    </row>
    <row r="51">
      <c r="A51" s="10">
        <f>IF(TRIM(CLEAN(SUBSTITUTE(Items!A51&amp;""," "," ")))="","",TRIM(CLEAN(SUBSTITUTE(Items!A51&amp;""," "," "))))</f>
        <v/>
      </c>
      <c r="B51" s="10">
        <f>IF($A51="","",Items!B51&amp;"")</f>
        <v/>
      </c>
      <c r="C51" s="10">
        <f>IF($A51="","",SUBSTITUTE(SUBSTITUTE(SUBSTITUTE(SUBSTITUTE(CLEAN(Items!D51&amp;"")," ",""),".","")," ",""),"-",""))</f>
        <v/>
      </c>
      <c r="D51" s="10">
        <f>IF($A51="","",LEFT($C51,2))</f>
        <v/>
      </c>
      <c r="E51" s="10">
        <f>IF($A51="","",UPPER(TRIM(CLEAN(SUBSTITUTE(Items!E51&amp;""," "," ")))))</f>
        <v/>
      </c>
      <c r="F51" s="10">
        <f>IF($A51="","",IF(UPPER(TRIM(CLEAN(SUBSTITUTE(Items!C51&amp;""," "," "))))=UPPER(TRIM(CLEAN(SUBSTITUTE(act_Country&amp;""," "," ")))),"Y","N"))</f>
        <v/>
      </c>
      <c r="G51" s="10">
        <f>IF($A51="","",IF($AM51&gt;0,"Y","N"))</f>
        <v/>
      </c>
      <c r="H51" s="10">
        <f>IF($A51="","",IF(SUMPRODUCT((excl_HTS&lt;&gt;"")*(LEFT($C51,LEN(excl_HTS))=excl_HTS))&gt;0,"Y","N"))</f>
        <v/>
      </c>
      <c r="I51" s="10">
        <f>IF($A51="","",IF($E51="","N",IF(SUMPRODUCT(--(UPPER(TRIM(CLEAN(SUBSTITUTE(scope_COO&amp;""," "," "))))=$E51))&gt;0,"Y","N")))</f>
        <v/>
      </c>
      <c r="J51" s="10">
        <f>IF($A51="","",IF(AND(UPPER(TRIM(CLEAN(SUBSTITUTE(act_USMCAExempt&amp;""," "," "))))="Y",UPPER(TRIM(CLEAN(SUBSTITUTE(Items!F51&amp;""," "," "))))="Y"),"Y","N"))</f>
        <v/>
      </c>
      <c r="K51" s="10">
        <f>IF($A51="","",IF($AQ51=0,"",UPPER(TRIM(CLEAN(SUBSTITUTE(INDEX(det_Status,$AQ51)&amp;""," "," "))))))</f>
        <v/>
      </c>
      <c r="L51" s="10">
        <f>IF($A51="","",IF($F51="N","N",IF($K51="IN","Y",IF($K51="OUT","N",IF(AND($G51="Y",$H51="N",$I51="Y",$J51="N"),"Y","N")))))</f>
        <v/>
      </c>
      <c r="M51" s="10">
        <f>IF($A51="","",IF($F51="N","Out: different import country",IF($K51="IN","In: Research determination",IF($K51="OUT","Out: Research determination",IF($G51="N","Out: HTS not on scope list",IF($H51="Y","Out: HTS on exclusion list",IF($I51="N","Out: origin not on scope list",IF($J51="Y","Out: USMCA-qualifying, exempt","In: matches scope rules"))))))))</f>
        <v/>
      </c>
      <c r="N51" s="10">
        <f>IF(OR($A51="",$AM51=0),"",UPPER(TRIM(CLEAN(SUBSTITUTE(INDEX(scope_Group,MOD($AM51,1000))&amp;""," "," ")))))</f>
        <v/>
      </c>
      <c r="O51" s="10">
        <f>IF($L51&lt;&gt;"Y","",IF($AO51=0,"Default (B15)",UPPER(TRIM(CLEAN(SUBSTITUTE(INDEX(rate_ID,MOD($AO51,100))&amp;""," "," "))))))</f>
        <v/>
      </c>
      <c r="P51" s="10">
        <f>IF($L51&lt;&gt;"Y","",IF($AO51=0,IF(UPPER(TRIM(CLEAN(SUBSTITUTE(act_DefaultBase&amp;""," "," "))))="PART","PART","FULL"),IF(UPPER(TRIM(CLEAN(SUBSTITUTE(INDEX(rate_Base,MOD($AO51,100))&amp;""," "," "))))="PART","PART","FULL")))</f>
        <v/>
      </c>
      <c r="Q51" s="17">
        <f>IF($A51="","",N(Items!J51))</f>
        <v/>
      </c>
      <c r="R51" s="17">
        <f>IF($A51="","",IF($L51&lt;&gt;"Y",0,IF($AO51=0,N(act_Rate),N(INDEX(rate_Rate,MOD($AO51,100))))))</f>
        <v/>
      </c>
      <c r="S51" s="17">
        <f>IF($A51="","",IF($L51&lt;&gt;"Y",0,IF($AO51=0,IF(UPPER(TRIM(CLEAN(SUBSTITUTE(act_RateType&amp;""," "," "))))="REPLACE",N(act_PriorRate),0),IF(ISNUMBER(INDEX(rate_Prior,MOD($AO51,100))),INDEX(rate_Prior,MOD($AO51,100)),IF(UPPER(TRIM(CLEAN(SUBSTITUTE(act_RateType&amp;""," "," "))))="REPLACE",N(act_PriorRate),0)))))</f>
        <v/>
      </c>
      <c r="T51" s="17">
        <f>IF($A51="","",IF(AND($L51="Y",$P51="PART",ISNUMBER(Items!M51)),Items!M51,1))</f>
        <v/>
      </c>
      <c r="U51" s="17">
        <f>IF($A51="","",IF($L51&lt;&gt;"Y",0,IF($AQ51&gt;0,IF(ISNUMBER(INDEX(det_Displaced,$AQ51)),INDEX(det_Displaced,$AQ51),IF($AO51=0,0,N(INDEX(rate_Displaced,MOD($AO51,100))))),IF($AO51=0,0,N(INDEX(rate_Displaced,MOD($AO51,100)))))))</f>
        <v/>
      </c>
      <c r="V51" s="17">
        <f>IF($A51="","",IF($L51="Y",$Q51+$T51*($R51-$S51)-$U51,$Q51))</f>
        <v/>
      </c>
      <c r="W51" s="18">
        <f>IF($A51="","",N(Items!H51)*$Q51)</f>
        <v/>
      </c>
      <c r="X51" s="18">
        <f>IF($A51="","",N(Items!H51)*$V51)</f>
        <v/>
      </c>
      <c r="Y51" s="18">
        <f>IF($A51="","",$X51-$W51)</f>
        <v/>
      </c>
      <c r="Z51" s="18">
        <f>IF($A51="","",N(Items!K51)+$Y51)</f>
        <v/>
      </c>
      <c r="AA51" s="17">
        <f>IF($A51="","",IF(N(Items!L51)=0,"",(N(Items!L51)-N(Items!K51))/N(Items!L51)))</f>
        <v/>
      </c>
      <c r="AB51" s="17">
        <f>IF($A51="","",IF(N(Items!L51)=0,"",(N(Items!L51)-$Z51)/N(Items!L51)))</f>
        <v/>
      </c>
      <c r="AC51" s="17">
        <f>IF(OR($AA51="",$AB51=""),"",$AB51-$AA51)</f>
        <v/>
      </c>
      <c r="AD51" s="13">
        <f>IF($A51="","",N(Items!I51))</f>
        <v/>
      </c>
      <c r="AE51" s="19">
        <f>IF($A51="","",$Y51*$AD51)</f>
        <v/>
      </c>
      <c r="AF51" s="10">
        <f>IF($A51="","",IF(N(Items!L51)&gt;0,"Y","N"))</f>
        <v/>
      </c>
      <c r="AG51" s="19">
        <f>IF($A51="","",IF($AF51="Y",N(Items!L51)*$AD51,0))</f>
        <v/>
      </c>
      <c r="AH51" s="19">
        <f>IF($A51="","",IF($AF51="Y",(N(Items!L51)-N(Items!K51))*$AD51,0))</f>
        <v/>
      </c>
      <c r="AI51" s="19">
        <f>IF($A51="","",IF($AF51="Y",$AH51-$AE51,0))</f>
        <v/>
      </c>
      <c r="AJ51" s="10">
        <f>IF($A51="","",IF(COUNTIF($AL$5:$AL$254,$AL51)&gt;1,"CHECK: duplicate item and import country",IF(TRIM(CLEAN(SUBSTITUTE(Items!C51&amp;""," "," ")))="","CHECK: import country missing",IF(AND(UPPER(TRIM(CLEAN(SUBSTITUTE(Items!C51&amp;""," "," "))))&lt;&gt;"US",UPPER(TRIM(CLEAN(SUBSTITUTE(Items!C51&amp;""," "," "))))&lt;&gt;"CA",UPPER(TRIM(CLEAN(SUBSTITUTE(Items!C51&amp;""," "," "))))&lt;&gt;"MX"),"CHECK: import country must be US, CA or MX",IF(NOT(AND(LEN($C51)=10,IFERROR(TEXT(VALUE($C51),REPT("0",LEN($C51)))=$C51,FALSE))),"CHECK: HTS must be 10 digits",IF(LEN($E51)&lt;&gt;2,"CHECK: origin code missing or not 2 letters",IF(TRIM(CLEAN(SUBSTITUTE(Items!G51&amp;""," "," ")))="","CHECK: unit of measure missing",IF(OR(Items!H51="",Items!J51="",Items!K51=""),"CHECK: value, rate or cost missing",IF(OR(NOT(ISNUMBER(Items!H51)),NOT(ISNUMBER(Items!J51)),NOT(ISNUMBER(Items!K51)),AND(Items!I51&lt;&gt;"",NOT(ISNUMBER(Items!I51))),AND(Items!L51&lt;&gt;"",NOT(ISNUMBER(Items!L51))),AND(Items!M51&lt;&gt;"",NOT(ISNUMBER(Items!M51)))),"CHECK: text in a number column",IF(AND(ISNUMBER(Items!M51),OR(N(Items!M51)&lt;0,N(Items!M51)&gt;1)),"CHECK: dutiable share must be 0% to 100%",IF(AND(UPPER(TRIM(CLEAN(SUBSTITUTE(Items!F51&amp;""," "," "))))&lt;&gt;"",UPPER(TRIM(CLEAN(SUBSTITUTE(Items!F51&amp;""," "," "))))&lt;&gt;"Y",UPPER(TRIM(CLEAN(SUBSTITUTE(Items!F51&amp;""," "," "))))&lt;&gt;"N"),"CHECK: USMCA flag must be Y, N or blank",IF(AND(UPPER(TRIM(CLEAN(SUBSTITUTE(Items!F51&amp;""," "," "))))="Y",$E51&lt;&gt;"US",$E51&lt;&gt;"CA",$E51&lt;&gt;"MX"),"CHECK: USMCA flag on an origin other than US, CA or MX",IF(AND($L51="Y",$AO51=0,NOT(ISNUMBER(act_Rate))),"CHECK: in scope but no rate (add a rate line or B15)",IF(AND($L51="Y",UPPER(TRIM(CLEAN(SUBSTITUTE(act_RateType&amp;""," "," "))))="REPLACE",NOT(ISNUMBER(act_PriorRate)),IF($AO51=0,TRUE,NOT(ISNUMBER(INDEX(rate_Prior,MOD($AO51,100)))))),"CHECK: REPLACE but no earlier rate (B17 or the rate line's AD)",IF(AND($L51="Y",$AP51&gt;1),"CHECK: two rate lines match equally",IF(AND($L51="Y",$AN51&gt;1),"CHECK: HTS prefix listed twice on the scope list",IF(AND($L51="Y",$P51="PART",NOT(ISNUMBER(Items!M51))),"CHECK: dutiable share missing (PART base)",IF(AND($L51="Y",$P51="FULL",ISNUMBER(Items!M51),N(Items!M51)&lt;&gt;1),"CHECK: dutiable share entered, but the rate taxes the full value",IF(AND($L51="Y",$Q51+0.0000001&lt;$T51*$S51+$U51),"CHECK: current rate is below the duty being replaced or displaced",IF(AND($L51="Y",$AD51=0),"NOTE: in scope, no quantity",IF(AND($L51="Y",$AF51="N"),"NOTE: in scope, no sell price (left out of margin %)",IF(AND($L51="Y",N(Items!H51)&gt;N(Items!K51)),"NOTE: customs value above standard cost (check unit of measure)",IF(AND($L51="Y",$Q51&gt;1),"NOTE: current rate above 100% (check it was entered as a percentage)","OK")))))))))))))))))))))))</f>
        <v/>
      </c>
      <c r="AK51" s="20">
        <f>IF($A51="","",IF(AND($L51="Y",$AE51&lt;&gt;0),ABS($AE51)+ROW()/1000000000,""))</f>
        <v/>
      </c>
      <c r="AL51" s="10">
        <f>IF($A51="","",UPPER($A51)&amp;"/"&amp;UPPER(TRIM(CLEAN(SUBSTITUTE(Items!C51&amp;""," "," ")))))</f>
        <v/>
      </c>
      <c r="AM51" s="13">
        <f>IF($A51="",0,SUMPRODUCT(MAX((scope_HTS&lt;&gt;"")*(LEFT($C51,LEN(scope_HTS))=scope_HTS)*(LEN(scope_HTS)*1000+ROW(scope_HTS)-4))))</f>
        <v/>
      </c>
      <c r="AN51" s="13">
        <f>IF($AM51=0,0,SUMPRODUCT((scope_HTS&lt;&gt;"")*(LEFT($C51,LEN(scope_HTS))=scope_HTS)*(LEN(scope_HTS)=INT($AM51/1000))))</f>
        <v/>
      </c>
      <c r="AO51" s="13">
        <f>IF($L51&lt;&gt;"Y",0,SUMPRODUCT(MAX(ISNUMBER(rate_Rate)*((UPPER(TRIM(CLEAN(SUBSTITUTE(rate_Group&amp;""," "," "))))="")+(UPPER(TRIM(CLEAN(SUBSTITUTE(rate_Group&amp;""," "," "))))=$N51)&gt;0)*((UPPER(TRIM(CLEAN(SUBSTITUTE(rate_COO&amp;""," "," "))))="")+(UPPER(TRIM(CLEAN(SUBSTITUTE(rate_COO&amp;""," "," "))))=$E51)&gt;0)*((UPPER(TRIM(CLEAN(SUBSTITUTE(rate_USMCA&amp;""," "," "))))="")+(UPPER(TRIM(CLEAN(SUBSTITUTE(rate_USMCA&amp;""," "," "))))=IF(UPPER(TRIM(CLEAN(SUBSTITUTE(Items!F51&amp;""," "," "))))="Y","Y","N"))&gt;0)*((1+(UPPER(TRIM(CLEAN(SUBSTITUTE(rate_Group&amp;""," "," "))))&lt;&gt;"")+2*(UPPER(TRIM(CLEAN(SUBSTITUTE(rate_USMCA&amp;""," "," "))))&lt;&gt;"")+4*(UPPER(TRIM(CLEAN(SUBSTITUTE(rate_COO&amp;""," "," "))))&lt;&gt;""))*100+ROW(rate_Rate)-4))))</f>
        <v/>
      </c>
      <c r="AP51" s="13">
        <f>IF($AO51=0,0,SUMPRODUCT(ISNUMBER(rate_Rate)*((UPPER(TRIM(CLEAN(SUBSTITUTE(rate_Group&amp;""," "," "))))="")+(UPPER(TRIM(CLEAN(SUBSTITUTE(rate_Group&amp;""," "," "))))=$N51)&gt;0)*((UPPER(TRIM(CLEAN(SUBSTITUTE(rate_COO&amp;""," "," "))))="")+(UPPER(TRIM(CLEAN(SUBSTITUTE(rate_COO&amp;""," "," "))))=$E51)&gt;0)*((UPPER(TRIM(CLEAN(SUBSTITUTE(rate_USMCA&amp;""," "," "))))="")+(UPPER(TRIM(CLEAN(SUBSTITUTE(rate_USMCA&amp;""," "," "))))=IF(UPPER(TRIM(CLEAN(SUBSTITUTE(Items!F51&amp;""," "," "))))="Y","Y","N"))&gt;0)*((1+(UPPER(TRIM(CLEAN(SUBSTITUTE(rate_Group&amp;""," "," "))))&lt;&gt;"")+2*(UPPER(TRIM(CLEAN(SUBSTITUTE(rate_USMCA&amp;""," "," "))))&lt;&gt;"")+4*(UPPER(TRIM(CLEAN(SUBSTITUTE(rate_COO&amp;""," "," "))))&lt;&gt;""))=INT($AO51/100))))</f>
        <v/>
      </c>
      <c r="AQ51" s="13">
        <f>IF($A51="",0,IFERROR(MATCH($AL51,det_Key,0),0))</f>
        <v/>
      </c>
    </row>
    <row r="52">
      <c r="A52" s="10">
        <f>IF(TRIM(CLEAN(SUBSTITUTE(Items!A52&amp;""," "," ")))="","",TRIM(CLEAN(SUBSTITUTE(Items!A52&amp;""," "," "))))</f>
        <v/>
      </c>
      <c r="B52" s="10">
        <f>IF($A52="","",Items!B52&amp;"")</f>
        <v/>
      </c>
      <c r="C52" s="10">
        <f>IF($A52="","",SUBSTITUTE(SUBSTITUTE(SUBSTITUTE(SUBSTITUTE(CLEAN(Items!D52&amp;"")," ",""),".","")," ",""),"-",""))</f>
        <v/>
      </c>
      <c r="D52" s="10">
        <f>IF($A52="","",LEFT($C52,2))</f>
        <v/>
      </c>
      <c r="E52" s="10">
        <f>IF($A52="","",UPPER(TRIM(CLEAN(SUBSTITUTE(Items!E52&amp;""," "," ")))))</f>
        <v/>
      </c>
      <c r="F52" s="10">
        <f>IF($A52="","",IF(UPPER(TRIM(CLEAN(SUBSTITUTE(Items!C52&amp;""," "," "))))=UPPER(TRIM(CLEAN(SUBSTITUTE(act_Country&amp;""," "," ")))),"Y","N"))</f>
        <v/>
      </c>
      <c r="G52" s="10">
        <f>IF($A52="","",IF($AM52&gt;0,"Y","N"))</f>
        <v/>
      </c>
      <c r="H52" s="10">
        <f>IF($A52="","",IF(SUMPRODUCT((excl_HTS&lt;&gt;"")*(LEFT($C52,LEN(excl_HTS))=excl_HTS))&gt;0,"Y","N"))</f>
        <v/>
      </c>
      <c r="I52" s="10">
        <f>IF($A52="","",IF($E52="","N",IF(SUMPRODUCT(--(UPPER(TRIM(CLEAN(SUBSTITUTE(scope_COO&amp;""," "," "))))=$E52))&gt;0,"Y","N")))</f>
        <v/>
      </c>
      <c r="J52" s="10">
        <f>IF($A52="","",IF(AND(UPPER(TRIM(CLEAN(SUBSTITUTE(act_USMCAExempt&amp;""," "," "))))="Y",UPPER(TRIM(CLEAN(SUBSTITUTE(Items!F52&amp;""," "," "))))="Y"),"Y","N"))</f>
        <v/>
      </c>
      <c r="K52" s="10">
        <f>IF($A52="","",IF($AQ52=0,"",UPPER(TRIM(CLEAN(SUBSTITUTE(INDEX(det_Status,$AQ52)&amp;""," "," "))))))</f>
        <v/>
      </c>
      <c r="L52" s="10">
        <f>IF($A52="","",IF($F52="N","N",IF($K52="IN","Y",IF($K52="OUT","N",IF(AND($G52="Y",$H52="N",$I52="Y",$J52="N"),"Y","N")))))</f>
        <v/>
      </c>
      <c r="M52" s="10">
        <f>IF($A52="","",IF($F52="N","Out: different import country",IF($K52="IN","In: Research determination",IF($K52="OUT","Out: Research determination",IF($G52="N","Out: HTS not on scope list",IF($H52="Y","Out: HTS on exclusion list",IF($I52="N","Out: origin not on scope list",IF($J52="Y","Out: USMCA-qualifying, exempt","In: matches scope rules"))))))))</f>
        <v/>
      </c>
      <c r="N52" s="10">
        <f>IF(OR($A52="",$AM52=0),"",UPPER(TRIM(CLEAN(SUBSTITUTE(INDEX(scope_Group,MOD($AM52,1000))&amp;""," "," ")))))</f>
        <v/>
      </c>
      <c r="O52" s="10">
        <f>IF($L52&lt;&gt;"Y","",IF($AO52=0,"Default (B15)",UPPER(TRIM(CLEAN(SUBSTITUTE(INDEX(rate_ID,MOD($AO52,100))&amp;""," "," "))))))</f>
        <v/>
      </c>
      <c r="P52" s="10">
        <f>IF($L52&lt;&gt;"Y","",IF($AO52=0,IF(UPPER(TRIM(CLEAN(SUBSTITUTE(act_DefaultBase&amp;""," "," "))))="PART","PART","FULL"),IF(UPPER(TRIM(CLEAN(SUBSTITUTE(INDEX(rate_Base,MOD($AO52,100))&amp;""," "," "))))="PART","PART","FULL")))</f>
        <v/>
      </c>
      <c r="Q52" s="17">
        <f>IF($A52="","",N(Items!J52))</f>
        <v/>
      </c>
      <c r="R52" s="17">
        <f>IF($A52="","",IF($L52&lt;&gt;"Y",0,IF($AO52=0,N(act_Rate),N(INDEX(rate_Rate,MOD($AO52,100))))))</f>
        <v/>
      </c>
      <c r="S52" s="17">
        <f>IF($A52="","",IF($L52&lt;&gt;"Y",0,IF($AO52=0,IF(UPPER(TRIM(CLEAN(SUBSTITUTE(act_RateType&amp;""," "," "))))="REPLACE",N(act_PriorRate),0),IF(ISNUMBER(INDEX(rate_Prior,MOD($AO52,100))),INDEX(rate_Prior,MOD($AO52,100)),IF(UPPER(TRIM(CLEAN(SUBSTITUTE(act_RateType&amp;""," "," "))))="REPLACE",N(act_PriorRate),0)))))</f>
        <v/>
      </c>
      <c r="T52" s="17">
        <f>IF($A52="","",IF(AND($L52="Y",$P52="PART",ISNUMBER(Items!M52)),Items!M52,1))</f>
        <v/>
      </c>
      <c r="U52" s="17">
        <f>IF($A52="","",IF($L52&lt;&gt;"Y",0,IF($AQ52&gt;0,IF(ISNUMBER(INDEX(det_Displaced,$AQ52)),INDEX(det_Displaced,$AQ52),IF($AO52=0,0,N(INDEX(rate_Displaced,MOD($AO52,100))))),IF($AO52=0,0,N(INDEX(rate_Displaced,MOD($AO52,100)))))))</f>
        <v/>
      </c>
      <c r="V52" s="17">
        <f>IF($A52="","",IF($L52="Y",$Q52+$T52*($R52-$S52)-$U52,$Q52))</f>
        <v/>
      </c>
      <c r="W52" s="18">
        <f>IF($A52="","",N(Items!H52)*$Q52)</f>
        <v/>
      </c>
      <c r="X52" s="18">
        <f>IF($A52="","",N(Items!H52)*$V52)</f>
        <v/>
      </c>
      <c r="Y52" s="18">
        <f>IF($A52="","",$X52-$W52)</f>
        <v/>
      </c>
      <c r="Z52" s="18">
        <f>IF($A52="","",N(Items!K52)+$Y52)</f>
        <v/>
      </c>
      <c r="AA52" s="17">
        <f>IF($A52="","",IF(N(Items!L52)=0,"",(N(Items!L52)-N(Items!K52))/N(Items!L52)))</f>
        <v/>
      </c>
      <c r="AB52" s="17">
        <f>IF($A52="","",IF(N(Items!L52)=0,"",(N(Items!L52)-$Z52)/N(Items!L52)))</f>
        <v/>
      </c>
      <c r="AC52" s="17">
        <f>IF(OR($AA52="",$AB52=""),"",$AB52-$AA52)</f>
        <v/>
      </c>
      <c r="AD52" s="13">
        <f>IF($A52="","",N(Items!I52))</f>
        <v/>
      </c>
      <c r="AE52" s="19">
        <f>IF($A52="","",$Y52*$AD52)</f>
        <v/>
      </c>
      <c r="AF52" s="10">
        <f>IF($A52="","",IF(N(Items!L52)&gt;0,"Y","N"))</f>
        <v/>
      </c>
      <c r="AG52" s="19">
        <f>IF($A52="","",IF($AF52="Y",N(Items!L52)*$AD52,0))</f>
        <v/>
      </c>
      <c r="AH52" s="19">
        <f>IF($A52="","",IF($AF52="Y",(N(Items!L52)-N(Items!K52))*$AD52,0))</f>
        <v/>
      </c>
      <c r="AI52" s="19">
        <f>IF($A52="","",IF($AF52="Y",$AH52-$AE52,0))</f>
        <v/>
      </c>
      <c r="AJ52" s="10">
        <f>IF($A52="","",IF(COUNTIF($AL$5:$AL$254,$AL52)&gt;1,"CHECK: duplicate item and import country",IF(TRIM(CLEAN(SUBSTITUTE(Items!C52&amp;""," "," ")))="","CHECK: import country missing",IF(AND(UPPER(TRIM(CLEAN(SUBSTITUTE(Items!C52&amp;""," "," "))))&lt;&gt;"US",UPPER(TRIM(CLEAN(SUBSTITUTE(Items!C52&amp;""," "," "))))&lt;&gt;"CA",UPPER(TRIM(CLEAN(SUBSTITUTE(Items!C52&amp;""," "," "))))&lt;&gt;"MX"),"CHECK: import country must be US, CA or MX",IF(NOT(AND(LEN($C52)=10,IFERROR(TEXT(VALUE($C52),REPT("0",LEN($C52)))=$C52,FALSE))),"CHECK: HTS must be 10 digits",IF(LEN($E52)&lt;&gt;2,"CHECK: origin code missing or not 2 letters",IF(TRIM(CLEAN(SUBSTITUTE(Items!G52&amp;""," "," ")))="","CHECK: unit of measure missing",IF(OR(Items!H52="",Items!J52="",Items!K52=""),"CHECK: value, rate or cost missing",IF(OR(NOT(ISNUMBER(Items!H52)),NOT(ISNUMBER(Items!J52)),NOT(ISNUMBER(Items!K52)),AND(Items!I52&lt;&gt;"",NOT(ISNUMBER(Items!I52))),AND(Items!L52&lt;&gt;"",NOT(ISNUMBER(Items!L52))),AND(Items!M52&lt;&gt;"",NOT(ISNUMBER(Items!M52)))),"CHECK: text in a number column",IF(AND(ISNUMBER(Items!M52),OR(N(Items!M52)&lt;0,N(Items!M52)&gt;1)),"CHECK: dutiable share must be 0% to 100%",IF(AND(UPPER(TRIM(CLEAN(SUBSTITUTE(Items!F52&amp;""," "," "))))&lt;&gt;"",UPPER(TRIM(CLEAN(SUBSTITUTE(Items!F52&amp;""," "," "))))&lt;&gt;"Y",UPPER(TRIM(CLEAN(SUBSTITUTE(Items!F52&amp;""," "," "))))&lt;&gt;"N"),"CHECK: USMCA flag must be Y, N or blank",IF(AND(UPPER(TRIM(CLEAN(SUBSTITUTE(Items!F52&amp;""," "," "))))="Y",$E52&lt;&gt;"US",$E52&lt;&gt;"CA",$E52&lt;&gt;"MX"),"CHECK: USMCA flag on an origin other than US, CA or MX",IF(AND($L52="Y",$AO52=0,NOT(ISNUMBER(act_Rate))),"CHECK: in scope but no rate (add a rate line or B15)",IF(AND($L52="Y",UPPER(TRIM(CLEAN(SUBSTITUTE(act_RateType&amp;""," "," "))))="REPLACE",NOT(ISNUMBER(act_PriorRate)),IF($AO52=0,TRUE,NOT(ISNUMBER(INDEX(rate_Prior,MOD($AO52,100)))))),"CHECK: REPLACE but no earlier rate (B17 or the rate line's AD)",IF(AND($L52="Y",$AP52&gt;1),"CHECK: two rate lines match equally",IF(AND($L52="Y",$AN52&gt;1),"CHECK: HTS prefix listed twice on the scope list",IF(AND($L52="Y",$P52="PART",NOT(ISNUMBER(Items!M52))),"CHECK: dutiable share missing (PART base)",IF(AND($L52="Y",$P52="FULL",ISNUMBER(Items!M52),N(Items!M52)&lt;&gt;1),"CHECK: dutiable share entered, but the rate taxes the full value",IF(AND($L52="Y",$Q52+0.0000001&lt;$T52*$S52+$U52),"CHECK: current rate is below the duty being replaced or displaced",IF(AND($L52="Y",$AD52=0),"NOTE: in scope, no quantity",IF(AND($L52="Y",$AF52="N"),"NOTE: in scope, no sell price (left out of margin %)",IF(AND($L52="Y",N(Items!H52)&gt;N(Items!K52)),"NOTE: customs value above standard cost (check unit of measure)",IF(AND($L52="Y",$Q52&gt;1),"NOTE: current rate above 100% (check it was entered as a percentage)","OK")))))))))))))))))))))))</f>
        <v/>
      </c>
      <c r="AK52" s="20">
        <f>IF($A52="","",IF(AND($L52="Y",$AE52&lt;&gt;0),ABS($AE52)+ROW()/1000000000,""))</f>
        <v/>
      </c>
      <c r="AL52" s="10">
        <f>IF($A52="","",UPPER($A52)&amp;"/"&amp;UPPER(TRIM(CLEAN(SUBSTITUTE(Items!C52&amp;""," "," ")))))</f>
        <v/>
      </c>
      <c r="AM52" s="13">
        <f>IF($A52="",0,SUMPRODUCT(MAX((scope_HTS&lt;&gt;"")*(LEFT($C52,LEN(scope_HTS))=scope_HTS)*(LEN(scope_HTS)*1000+ROW(scope_HTS)-4))))</f>
        <v/>
      </c>
      <c r="AN52" s="13">
        <f>IF($AM52=0,0,SUMPRODUCT((scope_HTS&lt;&gt;"")*(LEFT($C52,LEN(scope_HTS))=scope_HTS)*(LEN(scope_HTS)=INT($AM52/1000))))</f>
        <v/>
      </c>
      <c r="AO52" s="13">
        <f>IF($L52&lt;&gt;"Y",0,SUMPRODUCT(MAX(ISNUMBER(rate_Rate)*((UPPER(TRIM(CLEAN(SUBSTITUTE(rate_Group&amp;""," "," "))))="")+(UPPER(TRIM(CLEAN(SUBSTITUTE(rate_Group&amp;""," "," "))))=$N52)&gt;0)*((UPPER(TRIM(CLEAN(SUBSTITUTE(rate_COO&amp;""," "," "))))="")+(UPPER(TRIM(CLEAN(SUBSTITUTE(rate_COO&amp;""," "," "))))=$E52)&gt;0)*((UPPER(TRIM(CLEAN(SUBSTITUTE(rate_USMCA&amp;""," "," "))))="")+(UPPER(TRIM(CLEAN(SUBSTITUTE(rate_USMCA&amp;""," "," "))))=IF(UPPER(TRIM(CLEAN(SUBSTITUTE(Items!F52&amp;""," "," "))))="Y","Y","N"))&gt;0)*((1+(UPPER(TRIM(CLEAN(SUBSTITUTE(rate_Group&amp;""," "," "))))&lt;&gt;"")+2*(UPPER(TRIM(CLEAN(SUBSTITUTE(rate_USMCA&amp;""," "," "))))&lt;&gt;"")+4*(UPPER(TRIM(CLEAN(SUBSTITUTE(rate_COO&amp;""," "," "))))&lt;&gt;""))*100+ROW(rate_Rate)-4))))</f>
        <v/>
      </c>
      <c r="AP52" s="13">
        <f>IF($AO52=0,0,SUMPRODUCT(ISNUMBER(rate_Rate)*((UPPER(TRIM(CLEAN(SUBSTITUTE(rate_Group&amp;""," "," "))))="")+(UPPER(TRIM(CLEAN(SUBSTITUTE(rate_Group&amp;""," "," "))))=$N52)&gt;0)*((UPPER(TRIM(CLEAN(SUBSTITUTE(rate_COO&amp;""," "," "))))="")+(UPPER(TRIM(CLEAN(SUBSTITUTE(rate_COO&amp;""," "," "))))=$E52)&gt;0)*((UPPER(TRIM(CLEAN(SUBSTITUTE(rate_USMCA&amp;""," "," "))))="")+(UPPER(TRIM(CLEAN(SUBSTITUTE(rate_USMCA&amp;""," "," "))))=IF(UPPER(TRIM(CLEAN(SUBSTITUTE(Items!F52&amp;""," "," "))))="Y","Y","N"))&gt;0)*((1+(UPPER(TRIM(CLEAN(SUBSTITUTE(rate_Group&amp;""," "," "))))&lt;&gt;"")+2*(UPPER(TRIM(CLEAN(SUBSTITUTE(rate_USMCA&amp;""," "," "))))&lt;&gt;"")+4*(UPPER(TRIM(CLEAN(SUBSTITUTE(rate_COO&amp;""," "," "))))&lt;&gt;""))=INT($AO52/100))))</f>
        <v/>
      </c>
      <c r="AQ52" s="13">
        <f>IF($A52="",0,IFERROR(MATCH($AL52,det_Key,0),0))</f>
        <v/>
      </c>
    </row>
    <row r="53">
      <c r="A53" s="10">
        <f>IF(TRIM(CLEAN(SUBSTITUTE(Items!A53&amp;""," "," ")))="","",TRIM(CLEAN(SUBSTITUTE(Items!A53&amp;""," "," "))))</f>
        <v/>
      </c>
      <c r="B53" s="10">
        <f>IF($A53="","",Items!B53&amp;"")</f>
        <v/>
      </c>
      <c r="C53" s="10">
        <f>IF($A53="","",SUBSTITUTE(SUBSTITUTE(SUBSTITUTE(SUBSTITUTE(CLEAN(Items!D53&amp;"")," ",""),".","")," ",""),"-",""))</f>
        <v/>
      </c>
      <c r="D53" s="10">
        <f>IF($A53="","",LEFT($C53,2))</f>
        <v/>
      </c>
      <c r="E53" s="10">
        <f>IF($A53="","",UPPER(TRIM(CLEAN(SUBSTITUTE(Items!E53&amp;""," "," ")))))</f>
        <v/>
      </c>
      <c r="F53" s="10">
        <f>IF($A53="","",IF(UPPER(TRIM(CLEAN(SUBSTITUTE(Items!C53&amp;""," "," "))))=UPPER(TRIM(CLEAN(SUBSTITUTE(act_Country&amp;""," "," ")))),"Y","N"))</f>
        <v/>
      </c>
      <c r="G53" s="10">
        <f>IF($A53="","",IF($AM53&gt;0,"Y","N"))</f>
        <v/>
      </c>
      <c r="H53" s="10">
        <f>IF($A53="","",IF(SUMPRODUCT((excl_HTS&lt;&gt;"")*(LEFT($C53,LEN(excl_HTS))=excl_HTS))&gt;0,"Y","N"))</f>
        <v/>
      </c>
      <c r="I53" s="10">
        <f>IF($A53="","",IF($E53="","N",IF(SUMPRODUCT(--(UPPER(TRIM(CLEAN(SUBSTITUTE(scope_COO&amp;""," "," "))))=$E53))&gt;0,"Y","N")))</f>
        <v/>
      </c>
      <c r="J53" s="10">
        <f>IF($A53="","",IF(AND(UPPER(TRIM(CLEAN(SUBSTITUTE(act_USMCAExempt&amp;""," "," "))))="Y",UPPER(TRIM(CLEAN(SUBSTITUTE(Items!F53&amp;""," "," "))))="Y"),"Y","N"))</f>
        <v/>
      </c>
      <c r="K53" s="10">
        <f>IF($A53="","",IF($AQ53=0,"",UPPER(TRIM(CLEAN(SUBSTITUTE(INDEX(det_Status,$AQ53)&amp;""," "," "))))))</f>
        <v/>
      </c>
      <c r="L53" s="10">
        <f>IF($A53="","",IF($F53="N","N",IF($K53="IN","Y",IF($K53="OUT","N",IF(AND($G53="Y",$H53="N",$I53="Y",$J53="N"),"Y","N")))))</f>
        <v/>
      </c>
      <c r="M53" s="10">
        <f>IF($A53="","",IF($F53="N","Out: different import country",IF($K53="IN","In: Research determination",IF($K53="OUT","Out: Research determination",IF($G53="N","Out: HTS not on scope list",IF($H53="Y","Out: HTS on exclusion list",IF($I53="N","Out: origin not on scope list",IF($J53="Y","Out: USMCA-qualifying, exempt","In: matches scope rules"))))))))</f>
        <v/>
      </c>
      <c r="N53" s="10">
        <f>IF(OR($A53="",$AM53=0),"",UPPER(TRIM(CLEAN(SUBSTITUTE(INDEX(scope_Group,MOD($AM53,1000))&amp;""," "," ")))))</f>
        <v/>
      </c>
      <c r="O53" s="10">
        <f>IF($L53&lt;&gt;"Y","",IF($AO53=0,"Default (B15)",UPPER(TRIM(CLEAN(SUBSTITUTE(INDEX(rate_ID,MOD($AO53,100))&amp;""," "," "))))))</f>
        <v/>
      </c>
      <c r="P53" s="10">
        <f>IF($L53&lt;&gt;"Y","",IF($AO53=0,IF(UPPER(TRIM(CLEAN(SUBSTITUTE(act_DefaultBase&amp;""," "," "))))="PART","PART","FULL"),IF(UPPER(TRIM(CLEAN(SUBSTITUTE(INDEX(rate_Base,MOD($AO53,100))&amp;""," "," "))))="PART","PART","FULL")))</f>
        <v/>
      </c>
      <c r="Q53" s="17">
        <f>IF($A53="","",N(Items!J53))</f>
        <v/>
      </c>
      <c r="R53" s="17">
        <f>IF($A53="","",IF($L53&lt;&gt;"Y",0,IF($AO53=0,N(act_Rate),N(INDEX(rate_Rate,MOD($AO53,100))))))</f>
        <v/>
      </c>
      <c r="S53" s="17">
        <f>IF($A53="","",IF($L53&lt;&gt;"Y",0,IF($AO53=0,IF(UPPER(TRIM(CLEAN(SUBSTITUTE(act_RateType&amp;""," "," "))))="REPLACE",N(act_PriorRate),0),IF(ISNUMBER(INDEX(rate_Prior,MOD($AO53,100))),INDEX(rate_Prior,MOD($AO53,100)),IF(UPPER(TRIM(CLEAN(SUBSTITUTE(act_RateType&amp;""," "," "))))="REPLACE",N(act_PriorRate),0)))))</f>
        <v/>
      </c>
      <c r="T53" s="17">
        <f>IF($A53="","",IF(AND($L53="Y",$P53="PART",ISNUMBER(Items!M53)),Items!M53,1))</f>
        <v/>
      </c>
      <c r="U53" s="17">
        <f>IF($A53="","",IF($L53&lt;&gt;"Y",0,IF($AQ53&gt;0,IF(ISNUMBER(INDEX(det_Displaced,$AQ53)),INDEX(det_Displaced,$AQ53),IF($AO53=0,0,N(INDEX(rate_Displaced,MOD($AO53,100))))),IF($AO53=0,0,N(INDEX(rate_Displaced,MOD($AO53,100)))))))</f>
        <v/>
      </c>
      <c r="V53" s="17">
        <f>IF($A53="","",IF($L53="Y",$Q53+$T53*($R53-$S53)-$U53,$Q53))</f>
        <v/>
      </c>
      <c r="W53" s="18">
        <f>IF($A53="","",N(Items!H53)*$Q53)</f>
        <v/>
      </c>
      <c r="X53" s="18">
        <f>IF($A53="","",N(Items!H53)*$V53)</f>
        <v/>
      </c>
      <c r="Y53" s="18">
        <f>IF($A53="","",$X53-$W53)</f>
        <v/>
      </c>
      <c r="Z53" s="18">
        <f>IF($A53="","",N(Items!K53)+$Y53)</f>
        <v/>
      </c>
      <c r="AA53" s="17">
        <f>IF($A53="","",IF(N(Items!L53)=0,"",(N(Items!L53)-N(Items!K53))/N(Items!L53)))</f>
        <v/>
      </c>
      <c r="AB53" s="17">
        <f>IF($A53="","",IF(N(Items!L53)=0,"",(N(Items!L53)-$Z53)/N(Items!L53)))</f>
        <v/>
      </c>
      <c r="AC53" s="17">
        <f>IF(OR($AA53="",$AB53=""),"",$AB53-$AA53)</f>
        <v/>
      </c>
      <c r="AD53" s="13">
        <f>IF($A53="","",N(Items!I53))</f>
        <v/>
      </c>
      <c r="AE53" s="19">
        <f>IF($A53="","",$Y53*$AD53)</f>
        <v/>
      </c>
      <c r="AF53" s="10">
        <f>IF($A53="","",IF(N(Items!L53)&gt;0,"Y","N"))</f>
        <v/>
      </c>
      <c r="AG53" s="19">
        <f>IF($A53="","",IF($AF53="Y",N(Items!L53)*$AD53,0))</f>
        <v/>
      </c>
      <c r="AH53" s="19">
        <f>IF($A53="","",IF($AF53="Y",(N(Items!L53)-N(Items!K53))*$AD53,0))</f>
        <v/>
      </c>
      <c r="AI53" s="19">
        <f>IF($A53="","",IF($AF53="Y",$AH53-$AE53,0))</f>
        <v/>
      </c>
      <c r="AJ53" s="10">
        <f>IF($A53="","",IF(COUNTIF($AL$5:$AL$254,$AL53)&gt;1,"CHECK: duplicate item and import country",IF(TRIM(CLEAN(SUBSTITUTE(Items!C53&amp;""," "," ")))="","CHECK: import country missing",IF(AND(UPPER(TRIM(CLEAN(SUBSTITUTE(Items!C53&amp;""," "," "))))&lt;&gt;"US",UPPER(TRIM(CLEAN(SUBSTITUTE(Items!C53&amp;""," "," "))))&lt;&gt;"CA",UPPER(TRIM(CLEAN(SUBSTITUTE(Items!C53&amp;""," "," "))))&lt;&gt;"MX"),"CHECK: import country must be US, CA or MX",IF(NOT(AND(LEN($C53)=10,IFERROR(TEXT(VALUE($C53),REPT("0",LEN($C53)))=$C53,FALSE))),"CHECK: HTS must be 10 digits",IF(LEN($E53)&lt;&gt;2,"CHECK: origin code missing or not 2 letters",IF(TRIM(CLEAN(SUBSTITUTE(Items!G53&amp;""," "," ")))="","CHECK: unit of measure missing",IF(OR(Items!H53="",Items!J53="",Items!K53=""),"CHECK: value, rate or cost missing",IF(OR(NOT(ISNUMBER(Items!H53)),NOT(ISNUMBER(Items!J53)),NOT(ISNUMBER(Items!K53)),AND(Items!I53&lt;&gt;"",NOT(ISNUMBER(Items!I53))),AND(Items!L53&lt;&gt;"",NOT(ISNUMBER(Items!L53))),AND(Items!M53&lt;&gt;"",NOT(ISNUMBER(Items!M53)))),"CHECK: text in a number column",IF(AND(ISNUMBER(Items!M53),OR(N(Items!M53)&lt;0,N(Items!M53)&gt;1)),"CHECK: dutiable share must be 0% to 100%",IF(AND(UPPER(TRIM(CLEAN(SUBSTITUTE(Items!F53&amp;""," "," "))))&lt;&gt;"",UPPER(TRIM(CLEAN(SUBSTITUTE(Items!F53&amp;""," "," "))))&lt;&gt;"Y",UPPER(TRIM(CLEAN(SUBSTITUTE(Items!F53&amp;""," "," "))))&lt;&gt;"N"),"CHECK: USMCA flag must be Y, N or blank",IF(AND(UPPER(TRIM(CLEAN(SUBSTITUTE(Items!F53&amp;""," "," "))))="Y",$E53&lt;&gt;"US",$E53&lt;&gt;"CA",$E53&lt;&gt;"MX"),"CHECK: USMCA flag on an origin other than US, CA or MX",IF(AND($L53="Y",$AO53=0,NOT(ISNUMBER(act_Rate))),"CHECK: in scope but no rate (add a rate line or B15)",IF(AND($L53="Y",UPPER(TRIM(CLEAN(SUBSTITUTE(act_RateType&amp;""," "," "))))="REPLACE",NOT(ISNUMBER(act_PriorRate)),IF($AO53=0,TRUE,NOT(ISNUMBER(INDEX(rate_Prior,MOD($AO53,100)))))),"CHECK: REPLACE but no earlier rate (B17 or the rate line's AD)",IF(AND($L53="Y",$AP53&gt;1),"CHECK: two rate lines match equally",IF(AND($L53="Y",$AN53&gt;1),"CHECK: HTS prefix listed twice on the scope list",IF(AND($L53="Y",$P53="PART",NOT(ISNUMBER(Items!M53))),"CHECK: dutiable share missing (PART base)",IF(AND($L53="Y",$P53="FULL",ISNUMBER(Items!M53),N(Items!M53)&lt;&gt;1),"CHECK: dutiable share entered, but the rate taxes the full value",IF(AND($L53="Y",$Q53+0.0000001&lt;$T53*$S53+$U53),"CHECK: current rate is below the duty being replaced or displaced",IF(AND($L53="Y",$AD53=0),"NOTE: in scope, no quantity",IF(AND($L53="Y",$AF53="N"),"NOTE: in scope, no sell price (left out of margin %)",IF(AND($L53="Y",N(Items!H53)&gt;N(Items!K53)),"NOTE: customs value above standard cost (check unit of measure)",IF(AND($L53="Y",$Q53&gt;1),"NOTE: current rate above 100% (check it was entered as a percentage)","OK")))))))))))))))))))))))</f>
        <v/>
      </c>
      <c r="AK53" s="20">
        <f>IF($A53="","",IF(AND($L53="Y",$AE53&lt;&gt;0),ABS($AE53)+ROW()/1000000000,""))</f>
        <v/>
      </c>
      <c r="AL53" s="10">
        <f>IF($A53="","",UPPER($A53)&amp;"/"&amp;UPPER(TRIM(CLEAN(SUBSTITUTE(Items!C53&amp;""," "," ")))))</f>
        <v/>
      </c>
      <c r="AM53" s="13">
        <f>IF($A53="",0,SUMPRODUCT(MAX((scope_HTS&lt;&gt;"")*(LEFT($C53,LEN(scope_HTS))=scope_HTS)*(LEN(scope_HTS)*1000+ROW(scope_HTS)-4))))</f>
        <v/>
      </c>
      <c r="AN53" s="13">
        <f>IF($AM53=0,0,SUMPRODUCT((scope_HTS&lt;&gt;"")*(LEFT($C53,LEN(scope_HTS))=scope_HTS)*(LEN(scope_HTS)=INT($AM53/1000))))</f>
        <v/>
      </c>
      <c r="AO53" s="13">
        <f>IF($L53&lt;&gt;"Y",0,SUMPRODUCT(MAX(ISNUMBER(rate_Rate)*((UPPER(TRIM(CLEAN(SUBSTITUTE(rate_Group&amp;""," "," "))))="")+(UPPER(TRIM(CLEAN(SUBSTITUTE(rate_Group&amp;""," "," "))))=$N53)&gt;0)*((UPPER(TRIM(CLEAN(SUBSTITUTE(rate_COO&amp;""," "," "))))="")+(UPPER(TRIM(CLEAN(SUBSTITUTE(rate_COO&amp;""," "," "))))=$E53)&gt;0)*((UPPER(TRIM(CLEAN(SUBSTITUTE(rate_USMCA&amp;""," "," "))))="")+(UPPER(TRIM(CLEAN(SUBSTITUTE(rate_USMCA&amp;""," "," "))))=IF(UPPER(TRIM(CLEAN(SUBSTITUTE(Items!F53&amp;""," "," "))))="Y","Y","N"))&gt;0)*((1+(UPPER(TRIM(CLEAN(SUBSTITUTE(rate_Group&amp;""," "," "))))&lt;&gt;"")+2*(UPPER(TRIM(CLEAN(SUBSTITUTE(rate_USMCA&amp;""," "," "))))&lt;&gt;"")+4*(UPPER(TRIM(CLEAN(SUBSTITUTE(rate_COO&amp;""," "," "))))&lt;&gt;""))*100+ROW(rate_Rate)-4))))</f>
        <v/>
      </c>
      <c r="AP53" s="13">
        <f>IF($AO53=0,0,SUMPRODUCT(ISNUMBER(rate_Rate)*((UPPER(TRIM(CLEAN(SUBSTITUTE(rate_Group&amp;""," "," "))))="")+(UPPER(TRIM(CLEAN(SUBSTITUTE(rate_Group&amp;""," "," "))))=$N53)&gt;0)*((UPPER(TRIM(CLEAN(SUBSTITUTE(rate_COO&amp;""," "," "))))="")+(UPPER(TRIM(CLEAN(SUBSTITUTE(rate_COO&amp;""," "," "))))=$E53)&gt;0)*((UPPER(TRIM(CLEAN(SUBSTITUTE(rate_USMCA&amp;""," "," "))))="")+(UPPER(TRIM(CLEAN(SUBSTITUTE(rate_USMCA&amp;""," "," "))))=IF(UPPER(TRIM(CLEAN(SUBSTITUTE(Items!F53&amp;""," "," "))))="Y","Y","N"))&gt;0)*((1+(UPPER(TRIM(CLEAN(SUBSTITUTE(rate_Group&amp;""," "," "))))&lt;&gt;"")+2*(UPPER(TRIM(CLEAN(SUBSTITUTE(rate_USMCA&amp;""," "," "))))&lt;&gt;"")+4*(UPPER(TRIM(CLEAN(SUBSTITUTE(rate_COO&amp;""," "," "))))&lt;&gt;""))=INT($AO53/100))))</f>
        <v/>
      </c>
      <c r="AQ53" s="13">
        <f>IF($A53="",0,IFERROR(MATCH($AL53,det_Key,0),0))</f>
        <v/>
      </c>
    </row>
    <row r="54">
      <c r="A54" s="10">
        <f>IF(TRIM(CLEAN(SUBSTITUTE(Items!A54&amp;""," "," ")))="","",TRIM(CLEAN(SUBSTITUTE(Items!A54&amp;""," "," "))))</f>
        <v/>
      </c>
      <c r="B54" s="10">
        <f>IF($A54="","",Items!B54&amp;"")</f>
        <v/>
      </c>
      <c r="C54" s="10">
        <f>IF($A54="","",SUBSTITUTE(SUBSTITUTE(SUBSTITUTE(SUBSTITUTE(CLEAN(Items!D54&amp;"")," ",""),".","")," ",""),"-",""))</f>
        <v/>
      </c>
      <c r="D54" s="10">
        <f>IF($A54="","",LEFT($C54,2))</f>
        <v/>
      </c>
      <c r="E54" s="10">
        <f>IF($A54="","",UPPER(TRIM(CLEAN(SUBSTITUTE(Items!E54&amp;""," "," ")))))</f>
        <v/>
      </c>
      <c r="F54" s="10">
        <f>IF($A54="","",IF(UPPER(TRIM(CLEAN(SUBSTITUTE(Items!C54&amp;""," "," "))))=UPPER(TRIM(CLEAN(SUBSTITUTE(act_Country&amp;""," "," ")))),"Y","N"))</f>
        <v/>
      </c>
      <c r="G54" s="10">
        <f>IF($A54="","",IF($AM54&gt;0,"Y","N"))</f>
        <v/>
      </c>
      <c r="H54" s="10">
        <f>IF($A54="","",IF(SUMPRODUCT((excl_HTS&lt;&gt;"")*(LEFT($C54,LEN(excl_HTS))=excl_HTS))&gt;0,"Y","N"))</f>
        <v/>
      </c>
      <c r="I54" s="10">
        <f>IF($A54="","",IF($E54="","N",IF(SUMPRODUCT(--(UPPER(TRIM(CLEAN(SUBSTITUTE(scope_COO&amp;""," "," "))))=$E54))&gt;0,"Y","N")))</f>
        <v/>
      </c>
      <c r="J54" s="10">
        <f>IF($A54="","",IF(AND(UPPER(TRIM(CLEAN(SUBSTITUTE(act_USMCAExempt&amp;""," "," "))))="Y",UPPER(TRIM(CLEAN(SUBSTITUTE(Items!F54&amp;""," "," "))))="Y"),"Y","N"))</f>
        <v/>
      </c>
      <c r="K54" s="10">
        <f>IF($A54="","",IF($AQ54=0,"",UPPER(TRIM(CLEAN(SUBSTITUTE(INDEX(det_Status,$AQ54)&amp;""," "," "))))))</f>
        <v/>
      </c>
      <c r="L54" s="10">
        <f>IF($A54="","",IF($F54="N","N",IF($K54="IN","Y",IF($K54="OUT","N",IF(AND($G54="Y",$H54="N",$I54="Y",$J54="N"),"Y","N")))))</f>
        <v/>
      </c>
      <c r="M54" s="10">
        <f>IF($A54="","",IF($F54="N","Out: different import country",IF($K54="IN","In: Research determination",IF($K54="OUT","Out: Research determination",IF($G54="N","Out: HTS not on scope list",IF($H54="Y","Out: HTS on exclusion list",IF($I54="N","Out: origin not on scope list",IF($J54="Y","Out: USMCA-qualifying, exempt","In: matches scope rules"))))))))</f>
        <v/>
      </c>
      <c r="N54" s="10">
        <f>IF(OR($A54="",$AM54=0),"",UPPER(TRIM(CLEAN(SUBSTITUTE(INDEX(scope_Group,MOD($AM54,1000))&amp;""," "," ")))))</f>
        <v/>
      </c>
      <c r="O54" s="10">
        <f>IF($L54&lt;&gt;"Y","",IF($AO54=0,"Default (B15)",UPPER(TRIM(CLEAN(SUBSTITUTE(INDEX(rate_ID,MOD($AO54,100))&amp;""," "," "))))))</f>
        <v/>
      </c>
      <c r="P54" s="10">
        <f>IF($L54&lt;&gt;"Y","",IF($AO54=0,IF(UPPER(TRIM(CLEAN(SUBSTITUTE(act_DefaultBase&amp;""," "," "))))="PART","PART","FULL"),IF(UPPER(TRIM(CLEAN(SUBSTITUTE(INDEX(rate_Base,MOD($AO54,100))&amp;""," "," "))))="PART","PART","FULL")))</f>
        <v/>
      </c>
      <c r="Q54" s="17">
        <f>IF($A54="","",N(Items!J54))</f>
        <v/>
      </c>
      <c r="R54" s="17">
        <f>IF($A54="","",IF($L54&lt;&gt;"Y",0,IF($AO54=0,N(act_Rate),N(INDEX(rate_Rate,MOD($AO54,100))))))</f>
        <v/>
      </c>
      <c r="S54" s="17">
        <f>IF($A54="","",IF($L54&lt;&gt;"Y",0,IF($AO54=0,IF(UPPER(TRIM(CLEAN(SUBSTITUTE(act_RateType&amp;""," "," "))))="REPLACE",N(act_PriorRate),0),IF(ISNUMBER(INDEX(rate_Prior,MOD($AO54,100))),INDEX(rate_Prior,MOD($AO54,100)),IF(UPPER(TRIM(CLEAN(SUBSTITUTE(act_RateType&amp;""," "," "))))="REPLACE",N(act_PriorRate),0)))))</f>
        <v/>
      </c>
      <c r="T54" s="17">
        <f>IF($A54="","",IF(AND($L54="Y",$P54="PART",ISNUMBER(Items!M54)),Items!M54,1))</f>
        <v/>
      </c>
      <c r="U54" s="17">
        <f>IF($A54="","",IF($L54&lt;&gt;"Y",0,IF($AQ54&gt;0,IF(ISNUMBER(INDEX(det_Displaced,$AQ54)),INDEX(det_Displaced,$AQ54),IF($AO54=0,0,N(INDEX(rate_Displaced,MOD($AO54,100))))),IF($AO54=0,0,N(INDEX(rate_Displaced,MOD($AO54,100)))))))</f>
        <v/>
      </c>
      <c r="V54" s="17">
        <f>IF($A54="","",IF($L54="Y",$Q54+$T54*($R54-$S54)-$U54,$Q54))</f>
        <v/>
      </c>
      <c r="W54" s="18">
        <f>IF($A54="","",N(Items!H54)*$Q54)</f>
        <v/>
      </c>
      <c r="X54" s="18">
        <f>IF($A54="","",N(Items!H54)*$V54)</f>
        <v/>
      </c>
      <c r="Y54" s="18">
        <f>IF($A54="","",$X54-$W54)</f>
        <v/>
      </c>
      <c r="Z54" s="18">
        <f>IF($A54="","",N(Items!K54)+$Y54)</f>
        <v/>
      </c>
      <c r="AA54" s="17">
        <f>IF($A54="","",IF(N(Items!L54)=0,"",(N(Items!L54)-N(Items!K54))/N(Items!L54)))</f>
        <v/>
      </c>
      <c r="AB54" s="17">
        <f>IF($A54="","",IF(N(Items!L54)=0,"",(N(Items!L54)-$Z54)/N(Items!L54)))</f>
        <v/>
      </c>
      <c r="AC54" s="17">
        <f>IF(OR($AA54="",$AB54=""),"",$AB54-$AA54)</f>
        <v/>
      </c>
      <c r="AD54" s="13">
        <f>IF($A54="","",N(Items!I54))</f>
        <v/>
      </c>
      <c r="AE54" s="19">
        <f>IF($A54="","",$Y54*$AD54)</f>
        <v/>
      </c>
      <c r="AF54" s="10">
        <f>IF($A54="","",IF(N(Items!L54)&gt;0,"Y","N"))</f>
        <v/>
      </c>
      <c r="AG54" s="19">
        <f>IF($A54="","",IF($AF54="Y",N(Items!L54)*$AD54,0))</f>
        <v/>
      </c>
      <c r="AH54" s="19">
        <f>IF($A54="","",IF($AF54="Y",(N(Items!L54)-N(Items!K54))*$AD54,0))</f>
        <v/>
      </c>
      <c r="AI54" s="19">
        <f>IF($A54="","",IF($AF54="Y",$AH54-$AE54,0))</f>
        <v/>
      </c>
      <c r="AJ54" s="10">
        <f>IF($A54="","",IF(COUNTIF($AL$5:$AL$254,$AL54)&gt;1,"CHECK: duplicate item and import country",IF(TRIM(CLEAN(SUBSTITUTE(Items!C54&amp;""," "," ")))="","CHECK: import country missing",IF(AND(UPPER(TRIM(CLEAN(SUBSTITUTE(Items!C54&amp;""," "," "))))&lt;&gt;"US",UPPER(TRIM(CLEAN(SUBSTITUTE(Items!C54&amp;""," "," "))))&lt;&gt;"CA",UPPER(TRIM(CLEAN(SUBSTITUTE(Items!C54&amp;""," "," "))))&lt;&gt;"MX"),"CHECK: import country must be US, CA or MX",IF(NOT(AND(LEN($C54)=10,IFERROR(TEXT(VALUE($C54),REPT("0",LEN($C54)))=$C54,FALSE))),"CHECK: HTS must be 10 digits",IF(LEN($E54)&lt;&gt;2,"CHECK: origin code missing or not 2 letters",IF(TRIM(CLEAN(SUBSTITUTE(Items!G54&amp;""," "," ")))="","CHECK: unit of measure missing",IF(OR(Items!H54="",Items!J54="",Items!K54=""),"CHECK: value, rate or cost missing",IF(OR(NOT(ISNUMBER(Items!H54)),NOT(ISNUMBER(Items!J54)),NOT(ISNUMBER(Items!K54)),AND(Items!I54&lt;&gt;"",NOT(ISNUMBER(Items!I54))),AND(Items!L54&lt;&gt;"",NOT(ISNUMBER(Items!L54))),AND(Items!M54&lt;&gt;"",NOT(ISNUMBER(Items!M54)))),"CHECK: text in a number column",IF(AND(ISNUMBER(Items!M54),OR(N(Items!M54)&lt;0,N(Items!M54)&gt;1)),"CHECK: dutiable share must be 0% to 100%",IF(AND(UPPER(TRIM(CLEAN(SUBSTITUTE(Items!F54&amp;""," "," "))))&lt;&gt;"",UPPER(TRIM(CLEAN(SUBSTITUTE(Items!F54&amp;""," "," "))))&lt;&gt;"Y",UPPER(TRIM(CLEAN(SUBSTITUTE(Items!F54&amp;""," "," "))))&lt;&gt;"N"),"CHECK: USMCA flag must be Y, N or blank",IF(AND(UPPER(TRIM(CLEAN(SUBSTITUTE(Items!F54&amp;""," "," "))))="Y",$E54&lt;&gt;"US",$E54&lt;&gt;"CA",$E54&lt;&gt;"MX"),"CHECK: USMCA flag on an origin other than US, CA or MX",IF(AND($L54="Y",$AO54=0,NOT(ISNUMBER(act_Rate))),"CHECK: in scope but no rate (add a rate line or B15)",IF(AND($L54="Y",UPPER(TRIM(CLEAN(SUBSTITUTE(act_RateType&amp;""," "," "))))="REPLACE",NOT(ISNUMBER(act_PriorRate)),IF($AO54=0,TRUE,NOT(ISNUMBER(INDEX(rate_Prior,MOD($AO54,100)))))),"CHECK: REPLACE but no earlier rate (B17 or the rate line's AD)",IF(AND($L54="Y",$AP54&gt;1),"CHECK: two rate lines match equally",IF(AND($L54="Y",$AN54&gt;1),"CHECK: HTS prefix listed twice on the scope list",IF(AND($L54="Y",$P54="PART",NOT(ISNUMBER(Items!M54))),"CHECK: dutiable share missing (PART base)",IF(AND($L54="Y",$P54="FULL",ISNUMBER(Items!M54),N(Items!M54)&lt;&gt;1),"CHECK: dutiable share entered, but the rate taxes the full value",IF(AND($L54="Y",$Q54+0.0000001&lt;$T54*$S54+$U54),"CHECK: current rate is below the duty being replaced or displaced",IF(AND($L54="Y",$AD54=0),"NOTE: in scope, no quantity",IF(AND($L54="Y",$AF54="N"),"NOTE: in scope, no sell price (left out of margin %)",IF(AND($L54="Y",N(Items!H54)&gt;N(Items!K54)),"NOTE: customs value above standard cost (check unit of measure)",IF(AND($L54="Y",$Q54&gt;1),"NOTE: current rate above 100% (check it was entered as a percentage)","OK")))))))))))))))))))))))</f>
        <v/>
      </c>
      <c r="AK54" s="20">
        <f>IF($A54="","",IF(AND($L54="Y",$AE54&lt;&gt;0),ABS($AE54)+ROW()/1000000000,""))</f>
        <v/>
      </c>
      <c r="AL54" s="10">
        <f>IF($A54="","",UPPER($A54)&amp;"/"&amp;UPPER(TRIM(CLEAN(SUBSTITUTE(Items!C54&amp;""," "," ")))))</f>
        <v/>
      </c>
      <c r="AM54" s="13">
        <f>IF($A54="",0,SUMPRODUCT(MAX((scope_HTS&lt;&gt;"")*(LEFT($C54,LEN(scope_HTS))=scope_HTS)*(LEN(scope_HTS)*1000+ROW(scope_HTS)-4))))</f>
        <v/>
      </c>
      <c r="AN54" s="13">
        <f>IF($AM54=0,0,SUMPRODUCT((scope_HTS&lt;&gt;"")*(LEFT($C54,LEN(scope_HTS))=scope_HTS)*(LEN(scope_HTS)=INT($AM54/1000))))</f>
        <v/>
      </c>
      <c r="AO54" s="13">
        <f>IF($L54&lt;&gt;"Y",0,SUMPRODUCT(MAX(ISNUMBER(rate_Rate)*((UPPER(TRIM(CLEAN(SUBSTITUTE(rate_Group&amp;""," "," "))))="")+(UPPER(TRIM(CLEAN(SUBSTITUTE(rate_Group&amp;""," "," "))))=$N54)&gt;0)*((UPPER(TRIM(CLEAN(SUBSTITUTE(rate_COO&amp;""," "," "))))="")+(UPPER(TRIM(CLEAN(SUBSTITUTE(rate_COO&amp;""," "," "))))=$E54)&gt;0)*((UPPER(TRIM(CLEAN(SUBSTITUTE(rate_USMCA&amp;""," "," "))))="")+(UPPER(TRIM(CLEAN(SUBSTITUTE(rate_USMCA&amp;""," "," "))))=IF(UPPER(TRIM(CLEAN(SUBSTITUTE(Items!F54&amp;""," "," "))))="Y","Y","N"))&gt;0)*((1+(UPPER(TRIM(CLEAN(SUBSTITUTE(rate_Group&amp;""," "," "))))&lt;&gt;"")+2*(UPPER(TRIM(CLEAN(SUBSTITUTE(rate_USMCA&amp;""," "," "))))&lt;&gt;"")+4*(UPPER(TRIM(CLEAN(SUBSTITUTE(rate_COO&amp;""," "," "))))&lt;&gt;""))*100+ROW(rate_Rate)-4))))</f>
        <v/>
      </c>
      <c r="AP54" s="13">
        <f>IF($AO54=0,0,SUMPRODUCT(ISNUMBER(rate_Rate)*((UPPER(TRIM(CLEAN(SUBSTITUTE(rate_Group&amp;""," "," "))))="")+(UPPER(TRIM(CLEAN(SUBSTITUTE(rate_Group&amp;""," "," "))))=$N54)&gt;0)*((UPPER(TRIM(CLEAN(SUBSTITUTE(rate_COO&amp;""," "," "))))="")+(UPPER(TRIM(CLEAN(SUBSTITUTE(rate_COO&amp;""," "," "))))=$E54)&gt;0)*((UPPER(TRIM(CLEAN(SUBSTITUTE(rate_USMCA&amp;""," "," "))))="")+(UPPER(TRIM(CLEAN(SUBSTITUTE(rate_USMCA&amp;""," "," "))))=IF(UPPER(TRIM(CLEAN(SUBSTITUTE(Items!F54&amp;""," "," "))))="Y","Y","N"))&gt;0)*((1+(UPPER(TRIM(CLEAN(SUBSTITUTE(rate_Group&amp;""," "," "))))&lt;&gt;"")+2*(UPPER(TRIM(CLEAN(SUBSTITUTE(rate_USMCA&amp;""," "," "))))&lt;&gt;"")+4*(UPPER(TRIM(CLEAN(SUBSTITUTE(rate_COO&amp;""," "," "))))&lt;&gt;""))=INT($AO54/100))))</f>
        <v/>
      </c>
      <c r="AQ54" s="13">
        <f>IF($A54="",0,IFERROR(MATCH($AL54,det_Key,0),0))</f>
        <v/>
      </c>
    </row>
    <row r="55">
      <c r="A55" s="10">
        <f>IF(TRIM(CLEAN(SUBSTITUTE(Items!A55&amp;""," "," ")))="","",TRIM(CLEAN(SUBSTITUTE(Items!A55&amp;""," "," "))))</f>
        <v/>
      </c>
      <c r="B55" s="10">
        <f>IF($A55="","",Items!B55&amp;"")</f>
        <v/>
      </c>
      <c r="C55" s="10">
        <f>IF($A55="","",SUBSTITUTE(SUBSTITUTE(SUBSTITUTE(SUBSTITUTE(CLEAN(Items!D55&amp;"")," ",""),".","")," ",""),"-",""))</f>
        <v/>
      </c>
      <c r="D55" s="10">
        <f>IF($A55="","",LEFT($C55,2))</f>
        <v/>
      </c>
      <c r="E55" s="10">
        <f>IF($A55="","",UPPER(TRIM(CLEAN(SUBSTITUTE(Items!E55&amp;""," "," ")))))</f>
        <v/>
      </c>
      <c r="F55" s="10">
        <f>IF($A55="","",IF(UPPER(TRIM(CLEAN(SUBSTITUTE(Items!C55&amp;""," "," "))))=UPPER(TRIM(CLEAN(SUBSTITUTE(act_Country&amp;""," "," ")))),"Y","N"))</f>
        <v/>
      </c>
      <c r="G55" s="10">
        <f>IF($A55="","",IF($AM55&gt;0,"Y","N"))</f>
        <v/>
      </c>
      <c r="H55" s="10">
        <f>IF($A55="","",IF(SUMPRODUCT((excl_HTS&lt;&gt;"")*(LEFT($C55,LEN(excl_HTS))=excl_HTS))&gt;0,"Y","N"))</f>
        <v/>
      </c>
      <c r="I55" s="10">
        <f>IF($A55="","",IF($E55="","N",IF(SUMPRODUCT(--(UPPER(TRIM(CLEAN(SUBSTITUTE(scope_COO&amp;""," "," "))))=$E55))&gt;0,"Y","N")))</f>
        <v/>
      </c>
      <c r="J55" s="10">
        <f>IF($A55="","",IF(AND(UPPER(TRIM(CLEAN(SUBSTITUTE(act_USMCAExempt&amp;""," "," "))))="Y",UPPER(TRIM(CLEAN(SUBSTITUTE(Items!F55&amp;""," "," "))))="Y"),"Y","N"))</f>
        <v/>
      </c>
      <c r="K55" s="10">
        <f>IF($A55="","",IF($AQ55=0,"",UPPER(TRIM(CLEAN(SUBSTITUTE(INDEX(det_Status,$AQ55)&amp;""," "," "))))))</f>
        <v/>
      </c>
      <c r="L55" s="10">
        <f>IF($A55="","",IF($F55="N","N",IF($K55="IN","Y",IF($K55="OUT","N",IF(AND($G55="Y",$H55="N",$I55="Y",$J55="N"),"Y","N")))))</f>
        <v/>
      </c>
      <c r="M55" s="10">
        <f>IF($A55="","",IF($F55="N","Out: different import country",IF($K55="IN","In: Research determination",IF($K55="OUT","Out: Research determination",IF($G55="N","Out: HTS not on scope list",IF($H55="Y","Out: HTS on exclusion list",IF($I55="N","Out: origin not on scope list",IF($J55="Y","Out: USMCA-qualifying, exempt","In: matches scope rules"))))))))</f>
        <v/>
      </c>
      <c r="N55" s="10">
        <f>IF(OR($A55="",$AM55=0),"",UPPER(TRIM(CLEAN(SUBSTITUTE(INDEX(scope_Group,MOD($AM55,1000))&amp;""," "," ")))))</f>
        <v/>
      </c>
      <c r="O55" s="10">
        <f>IF($L55&lt;&gt;"Y","",IF($AO55=0,"Default (B15)",UPPER(TRIM(CLEAN(SUBSTITUTE(INDEX(rate_ID,MOD($AO55,100))&amp;""," "," "))))))</f>
        <v/>
      </c>
      <c r="P55" s="10">
        <f>IF($L55&lt;&gt;"Y","",IF($AO55=0,IF(UPPER(TRIM(CLEAN(SUBSTITUTE(act_DefaultBase&amp;""," "," "))))="PART","PART","FULL"),IF(UPPER(TRIM(CLEAN(SUBSTITUTE(INDEX(rate_Base,MOD($AO55,100))&amp;""," "," "))))="PART","PART","FULL")))</f>
        <v/>
      </c>
      <c r="Q55" s="17">
        <f>IF($A55="","",N(Items!J55))</f>
        <v/>
      </c>
      <c r="R55" s="17">
        <f>IF($A55="","",IF($L55&lt;&gt;"Y",0,IF($AO55=0,N(act_Rate),N(INDEX(rate_Rate,MOD($AO55,100))))))</f>
        <v/>
      </c>
      <c r="S55" s="17">
        <f>IF($A55="","",IF($L55&lt;&gt;"Y",0,IF($AO55=0,IF(UPPER(TRIM(CLEAN(SUBSTITUTE(act_RateType&amp;""," "," "))))="REPLACE",N(act_PriorRate),0),IF(ISNUMBER(INDEX(rate_Prior,MOD($AO55,100))),INDEX(rate_Prior,MOD($AO55,100)),IF(UPPER(TRIM(CLEAN(SUBSTITUTE(act_RateType&amp;""," "," "))))="REPLACE",N(act_PriorRate),0)))))</f>
        <v/>
      </c>
      <c r="T55" s="17">
        <f>IF($A55="","",IF(AND($L55="Y",$P55="PART",ISNUMBER(Items!M55)),Items!M55,1))</f>
        <v/>
      </c>
      <c r="U55" s="17">
        <f>IF($A55="","",IF($L55&lt;&gt;"Y",0,IF($AQ55&gt;0,IF(ISNUMBER(INDEX(det_Displaced,$AQ55)),INDEX(det_Displaced,$AQ55),IF($AO55=0,0,N(INDEX(rate_Displaced,MOD($AO55,100))))),IF($AO55=0,0,N(INDEX(rate_Displaced,MOD($AO55,100)))))))</f>
        <v/>
      </c>
      <c r="V55" s="17">
        <f>IF($A55="","",IF($L55="Y",$Q55+$T55*($R55-$S55)-$U55,$Q55))</f>
        <v/>
      </c>
      <c r="W55" s="18">
        <f>IF($A55="","",N(Items!H55)*$Q55)</f>
        <v/>
      </c>
      <c r="X55" s="18">
        <f>IF($A55="","",N(Items!H55)*$V55)</f>
        <v/>
      </c>
      <c r="Y55" s="18">
        <f>IF($A55="","",$X55-$W55)</f>
        <v/>
      </c>
      <c r="Z55" s="18">
        <f>IF($A55="","",N(Items!K55)+$Y55)</f>
        <v/>
      </c>
      <c r="AA55" s="17">
        <f>IF($A55="","",IF(N(Items!L55)=0,"",(N(Items!L55)-N(Items!K55))/N(Items!L55)))</f>
        <v/>
      </c>
      <c r="AB55" s="17">
        <f>IF($A55="","",IF(N(Items!L55)=0,"",(N(Items!L55)-$Z55)/N(Items!L55)))</f>
        <v/>
      </c>
      <c r="AC55" s="17">
        <f>IF(OR($AA55="",$AB55=""),"",$AB55-$AA55)</f>
        <v/>
      </c>
      <c r="AD55" s="13">
        <f>IF($A55="","",N(Items!I55))</f>
        <v/>
      </c>
      <c r="AE55" s="19">
        <f>IF($A55="","",$Y55*$AD55)</f>
        <v/>
      </c>
      <c r="AF55" s="10">
        <f>IF($A55="","",IF(N(Items!L55)&gt;0,"Y","N"))</f>
        <v/>
      </c>
      <c r="AG55" s="19">
        <f>IF($A55="","",IF($AF55="Y",N(Items!L55)*$AD55,0))</f>
        <v/>
      </c>
      <c r="AH55" s="19">
        <f>IF($A55="","",IF($AF55="Y",(N(Items!L55)-N(Items!K55))*$AD55,0))</f>
        <v/>
      </c>
      <c r="AI55" s="19">
        <f>IF($A55="","",IF($AF55="Y",$AH55-$AE55,0))</f>
        <v/>
      </c>
      <c r="AJ55" s="10">
        <f>IF($A55="","",IF(COUNTIF($AL$5:$AL$254,$AL55)&gt;1,"CHECK: duplicate item and import country",IF(TRIM(CLEAN(SUBSTITUTE(Items!C55&amp;""," "," ")))="","CHECK: import country missing",IF(AND(UPPER(TRIM(CLEAN(SUBSTITUTE(Items!C55&amp;""," "," "))))&lt;&gt;"US",UPPER(TRIM(CLEAN(SUBSTITUTE(Items!C55&amp;""," "," "))))&lt;&gt;"CA",UPPER(TRIM(CLEAN(SUBSTITUTE(Items!C55&amp;""," "," "))))&lt;&gt;"MX"),"CHECK: import country must be US, CA or MX",IF(NOT(AND(LEN($C55)=10,IFERROR(TEXT(VALUE($C55),REPT("0",LEN($C55)))=$C55,FALSE))),"CHECK: HTS must be 10 digits",IF(LEN($E55)&lt;&gt;2,"CHECK: origin code missing or not 2 letters",IF(TRIM(CLEAN(SUBSTITUTE(Items!G55&amp;""," "," ")))="","CHECK: unit of measure missing",IF(OR(Items!H55="",Items!J55="",Items!K55=""),"CHECK: value, rate or cost missing",IF(OR(NOT(ISNUMBER(Items!H55)),NOT(ISNUMBER(Items!J55)),NOT(ISNUMBER(Items!K55)),AND(Items!I55&lt;&gt;"",NOT(ISNUMBER(Items!I55))),AND(Items!L55&lt;&gt;"",NOT(ISNUMBER(Items!L55))),AND(Items!M55&lt;&gt;"",NOT(ISNUMBER(Items!M55)))),"CHECK: text in a number column",IF(AND(ISNUMBER(Items!M55),OR(N(Items!M55)&lt;0,N(Items!M55)&gt;1)),"CHECK: dutiable share must be 0% to 100%",IF(AND(UPPER(TRIM(CLEAN(SUBSTITUTE(Items!F55&amp;""," "," "))))&lt;&gt;"",UPPER(TRIM(CLEAN(SUBSTITUTE(Items!F55&amp;""," "," "))))&lt;&gt;"Y",UPPER(TRIM(CLEAN(SUBSTITUTE(Items!F55&amp;""," "," "))))&lt;&gt;"N"),"CHECK: USMCA flag must be Y, N or blank",IF(AND(UPPER(TRIM(CLEAN(SUBSTITUTE(Items!F55&amp;""," "," "))))="Y",$E55&lt;&gt;"US",$E55&lt;&gt;"CA",$E55&lt;&gt;"MX"),"CHECK: USMCA flag on an origin other than US, CA or MX",IF(AND($L55="Y",$AO55=0,NOT(ISNUMBER(act_Rate))),"CHECK: in scope but no rate (add a rate line or B15)",IF(AND($L55="Y",UPPER(TRIM(CLEAN(SUBSTITUTE(act_RateType&amp;""," "," "))))="REPLACE",NOT(ISNUMBER(act_PriorRate)),IF($AO55=0,TRUE,NOT(ISNUMBER(INDEX(rate_Prior,MOD($AO55,100)))))),"CHECK: REPLACE but no earlier rate (B17 or the rate line's AD)",IF(AND($L55="Y",$AP55&gt;1),"CHECK: two rate lines match equally",IF(AND($L55="Y",$AN55&gt;1),"CHECK: HTS prefix listed twice on the scope list",IF(AND($L55="Y",$P55="PART",NOT(ISNUMBER(Items!M55))),"CHECK: dutiable share missing (PART base)",IF(AND($L55="Y",$P55="FULL",ISNUMBER(Items!M55),N(Items!M55)&lt;&gt;1),"CHECK: dutiable share entered, but the rate taxes the full value",IF(AND($L55="Y",$Q55+0.0000001&lt;$T55*$S55+$U55),"CHECK: current rate is below the duty being replaced or displaced",IF(AND($L55="Y",$AD55=0),"NOTE: in scope, no quantity",IF(AND($L55="Y",$AF55="N"),"NOTE: in scope, no sell price (left out of margin %)",IF(AND($L55="Y",N(Items!H55)&gt;N(Items!K55)),"NOTE: customs value above standard cost (check unit of measure)",IF(AND($L55="Y",$Q55&gt;1),"NOTE: current rate above 100% (check it was entered as a percentage)","OK")))))))))))))))))))))))</f>
        <v/>
      </c>
      <c r="AK55" s="20">
        <f>IF($A55="","",IF(AND($L55="Y",$AE55&lt;&gt;0),ABS($AE55)+ROW()/1000000000,""))</f>
        <v/>
      </c>
      <c r="AL55" s="10">
        <f>IF($A55="","",UPPER($A55)&amp;"/"&amp;UPPER(TRIM(CLEAN(SUBSTITUTE(Items!C55&amp;""," "," ")))))</f>
        <v/>
      </c>
      <c r="AM55" s="13">
        <f>IF($A55="",0,SUMPRODUCT(MAX((scope_HTS&lt;&gt;"")*(LEFT($C55,LEN(scope_HTS))=scope_HTS)*(LEN(scope_HTS)*1000+ROW(scope_HTS)-4))))</f>
        <v/>
      </c>
      <c r="AN55" s="13">
        <f>IF($AM55=0,0,SUMPRODUCT((scope_HTS&lt;&gt;"")*(LEFT($C55,LEN(scope_HTS))=scope_HTS)*(LEN(scope_HTS)=INT($AM55/1000))))</f>
        <v/>
      </c>
      <c r="AO55" s="13">
        <f>IF($L55&lt;&gt;"Y",0,SUMPRODUCT(MAX(ISNUMBER(rate_Rate)*((UPPER(TRIM(CLEAN(SUBSTITUTE(rate_Group&amp;""," "," "))))="")+(UPPER(TRIM(CLEAN(SUBSTITUTE(rate_Group&amp;""," "," "))))=$N55)&gt;0)*((UPPER(TRIM(CLEAN(SUBSTITUTE(rate_COO&amp;""," "," "))))="")+(UPPER(TRIM(CLEAN(SUBSTITUTE(rate_COO&amp;""," "," "))))=$E55)&gt;0)*((UPPER(TRIM(CLEAN(SUBSTITUTE(rate_USMCA&amp;""," "," "))))="")+(UPPER(TRIM(CLEAN(SUBSTITUTE(rate_USMCA&amp;""," "," "))))=IF(UPPER(TRIM(CLEAN(SUBSTITUTE(Items!F55&amp;""," "," "))))="Y","Y","N"))&gt;0)*((1+(UPPER(TRIM(CLEAN(SUBSTITUTE(rate_Group&amp;""," "," "))))&lt;&gt;"")+2*(UPPER(TRIM(CLEAN(SUBSTITUTE(rate_USMCA&amp;""," "," "))))&lt;&gt;"")+4*(UPPER(TRIM(CLEAN(SUBSTITUTE(rate_COO&amp;""," "," "))))&lt;&gt;""))*100+ROW(rate_Rate)-4))))</f>
        <v/>
      </c>
      <c r="AP55" s="13">
        <f>IF($AO55=0,0,SUMPRODUCT(ISNUMBER(rate_Rate)*((UPPER(TRIM(CLEAN(SUBSTITUTE(rate_Group&amp;""," "," "))))="")+(UPPER(TRIM(CLEAN(SUBSTITUTE(rate_Group&amp;""," "," "))))=$N55)&gt;0)*((UPPER(TRIM(CLEAN(SUBSTITUTE(rate_COO&amp;""," "," "))))="")+(UPPER(TRIM(CLEAN(SUBSTITUTE(rate_COO&amp;""," "," "))))=$E55)&gt;0)*((UPPER(TRIM(CLEAN(SUBSTITUTE(rate_USMCA&amp;""," "," "))))="")+(UPPER(TRIM(CLEAN(SUBSTITUTE(rate_USMCA&amp;""," "," "))))=IF(UPPER(TRIM(CLEAN(SUBSTITUTE(Items!F55&amp;""," "," "))))="Y","Y","N"))&gt;0)*((1+(UPPER(TRIM(CLEAN(SUBSTITUTE(rate_Group&amp;""," "," "))))&lt;&gt;"")+2*(UPPER(TRIM(CLEAN(SUBSTITUTE(rate_USMCA&amp;""," "," "))))&lt;&gt;"")+4*(UPPER(TRIM(CLEAN(SUBSTITUTE(rate_COO&amp;""," "," "))))&lt;&gt;""))=INT($AO55/100))))</f>
        <v/>
      </c>
      <c r="AQ55" s="13">
        <f>IF($A55="",0,IFERROR(MATCH($AL55,det_Key,0),0))</f>
        <v/>
      </c>
    </row>
    <row r="56">
      <c r="A56" s="10">
        <f>IF(TRIM(CLEAN(SUBSTITUTE(Items!A56&amp;""," "," ")))="","",TRIM(CLEAN(SUBSTITUTE(Items!A56&amp;""," "," "))))</f>
        <v/>
      </c>
      <c r="B56" s="10">
        <f>IF($A56="","",Items!B56&amp;"")</f>
        <v/>
      </c>
      <c r="C56" s="10">
        <f>IF($A56="","",SUBSTITUTE(SUBSTITUTE(SUBSTITUTE(SUBSTITUTE(CLEAN(Items!D56&amp;"")," ",""),".","")," ",""),"-",""))</f>
        <v/>
      </c>
      <c r="D56" s="10">
        <f>IF($A56="","",LEFT($C56,2))</f>
        <v/>
      </c>
      <c r="E56" s="10">
        <f>IF($A56="","",UPPER(TRIM(CLEAN(SUBSTITUTE(Items!E56&amp;""," "," ")))))</f>
        <v/>
      </c>
      <c r="F56" s="10">
        <f>IF($A56="","",IF(UPPER(TRIM(CLEAN(SUBSTITUTE(Items!C56&amp;""," "," "))))=UPPER(TRIM(CLEAN(SUBSTITUTE(act_Country&amp;""," "," ")))),"Y","N"))</f>
        <v/>
      </c>
      <c r="G56" s="10">
        <f>IF($A56="","",IF($AM56&gt;0,"Y","N"))</f>
        <v/>
      </c>
      <c r="H56" s="10">
        <f>IF($A56="","",IF(SUMPRODUCT((excl_HTS&lt;&gt;"")*(LEFT($C56,LEN(excl_HTS))=excl_HTS))&gt;0,"Y","N"))</f>
        <v/>
      </c>
      <c r="I56" s="10">
        <f>IF($A56="","",IF($E56="","N",IF(SUMPRODUCT(--(UPPER(TRIM(CLEAN(SUBSTITUTE(scope_COO&amp;""," "," "))))=$E56))&gt;0,"Y","N")))</f>
        <v/>
      </c>
      <c r="J56" s="10">
        <f>IF($A56="","",IF(AND(UPPER(TRIM(CLEAN(SUBSTITUTE(act_USMCAExempt&amp;""," "," "))))="Y",UPPER(TRIM(CLEAN(SUBSTITUTE(Items!F56&amp;""," "," "))))="Y"),"Y","N"))</f>
        <v/>
      </c>
      <c r="K56" s="10">
        <f>IF($A56="","",IF($AQ56=0,"",UPPER(TRIM(CLEAN(SUBSTITUTE(INDEX(det_Status,$AQ56)&amp;""," "," "))))))</f>
        <v/>
      </c>
      <c r="L56" s="10">
        <f>IF($A56="","",IF($F56="N","N",IF($K56="IN","Y",IF($K56="OUT","N",IF(AND($G56="Y",$H56="N",$I56="Y",$J56="N"),"Y","N")))))</f>
        <v/>
      </c>
      <c r="M56" s="10">
        <f>IF($A56="","",IF($F56="N","Out: different import country",IF($K56="IN","In: Research determination",IF($K56="OUT","Out: Research determination",IF($G56="N","Out: HTS not on scope list",IF($H56="Y","Out: HTS on exclusion list",IF($I56="N","Out: origin not on scope list",IF($J56="Y","Out: USMCA-qualifying, exempt","In: matches scope rules"))))))))</f>
        <v/>
      </c>
      <c r="N56" s="10">
        <f>IF(OR($A56="",$AM56=0),"",UPPER(TRIM(CLEAN(SUBSTITUTE(INDEX(scope_Group,MOD($AM56,1000))&amp;""," "," ")))))</f>
        <v/>
      </c>
      <c r="O56" s="10">
        <f>IF($L56&lt;&gt;"Y","",IF($AO56=0,"Default (B15)",UPPER(TRIM(CLEAN(SUBSTITUTE(INDEX(rate_ID,MOD($AO56,100))&amp;""," "," "))))))</f>
        <v/>
      </c>
      <c r="P56" s="10">
        <f>IF($L56&lt;&gt;"Y","",IF($AO56=0,IF(UPPER(TRIM(CLEAN(SUBSTITUTE(act_DefaultBase&amp;""," "," "))))="PART","PART","FULL"),IF(UPPER(TRIM(CLEAN(SUBSTITUTE(INDEX(rate_Base,MOD($AO56,100))&amp;""," "," "))))="PART","PART","FULL")))</f>
        <v/>
      </c>
      <c r="Q56" s="17">
        <f>IF($A56="","",N(Items!J56))</f>
        <v/>
      </c>
      <c r="R56" s="17">
        <f>IF($A56="","",IF($L56&lt;&gt;"Y",0,IF($AO56=0,N(act_Rate),N(INDEX(rate_Rate,MOD($AO56,100))))))</f>
        <v/>
      </c>
      <c r="S56" s="17">
        <f>IF($A56="","",IF($L56&lt;&gt;"Y",0,IF($AO56=0,IF(UPPER(TRIM(CLEAN(SUBSTITUTE(act_RateType&amp;""," "," "))))="REPLACE",N(act_PriorRate),0),IF(ISNUMBER(INDEX(rate_Prior,MOD($AO56,100))),INDEX(rate_Prior,MOD($AO56,100)),IF(UPPER(TRIM(CLEAN(SUBSTITUTE(act_RateType&amp;""," "," "))))="REPLACE",N(act_PriorRate),0)))))</f>
        <v/>
      </c>
      <c r="T56" s="17">
        <f>IF($A56="","",IF(AND($L56="Y",$P56="PART",ISNUMBER(Items!M56)),Items!M56,1))</f>
        <v/>
      </c>
      <c r="U56" s="17">
        <f>IF($A56="","",IF($L56&lt;&gt;"Y",0,IF($AQ56&gt;0,IF(ISNUMBER(INDEX(det_Displaced,$AQ56)),INDEX(det_Displaced,$AQ56),IF($AO56=0,0,N(INDEX(rate_Displaced,MOD($AO56,100))))),IF($AO56=0,0,N(INDEX(rate_Displaced,MOD($AO56,100)))))))</f>
        <v/>
      </c>
      <c r="V56" s="17">
        <f>IF($A56="","",IF($L56="Y",$Q56+$T56*($R56-$S56)-$U56,$Q56))</f>
        <v/>
      </c>
      <c r="W56" s="18">
        <f>IF($A56="","",N(Items!H56)*$Q56)</f>
        <v/>
      </c>
      <c r="X56" s="18">
        <f>IF($A56="","",N(Items!H56)*$V56)</f>
        <v/>
      </c>
      <c r="Y56" s="18">
        <f>IF($A56="","",$X56-$W56)</f>
        <v/>
      </c>
      <c r="Z56" s="18">
        <f>IF($A56="","",N(Items!K56)+$Y56)</f>
        <v/>
      </c>
      <c r="AA56" s="17">
        <f>IF($A56="","",IF(N(Items!L56)=0,"",(N(Items!L56)-N(Items!K56))/N(Items!L56)))</f>
        <v/>
      </c>
      <c r="AB56" s="17">
        <f>IF($A56="","",IF(N(Items!L56)=0,"",(N(Items!L56)-$Z56)/N(Items!L56)))</f>
        <v/>
      </c>
      <c r="AC56" s="17">
        <f>IF(OR($AA56="",$AB56=""),"",$AB56-$AA56)</f>
        <v/>
      </c>
      <c r="AD56" s="13">
        <f>IF($A56="","",N(Items!I56))</f>
        <v/>
      </c>
      <c r="AE56" s="19">
        <f>IF($A56="","",$Y56*$AD56)</f>
        <v/>
      </c>
      <c r="AF56" s="10">
        <f>IF($A56="","",IF(N(Items!L56)&gt;0,"Y","N"))</f>
        <v/>
      </c>
      <c r="AG56" s="19">
        <f>IF($A56="","",IF($AF56="Y",N(Items!L56)*$AD56,0))</f>
        <v/>
      </c>
      <c r="AH56" s="19">
        <f>IF($A56="","",IF($AF56="Y",(N(Items!L56)-N(Items!K56))*$AD56,0))</f>
        <v/>
      </c>
      <c r="AI56" s="19">
        <f>IF($A56="","",IF($AF56="Y",$AH56-$AE56,0))</f>
        <v/>
      </c>
      <c r="AJ56" s="10">
        <f>IF($A56="","",IF(COUNTIF($AL$5:$AL$254,$AL56)&gt;1,"CHECK: duplicate item and import country",IF(TRIM(CLEAN(SUBSTITUTE(Items!C56&amp;""," "," ")))="","CHECK: import country missing",IF(AND(UPPER(TRIM(CLEAN(SUBSTITUTE(Items!C56&amp;""," "," "))))&lt;&gt;"US",UPPER(TRIM(CLEAN(SUBSTITUTE(Items!C56&amp;""," "," "))))&lt;&gt;"CA",UPPER(TRIM(CLEAN(SUBSTITUTE(Items!C56&amp;""," "," "))))&lt;&gt;"MX"),"CHECK: import country must be US, CA or MX",IF(NOT(AND(LEN($C56)=10,IFERROR(TEXT(VALUE($C56),REPT("0",LEN($C56)))=$C56,FALSE))),"CHECK: HTS must be 10 digits",IF(LEN($E56)&lt;&gt;2,"CHECK: origin code missing or not 2 letters",IF(TRIM(CLEAN(SUBSTITUTE(Items!G56&amp;""," "," ")))="","CHECK: unit of measure missing",IF(OR(Items!H56="",Items!J56="",Items!K56=""),"CHECK: value, rate or cost missing",IF(OR(NOT(ISNUMBER(Items!H56)),NOT(ISNUMBER(Items!J56)),NOT(ISNUMBER(Items!K56)),AND(Items!I56&lt;&gt;"",NOT(ISNUMBER(Items!I56))),AND(Items!L56&lt;&gt;"",NOT(ISNUMBER(Items!L56))),AND(Items!M56&lt;&gt;"",NOT(ISNUMBER(Items!M56)))),"CHECK: text in a number column",IF(AND(ISNUMBER(Items!M56),OR(N(Items!M56)&lt;0,N(Items!M56)&gt;1)),"CHECK: dutiable share must be 0% to 100%",IF(AND(UPPER(TRIM(CLEAN(SUBSTITUTE(Items!F56&amp;""," "," "))))&lt;&gt;"",UPPER(TRIM(CLEAN(SUBSTITUTE(Items!F56&amp;""," "," "))))&lt;&gt;"Y",UPPER(TRIM(CLEAN(SUBSTITUTE(Items!F56&amp;""," "," "))))&lt;&gt;"N"),"CHECK: USMCA flag must be Y, N or blank",IF(AND(UPPER(TRIM(CLEAN(SUBSTITUTE(Items!F56&amp;""," "," "))))="Y",$E56&lt;&gt;"US",$E56&lt;&gt;"CA",$E56&lt;&gt;"MX"),"CHECK: USMCA flag on an origin other than US, CA or MX",IF(AND($L56="Y",$AO56=0,NOT(ISNUMBER(act_Rate))),"CHECK: in scope but no rate (add a rate line or B15)",IF(AND($L56="Y",UPPER(TRIM(CLEAN(SUBSTITUTE(act_RateType&amp;""," "," "))))="REPLACE",NOT(ISNUMBER(act_PriorRate)),IF($AO56=0,TRUE,NOT(ISNUMBER(INDEX(rate_Prior,MOD($AO56,100)))))),"CHECK: REPLACE but no earlier rate (B17 or the rate line's AD)",IF(AND($L56="Y",$AP56&gt;1),"CHECK: two rate lines match equally",IF(AND($L56="Y",$AN56&gt;1),"CHECK: HTS prefix listed twice on the scope list",IF(AND($L56="Y",$P56="PART",NOT(ISNUMBER(Items!M56))),"CHECK: dutiable share missing (PART base)",IF(AND($L56="Y",$P56="FULL",ISNUMBER(Items!M56),N(Items!M56)&lt;&gt;1),"CHECK: dutiable share entered, but the rate taxes the full value",IF(AND($L56="Y",$Q56+0.0000001&lt;$T56*$S56+$U56),"CHECK: current rate is below the duty being replaced or displaced",IF(AND($L56="Y",$AD56=0),"NOTE: in scope, no quantity",IF(AND($L56="Y",$AF56="N"),"NOTE: in scope, no sell price (left out of margin %)",IF(AND($L56="Y",N(Items!H56)&gt;N(Items!K56)),"NOTE: customs value above standard cost (check unit of measure)",IF(AND($L56="Y",$Q56&gt;1),"NOTE: current rate above 100% (check it was entered as a percentage)","OK")))))))))))))))))))))))</f>
        <v/>
      </c>
      <c r="AK56" s="20">
        <f>IF($A56="","",IF(AND($L56="Y",$AE56&lt;&gt;0),ABS($AE56)+ROW()/1000000000,""))</f>
        <v/>
      </c>
      <c r="AL56" s="10">
        <f>IF($A56="","",UPPER($A56)&amp;"/"&amp;UPPER(TRIM(CLEAN(SUBSTITUTE(Items!C56&amp;""," "," ")))))</f>
        <v/>
      </c>
      <c r="AM56" s="13">
        <f>IF($A56="",0,SUMPRODUCT(MAX((scope_HTS&lt;&gt;"")*(LEFT($C56,LEN(scope_HTS))=scope_HTS)*(LEN(scope_HTS)*1000+ROW(scope_HTS)-4))))</f>
        <v/>
      </c>
      <c r="AN56" s="13">
        <f>IF($AM56=0,0,SUMPRODUCT((scope_HTS&lt;&gt;"")*(LEFT($C56,LEN(scope_HTS))=scope_HTS)*(LEN(scope_HTS)=INT($AM56/1000))))</f>
        <v/>
      </c>
      <c r="AO56" s="13">
        <f>IF($L56&lt;&gt;"Y",0,SUMPRODUCT(MAX(ISNUMBER(rate_Rate)*((UPPER(TRIM(CLEAN(SUBSTITUTE(rate_Group&amp;""," "," "))))="")+(UPPER(TRIM(CLEAN(SUBSTITUTE(rate_Group&amp;""," "," "))))=$N56)&gt;0)*((UPPER(TRIM(CLEAN(SUBSTITUTE(rate_COO&amp;""," "," "))))="")+(UPPER(TRIM(CLEAN(SUBSTITUTE(rate_COO&amp;""," "," "))))=$E56)&gt;0)*((UPPER(TRIM(CLEAN(SUBSTITUTE(rate_USMCA&amp;""," "," "))))="")+(UPPER(TRIM(CLEAN(SUBSTITUTE(rate_USMCA&amp;""," "," "))))=IF(UPPER(TRIM(CLEAN(SUBSTITUTE(Items!F56&amp;""," "," "))))="Y","Y","N"))&gt;0)*((1+(UPPER(TRIM(CLEAN(SUBSTITUTE(rate_Group&amp;""," "," "))))&lt;&gt;"")+2*(UPPER(TRIM(CLEAN(SUBSTITUTE(rate_USMCA&amp;""," "," "))))&lt;&gt;"")+4*(UPPER(TRIM(CLEAN(SUBSTITUTE(rate_COO&amp;""," "," "))))&lt;&gt;""))*100+ROW(rate_Rate)-4))))</f>
        <v/>
      </c>
      <c r="AP56" s="13">
        <f>IF($AO56=0,0,SUMPRODUCT(ISNUMBER(rate_Rate)*((UPPER(TRIM(CLEAN(SUBSTITUTE(rate_Group&amp;""," "," "))))="")+(UPPER(TRIM(CLEAN(SUBSTITUTE(rate_Group&amp;""," "," "))))=$N56)&gt;0)*((UPPER(TRIM(CLEAN(SUBSTITUTE(rate_COO&amp;""," "," "))))="")+(UPPER(TRIM(CLEAN(SUBSTITUTE(rate_COO&amp;""," "," "))))=$E56)&gt;0)*((UPPER(TRIM(CLEAN(SUBSTITUTE(rate_USMCA&amp;""," "," "))))="")+(UPPER(TRIM(CLEAN(SUBSTITUTE(rate_USMCA&amp;""," "," "))))=IF(UPPER(TRIM(CLEAN(SUBSTITUTE(Items!F56&amp;""," "," "))))="Y","Y","N"))&gt;0)*((1+(UPPER(TRIM(CLEAN(SUBSTITUTE(rate_Group&amp;""," "," "))))&lt;&gt;"")+2*(UPPER(TRIM(CLEAN(SUBSTITUTE(rate_USMCA&amp;""," "," "))))&lt;&gt;"")+4*(UPPER(TRIM(CLEAN(SUBSTITUTE(rate_COO&amp;""," "," "))))&lt;&gt;""))=INT($AO56/100))))</f>
        <v/>
      </c>
      <c r="AQ56" s="13">
        <f>IF($A56="",0,IFERROR(MATCH($AL56,det_Key,0),0))</f>
        <v/>
      </c>
    </row>
    <row r="57">
      <c r="A57" s="10">
        <f>IF(TRIM(CLEAN(SUBSTITUTE(Items!A57&amp;""," "," ")))="","",TRIM(CLEAN(SUBSTITUTE(Items!A57&amp;""," "," "))))</f>
        <v/>
      </c>
      <c r="B57" s="10">
        <f>IF($A57="","",Items!B57&amp;"")</f>
        <v/>
      </c>
      <c r="C57" s="10">
        <f>IF($A57="","",SUBSTITUTE(SUBSTITUTE(SUBSTITUTE(SUBSTITUTE(CLEAN(Items!D57&amp;"")," ",""),".","")," ",""),"-",""))</f>
        <v/>
      </c>
      <c r="D57" s="10">
        <f>IF($A57="","",LEFT($C57,2))</f>
        <v/>
      </c>
      <c r="E57" s="10">
        <f>IF($A57="","",UPPER(TRIM(CLEAN(SUBSTITUTE(Items!E57&amp;""," "," ")))))</f>
        <v/>
      </c>
      <c r="F57" s="10">
        <f>IF($A57="","",IF(UPPER(TRIM(CLEAN(SUBSTITUTE(Items!C57&amp;""," "," "))))=UPPER(TRIM(CLEAN(SUBSTITUTE(act_Country&amp;""," "," ")))),"Y","N"))</f>
        <v/>
      </c>
      <c r="G57" s="10">
        <f>IF($A57="","",IF($AM57&gt;0,"Y","N"))</f>
        <v/>
      </c>
      <c r="H57" s="10">
        <f>IF($A57="","",IF(SUMPRODUCT((excl_HTS&lt;&gt;"")*(LEFT($C57,LEN(excl_HTS))=excl_HTS))&gt;0,"Y","N"))</f>
        <v/>
      </c>
      <c r="I57" s="10">
        <f>IF($A57="","",IF($E57="","N",IF(SUMPRODUCT(--(UPPER(TRIM(CLEAN(SUBSTITUTE(scope_COO&amp;""," "," "))))=$E57))&gt;0,"Y","N")))</f>
        <v/>
      </c>
      <c r="J57" s="10">
        <f>IF($A57="","",IF(AND(UPPER(TRIM(CLEAN(SUBSTITUTE(act_USMCAExempt&amp;""," "," "))))="Y",UPPER(TRIM(CLEAN(SUBSTITUTE(Items!F57&amp;""," "," "))))="Y"),"Y","N"))</f>
        <v/>
      </c>
      <c r="K57" s="10">
        <f>IF($A57="","",IF($AQ57=0,"",UPPER(TRIM(CLEAN(SUBSTITUTE(INDEX(det_Status,$AQ57)&amp;""," "," "))))))</f>
        <v/>
      </c>
      <c r="L57" s="10">
        <f>IF($A57="","",IF($F57="N","N",IF($K57="IN","Y",IF($K57="OUT","N",IF(AND($G57="Y",$H57="N",$I57="Y",$J57="N"),"Y","N")))))</f>
        <v/>
      </c>
      <c r="M57" s="10">
        <f>IF($A57="","",IF($F57="N","Out: different import country",IF($K57="IN","In: Research determination",IF($K57="OUT","Out: Research determination",IF($G57="N","Out: HTS not on scope list",IF($H57="Y","Out: HTS on exclusion list",IF($I57="N","Out: origin not on scope list",IF($J57="Y","Out: USMCA-qualifying, exempt","In: matches scope rules"))))))))</f>
        <v/>
      </c>
      <c r="N57" s="10">
        <f>IF(OR($A57="",$AM57=0),"",UPPER(TRIM(CLEAN(SUBSTITUTE(INDEX(scope_Group,MOD($AM57,1000))&amp;""," "," ")))))</f>
        <v/>
      </c>
      <c r="O57" s="10">
        <f>IF($L57&lt;&gt;"Y","",IF($AO57=0,"Default (B15)",UPPER(TRIM(CLEAN(SUBSTITUTE(INDEX(rate_ID,MOD($AO57,100))&amp;""," "," "))))))</f>
        <v/>
      </c>
      <c r="P57" s="10">
        <f>IF($L57&lt;&gt;"Y","",IF($AO57=0,IF(UPPER(TRIM(CLEAN(SUBSTITUTE(act_DefaultBase&amp;""," "," "))))="PART","PART","FULL"),IF(UPPER(TRIM(CLEAN(SUBSTITUTE(INDEX(rate_Base,MOD($AO57,100))&amp;""," "," "))))="PART","PART","FULL")))</f>
        <v/>
      </c>
      <c r="Q57" s="17">
        <f>IF($A57="","",N(Items!J57))</f>
        <v/>
      </c>
      <c r="R57" s="17">
        <f>IF($A57="","",IF($L57&lt;&gt;"Y",0,IF($AO57=0,N(act_Rate),N(INDEX(rate_Rate,MOD($AO57,100))))))</f>
        <v/>
      </c>
      <c r="S57" s="17">
        <f>IF($A57="","",IF($L57&lt;&gt;"Y",0,IF($AO57=0,IF(UPPER(TRIM(CLEAN(SUBSTITUTE(act_RateType&amp;""," "," "))))="REPLACE",N(act_PriorRate),0),IF(ISNUMBER(INDEX(rate_Prior,MOD($AO57,100))),INDEX(rate_Prior,MOD($AO57,100)),IF(UPPER(TRIM(CLEAN(SUBSTITUTE(act_RateType&amp;""," "," "))))="REPLACE",N(act_PriorRate),0)))))</f>
        <v/>
      </c>
      <c r="T57" s="17">
        <f>IF($A57="","",IF(AND($L57="Y",$P57="PART",ISNUMBER(Items!M57)),Items!M57,1))</f>
        <v/>
      </c>
      <c r="U57" s="17">
        <f>IF($A57="","",IF($L57&lt;&gt;"Y",0,IF($AQ57&gt;0,IF(ISNUMBER(INDEX(det_Displaced,$AQ57)),INDEX(det_Displaced,$AQ57),IF($AO57=0,0,N(INDEX(rate_Displaced,MOD($AO57,100))))),IF($AO57=0,0,N(INDEX(rate_Displaced,MOD($AO57,100)))))))</f>
        <v/>
      </c>
      <c r="V57" s="17">
        <f>IF($A57="","",IF($L57="Y",$Q57+$T57*($R57-$S57)-$U57,$Q57))</f>
        <v/>
      </c>
      <c r="W57" s="18">
        <f>IF($A57="","",N(Items!H57)*$Q57)</f>
        <v/>
      </c>
      <c r="X57" s="18">
        <f>IF($A57="","",N(Items!H57)*$V57)</f>
        <v/>
      </c>
      <c r="Y57" s="18">
        <f>IF($A57="","",$X57-$W57)</f>
        <v/>
      </c>
      <c r="Z57" s="18">
        <f>IF($A57="","",N(Items!K57)+$Y57)</f>
        <v/>
      </c>
      <c r="AA57" s="17">
        <f>IF($A57="","",IF(N(Items!L57)=0,"",(N(Items!L57)-N(Items!K57))/N(Items!L57)))</f>
        <v/>
      </c>
      <c r="AB57" s="17">
        <f>IF($A57="","",IF(N(Items!L57)=0,"",(N(Items!L57)-$Z57)/N(Items!L57)))</f>
        <v/>
      </c>
      <c r="AC57" s="17">
        <f>IF(OR($AA57="",$AB57=""),"",$AB57-$AA57)</f>
        <v/>
      </c>
      <c r="AD57" s="13">
        <f>IF($A57="","",N(Items!I57))</f>
        <v/>
      </c>
      <c r="AE57" s="19">
        <f>IF($A57="","",$Y57*$AD57)</f>
        <v/>
      </c>
      <c r="AF57" s="10">
        <f>IF($A57="","",IF(N(Items!L57)&gt;0,"Y","N"))</f>
        <v/>
      </c>
      <c r="AG57" s="19">
        <f>IF($A57="","",IF($AF57="Y",N(Items!L57)*$AD57,0))</f>
        <v/>
      </c>
      <c r="AH57" s="19">
        <f>IF($A57="","",IF($AF57="Y",(N(Items!L57)-N(Items!K57))*$AD57,0))</f>
        <v/>
      </c>
      <c r="AI57" s="19">
        <f>IF($A57="","",IF($AF57="Y",$AH57-$AE57,0))</f>
        <v/>
      </c>
      <c r="AJ57" s="10">
        <f>IF($A57="","",IF(COUNTIF($AL$5:$AL$254,$AL57)&gt;1,"CHECK: duplicate item and import country",IF(TRIM(CLEAN(SUBSTITUTE(Items!C57&amp;""," "," ")))="","CHECK: import country missing",IF(AND(UPPER(TRIM(CLEAN(SUBSTITUTE(Items!C57&amp;""," "," "))))&lt;&gt;"US",UPPER(TRIM(CLEAN(SUBSTITUTE(Items!C57&amp;""," "," "))))&lt;&gt;"CA",UPPER(TRIM(CLEAN(SUBSTITUTE(Items!C57&amp;""," "," "))))&lt;&gt;"MX"),"CHECK: import country must be US, CA or MX",IF(NOT(AND(LEN($C57)=10,IFERROR(TEXT(VALUE($C57),REPT("0",LEN($C57)))=$C57,FALSE))),"CHECK: HTS must be 10 digits",IF(LEN($E57)&lt;&gt;2,"CHECK: origin code missing or not 2 letters",IF(TRIM(CLEAN(SUBSTITUTE(Items!G57&amp;""," "," ")))="","CHECK: unit of measure missing",IF(OR(Items!H57="",Items!J57="",Items!K57=""),"CHECK: value, rate or cost missing",IF(OR(NOT(ISNUMBER(Items!H57)),NOT(ISNUMBER(Items!J57)),NOT(ISNUMBER(Items!K57)),AND(Items!I57&lt;&gt;"",NOT(ISNUMBER(Items!I57))),AND(Items!L57&lt;&gt;"",NOT(ISNUMBER(Items!L57))),AND(Items!M57&lt;&gt;"",NOT(ISNUMBER(Items!M57)))),"CHECK: text in a number column",IF(AND(ISNUMBER(Items!M57),OR(N(Items!M57)&lt;0,N(Items!M57)&gt;1)),"CHECK: dutiable share must be 0% to 100%",IF(AND(UPPER(TRIM(CLEAN(SUBSTITUTE(Items!F57&amp;""," "," "))))&lt;&gt;"",UPPER(TRIM(CLEAN(SUBSTITUTE(Items!F57&amp;""," "," "))))&lt;&gt;"Y",UPPER(TRIM(CLEAN(SUBSTITUTE(Items!F57&amp;""," "," "))))&lt;&gt;"N"),"CHECK: USMCA flag must be Y, N or blank",IF(AND(UPPER(TRIM(CLEAN(SUBSTITUTE(Items!F57&amp;""," "," "))))="Y",$E57&lt;&gt;"US",$E57&lt;&gt;"CA",$E57&lt;&gt;"MX"),"CHECK: USMCA flag on an origin other than US, CA or MX",IF(AND($L57="Y",$AO57=0,NOT(ISNUMBER(act_Rate))),"CHECK: in scope but no rate (add a rate line or B15)",IF(AND($L57="Y",UPPER(TRIM(CLEAN(SUBSTITUTE(act_RateType&amp;""," "," "))))="REPLACE",NOT(ISNUMBER(act_PriorRate)),IF($AO57=0,TRUE,NOT(ISNUMBER(INDEX(rate_Prior,MOD($AO57,100)))))),"CHECK: REPLACE but no earlier rate (B17 or the rate line's AD)",IF(AND($L57="Y",$AP57&gt;1),"CHECK: two rate lines match equally",IF(AND($L57="Y",$AN57&gt;1),"CHECK: HTS prefix listed twice on the scope list",IF(AND($L57="Y",$P57="PART",NOT(ISNUMBER(Items!M57))),"CHECK: dutiable share missing (PART base)",IF(AND($L57="Y",$P57="FULL",ISNUMBER(Items!M57),N(Items!M57)&lt;&gt;1),"CHECK: dutiable share entered, but the rate taxes the full value",IF(AND($L57="Y",$Q57+0.0000001&lt;$T57*$S57+$U57),"CHECK: current rate is below the duty being replaced or displaced",IF(AND($L57="Y",$AD57=0),"NOTE: in scope, no quantity",IF(AND($L57="Y",$AF57="N"),"NOTE: in scope, no sell price (left out of margin %)",IF(AND($L57="Y",N(Items!H57)&gt;N(Items!K57)),"NOTE: customs value above standard cost (check unit of measure)",IF(AND($L57="Y",$Q57&gt;1),"NOTE: current rate above 100% (check it was entered as a percentage)","OK")))))))))))))))))))))))</f>
        <v/>
      </c>
      <c r="AK57" s="20">
        <f>IF($A57="","",IF(AND($L57="Y",$AE57&lt;&gt;0),ABS($AE57)+ROW()/1000000000,""))</f>
        <v/>
      </c>
      <c r="AL57" s="10">
        <f>IF($A57="","",UPPER($A57)&amp;"/"&amp;UPPER(TRIM(CLEAN(SUBSTITUTE(Items!C57&amp;""," "," ")))))</f>
        <v/>
      </c>
      <c r="AM57" s="13">
        <f>IF($A57="",0,SUMPRODUCT(MAX((scope_HTS&lt;&gt;"")*(LEFT($C57,LEN(scope_HTS))=scope_HTS)*(LEN(scope_HTS)*1000+ROW(scope_HTS)-4))))</f>
        <v/>
      </c>
      <c r="AN57" s="13">
        <f>IF($AM57=0,0,SUMPRODUCT((scope_HTS&lt;&gt;"")*(LEFT($C57,LEN(scope_HTS))=scope_HTS)*(LEN(scope_HTS)=INT($AM57/1000))))</f>
        <v/>
      </c>
      <c r="AO57" s="13">
        <f>IF($L57&lt;&gt;"Y",0,SUMPRODUCT(MAX(ISNUMBER(rate_Rate)*((UPPER(TRIM(CLEAN(SUBSTITUTE(rate_Group&amp;""," "," "))))="")+(UPPER(TRIM(CLEAN(SUBSTITUTE(rate_Group&amp;""," "," "))))=$N57)&gt;0)*((UPPER(TRIM(CLEAN(SUBSTITUTE(rate_COO&amp;""," "," "))))="")+(UPPER(TRIM(CLEAN(SUBSTITUTE(rate_COO&amp;""," "," "))))=$E57)&gt;0)*((UPPER(TRIM(CLEAN(SUBSTITUTE(rate_USMCA&amp;""," "," "))))="")+(UPPER(TRIM(CLEAN(SUBSTITUTE(rate_USMCA&amp;""," "," "))))=IF(UPPER(TRIM(CLEAN(SUBSTITUTE(Items!F57&amp;""," "," "))))="Y","Y","N"))&gt;0)*((1+(UPPER(TRIM(CLEAN(SUBSTITUTE(rate_Group&amp;""," "," "))))&lt;&gt;"")+2*(UPPER(TRIM(CLEAN(SUBSTITUTE(rate_USMCA&amp;""," "," "))))&lt;&gt;"")+4*(UPPER(TRIM(CLEAN(SUBSTITUTE(rate_COO&amp;""," "," "))))&lt;&gt;""))*100+ROW(rate_Rate)-4))))</f>
        <v/>
      </c>
      <c r="AP57" s="13">
        <f>IF($AO57=0,0,SUMPRODUCT(ISNUMBER(rate_Rate)*((UPPER(TRIM(CLEAN(SUBSTITUTE(rate_Group&amp;""," "," "))))="")+(UPPER(TRIM(CLEAN(SUBSTITUTE(rate_Group&amp;""," "," "))))=$N57)&gt;0)*((UPPER(TRIM(CLEAN(SUBSTITUTE(rate_COO&amp;""," "," "))))="")+(UPPER(TRIM(CLEAN(SUBSTITUTE(rate_COO&amp;""," "," "))))=$E57)&gt;0)*((UPPER(TRIM(CLEAN(SUBSTITUTE(rate_USMCA&amp;""," "," "))))="")+(UPPER(TRIM(CLEAN(SUBSTITUTE(rate_USMCA&amp;""," "," "))))=IF(UPPER(TRIM(CLEAN(SUBSTITUTE(Items!F57&amp;""," "," "))))="Y","Y","N"))&gt;0)*((1+(UPPER(TRIM(CLEAN(SUBSTITUTE(rate_Group&amp;""," "," "))))&lt;&gt;"")+2*(UPPER(TRIM(CLEAN(SUBSTITUTE(rate_USMCA&amp;""," "," "))))&lt;&gt;"")+4*(UPPER(TRIM(CLEAN(SUBSTITUTE(rate_COO&amp;""," "," "))))&lt;&gt;""))=INT($AO57/100))))</f>
        <v/>
      </c>
      <c r="AQ57" s="13">
        <f>IF($A57="",0,IFERROR(MATCH($AL57,det_Key,0),0))</f>
        <v/>
      </c>
    </row>
    <row r="58">
      <c r="A58" s="10">
        <f>IF(TRIM(CLEAN(SUBSTITUTE(Items!A58&amp;""," "," ")))="","",TRIM(CLEAN(SUBSTITUTE(Items!A58&amp;""," "," "))))</f>
        <v/>
      </c>
      <c r="B58" s="10">
        <f>IF($A58="","",Items!B58&amp;"")</f>
        <v/>
      </c>
      <c r="C58" s="10">
        <f>IF($A58="","",SUBSTITUTE(SUBSTITUTE(SUBSTITUTE(SUBSTITUTE(CLEAN(Items!D58&amp;"")," ",""),".","")," ",""),"-",""))</f>
        <v/>
      </c>
      <c r="D58" s="10">
        <f>IF($A58="","",LEFT($C58,2))</f>
        <v/>
      </c>
      <c r="E58" s="10">
        <f>IF($A58="","",UPPER(TRIM(CLEAN(SUBSTITUTE(Items!E58&amp;""," "," ")))))</f>
        <v/>
      </c>
      <c r="F58" s="10">
        <f>IF($A58="","",IF(UPPER(TRIM(CLEAN(SUBSTITUTE(Items!C58&amp;""," "," "))))=UPPER(TRIM(CLEAN(SUBSTITUTE(act_Country&amp;""," "," ")))),"Y","N"))</f>
        <v/>
      </c>
      <c r="G58" s="10">
        <f>IF($A58="","",IF($AM58&gt;0,"Y","N"))</f>
        <v/>
      </c>
      <c r="H58" s="10">
        <f>IF($A58="","",IF(SUMPRODUCT((excl_HTS&lt;&gt;"")*(LEFT($C58,LEN(excl_HTS))=excl_HTS))&gt;0,"Y","N"))</f>
        <v/>
      </c>
      <c r="I58" s="10">
        <f>IF($A58="","",IF($E58="","N",IF(SUMPRODUCT(--(UPPER(TRIM(CLEAN(SUBSTITUTE(scope_COO&amp;""," "," "))))=$E58))&gt;0,"Y","N")))</f>
        <v/>
      </c>
      <c r="J58" s="10">
        <f>IF($A58="","",IF(AND(UPPER(TRIM(CLEAN(SUBSTITUTE(act_USMCAExempt&amp;""," "," "))))="Y",UPPER(TRIM(CLEAN(SUBSTITUTE(Items!F58&amp;""," "," "))))="Y"),"Y","N"))</f>
        <v/>
      </c>
      <c r="K58" s="10">
        <f>IF($A58="","",IF($AQ58=0,"",UPPER(TRIM(CLEAN(SUBSTITUTE(INDEX(det_Status,$AQ58)&amp;""," "," "))))))</f>
        <v/>
      </c>
      <c r="L58" s="10">
        <f>IF($A58="","",IF($F58="N","N",IF($K58="IN","Y",IF($K58="OUT","N",IF(AND($G58="Y",$H58="N",$I58="Y",$J58="N"),"Y","N")))))</f>
        <v/>
      </c>
      <c r="M58" s="10">
        <f>IF($A58="","",IF($F58="N","Out: different import country",IF($K58="IN","In: Research determination",IF($K58="OUT","Out: Research determination",IF($G58="N","Out: HTS not on scope list",IF($H58="Y","Out: HTS on exclusion list",IF($I58="N","Out: origin not on scope list",IF($J58="Y","Out: USMCA-qualifying, exempt","In: matches scope rules"))))))))</f>
        <v/>
      </c>
      <c r="N58" s="10">
        <f>IF(OR($A58="",$AM58=0),"",UPPER(TRIM(CLEAN(SUBSTITUTE(INDEX(scope_Group,MOD($AM58,1000))&amp;""," "," ")))))</f>
        <v/>
      </c>
      <c r="O58" s="10">
        <f>IF($L58&lt;&gt;"Y","",IF($AO58=0,"Default (B15)",UPPER(TRIM(CLEAN(SUBSTITUTE(INDEX(rate_ID,MOD($AO58,100))&amp;""," "," "))))))</f>
        <v/>
      </c>
      <c r="P58" s="10">
        <f>IF($L58&lt;&gt;"Y","",IF($AO58=0,IF(UPPER(TRIM(CLEAN(SUBSTITUTE(act_DefaultBase&amp;""," "," "))))="PART","PART","FULL"),IF(UPPER(TRIM(CLEAN(SUBSTITUTE(INDEX(rate_Base,MOD($AO58,100))&amp;""," "," "))))="PART","PART","FULL")))</f>
        <v/>
      </c>
      <c r="Q58" s="17">
        <f>IF($A58="","",N(Items!J58))</f>
        <v/>
      </c>
      <c r="R58" s="17">
        <f>IF($A58="","",IF($L58&lt;&gt;"Y",0,IF($AO58=0,N(act_Rate),N(INDEX(rate_Rate,MOD($AO58,100))))))</f>
        <v/>
      </c>
      <c r="S58" s="17">
        <f>IF($A58="","",IF($L58&lt;&gt;"Y",0,IF($AO58=0,IF(UPPER(TRIM(CLEAN(SUBSTITUTE(act_RateType&amp;""," "," "))))="REPLACE",N(act_PriorRate),0),IF(ISNUMBER(INDEX(rate_Prior,MOD($AO58,100))),INDEX(rate_Prior,MOD($AO58,100)),IF(UPPER(TRIM(CLEAN(SUBSTITUTE(act_RateType&amp;""," "," "))))="REPLACE",N(act_PriorRate),0)))))</f>
        <v/>
      </c>
      <c r="T58" s="17">
        <f>IF($A58="","",IF(AND($L58="Y",$P58="PART",ISNUMBER(Items!M58)),Items!M58,1))</f>
        <v/>
      </c>
      <c r="U58" s="17">
        <f>IF($A58="","",IF($L58&lt;&gt;"Y",0,IF($AQ58&gt;0,IF(ISNUMBER(INDEX(det_Displaced,$AQ58)),INDEX(det_Displaced,$AQ58),IF($AO58=0,0,N(INDEX(rate_Displaced,MOD($AO58,100))))),IF($AO58=0,0,N(INDEX(rate_Displaced,MOD($AO58,100)))))))</f>
        <v/>
      </c>
      <c r="V58" s="17">
        <f>IF($A58="","",IF($L58="Y",$Q58+$T58*($R58-$S58)-$U58,$Q58))</f>
        <v/>
      </c>
      <c r="W58" s="18">
        <f>IF($A58="","",N(Items!H58)*$Q58)</f>
        <v/>
      </c>
      <c r="X58" s="18">
        <f>IF($A58="","",N(Items!H58)*$V58)</f>
        <v/>
      </c>
      <c r="Y58" s="18">
        <f>IF($A58="","",$X58-$W58)</f>
        <v/>
      </c>
      <c r="Z58" s="18">
        <f>IF($A58="","",N(Items!K58)+$Y58)</f>
        <v/>
      </c>
      <c r="AA58" s="17">
        <f>IF($A58="","",IF(N(Items!L58)=0,"",(N(Items!L58)-N(Items!K58))/N(Items!L58)))</f>
        <v/>
      </c>
      <c r="AB58" s="17">
        <f>IF($A58="","",IF(N(Items!L58)=0,"",(N(Items!L58)-$Z58)/N(Items!L58)))</f>
        <v/>
      </c>
      <c r="AC58" s="17">
        <f>IF(OR($AA58="",$AB58=""),"",$AB58-$AA58)</f>
        <v/>
      </c>
      <c r="AD58" s="13">
        <f>IF($A58="","",N(Items!I58))</f>
        <v/>
      </c>
      <c r="AE58" s="19">
        <f>IF($A58="","",$Y58*$AD58)</f>
        <v/>
      </c>
      <c r="AF58" s="10">
        <f>IF($A58="","",IF(N(Items!L58)&gt;0,"Y","N"))</f>
        <v/>
      </c>
      <c r="AG58" s="19">
        <f>IF($A58="","",IF($AF58="Y",N(Items!L58)*$AD58,0))</f>
        <v/>
      </c>
      <c r="AH58" s="19">
        <f>IF($A58="","",IF($AF58="Y",(N(Items!L58)-N(Items!K58))*$AD58,0))</f>
        <v/>
      </c>
      <c r="AI58" s="19">
        <f>IF($A58="","",IF($AF58="Y",$AH58-$AE58,0))</f>
        <v/>
      </c>
      <c r="AJ58" s="10">
        <f>IF($A58="","",IF(COUNTIF($AL$5:$AL$254,$AL58)&gt;1,"CHECK: duplicate item and import country",IF(TRIM(CLEAN(SUBSTITUTE(Items!C58&amp;""," "," ")))="","CHECK: import country missing",IF(AND(UPPER(TRIM(CLEAN(SUBSTITUTE(Items!C58&amp;""," "," "))))&lt;&gt;"US",UPPER(TRIM(CLEAN(SUBSTITUTE(Items!C58&amp;""," "," "))))&lt;&gt;"CA",UPPER(TRIM(CLEAN(SUBSTITUTE(Items!C58&amp;""," "," "))))&lt;&gt;"MX"),"CHECK: import country must be US, CA or MX",IF(NOT(AND(LEN($C58)=10,IFERROR(TEXT(VALUE($C58),REPT("0",LEN($C58)))=$C58,FALSE))),"CHECK: HTS must be 10 digits",IF(LEN($E58)&lt;&gt;2,"CHECK: origin code missing or not 2 letters",IF(TRIM(CLEAN(SUBSTITUTE(Items!G58&amp;""," "," ")))="","CHECK: unit of measure missing",IF(OR(Items!H58="",Items!J58="",Items!K58=""),"CHECK: value, rate or cost missing",IF(OR(NOT(ISNUMBER(Items!H58)),NOT(ISNUMBER(Items!J58)),NOT(ISNUMBER(Items!K58)),AND(Items!I58&lt;&gt;"",NOT(ISNUMBER(Items!I58))),AND(Items!L58&lt;&gt;"",NOT(ISNUMBER(Items!L58))),AND(Items!M58&lt;&gt;"",NOT(ISNUMBER(Items!M58)))),"CHECK: text in a number column",IF(AND(ISNUMBER(Items!M58),OR(N(Items!M58)&lt;0,N(Items!M58)&gt;1)),"CHECK: dutiable share must be 0% to 100%",IF(AND(UPPER(TRIM(CLEAN(SUBSTITUTE(Items!F58&amp;""," "," "))))&lt;&gt;"",UPPER(TRIM(CLEAN(SUBSTITUTE(Items!F58&amp;""," "," "))))&lt;&gt;"Y",UPPER(TRIM(CLEAN(SUBSTITUTE(Items!F58&amp;""," "," "))))&lt;&gt;"N"),"CHECK: USMCA flag must be Y, N or blank",IF(AND(UPPER(TRIM(CLEAN(SUBSTITUTE(Items!F58&amp;""," "," "))))="Y",$E58&lt;&gt;"US",$E58&lt;&gt;"CA",$E58&lt;&gt;"MX"),"CHECK: USMCA flag on an origin other than US, CA or MX",IF(AND($L58="Y",$AO58=0,NOT(ISNUMBER(act_Rate))),"CHECK: in scope but no rate (add a rate line or B15)",IF(AND($L58="Y",UPPER(TRIM(CLEAN(SUBSTITUTE(act_RateType&amp;""," "," "))))="REPLACE",NOT(ISNUMBER(act_PriorRate)),IF($AO58=0,TRUE,NOT(ISNUMBER(INDEX(rate_Prior,MOD($AO58,100)))))),"CHECK: REPLACE but no earlier rate (B17 or the rate line's AD)",IF(AND($L58="Y",$AP58&gt;1),"CHECK: two rate lines match equally",IF(AND($L58="Y",$AN58&gt;1),"CHECK: HTS prefix listed twice on the scope list",IF(AND($L58="Y",$P58="PART",NOT(ISNUMBER(Items!M58))),"CHECK: dutiable share missing (PART base)",IF(AND($L58="Y",$P58="FULL",ISNUMBER(Items!M58),N(Items!M58)&lt;&gt;1),"CHECK: dutiable share entered, but the rate taxes the full value",IF(AND($L58="Y",$Q58+0.0000001&lt;$T58*$S58+$U58),"CHECK: current rate is below the duty being replaced or displaced",IF(AND($L58="Y",$AD58=0),"NOTE: in scope, no quantity",IF(AND($L58="Y",$AF58="N"),"NOTE: in scope, no sell price (left out of margin %)",IF(AND($L58="Y",N(Items!H58)&gt;N(Items!K58)),"NOTE: customs value above standard cost (check unit of measure)",IF(AND($L58="Y",$Q58&gt;1),"NOTE: current rate above 100% (check it was entered as a percentage)","OK")))))))))))))))))))))))</f>
        <v/>
      </c>
      <c r="AK58" s="20">
        <f>IF($A58="","",IF(AND($L58="Y",$AE58&lt;&gt;0),ABS($AE58)+ROW()/1000000000,""))</f>
        <v/>
      </c>
      <c r="AL58" s="10">
        <f>IF($A58="","",UPPER($A58)&amp;"/"&amp;UPPER(TRIM(CLEAN(SUBSTITUTE(Items!C58&amp;""," "," ")))))</f>
        <v/>
      </c>
      <c r="AM58" s="13">
        <f>IF($A58="",0,SUMPRODUCT(MAX((scope_HTS&lt;&gt;"")*(LEFT($C58,LEN(scope_HTS))=scope_HTS)*(LEN(scope_HTS)*1000+ROW(scope_HTS)-4))))</f>
        <v/>
      </c>
      <c r="AN58" s="13">
        <f>IF($AM58=0,0,SUMPRODUCT((scope_HTS&lt;&gt;"")*(LEFT($C58,LEN(scope_HTS))=scope_HTS)*(LEN(scope_HTS)=INT($AM58/1000))))</f>
        <v/>
      </c>
      <c r="AO58" s="13">
        <f>IF($L58&lt;&gt;"Y",0,SUMPRODUCT(MAX(ISNUMBER(rate_Rate)*((UPPER(TRIM(CLEAN(SUBSTITUTE(rate_Group&amp;""," "," "))))="")+(UPPER(TRIM(CLEAN(SUBSTITUTE(rate_Group&amp;""," "," "))))=$N58)&gt;0)*((UPPER(TRIM(CLEAN(SUBSTITUTE(rate_COO&amp;""," "," "))))="")+(UPPER(TRIM(CLEAN(SUBSTITUTE(rate_COO&amp;""," "," "))))=$E58)&gt;0)*((UPPER(TRIM(CLEAN(SUBSTITUTE(rate_USMCA&amp;""," "," "))))="")+(UPPER(TRIM(CLEAN(SUBSTITUTE(rate_USMCA&amp;""," "," "))))=IF(UPPER(TRIM(CLEAN(SUBSTITUTE(Items!F58&amp;""," "," "))))="Y","Y","N"))&gt;0)*((1+(UPPER(TRIM(CLEAN(SUBSTITUTE(rate_Group&amp;""," "," "))))&lt;&gt;"")+2*(UPPER(TRIM(CLEAN(SUBSTITUTE(rate_USMCA&amp;""," "," "))))&lt;&gt;"")+4*(UPPER(TRIM(CLEAN(SUBSTITUTE(rate_COO&amp;""," "," "))))&lt;&gt;""))*100+ROW(rate_Rate)-4))))</f>
        <v/>
      </c>
      <c r="AP58" s="13">
        <f>IF($AO58=0,0,SUMPRODUCT(ISNUMBER(rate_Rate)*((UPPER(TRIM(CLEAN(SUBSTITUTE(rate_Group&amp;""," "," "))))="")+(UPPER(TRIM(CLEAN(SUBSTITUTE(rate_Group&amp;""," "," "))))=$N58)&gt;0)*((UPPER(TRIM(CLEAN(SUBSTITUTE(rate_COO&amp;""," "," "))))="")+(UPPER(TRIM(CLEAN(SUBSTITUTE(rate_COO&amp;""," "," "))))=$E58)&gt;0)*((UPPER(TRIM(CLEAN(SUBSTITUTE(rate_USMCA&amp;""," "," "))))="")+(UPPER(TRIM(CLEAN(SUBSTITUTE(rate_USMCA&amp;""," "," "))))=IF(UPPER(TRIM(CLEAN(SUBSTITUTE(Items!F58&amp;""," "," "))))="Y","Y","N"))&gt;0)*((1+(UPPER(TRIM(CLEAN(SUBSTITUTE(rate_Group&amp;""," "," "))))&lt;&gt;"")+2*(UPPER(TRIM(CLEAN(SUBSTITUTE(rate_USMCA&amp;""," "," "))))&lt;&gt;"")+4*(UPPER(TRIM(CLEAN(SUBSTITUTE(rate_COO&amp;""," "," "))))&lt;&gt;""))=INT($AO58/100))))</f>
        <v/>
      </c>
      <c r="AQ58" s="13">
        <f>IF($A58="",0,IFERROR(MATCH($AL58,det_Key,0),0))</f>
        <v/>
      </c>
    </row>
    <row r="59">
      <c r="A59" s="10">
        <f>IF(TRIM(CLEAN(SUBSTITUTE(Items!A59&amp;""," "," ")))="","",TRIM(CLEAN(SUBSTITUTE(Items!A59&amp;""," "," "))))</f>
        <v/>
      </c>
      <c r="B59" s="10">
        <f>IF($A59="","",Items!B59&amp;"")</f>
        <v/>
      </c>
      <c r="C59" s="10">
        <f>IF($A59="","",SUBSTITUTE(SUBSTITUTE(SUBSTITUTE(SUBSTITUTE(CLEAN(Items!D59&amp;"")," ",""),".","")," ",""),"-",""))</f>
        <v/>
      </c>
      <c r="D59" s="10">
        <f>IF($A59="","",LEFT($C59,2))</f>
        <v/>
      </c>
      <c r="E59" s="10">
        <f>IF($A59="","",UPPER(TRIM(CLEAN(SUBSTITUTE(Items!E59&amp;""," "," ")))))</f>
        <v/>
      </c>
      <c r="F59" s="10">
        <f>IF($A59="","",IF(UPPER(TRIM(CLEAN(SUBSTITUTE(Items!C59&amp;""," "," "))))=UPPER(TRIM(CLEAN(SUBSTITUTE(act_Country&amp;""," "," ")))),"Y","N"))</f>
        <v/>
      </c>
      <c r="G59" s="10">
        <f>IF($A59="","",IF($AM59&gt;0,"Y","N"))</f>
        <v/>
      </c>
      <c r="H59" s="10">
        <f>IF($A59="","",IF(SUMPRODUCT((excl_HTS&lt;&gt;"")*(LEFT($C59,LEN(excl_HTS))=excl_HTS))&gt;0,"Y","N"))</f>
        <v/>
      </c>
      <c r="I59" s="10">
        <f>IF($A59="","",IF($E59="","N",IF(SUMPRODUCT(--(UPPER(TRIM(CLEAN(SUBSTITUTE(scope_COO&amp;""," "," "))))=$E59))&gt;0,"Y","N")))</f>
        <v/>
      </c>
      <c r="J59" s="10">
        <f>IF($A59="","",IF(AND(UPPER(TRIM(CLEAN(SUBSTITUTE(act_USMCAExempt&amp;""," "," "))))="Y",UPPER(TRIM(CLEAN(SUBSTITUTE(Items!F59&amp;""," "," "))))="Y"),"Y","N"))</f>
        <v/>
      </c>
      <c r="K59" s="10">
        <f>IF($A59="","",IF($AQ59=0,"",UPPER(TRIM(CLEAN(SUBSTITUTE(INDEX(det_Status,$AQ59)&amp;""," "," "))))))</f>
        <v/>
      </c>
      <c r="L59" s="10">
        <f>IF($A59="","",IF($F59="N","N",IF($K59="IN","Y",IF($K59="OUT","N",IF(AND($G59="Y",$H59="N",$I59="Y",$J59="N"),"Y","N")))))</f>
        <v/>
      </c>
      <c r="M59" s="10">
        <f>IF($A59="","",IF($F59="N","Out: different import country",IF($K59="IN","In: Research determination",IF($K59="OUT","Out: Research determination",IF($G59="N","Out: HTS not on scope list",IF($H59="Y","Out: HTS on exclusion list",IF($I59="N","Out: origin not on scope list",IF($J59="Y","Out: USMCA-qualifying, exempt","In: matches scope rules"))))))))</f>
        <v/>
      </c>
      <c r="N59" s="10">
        <f>IF(OR($A59="",$AM59=0),"",UPPER(TRIM(CLEAN(SUBSTITUTE(INDEX(scope_Group,MOD($AM59,1000))&amp;""," "," ")))))</f>
        <v/>
      </c>
      <c r="O59" s="10">
        <f>IF($L59&lt;&gt;"Y","",IF($AO59=0,"Default (B15)",UPPER(TRIM(CLEAN(SUBSTITUTE(INDEX(rate_ID,MOD($AO59,100))&amp;""," "," "))))))</f>
        <v/>
      </c>
      <c r="P59" s="10">
        <f>IF($L59&lt;&gt;"Y","",IF($AO59=0,IF(UPPER(TRIM(CLEAN(SUBSTITUTE(act_DefaultBase&amp;""," "," "))))="PART","PART","FULL"),IF(UPPER(TRIM(CLEAN(SUBSTITUTE(INDEX(rate_Base,MOD($AO59,100))&amp;""," "," "))))="PART","PART","FULL")))</f>
        <v/>
      </c>
      <c r="Q59" s="17">
        <f>IF($A59="","",N(Items!J59))</f>
        <v/>
      </c>
      <c r="R59" s="17">
        <f>IF($A59="","",IF($L59&lt;&gt;"Y",0,IF($AO59=0,N(act_Rate),N(INDEX(rate_Rate,MOD($AO59,100))))))</f>
        <v/>
      </c>
      <c r="S59" s="17">
        <f>IF($A59="","",IF($L59&lt;&gt;"Y",0,IF($AO59=0,IF(UPPER(TRIM(CLEAN(SUBSTITUTE(act_RateType&amp;""," "," "))))="REPLACE",N(act_PriorRate),0),IF(ISNUMBER(INDEX(rate_Prior,MOD($AO59,100))),INDEX(rate_Prior,MOD($AO59,100)),IF(UPPER(TRIM(CLEAN(SUBSTITUTE(act_RateType&amp;""," "," "))))="REPLACE",N(act_PriorRate),0)))))</f>
        <v/>
      </c>
      <c r="T59" s="17">
        <f>IF($A59="","",IF(AND($L59="Y",$P59="PART",ISNUMBER(Items!M59)),Items!M59,1))</f>
        <v/>
      </c>
      <c r="U59" s="17">
        <f>IF($A59="","",IF($L59&lt;&gt;"Y",0,IF($AQ59&gt;0,IF(ISNUMBER(INDEX(det_Displaced,$AQ59)),INDEX(det_Displaced,$AQ59),IF($AO59=0,0,N(INDEX(rate_Displaced,MOD($AO59,100))))),IF($AO59=0,0,N(INDEX(rate_Displaced,MOD($AO59,100)))))))</f>
        <v/>
      </c>
      <c r="V59" s="17">
        <f>IF($A59="","",IF($L59="Y",$Q59+$T59*($R59-$S59)-$U59,$Q59))</f>
        <v/>
      </c>
      <c r="W59" s="18">
        <f>IF($A59="","",N(Items!H59)*$Q59)</f>
        <v/>
      </c>
      <c r="X59" s="18">
        <f>IF($A59="","",N(Items!H59)*$V59)</f>
        <v/>
      </c>
      <c r="Y59" s="18">
        <f>IF($A59="","",$X59-$W59)</f>
        <v/>
      </c>
      <c r="Z59" s="18">
        <f>IF($A59="","",N(Items!K59)+$Y59)</f>
        <v/>
      </c>
      <c r="AA59" s="17">
        <f>IF($A59="","",IF(N(Items!L59)=0,"",(N(Items!L59)-N(Items!K59))/N(Items!L59)))</f>
        <v/>
      </c>
      <c r="AB59" s="17">
        <f>IF($A59="","",IF(N(Items!L59)=0,"",(N(Items!L59)-$Z59)/N(Items!L59)))</f>
        <v/>
      </c>
      <c r="AC59" s="17">
        <f>IF(OR($AA59="",$AB59=""),"",$AB59-$AA59)</f>
        <v/>
      </c>
      <c r="AD59" s="13">
        <f>IF($A59="","",N(Items!I59))</f>
        <v/>
      </c>
      <c r="AE59" s="19">
        <f>IF($A59="","",$Y59*$AD59)</f>
        <v/>
      </c>
      <c r="AF59" s="10">
        <f>IF($A59="","",IF(N(Items!L59)&gt;0,"Y","N"))</f>
        <v/>
      </c>
      <c r="AG59" s="19">
        <f>IF($A59="","",IF($AF59="Y",N(Items!L59)*$AD59,0))</f>
        <v/>
      </c>
      <c r="AH59" s="19">
        <f>IF($A59="","",IF($AF59="Y",(N(Items!L59)-N(Items!K59))*$AD59,0))</f>
        <v/>
      </c>
      <c r="AI59" s="19">
        <f>IF($A59="","",IF($AF59="Y",$AH59-$AE59,0))</f>
        <v/>
      </c>
      <c r="AJ59" s="10">
        <f>IF($A59="","",IF(COUNTIF($AL$5:$AL$254,$AL59)&gt;1,"CHECK: duplicate item and import country",IF(TRIM(CLEAN(SUBSTITUTE(Items!C59&amp;""," "," ")))="","CHECK: import country missing",IF(AND(UPPER(TRIM(CLEAN(SUBSTITUTE(Items!C59&amp;""," "," "))))&lt;&gt;"US",UPPER(TRIM(CLEAN(SUBSTITUTE(Items!C59&amp;""," "," "))))&lt;&gt;"CA",UPPER(TRIM(CLEAN(SUBSTITUTE(Items!C59&amp;""," "," "))))&lt;&gt;"MX"),"CHECK: import country must be US, CA or MX",IF(NOT(AND(LEN($C59)=10,IFERROR(TEXT(VALUE($C59),REPT("0",LEN($C59)))=$C59,FALSE))),"CHECK: HTS must be 10 digits",IF(LEN($E59)&lt;&gt;2,"CHECK: origin code missing or not 2 letters",IF(TRIM(CLEAN(SUBSTITUTE(Items!G59&amp;""," "," ")))="","CHECK: unit of measure missing",IF(OR(Items!H59="",Items!J59="",Items!K59=""),"CHECK: value, rate or cost missing",IF(OR(NOT(ISNUMBER(Items!H59)),NOT(ISNUMBER(Items!J59)),NOT(ISNUMBER(Items!K59)),AND(Items!I59&lt;&gt;"",NOT(ISNUMBER(Items!I59))),AND(Items!L59&lt;&gt;"",NOT(ISNUMBER(Items!L59))),AND(Items!M59&lt;&gt;"",NOT(ISNUMBER(Items!M59)))),"CHECK: text in a number column",IF(AND(ISNUMBER(Items!M59),OR(N(Items!M59)&lt;0,N(Items!M59)&gt;1)),"CHECK: dutiable share must be 0% to 100%",IF(AND(UPPER(TRIM(CLEAN(SUBSTITUTE(Items!F59&amp;""," "," "))))&lt;&gt;"",UPPER(TRIM(CLEAN(SUBSTITUTE(Items!F59&amp;""," "," "))))&lt;&gt;"Y",UPPER(TRIM(CLEAN(SUBSTITUTE(Items!F59&amp;""," "," "))))&lt;&gt;"N"),"CHECK: USMCA flag must be Y, N or blank",IF(AND(UPPER(TRIM(CLEAN(SUBSTITUTE(Items!F59&amp;""," "," "))))="Y",$E59&lt;&gt;"US",$E59&lt;&gt;"CA",$E59&lt;&gt;"MX"),"CHECK: USMCA flag on an origin other than US, CA or MX",IF(AND($L59="Y",$AO59=0,NOT(ISNUMBER(act_Rate))),"CHECK: in scope but no rate (add a rate line or B15)",IF(AND($L59="Y",UPPER(TRIM(CLEAN(SUBSTITUTE(act_RateType&amp;""," "," "))))="REPLACE",NOT(ISNUMBER(act_PriorRate)),IF($AO59=0,TRUE,NOT(ISNUMBER(INDEX(rate_Prior,MOD($AO59,100)))))),"CHECK: REPLACE but no earlier rate (B17 or the rate line's AD)",IF(AND($L59="Y",$AP59&gt;1),"CHECK: two rate lines match equally",IF(AND($L59="Y",$AN59&gt;1),"CHECK: HTS prefix listed twice on the scope list",IF(AND($L59="Y",$P59="PART",NOT(ISNUMBER(Items!M59))),"CHECK: dutiable share missing (PART base)",IF(AND($L59="Y",$P59="FULL",ISNUMBER(Items!M59),N(Items!M59)&lt;&gt;1),"CHECK: dutiable share entered, but the rate taxes the full value",IF(AND($L59="Y",$Q59+0.0000001&lt;$T59*$S59+$U59),"CHECK: current rate is below the duty being replaced or displaced",IF(AND($L59="Y",$AD59=0),"NOTE: in scope, no quantity",IF(AND($L59="Y",$AF59="N"),"NOTE: in scope, no sell price (left out of margin %)",IF(AND($L59="Y",N(Items!H59)&gt;N(Items!K59)),"NOTE: customs value above standard cost (check unit of measure)",IF(AND($L59="Y",$Q59&gt;1),"NOTE: current rate above 100% (check it was entered as a percentage)","OK")))))))))))))))))))))))</f>
        <v/>
      </c>
      <c r="AK59" s="20">
        <f>IF($A59="","",IF(AND($L59="Y",$AE59&lt;&gt;0),ABS($AE59)+ROW()/1000000000,""))</f>
        <v/>
      </c>
      <c r="AL59" s="10">
        <f>IF($A59="","",UPPER($A59)&amp;"/"&amp;UPPER(TRIM(CLEAN(SUBSTITUTE(Items!C59&amp;""," "," ")))))</f>
        <v/>
      </c>
      <c r="AM59" s="13">
        <f>IF($A59="",0,SUMPRODUCT(MAX((scope_HTS&lt;&gt;"")*(LEFT($C59,LEN(scope_HTS))=scope_HTS)*(LEN(scope_HTS)*1000+ROW(scope_HTS)-4))))</f>
        <v/>
      </c>
      <c r="AN59" s="13">
        <f>IF($AM59=0,0,SUMPRODUCT((scope_HTS&lt;&gt;"")*(LEFT($C59,LEN(scope_HTS))=scope_HTS)*(LEN(scope_HTS)=INT($AM59/1000))))</f>
        <v/>
      </c>
      <c r="AO59" s="13">
        <f>IF($L59&lt;&gt;"Y",0,SUMPRODUCT(MAX(ISNUMBER(rate_Rate)*((UPPER(TRIM(CLEAN(SUBSTITUTE(rate_Group&amp;""," "," "))))="")+(UPPER(TRIM(CLEAN(SUBSTITUTE(rate_Group&amp;""," "," "))))=$N59)&gt;0)*((UPPER(TRIM(CLEAN(SUBSTITUTE(rate_COO&amp;""," "," "))))="")+(UPPER(TRIM(CLEAN(SUBSTITUTE(rate_COO&amp;""," "," "))))=$E59)&gt;0)*((UPPER(TRIM(CLEAN(SUBSTITUTE(rate_USMCA&amp;""," "," "))))="")+(UPPER(TRIM(CLEAN(SUBSTITUTE(rate_USMCA&amp;""," "," "))))=IF(UPPER(TRIM(CLEAN(SUBSTITUTE(Items!F59&amp;""," "," "))))="Y","Y","N"))&gt;0)*((1+(UPPER(TRIM(CLEAN(SUBSTITUTE(rate_Group&amp;""," "," "))))&lt;&gt;"")+2*(UPPER(TRIM(CLEAN(SUBSTITUTE(rate_USMCA&amp;""," "," "))))&lt;&gt;"")+4*(UPPER(TRIM(CLEAN(SUBSTITUTE(rate_COO&amp;""," "," "))))&lt;&gt;""))*100+ROW(rate_Rate)-4))))</f>
        <v/>
      </c>
      <c r="AP59" s="13">
        <f>IF($AO59=0,0,SUMPRODUCT(ISNUMBER(rate_Rate)*((UPPER(TRIM(CLEAN(SUBSTITUTE(rate_Group&amp;""," "," "))))="")+(UPPER(TRIM(CLEAN(SUBSTITUTE(rate_Group&amp;""," "," "))))=$N59)&gt;0)*((UPPER(TRIM(CLEAN(SUBSTITUTE(rate_COO&amp;""," "," "))))="")+(UPPER(TRIM(CLEAN(SUBSTITUTE(rate_COO&amp;""," "," "))))=$E59)&gt;0)*((UPPER(TRIM(CLEAN(SUBSTITUTE(rate_USMCA&amp;""," "," "))))="")+(UPPER(TRIM(CLEAN(SUBSTITUTE(rate_USMCA&amp;""," "," "))))=IF(UPPER(TRIM(CLEAN(SUBSTITUTE(Items!F59&amp;""," "," "))))="Y","Y","N"))&gt;0)*((1+(UPPER(TRIM(CLEAN(SUBSTITUTE(rate_Group&amp;""," "," "))))&lt;&gt;"")+2*(UPPER(TRIM(CLEAN(SUBSTITUTE(rate_USMCA&amp;""," "," "))))&lt;&gt;"")+4*(UPPER(TRIM(CLEAN(SUBSTITUTE(rate_COO&amp;""," "," "))))&lt;&gt;""))=INT($AO59/100))))</f>
        <v/>
      </c>
      <c r="AQ59" s="13">
        <f>IF($A59="",0,IFERROR(MATCH($AL59,det_Key,0),0))</f>
        <v/>
      </c>
    </row>
    <row r="60">
      <c r="A60" s="10">
        <f>IF(TRIM(CLEAN(SUBSTITUTE(Items!A60&amp;""," "," ")))="","",TRIM(CLEAN(SUBSTITUTE(Items!A60&amp;""," "," "))))</f>
        <v/>
      </c>
      <c r="B60" s="10">
        <f>IF($A60="","",Items!B60&amp;"")</f>
        <v/>
      </c>
      <c r="C60" s="10">
        <f>IF($A60="","",SUBSTITUTE(SUBSTITUTE(SUBSTITUTE(SUBSTITUTE(CLEAN(Items!D60&amp;"")," ",""),".","")," ",""),"-",""))</f>
        <v/>
      </c>
      <c r="D60" s="10">
        <f>IF($A60="","",LEFT($C60,2))</f>
        <v/>
      </c>
      <c r="E60" s="10">
        <f>IF($A60="","",UPPER(TRIM(CLEAN(SUBSTITUTE(Items!E60&amp;""," "," ")))))</f>
        <v/>
      </c>
      <c r="F60" s="10">
        <f>IF($A60="","",IF(UPPER(TRIM(CLEAN(SUBSTITUTE(Items!C60&amp;""," "," "))))=UPPER(TRIM(CLEAN(SUBSTITUTE(act_Country&amp;""," "," ")))),"Y","N"))</f>
        <v/>
      </c>
      <c r="G60" s="10">
        <f>IF($A60="","",IF($AM60&gt;0,"Y","N"))</f>
        <v/>
      </c>
      <c r="H60" s="10">
        <f>IF($A60="","",IF(SUMPRODUCT((excl_HTS&lt;&gt;"")*(LEFT($C60,LEN(excl_HTS))=excl_HTS))&gt;0,"Y","N"))</f>
        <v/>
      </c>
      <c r="I60" s="10">
        <f>IF($A60="","",IF($E60="","N",IF(SUMPRODUCT(--(UPPER(TRIM(CLEAN(SUBSTITUTE(scope_COO&amp;""," "," "))))=$E60))&gt;0,"Y","N")))</f>
        <v/>
      </c>
      <c r="J60" s="10">
        <f>IF($A60="","",IF(AND(UPPER(TRIM(CLEAN(SUBSTITUTE(act_USMCAExempt&amp;""," "," "))))="Y",UPPER(TRIM(CLEAN(SUBSTITUTE(Items!F60&amp;""," "," "))))="Y"),"Y","N"))</f>
        <v/>
      </c>
      <c r="K60" s="10">
        <f>IF($A60="","",IF($AQ60=0,"",UPPER(TRIM(CLEAN(SUBSTITUTE(INDEX(det_Status,$AQ60)&amp;""," "," "))))))</f>
        <v/>
      </c>
      <c r="L60" s="10">
        <f>IF($A60="","",IF($F60="N","N",IF($K60="IN","Y",IF($K60="OUT","N",IF(AND($G60="Y",$H60="N",$I60="Y",$J60="N"),"Y","N")))))</f>
        <v/>
      </c>
      <c r="M60" s="10">
        <f>IF($A60="","",IF($F60="N","Out: different import country",IF($K60="IN","In: Research determination",IF($K60="OUT","Out: Research determination",IF($G60="N","Out: HTS not on scope list",IF($H60="Y","Out: HTS on exclusion list",IF($I60="N","Out: origin not on scope list",IF($J60="Y","Out: USMCA-qualifying, exempt","In: matches scope rules"))))))))</f>
        <v/>
      </c>
      <c r="N60" s="10">
        <f>IF(OR($A60="",$AM60=0),"",UPPER(TRIM(CLEAN(SUBSTITUTE(INDEX(scope_Group,MOD($AM60,1000))&amp;""," "," ")))))</f>
        <v/>
      </c>
      <c r="O60" s="10">
        <f>IF($L60&lt;&gt;"Y","",IF($AO60=0,"Default (B15)",UPPER(TRIM(CLEAN(SUBSTITUTE(INDEX(rate_ID,MOD($AO60,100))&amp;""," "," "))))))</f>
        <v/>
      </c>
      <c r="P60" s="10">
        <f>IF($L60&lt;&gt;"Y","",IF($AO60=0,IF(UPPER(TRIM(CLEAN(SUBSTITUTE(act_DefaultBase&amp;""," "," "))))="PART","PART","FULL"),IF(UPPER(TRIM(CLEAN(SUBSTITUTE(INDEX(rate_Base,MOD($AO60,100))&amp;""," "," "))))="PART","PART","FULL")))</f>
        <v/>
      </c>
      <c r="Q60" s="17">
        <f>IF($A60="","",N(Items!J60))</f>
        <v/>
      </c>
      <c r="R60" s="17">
        <f>IF($A60="","",IF($L60&lt;&gt;"Y",0,IF($AO60=0,N(act_Rate),N(INDEX(rate_Rate,MOD($AO60,100))))))</f>
        <v/>
      </c>
      <c r="S60" s="17">
        <f>IF($A60="","",IF($L60&lt;&gt;"Y",0,IF($AO60=0,IF(UPPER(TRIM(CLEAN(SUBSTITUTE(act_RateType&amp;""," "," "))))="REPLACE",N(act_PriorRate),0),IF(ISNUMBER(INDEX(rate_Prior,MOD($AO60,100))),INDEX(rate_Prior,MOD($AO60,100)),IF(UPPER(TRIM(CLEAN(SUBSTITUTE(act_RateType&amp;""," "," "))))="REPLACE",N(act_PriorRate),0)))))</f>
        <v/>
      </c>
      <c r="T60" s="17">
        <f>IF($A60="","",IF(AND($L60="Y",$P60="PART",ISNUMBER(Items!M60)),Items!M60,1))</f>
        <v/>
      </c>
      <c r="U60" s="17">
        <f>IF($A60="","",IF($L60&lt;&gt;"Y",0,IF($AQ60&gt;0,IF(ISNUMBER(INDEX(det_Displaced,$AQ60)),INDEX(det_Displaced,$AQ60),IF($AO60=0,0,N(INDEX(rate_Displaced,MOD($AO60,100))))),IF($AO60=0,0,N(INDEX(rate_Displaced,MOD($AO60,100)))))))</f>
        <v/>
      </c>
      <c r="V60" s="17">
        <f>IF($A60="","",IF($L60="Y",$Q60+$T60*($R60-$S60)-$U60,$Q60))</f>
        <v/>
      </c>
      <c r="W60" s="18">
        <f>IF($A60="","",N(Items!H60)*$Q60)</f>
        <v/>
      </c>
      <c r="X60" s="18">
        <f>IF($A60="","",N(Items!H60)*$V60)</f>
        <v/>
      </c>
      <c r="Y60" s="18">
        <f>IF($A60="","",$X60-$W60)</f>
        <v/>
      </c>
      <c r="Z60" s="18">
        <f>IF($A60="","",N(Items!K60)+$Y60)</f>
        <v/>
      </c>
      <c r="AA60" s="17">
        <f>IF($A60="","",IF(N(Items!L60)=0,"",(N(Items!L60)-N(Items!K60))/N(Items!L60)))</f>
        <v/>
      </c>
      <c r="AB60" s="17">
        <f>IF($A60="","",IF(N(Items!L60)=0,"",(N(Items!L60)-$Z60)/N(Items!L60)))</f>
        <v/>
      </c>
      <c r="AC60" s="17">
        <f>IF(OR($AA60="",$AB60=""),"",$AB60-$AA60)</f>
        <v/>
      </c>
      <c r="AD60" s="13">
        <f>IF($A60="","",N(Items!I60))</f>
        <v/>
      </c>
      <c r="AE60" s="19">
        <f>IF($A60="","",$Y60*$AD60)</f>
        <v/>
      </c>
      <c r="AF60" s="10">
        <f>IF($A60="","",IF(N(Items!L60)&gt;0,"Y","N"))</f>
        <v/>
      </c>
      <c r="AG60" s="19">
        <f>IF($A60="","",IF($AF60="Y",N(Items!L60)*$AD60,0))</f>
        <v/>
      </c>
      <c r="AH60" s="19">
        <f>IF($A60="","",IF($AF60="Y",(N(Items!L60)-N(Items!K60))*$AD60,0))</f>
        <v/>
      </c>
      <c r="AI60" s="19">
        <f>IF($A60="","",IF($AF60="Y",$AH60-$AE60,0))</f>
        <v/>
      </c>
      <c r="AJ60" s="10">
        <f>IF($A60="","",IF(COUNTIF($AL$5:$AL$254,$AL60)&gt;1,"CHECK: duplicate item and import country",IF(TRIM(CLEAN(SUBSTITUTE(Items!C60&amp;""," "," ")))="","CHECK: import country missing",IF(AND(UPPER(TRIM(CLEAN(SUBSTITUTE(Items!C60&amp;""," "," "))))&lt;&gt;"US",UPPER(TRIM(CLEAN(SUBSTITUTE(Items!C60&amp;""," "," "))))&lt;&gt;"CA",UPPER(TRIM(CLEAN(SUBSTITUTE(Items!C60&amp;""," "," "))))&lt;&gt;"MX"),"CHECK: import country must be US, CA or MX",IF(NOT(AND(LEN($C60)=10,IFERROR(TEXT(VALUE($C60),REPT("0",LEN($C60)))=$C60,FALSE))),"CHECK: HTS must be 10 digits",IF(LEN($E60)&lt;&gt;2,"CHECK: origin code missing or not 2 letters",IF(TRIM(CLEAN(SUBSTITUTE(Items!G60&amp;""," "," ")))="","CHECK: unit of measure missing",IF(OR(Items!H60="",Items!J60="",Items!K60=""),"CHECK: value, rate or cost missing",IF(OR(NOT(ISNUMBER(Items!H60)),NOT(ISNUMBER(Items!J60)),NOT(ISNUMBER(Items!K60)),AND(Items!I60&lt;&gt;"",NOT(ISNUMBER(Items!I60))),AND(Items!L60&lt;&gt;"",NOT(ISNUMBER(Items!L60))),AND(Items!M60&lt;&gt;"",NOT(ISNUMBER(Items!M60)))),"CHECK: text in a number column",IF(AND(ISNUMBER(Items!M60),OR(N(Items!M60)&lt;0,N(Items!M60)&gt;1)),"CHECK: dutiable share must be 0% to 100%",IF(AND(UPPER(TRIM(CLEAN(SUBSTITUTE(Items!F60&amp;""," "," "))))&lt;&gt;"",UPPER(TRIM(CLEAN(SUBSTITUTE(Items!F60&amp;""," "," "))))&lt;&gt;"Y",UPPER(TRIM(CLEAN(SUBSTITUTE(Items!F60&amp;""," "," "))))&lt;&gt;"N"),"CHECK: USMCA flag must be Y, N or blank",IF(AND(UPPER(TRIM(CLEAN(SUBSTITUTE(Items!F60&amp;""," "," "))))="Y",$E60&lt;&gt;"US",$E60&lt;&gt;"CA",$E60&lt;&gt;"MX"),"CHECK: USMCA flag on an origin other than US, CA or MX",IF(AND($L60="Y",$AO60=0,NOT(ISNUMBER(act_Rate))),"CHECK: in scope but no rate (add a rate line or B15)",IF(AND($L60="Y",UPPER(TRIM(CLEAN(SUBSTITUTE(act_RateType&amp;""," "," "))))="REPLACE",NOT(ISNUMBER(act_PriorRate)),IF($AO60=0,TRUE,NOT(ISNUMBER(INDEX(rate_Prior,MOD($AO60,100)))))),"CHECK: REPLACE but no earlier rate (B17 or the rate line's AD)",IF(AND($L60="Y",$AP60&gt;1),"CHECK: two rate lines match equally",IF(AND($L60="Y",$AN60&gt;1),"CHECK: HTS prefix listed twice on the scope list",IF(AND($L60="Y",$P60="PART",NOT(ISNUMBER(Items!M60))),"CHECK: dutiable share missing (PART base)",IF(AND($L60="Y",$P60="FULL",ISNUMBER(Items!M60),N(Items!M60)&lt;&gt;1),"CHECK: dutiable share entered, but the rate taxes the full value",IF(AND($L60="Y",$Q60+0.0000001&lt;$T60*$S60+$U60),"CHECK: current rate is below the duty being replaced or displaced",IF(AND($L60="Y",$AD60=0),"NOTE: in scope, no quantity",IF(AND($L60="Y",$AF60="N"),"NOTE: in scope, no sell price (left out of margin %)",IF(AND($L60="Y",N(Items!H60)&gt;N(Items!K60)),"NOTE: customs value above standard cost (check unit of measure)",IF(AND($L60="Y",$Q60&gt;1),"NOTE: current rate above 100% (check it was entered as a percentage)","OK")))))))))))))))))))))))</f>
        <v/>
      </c>
      <c r="AK60" s="20">
        <f>IF($A60="","",IF(AND($L60="Y",$AE60&lt;&gt;0),ABS($AE60)+ROW()/1000000000,""))</f>
        <v/>
      </c>
      <c r="AL60" s="10">
        <f>IF($A60="","",UPPER($A60)&amp;"/"&amp;UPPER(TRIM(CLEAN(SUBSTITUTE(Items!C60&amp;""," "," ")))))</f>
        <v/>
      </c>
      <c r="AM60" s="13">
        <f>IF($A60="",0,SUMPRODUCT(MAX((scope_HTS&lt;&gt;"")*(LEFT($C60,LEN(scope_HTS))=scope_HTS)*(LEN(scope_HTS)*1000+ROW(scope_HTS)-4))))</f>
        <v/>
      </c>
      <c r="AN60" s="13">
        <f>IF($AM60=0,0,SUMPRODUCT((scope_HTS&lt;&gt;"")*(LEFT($C60,LEN(scope_HTS))=scope_HTS)*(LEN(scope_HTS)=INT($AM60/1000))))</f>
        <v/>
      </c>
      <c r="AO60" s="13">
        <f>IF($L60&lt;&gt;"Y",0,SUMPRODUCT(MAX(ISNUMBER(rate_Rate)*((UPPER(TRIM(CLEAN(SUBSTITUTE(rate_Group&amp;""," "," "))))="")+(UPPER(TRIM(CLEAN(SUBSTITUTE(rate_Group&amp;""," "," "))))=$N60)&gt;0)*((UPPER(TRIM(CLEAN(SUBSTITUTE(rate_COO&amp;""," "," "))))="")+(UPPER(TRIM(CLEAN(SUBSTITUTE(rate_COO&amp;""," "," "))))=$E60)&gt;0)*((UPPER(TRIM(CLEAN(SUBSTITUTE(rate_USMCA&amp;""," "," "))))="")+(UPPER(TRIM(CLEAN(SUBSTITUTE(rate_USMCA&amp;""," "," "))))=IF(UPPER(TRIM(CLEAN(SUBSTITUTE(Items!F60&amp;""," "," "))))="Y","Y","N"))&gt;0)*((1+(UPPER(TRIM(CLEAN(SUBSTITUTE(rate_Group&amp;""," "," "))))&lt;&gt;"")+2*(UPPER(TRIM(CLEAN(SUBSTITUTE(rate_USMCA&amp;""," "," "))))&lt;&gt;"")+4*(UPPER(TRIM(CLEAN(SUBSTITUTE(rate_COO&amp;""," "," "))))&lt;&gt;""))*100+ROW(rate_Rate)-4))))</f>
        <v/>
      </c>
      <c r="AP60" s="13">
        <f>IF($AO60=0,0,SUMPRODUCT(ISNUMBER(rate_Rate)*((UPPER(TRIM(CLEAN(SUBSTITUTE(rate_Group&amp;""," "," "))))="")+(UPPER(TRIM(CLEAN(SUBSTITUTE(rate_Group&amp;""," "," "))))=$N60)&gt;0)*((UPPER(TRIM(CLEAN(SUBSTITUTE(rate_COO&amp;""," "," "))))="")+(UPPER(TRIM(CLEAN(SUBSTITUTE(rate_COO&amp;""," "," "))))=$E60)&gt;0)*((UPPER(TRIM(CLEAN(SUBSTITUTE(rate_USMCA&amp;""," "," "))))="")+(UPPER(TRIM(CLEAN(SUBSTITUTE(rate_USMCA&amp;""," "," "))))=IF(UPPER(TRIM(CLEAN(SUBSTITUTE(Items!F60&amp;""," "," "))))="Y","Y","N"))&gt;0)*((1+(UPPER(TRIM(CLEAN(SUBSTITUTE(rate_Group&amp;""," "," "))))&lt;&gt;"")+2*(UPPER(TRIM(CLEAN(SUBSTITUTE(rate_USMCA&amp;""," "," "))))&lt;&gt;"")+4*(UPPER(TRIM(CLEAN(SUBSTITUTE(rate_COO&amp;""," "," "))))&lt;&gt;""))=INT($AO60/100))))</f>
        <v/>
      </c>
      <c r="AQ60" s="13">
        <f>IF($A60="",0,IFERROR(MATCH($AL60,det_Key,0),0))</f>
        <v/>
      </c>
    </row>
    <row r="61">
      <c r="A61" s="10">
        <f>IF(TRIM(CLEAN(SUBSTITUTE(Items!A61&amp;""," "," ")))="","",TRIM(CLEAN(SUBSTITUTE(Items!A61&amp;""," "," "))))</f>
        <v/>
      </c>
      <c r="B61" s="10">
        <f>IF($A61="","",Items!B61&amp;"")</f>
        <v/>
      </c>
      <c r="C61" s="10">
        <f>IF($A61="","",SUBSTITUTE(SUBSTITUTE(SUBSTITUTE(SUBSTITUTE(CLEAN(Items!D61&amp;"")," ",""),".","")," ",""),"-",""))</f>
        <v/>
      </c>
      <c r="D61" s="10">
        <f>IF($A61="","",LEFT($C61,2))</f>
        <v/>
      </c>
      <c r="E61" s="10">
        <f>IF($A61="","",UPPER(TRIM(CLEAN(SUBSTITUTE(Items!E61&amp;""," "," ")))))</f>
        <v/>
      </c>
      <c r="F61" s="10">
        <f>IF($A61="","",IF(UPPER(TRIM(CLEAN(SUBSTITUTE(Items!C61&amp;""," "," "))))=UPPER(TRIM(CLEAN(SUBSTITUTE(act_Country&amp;""," "," ")))),"Y","N"))</f>
        <v/>
      </c>
      <c r="G61" s="10">
        <f>IF($A61="","",IF($AM61&gt;0,"Y","N"))</f>
        <v/>
      </c>
      <c r="H61" s="10">
        <f>IF($A61="","",IF(SUMPRODUCT((excl_HTS&lt;&gt;"")*(LEFT($C61,LEN(excl_HTS))=excl_HTS))&gt;0,"Y","N"))</f>
        <v/>
      </c>
      <c r="I61" s="10">
        <f>IF($A61="","",IF($E61="","N",IF(SUMPRODUCT(--(UPPER(TRIM(CLEAN(SUBSTITUTE(scope_COO&amp;""," "," "))))=$E61))&gt;0,"Y","N")))</f>
        <v/>
      </c>
      <c r="J61" s="10">
        <f>IF($A61="","",IF(AND(UPPER(TRIM(CLEAN(SUBSTITUTE(act_USMCAExempt&amp;""," "," "))))="Y",UPPER(TRIM(CLEAN(SUBSTITUTE(Items!F61&amp;""," "," "))))="Y"),"Y","N"))</f>
        <v/>
      </c>
      <c r="K61" s="10">
        <f>IF($A61="","",IF($AQ61=0,"",UPPER(TRIM(CLEAN(SUBSTITUTE(INDEX(det_Status,$AQ61)&amp;""," "," "))))))</f>
        <v/>
      </c>
      <c r="L61" s="10">
        <f>IF($A61="","",IF($F61="N","N",IF($K61="IN","Y",IF($K61="OUT","N",IF(AND($G61="Y",$H61="N",$I61="Y",$J61="N"),"Y","N")))))</f>
        <v/>
      </c>
      <c r="M61" s="10">
        <f>IF($A61="","",IF($F61="N","Out: different import country",IF($K61="IN","In: Research determination",IF($K61="OUT","Out: Research determination",IF($G61="N","Out: HTS not on scope list",IF($H61="Y","Out: HTS on exclusion list",IF($I61="N","Out: origin not on scope list",IF($J61="Y","Out: USMCA-qualifying, exempt","In: matches scope rules"))))))))</f>
        <v/>
      </c>
      <c r="N61" s="10">
        <f>IF(OR($A61="",$AM61=0),"",UPPER(TRIM(CLEAN(SUBSTITUTE(INDEX(scope_Group,MOD($AM61,1000))&amp;""," "," ")))))</f>
        <v/>
      </c>
      <c r="O61" s="10">
        <f>IF($L61&lt;&gt;"Y","",IF($AO61=0,"Default (B15)",UPPER(TRIM(CLEAN(SUBSTITUTE(INDEX(rate_ID,MOD($AO61,100))&amp;""," "," "))))))</f>
        <v/>
      </c>
      <c r="P61" s="10">
        <f>IF($L61&lt;&gt;"Y","",IF($AO61=0,IF(UPPER(TRIM(CLEAN(SUBSTITUTE(act_DefaultBase&amp;""," "," "))))="PART","PART","FULL"),IF(UPPER(TRIM(CLEAN(SUBSTITUTE(INDEX(rate_Base,MOD($AO61,100))&amp;""," "," "))))="PART","PART","FULL")))</f>
        <v/>
      </c>
      <c r="Q61" s="17">
        <f>IF($A61="","",N(Items!J61))</f>
        <v/>
      </c>
      <c r="R61" s="17">
        <f>IF($A61="","",IF($L61&lt;&gt;"Y",0,IF($AO61=0,N(act_Rate),N(INDEX(rate_Rate,MOD($AO61,100))))))</f>
        <v/>
      </c>
      <c r="S61" s="17">
        <f>IF($A61="","",IF($L61&lt;&gt;"Y",0,IF($AO61=0,IF(UPPER(TRIM(CLEAN(SUBSTITUTE(act_RateType&amp;""," "," "))))="REPLACE",N(act_PriorRate),0),IF(ISNUMBER(INDEX(rate_Prior,MOD($AO61,100))),INDEX(rate_Prior,MOD($AO61,100)),IF(UPPER(TRIM(CLEAN(SUBSTITUTE(act_RateType&amp;""," "," "))))="REPLACE",N(act_PriorRate),0)))))</f>
        <v/>
      </c>
      <c r="T61" s="17">
        <f>IF($A61="","",IF(AND($L61="Y",$P61="PART",ISNUMBER(Items!M61)),Items!M61,1))</f>
        <v/>
      </c>
      <c r="U61" s="17">
        <f>IF($A61="","",IF($L61&lt;&gt;"Y",0,IF($AQ61&gt;0,IF(ISNUMBER(INDEX(det_Displaced,$AQ61)),INDEX(det_Displaced,$AQ61),IF($AO61=0,0,N(INDEX(rate_Displaced,MOD($AO61,100))))),IF($AO61=0,0,N(INDEX(rate_Displaced,MOD($AO61,100)))))))</f>
        <v/>
      </c>
      <c r="V61" s="17">
        <f>IF($A61="","",IF($L61="Y",$Q61+$T61*($R61-$S61)-$U61,$Q61))</f>
        <v/>
      </c>
      <c r="W61" s="18">
        <f>IF($A61="","",N(Items!H61)*$Q61)</f>
        <v/>
      </c>
      <c r="X61" s="18">
        <f>IF($A61="","",N(Items!H61)*$V61)</f>
        <v/>
      </c>
      <c r="Y61" s="18">
        <f>IF($A61="","",$X61-$W61)</f>
        <v/>
      </c>
      <c r="Z61" s="18">
        <f>IF($A61="","",N(Items!K61)+$Y61)</f>
        <v/>
      </c>
      <c r="AA61" s="17">
        <f>IF($A61="","",IF(N(Items!L61)=0,"",(N(Items!L61)-N(Items!K61))/N(Items!L61)))</f>
        <v/>
      </c>
      <c r="AB61" s="17">
        <f>IF($A61="","",IF(N(Items!L61)=0,"",(N(Items!L61)-$Z61)/N(Items!L61)))</f>
        <v/>
      </c>
      <c r="AC61" s="17">
        <f>IF(OR($AA61="",$AB61=""),"",$AB61-$AA61)</f>
        <v/>
      </c>
      <c r="AD61" s="13">
        <f>IF($A61="","",N(Items!I61))</f>
        <v/>
      </c>
      <c r="AE61" s="19">
        <f>IF($A61="","",$Y61*$AD61)</f>
        <v/>
      </c>
      <c r="AF61" s="10">
        <f>IF($A61="","",IF(N(Items!L61)&gt;0,"Y","N"))</f>
        <v/>
      </c>
      <c r="AG61" s="19">
        <f>IF($A61="","",IF($AF61="Y",N(Items!L61)*$AD61,0))</f>
        <v/>
      </c>
      <c r="AH61" s="19">
        <f>IF($A61="","",IF($AF61="Y",(N(Items!L61)-N(Items!K61))*$AD61,0))</f>
        <v/>
      </c>
      <c r="AI61" s="19">
        <f>IF($A61="","",IF($AF61="Y",$AH61-$AE61,0))</f>
        <v/>
      </c>
      <c r="AJ61" s="10">
        <f>IF($A61="","",IF(COUNTIF($AL$5:$AL$254,$AL61)&gt;1,"CHECK: duplicate item and import country",IF(TRIM(CLEAN(SUBSTITUTE(Items!C61&amp;""," "," ")))="","CHECK: import country missing",IF(AND(UPPER(TRIM(CLEAN(SUBSTITUTE(Items!C61&amp;""," "," "))))&lt;&gt;"US",UPPER(TRIM(CLEAN(SUBSTITUTE(Items!C61&amp;""," "," "))))&lt;&gt;"CA",UPPER(TRIM(CLEAN(SUBSTITUTE(Items!C61&amp;""," "," "))))&lt;&gt;"MX"),"CHECK: import country must be US, CA or MX",IF(NOT(AND(LEN($C61)=10,IFERROR(TEXT(VALUE($C61),REPT("0",LEN($C61)))=$C61,FALSE))),"CHECK: HTS must be 10 digits",IF(LEN($E61)&lt;&gt;2,"CHECK: origin code missing or not 2 letters",IF(TRIM(CLEAN(SUBSTITUTE(Items!G61&amp;""," "," ")))="","CHECK: unit of measure missing",IF(OR(Items!H61="",Items!J61="",Items!K61=""),"CHECK: value, rate or cost missing",IF(OR(NOT(ISNUMBER(Items!H61)),NOT(ISNUMBER(Items!J61)),NOT(ISNUMBER(Items!K61)),AND(Items!I61&lt;&gt;"",NOT(ISNUMBER(Items!I61))),AND(Items!L61&lt;&gt;"",NOT(ISNUMBER(Items!L61))),AND(Items!M61&lt;&gt;"",NOT(ISNUMBER(Items!M61)))),"CHECK: text in a number column",IF(AND(ISNUMBER(Items!M61),OR(N(Items!M61)&lt;0,N(Items!M61)&gt;1)),"CHECK: dutiable share must be 0% to 100%",IF(AND(UPPER(TRIM(CLEAN(SUBSTITUTE(Items!F61&amp;""," "," "))))&lt;&gt;"",UPPER(TRIM(CLEAN(SUBSTITUTE(Items!F61&amp;""," "," "))))&lt;&gt;"Y",UPPER(TRIM(CLEAN(SUBSTITUTE(Items!F61&amp;""," "," "))))&lt;&gt;"N"),"CHECK: USMCA flag must be Y, N or blank",IF(AND(UPPER(TRIM(CLEAN(SUBSTITUTE(Items!F61&amp;""," "," "))))="Y",$E61&lt;&gt;"US",$E61&lt;&gt;"CA",$E61&lt;&gt;"MX"),"CHECK: USMCA flag on an origin other than US, CA or MX",IF(AND($L61="Y",$AO61=0,NOT(ISNUMBER(act_Rate))),"CHECK: in scope but no rate (add a rate line or B15)",IF(AND($L61="Y",UPPER(TRIM(CLEAN(SUBSTITUTE(act_RateType&amp;""," "," "))))="REPLACE",NOT(ISNUMBER(act_PriorRate)),IF($AO61=0,TRUE,NOT(ISNUMBER(INDEX(rate_Prior,MOD($AO61,100)))))),"CHECK: REPLACE but no earlier rate (B17 or the rate line's AD)",IF(AND($L61="Y",$AP61&gt;1),"CHECK: two rate lines match equally",IF(AND($L61="Y",$AN61&gt;1),"CHECK: HTS prefix listed twice on the scope list",IF(AND($L61="Y",$P61="PART",NOT(ISNUMBER(Items!M61))),"CHECK: dutiable share missing (PART base)",IF(AND($L61="Y",$P61="FULL",ISNUMBER(Items!M61),N(Items!M61)&lt;&gt;1),"CHECK: dutiable share entered, but the rate taxes the full value",IF(AND($L61="Y",$Q61+0.0000001&lt;$T61*$S61+$U61),"CHECK: current rate is below the duty being replaced or displaced",IF(AND($L61="Y",$AD61=0),"NOTE: in scope, no quantity",IF(AND($L61="Y",$AF61="N"),"NOTE: in scope, no sell price (left out of margin %)",IF(AND($L61="Y",N(Items!H61)&gt;N(Items!K61)),"NOTE: customs value above standard cost (check unit of measure)",IF(AND($L61="Y",$Q61&gt;1),"NOTE: current rate above 100% (check it was entered as a percentage)","OK")))))))))))))))))))))))</f>
        <v/>
      </c>
      <c r="AK61" s="20">
        <f>IF($A61="","",IF(AND($L61="Y",$AE61&lt;&gt;0),ABS($AE61)+ROW()/1000000000,""))</f>
        <v/>
      </c>
      <c r="AL61" s="10">
        <f>IF($A61="","",UPPER($A61)&amp;"/"&amp;UPPER(TRIM(CLEAN(SUBSTITUTE(Items!C61&amp;""," "," ")))))</f>
        <v/>
      </c>
      <c r="AM61" s="13">
        <f>IF($A61="",0,SUMPRODUCT(MAX((scope_HTS&lt;&gt;"")*(LEFT($C61,LEN(scope_HTS))=scope_HTS)*(LEN(scope_HTS)*1000+ROW(scope_HTS)-4))))</f>
        <v/>
      </c>
      <c r="AN61" s="13">
        <f>IF($AM61=0,0,SUMPRODUCT((scope_HTS&lt;&gt;"")*(LEFT($C61,LEN(scope_HTS))=scope_HTS)*(LEN(scope_HTS)=INT($AM61/1000))))</f>
        <v/>
      </c>
      <c r="AO61" s="13">
        <f>IF($L61&lt;&gt;"Y",0,SUMPRODUCT(MAX(ISNUMBER(rate_Rate)*((UPPER(TRIM(CLEAN(SUBSTITUTE(rate_Group&amp;""," "," "))))="")+(UPPER(TRIM(CLEAN(SUBSTITUTE(rate_Group&amp;""," "," "))))=$N61)&gt;0)*((UPPER(TRIM(CLEAN(SUBSTITUTE(rate_COO&amp;""," "," "))))="")+(UPPER(TRIM(CLEAN(SUBSTITUTE(rate_COO&amp;""," "," "))))=$E61)&gt;0)*((UPPER(TRIM(CLEAN(SUBSTITUTE(rate_USMCA&amp;""," "," "))))="")+(UPPER(TRIM(CLEAN(SUBSTITUTE(rate_USMCA&amp;""," "," "))))=IF(UPPER(TRIM(CLEAN(SUBSTITUTE(Items!F61&amp;""," "," "))))="Y","Y","N"))&gt;0)*((1+(UPPER(TRIM(CLEAN(SUBSTITUTE(rate_Group&amp;""," "," "))))&lt;&gt;"")+2*(UPPER(TRIM(CLEAN(SUBSTITUTE(rate_USMCA&amp;""," "," "))))&lt;&gt;"")+4*(UPPER(TRIM(CLEAN(SUBSTITUTE(rate_COO&amp;""," "," "))))&lt;&gt;""))*100+ROW(rate_Rate)-4))))</f>
        <v/>
      </c>
      <c r="AP61" s="13">
        <f>IF($AO61=0,0,SUMPRODUCT(ISNUMBER(rate_Rate)*((UPPER(TRIM(CLEAN(SUBSTITUTE(rate_Group&amp;""," "," "))))="")+(UPPER(TRIM(CLEAN(SUBSTITUTE(rate_Group&amp;""," "," "))))=$N61)&gt;0)*((UPPER(TRIM(CLEAN(SUBSTITUTE(rate_COO&amp;""," "," "))))="")+(UPPER(TRIM(CLEAN(SUBSTITUTE(rate_COO&amp;""," "," "))))=$E61)&gt;0)*((UPPER(TRIM(CLEAN(SUBSTITUTE(rate_USMCA&amp;""," "," "))))="")+(UPPER(TRIM(CLEAN(SUBSTITUTE(rate_USMCA&amp;""," "," "))))=IF(UPPER(TRIM(CLEAN(SUBSTITUTE(Items!F61&amp;""," "," "))))="Y","Y","N"))&gt;0)*((1+(UPPER(TRIM(CLEAN(SUBSTITUTE(rate_Group&amp;""," "," "))))&lt;&gt;"")+2*(UPPER(TRIM(CLEAN(SUBSTITUTE(rate_USMCA&amp;""," "," "))))&lt;&gt;"")+4*(UPPER(TRIM(CLEAN(SUBSTITUTE(rate_COO&amp;""," "," "))))&lt;&gt;""))=INT($AO61/100))))</f>
        <v/>
      </c>
      <c r="AQ61" s="13">
        <f>IF($A61="",0,IFERROR(MATCH($AL61,det_Key,0),0))</f>
        <v/>
      </c>
    </row>
    <row r="62">
      <c r="A62" s="10">
        <f>IF(TRIM(CLEAN(SUBSTITUTE(Items!A62&amp;""," "," ")))="","",TRIM(CLEAN(SUBSTITUTE(Items!A62&amp;""," "," "))))</f>
        <v/>
      </c>
      <c r="B62" s="10">
        <f>IF($A62="","",Items!B62&amp;"")</f>
        <v/>
      </c>
      <c r="C62" s="10">
        <f>IF($A62="","",SUBSTITUTE(SUBSTITUTE(SUBSTITUTE(SUBSTITUTE(CLEAN(Items!D62&amp;"")," ",""),".","")," ",""),"-",""))</f>
        <v/>
      </c>
      <c r="D62" s="10">
        <f>IF($A62="","",LEFT($C62,2))</f>
        <v/>
      </c>
      <c r="E62" s="10">
        <f>IF($A62="","",UPPER(TRIM(CLEAN(SUBSTITUTE(Items!E62&amp;""," "," ")))))</f>
        <v/>
      </c>
      <c r="F62" s="10">
        <f>IF($A62="","",IF(UPPER(TRIM(CLEAN(SUBSTITUTE(Items!C62&amp;""," "," "))))=UPPER(TRIM(CLEAN(SUBSTITUTE(act_Country&amp;""," "," ")))),"Y","N"))</f>
        <v/>
      </c>
      <c r="G62" s="10">
        <f>IF($A62="","",IF($AM62&gt;0,"Y","N"))</f>
        <v/>
      </c>
      <c r="H62" s="10">
        <f>IF($A62="","",IF(SUMPRODUCT((excl_HTS&lt;&gt;"")*(LEFT($C62,LEN(excl_HTS))=excl_HTS))&gt;0,"Y","N"))</f>
        <v/>
      </c>
      <c r="I62" s="10">
        <f>IF($A62="","",IF($E62="","N",IF(SUMPRODUCT(--(UPPER(TRIM(CLEAN(SUBSTITUTE(scope_COO&amp;""," "," "))))=$E62))&gt;0,"Y","N")))</f>
        <v/>
      </c>
      <c r="J62" s="10">
        <f>IF($A62="","",IF(AND(UPPER(TRIM(CLEAN(SUBSTITUTE(act_USMCAExempt&amp;""," "," "))))="Y",UPPER(TRIM(CLEAN(SUBSTITUTE(Items!F62&amp;""," "," "))))="Y"),"Y","N"))</f>
        <v/>
      </c>
      <c r="K62" s="10">
        <f>IF($A62="","",IF($AQ62=0,"",UPPER(TRIM(CLEAN(SUBSTITUTE(INDEX(det_Status,$AQ62)&amp;""," "," "))))))</f>
        <v/>
      </c>
      <c r="L62" s="10">
        <f>IF($A62="","",IF($F62="N","N",IF($K62="IN","Y",IF($K62="OUT","N",IF(AND($G62="Y",$H62="N",$I62="Y",$J62="N"),"Y","N")))))</f>
        <v/>
      </c>
      <c r="M62" s="10">
        <f>IF($A62="","",IF($F62="N","Out: different import country",IF($K62="IN","In: Research determination",IF($K62="OUT","Out: Research determination",IF($G62="N","Out: HTS not on scope list",IF($H62="Y","Out: HTS on exclusion list",IF($I62="N","Out: origin not on scope list",IF($J62="Y","Out: USMCA-qualifying, exempt","In: matches scope rules"))))))))</f>
        <v/>
      </c>
      <c r="N62" s="10">
        <f>IF(OR($A62="",$AM62=0),"",UPPER(TRIM(CLEAN(SUBSTITUTE(INDEX(scope_Group,MOD($AM62,1000))&amp;""," "," ")))))</f>
        <v/>
      </c>
      <c r="O62" s="10">
        <f>IF($L62&lt;&gt;"Y","",IF($AO62=0,"Default (B15)",UPPER(TRIM(CLEAN(SUBSTITUTE(INDEX(rate_ID,MOD($AO62,100))&amp;""," "," "))))))</f>
        <v/>
      </c>
      <c r="P62" s="10">
        <f>IF($L62&lt;&gt;"Y","",IF($AO62=0,IF(UPPER(TRIM(CLEAN(SUBSTITUTE(act_DefaultBase&amp;""," "," "))))="PART","PART","FULL"),IF(UPPER(TRIM(CLEAN(SUBSTITUTE(INDEX(rate_Base,MOD($AO62,100))&amp;""," "," "))))="PART","PART","FULL")))</f>
        <v/>
      </c>
      <c r="Q62" s="17">
        <f>IF($A62="","",N(Items!J62))</f>
        <v/>
      </c>
      <c r="R62" s="17">
        <f>IF($A62="","",IF($L62&lt;&gt;"Y",0,IF($AO62=0,N(act_Rate),N(INDEX(rate_Rate,MOD($AO62,100))))))</f>
        <v/>
      </c>
      <c r="S62" s="17">
        <f>IF($A62="","",IF($L62&lt;&gt;"Y",0,IF($AO62=0,IF(UPPER(TRIM(CLEAN(SUBSTITUTE(act_RateType&amp;""," "," "))))="REPLACE",N(act_PriorRate),0),IF(ISNUMBER(INDEX(rate_Prior,MOD($AO62,100))),INDEX(rate_Prior,MOD($AO62,100)),IF(UPPER(TRIM(CLEAN(SUBSTITUTE(act_RateType&amp;""," "," "))))="REPLACE",N(act_PriorRate),0)))))</f>
        <v/>
      </c>
      <c r="T62" s="17">
        <f>IF($A62="","",IF(AND($L62="Y",$P62="PART",ISNUMBER(Items!M62)),Items!M62,1))</f>
        <v/>
      </c>
      <c r="U62" s="17">
        <f>IF($A62="","",IF($L62&lt;&gt;"Y",0,IF($AQ62&gt;0,IF(ISNUMBER(INDEX(det_Displaced,$AQ62)),INDEX(det_Displaced,$AQ62),IF($AO62=0,0,N(INDEX(rate_Displaced,MOD($AO62,100))))),IF($AO62=0,0,N(INDEX(rate_Displaced,MOD($AO62,100)))))))</f>
        <v/>
      </c>
      <c r="V62" s="17">
        <f>IF($A62="","",IF($L62="Y",$Q62+$T62*($R62-$S62)-$U62,$Q62))</f>
        <v/>
      </c>
      <c r="W62" s="18">
        <f>IF($A62="","",N(Items!H62)*$Q62)</f>
        <v/>
      </c>
      <c r="X62" s="18">
        <f>IF($A62="","",N(Items!H62)*$V62)</f>
        <v/>
      </c>
      <c r="Y62" s="18">
        <f>IF($A62="","",$X62-$W62)</f>
        <v/>
      </c>
      <c r="Z62" s="18">
        <f>IF($A62="","",N(Items!K62)+$Y62)</f>
        <v/>
      </c>
      <c r="AA62" s="17">
        <f>IF($A62="","",IF(N(Items!L62)=0,"",(N(Items!L62)-N(Items!K62))/N(Items!L62)))</f>
        <v/>
      </c>
      <c r="AB62" s="17">
        <f>IF($A62="","",IF(N(Items!L62)=0,"",(N(Items!L62)-$Z62)/N(Items!L62)))</f>
        <v/>
      </c>
      <c r="AC62" s="17">
        <f>IF(OR($AA62="",$AB62=""),"",$AB62-$AA62)</f>
        <v/>
      </c>
      <c r="AD62" s="13">
        <f>IF($A62="","",N(Items!I62))</f>
        <v/>
      </c>
      <c r="AE62" s="19">
        <f>IF($A62="","",$Y62*$AD62)</f>
        <v/>
      </c>
      <c r="AF62" s="10">
        <f>IF($A62="","",IF(N(Items!L62)&gt;0,"Y","N"))</f>
        <v/>
      </c>
      <c r="AG62" s="19">
        <f>IF($A62="","",IF($AF62="Y",N(Items!L62)*$AD62,0))</f>
        <v/>
      </c>
      <c r="AH62" s="19">
        <f>IF($A62="","",IF($AF62="Y",(N(Items!L62)-N(Items!K62))*$AD62,0))</f>
        <v/>
      </c>
      <c r="AI62" s="19">
        <f>IF($A62="","",IF($AF62="Y",$AH62-$AE62,0))</f>
        <v/>
      </c>
      <c r="AJ62" s="10">
        <f>IF($A62="","",IF(COUNTIF($AL$5:$AL$254,$AL62)&gt;1,"CHECK: duplicate item and import country",IF(TRIM(CLEAN(SUBSTITUTE(Items!C62&amp;""," "," ")))="","CHECK: import country missing",IF(AND(UPPER(TRIM(CLEAN(SUBSTITUTE(Items!C62&amp;""," "," "))))&lt;&gt;"US",UPPER(TRIM(CLEAN(SUBSTITUTE(Items!C62&amp;""," "," "))))&lt;&gt;"CA",UPPER(TRIM(CLEAN(SUBSTITUTE(Items!C62&amp;""," "," "))))&lt;&gt;"MX"),"CHECK: import country must be US, CA or MX",IF(NOT(AND(LEN($C62)=10,IFERROR(TEXT(VALUE($C62),REPT("0",LEN($C62)))=$C62,FALSE))),"CHECK: HTS must be 10 digits",IF(LEN($E62)&lt;&gt;2,"CHECK: origin code missing or not 2 letters",IF(TRIM(CLEAN(SUBSTITUTE(Items!G62&amp;""," "," ")))="","CHECK: unit of measure missing",IF(OR(Items!H62="",Items!J62="",Items!K62=""),"CHECK: value, rate or cost missing",IF(OR(NOT(ISNUMBER(Items!H62)),NOT(ISNUMBER(Items!J62)),NOT(ISNUMBER(Items!K62)),AND(Items!I62&lt;&gt;"",NOT(ISNUMBER(Items!I62))),AND(Items!L62&lt;&gt;"",NOT(ISNUMBER(Items!L62))),AND(Items!M62&lt;&gt;"",NOT(ISNUMBER(Items!M62)))),"CHECK: text in a number column",IF(AND(ISNUMBER(Items!M62),OR(N(Items!M62)&lt;0,N(Items!M62)&gt;1)),"CHECK: dutiable share must be 0% to 100%",IF(AND(UPPER(TRIM(CLEAN(SUBSTITUTE(Items!F62&amp;""," "," "))))&lt;&gt;"",UPPER(TRIM(CLEAN(SUBSTITUTE(Items!F62&amp;""," "," "))))&lt;&gt;"Y",UPPER(TRIM(CLEAN(SUBSTITUTE(Items!F62&amp;""," "," "))))&lt;&gt;"N"),"CHECK: USMCA flag must be Y, N or blank",IF(AND(UPPER(TRIM(CLEAN(SUBSTITUTE(Items!F62&amp;""," "," "))))="Y",$E62&lt;&gt;"US",$E62&lt;&gt;"CA",$E62&lt;&gt;"MX"),"CHECK: USMCA flag on an origin other than US, CA or MX",IF(AND($L62="Y",$AO62=0,NOT(ISNUMBER(act_Rate))),"CHECK: in scope but no rate (add a rate line or B15)",IF(AND($L62="Y",UPPER(TRIM(CLEAN(SUBSTITUTE(act_RateType&amp;""," "," "))))="REPLACE",NOT(ISNUMBER(act_PriorRate)),IF($AO62=0,TRUE,NOT(ISNUMBER(INDEX(rate_Prior,MOD($AO62,100)))))),"CHECK: REPLACE but no earlier rate (B17 or the rate line's AD)",IF(AND($L62="Y",$AP62&gt;1),"CHECK: two rate lines match equally",IF(AND($L62="Y",$AN62&gt;1),"CHECK: HTS prefix listed twice on the scope list",IF(AND($L62="Y",$P62="PART",NOT(ISNUMBER(Items!M62))),"CHECK: dutiable share missing (PART base)",IF(AND($L62="Y",$P62="FULL",ISNUMBER(Items!M62),N(Items!M62)&lt;&gt;1),"CHECK: dutiable share entered, but the rate taxes the full value",IF(AND($L62="Y",$Q62+0.0000001&lt;$T62*$S62+$U62),"CHECK: current rate is below the duty being replaced or displaced",IF(AND($L62="Y",$AD62=0),"NOTE: in scope, no quantity",IF(AND($L62="Y",$AF62="N"),"NOTE: in scope, no sell price (left out of margin %)",IF(AND($L62="Y",N(Items!H62)&gt;N(Items!K62)),"NOTE: customs value above standard cost (check unit of measure)",IF(AND($L62="Y",$Q62&gt;1),"NOTE: current rate above 100% (check it was entered as a percentage)","OK")))))))))))))))))))))))</f>
        <v/>
      </c>
      <c r="AK62" s="20">
        <f>IF($A62="","",IF(AND($L62="Y",$AE62&lt;&gt;0),ABS($AE62)+ROW()/1000000000,""))</f>
        <v/>
      </c>
      <c r="AL62" s="10">
        <f>IF($A62="","",UPPER($A62)&amp;"/"&amp;UPPER(TRIM(CLEAN(SUBSTITUTE(Items!C62&amp;""," "," ")))))</f>
        <v/>
      </c>
      <c r="AM62" s="13">
        <f>IF($A62="",0,SUMPRODUCT(MAX((scope_HTS&lt;&gt;"")*(LEFT($C62,LEN(scope_HTS))=scope_HTS)*(LEN(scope_HTS)*1000+ROW(scope_HTS)-4))))</f>
        <v/>
      </c>
      <c r="AN62" s="13">
        <f>IF($AM62=0,0,SUMPRODUCT((scope_HTS&lt;&gt;"")*(LEFT($C62,LEN(scope_HTS))=scope_HTS)*(LEN(scope_HTS)=INT($AM62/1000))))</f>
        <v/>
      </c>
      <c r="AO62" s="13">
        <f>IF($L62&lt;&gt;"Y",0,SUMPRODUCT(MAX(ISNUMBER(rate_Rate)*((UPPER(TRIM(CLEAN(SUBSTITUTE(rate_Group&amp;""," "," "))))="")+(UPPER(TRIM(CLEAN(SUBSTITUTE(rate_Group&amp;""," "," "))))=$N62)&gt;0)*((UPPER(TRIM(CLEAN(SUBSTITUTE(rate_COO&amp;""," "," "))))="")+(UPPER(TRIM(CLEAN(SUBSTITUTE(rate_COO&amp;""," "," "))))=$E62)&gt;0)*((UPPER(TRIM(CLEAN(SUBSTITUTE(rate_USMCA&amp;""," "," "))))="")+(UPPER(TRIM(CLEAN(SUBSTITUTE(rate_USMCA&amp;""," "," "))))=IF(UPPER(TRIM(CLEAN(SUBSTITUTE(Items!F62&amp;""," "," "))))="Y","Y","N"))&gt;0)*((1+(UPPER(TRIM(CLEAN(SUBSTITUTE(rate_Group&amp;""," "," "))))&lt;&gt;"")+2*(UPPER(TRIM(CLEAN(SUBSTITUTE(rate_USMCA&amp;""," "," "))))&lt;&gt;"")+4*(UPPER(TRIM(CLEAN(SUBSTITUTE(rate_COO&amp;""," "," "))))&lt;&gt;""))*100+ROW(rate_Rate)-4))))</f>
        <v/>
      </c>
      <c r="AP62" s="13">
        <f>IF($AO62=0,0,SUMPRODUCT(ISNUMBER(rate_Rate)*((UPPER(TRIM(CLEAN(SUBSTITUTE(rate_Group&amp;""," "," "))))="")+(UPPER(TRIM(CLEAN(SUBSTITUTE(rate_Group&amp;""," "," "))))=$N62)&gt;0)*((UPPER(TRIM(CLEAN(SUBSTITUTE(rate_COO&amp;""," "," "))))="")+(UPPER(TRIM(CLEAN(SUBSTITUTE(rate_COO&amp;""," "," "))))=$E62)&gt;0)*((UPPER(TRIM(CLEAN(SUBSTITUTE(rate_USMCA&amp;""," "," "))))="")+(UPPER(TRIM(CLEAN(SUBSTITUTE(rate_USMCA&amp;""," "," "))))=IF(UPPER(TRIM(CLEAN(SUBSTITUTE(Items!F62&amp;""," "," "))))="Y","Y","N"))&gt;0)*((1+(UPPER(TRIM(CLEAN(SUBSTITUTE(rate_Group&amp;""," "," "))))&lt;&gt;"")+2*(UPPER(TRIM(CLEAN(SUBSTITUTE(rate_USMCA&amp;""," "," "))))&lt;&gt;"")+4*(UPPER(TRIM(CLEAN(SUBSTITUTE(rate_COO&amp;""," "," "))))&lt;&gt;""))=INT($AO62/100))))</f>
        <v/>
      </c>
      <c r="AQ62" s="13">
        <f>IF($A62="",0,IFERROR(MATCH($AL62,det_Key,0),0))</f>
        <v/>
      </c>
    </row>
    <row r="63">
      <c r="A63" s="10">
        <f>IF(TRIM(CLEAN(SUBSTITUTE(Items!A63&amp;""," "," ")))="","",TRIM(CLEAN(SUBSTITUTE(Items!A63&amp;""," "," "))))</f>
        <v/>
      </c>
      <c r="B63" s="10">
        <f>IF($A63="","",Items!B63&amp;"")</f>
        <v/>
      </c>
      <c r="C63" s="10">
        <f>IF($A63="","",SUBSTITUTE(SUBSTITUTE(SUBSTITUTE(SUBSTITUTE(CLEAN(Items!D63&amp;"")," ",""),".","")," ",""),"-",""))</f>
        <v/>
      </c>
      <c r="D63" s="10">
        <f>IF($A63="","",LEFT($C63,2))</f>
        <v/>
      </c>
      <c r="E63" s="10">
        <f>IF($A63="","",UPPER(TRIM(CLEAN(SUBSTITUTE(Items!E63&amp;""," "," ")))))</f>
        <v/>
      </c>
      <c r="F63" s="10">
        <f>IF($A63="","",IF(UPPER(TRIM(CLEAN(SUBSTITUTE(Items!C63&amp;""," "," "))))=UPPER(TRIM(CLEAN(SUBSTITUTE(act_Country&amp;""," "," ")))),"Y","N"))</f>
        <v/>
      </c>
      <c r="G63" s="10">
        <f>IF($A63="","",IF($AM63&gt;0,"Y","N"))</f>
        <v/>
      </c>
      <c r="H63" s="10">
        <f>IF($A63="","",IF(SUMPRODUCT((excl_HTS&lt;&gt;"")*(LEFT($C63,LEN(excl_HTS))=excl_HTS))&gt;0,"Y","N"))</f>
        <v/>
      </c>
      <c r="I63" s="10">
        <f>IF($A63="","",IF($E63="","N",IF(SUMPRODUCT(--(UPPER(TRIM(CLEAN(SUBSTITUTE(scope_COO&amp;""," "," "))))=$E63))&gt;0,"Y","N")))</f>
        <v/>
      </c>
      <c r="J63" s="10">
        <f>IF($A63="","",IF(AND(UPPER(TRIM(CLEAN(SUBSTITUTE(act_USMCAExempt&amp;""," "," "))))="Y",UPPER(TRIM(CLEAN(SUBSTITUTE(Items!F63&amp;""," "," "))))="Y"),"Y","N"))</f>
        <v/>
      </c>
      <c r="K63" s="10">
        <f>IF($A63="","",IF($AQ63=0,"",UPPER(TRIM(CLEAN(SUBSTITUTE(INDEX(det_Status,$AQ63)&amp;""," "," "))))))</f>
        <v/>
      </c>
      <c r="L63" s="10">
        <f>IF($A63="","",IF($F63="N","N",IF($K63="IN","Y",IF($K63="OUT","N",IF(AND($G63="Y",$H63="N",$I63="Y",$J63="N"),"Y","N")))))</f>
        <v/>
      </c>
      <c r="M63" s="10">
        <f>IF($A63="","",IF($F63="N","Out: different import country",IF($K63="IN","In: Research determination",IF($K63="OUT","Out: Research determination",IF($G63="N","Out: HTS not on scope list",IF($H63="Y","Out: HTS on exclusion list",IF($I63="N","Out: origin not on scope list",IF($J63="Y","Out: USMCA-qualifying, exempt","In: matches scope rules"))))))))</f>
        <v/>
      </c>
      <c r="N63" s="10">
        <f>IF(OR($A63="",$AM63=0),"",UPPER(TRIM(CLEAN(SUBSTITUTE(INDEX(scope_Group,MOD($AM63,1000))&amp;""," "," ")))))</f>
        <v/>
      </c>
      <c r="O63" s="10">
        <f>IF($L63&lt;&gt;"Y","",IF($AO63=0,"Default (B15)",UPPER(TRIM(CLEAN(SUBSTITUTE(INDEX(rate_ID,MOD($AO63,100))&amp;""," "," "))))))</f>
        <v/>
      </c>
      <c r="P63" s="10">
        <f>IF($L63&lt;&gt;"Y","",IF($AO63=0,IF(UPPER(TRIM(CLEAN(SUBSTITUTE(act_DefaultBase&amp;""," "," "))))="PART","PART","FULL"),IF(UPPER(TRIM(CLEAN(SUBSTITUTE(INDEX(rate_Base,MOD($AO63,100))&amp;""," "," "))))="PART","PART","FULL")))</f>
        <v/>
      </c>
      <c r="Q63" s="17">
        <f>IF($A63="","",N(Items!J63))</f>
        <v/>
      </c>
      <c r="R63" s="17">
        <f>IF($A63="","",IF($L63&lt;&gt;"Y",0,IF($AO63=0,N(act_Rate),N(INDEX(rate_Rate,MOD($AO63,100))))))</f>
        <v/>
      </c>
      <c r="S63" s="17">
        <f>IF($A63="","",IF($L63&lt;&gt;"Y",0,IF($AO63=0,IF(UPPER(TRIM(CLEAN(SUBSTITUTE(act_RateType&amp;""," "," "))))="REPLACE",N(act_PriorRate),0),IF(ISNUMBER(INDEX(rate_Prior,MOD($AO63,100))),INDEX(rate_Prior,MOD($AO63,100)),IF(UPPER(TRIM(CLEAN(SUBSTITUTE(act_RateType&amp;""," "," "))))="REPLACE",N(act_PriorRate),0)))))</f>
        <v/>
      </c>
      <c r="T63" s="17">
        <f>IF($A63="","",IF(AND($L63="Y",$P63="PART",ISNUMBER(Items!M63)),Items!M63,1))</f>
        <v/>
      </c>
      <c r="U63" s="17">
        <f>IF($A63="","",IF($L63&lt;&gt;"Y",0,IF($AQ63&gt;0,IF(ISNUMBER(INDEX(det_Displaced,$AQ63)),INDEX(det_Displaced,$AQ63),IF($AO63=0,0,N(INDEX(rate_Displaced,MOD($AO63,100))))),IF($AO63=0,0,N(INDEX(rate_Displaced,MOD($AO63,100)))))))</f>
        <v/>
      </c>
      <c r="V63" s="17">
        <f>IF($A63="","",IF($L63="Y",$Q63+$T63*($R63-$S63)-$U63,$Q63))</f>
        <v/>
      </c>
      <c r="W63" s="18">
        <f>IF($A63="","",N(Items!H63)*$Q63)</f>
        <v/>
      </c>
      <c r="X63" s="18">
        <f>IF($A63="","",N(Items!H63)*$V63)</f>
        <v/>
      </c>
      <c r="Y63" s="18">
        <f>IF($A63="","",$X63-$W63)</f>
        <v/>
      </c>
      <c r="Z63" s="18">
        <f>IF($A63="","",N(Items!K63)+$Y63)</f>
        <v/>
      </c>
      <c r="AA63" s="17">
        <f>IF($A63="","",IF(N(Items!L63)=0,"",(N(Items!L63)-N(Items!K63))/N(Items!L63)))</f>
        <v/>
      </c>
      <c r="AB63" s="17">
        <f>IF($A63="","",IF(N(Items!L63)=0,"",(N(Items!L63)-$Z63)/N(Items!L63)))</f>
        <v/>
      </c>
      <c r="AC63" s="17">
        <f>IF(OR($AA63="",$AB63=""),"",$AB63-$AA63)</f>
        <v/>
      </c>
      <c r="AD63" s="13">
        <f>IF($A63="","",N(Items!I63))</f>
        <v/>
      </c>
      <c r="AE63" s="19">
        <f>IF($A63="","",$Y63*$AD63)</f>
        <v/>
      </c>
      <c r="AF63" s="10">
        <f>IF($A63="","",IF(N(Items!L63)&gt;0,"Y","N"))</f>
        <v/>
      </c>
      <c r="AG63" s="19">
        <f>IF($A63="","",IF($AF63="Y",N(Items!L63)*$AD63,0))</f>
        <v/>
      </c>
      <c r="AH63" s="19">
        <f>IF($A63="","",IF($AF63="Y",(N(Items!L63)-N(Items!K63))*$AD63,0))</f>
        <v/>
      </c>
      <c r="AI63" s="19">
        <f>IF($A63="","",IF($AF63="Y",$AH63-$AE63,0))</f>
        <v/>
      </c>
      <c r="AJ63" s="10">
        <f>IF($A63="","",IF(COUNTIF($AL$5:$AL$254,$AL63)&gt;1,"CHECK: duplicate item and import country",IF(TRIM(CLEAN(SUBSTITUTE(Items!C63&amp;""," "," ")))="","CHECK: import country missing",IF(AND(UPPER(TRIM(CLEAN(SUBSTITUTE(Items!C63&amp;""," "," "))))&lt;&gt;"US",UPPER(TRIM(CLEAN(SUBSTITUTE(Items!C63&amp;""," "," "))))&lt;&gt;"CA",UPPER(TRIM(CLEAN(SUBSTITUTE(Items!C63&amp;""," "," "))))&lt;&gt;"MX"),"CHECK: import country must be US, CA or MX",IF(NOT(AND(LEN($C63)=10,IFERROR(TEXT(VALUE($C63),REPT("0",LEN($C63)))=$C63,FALSE))),"CHECK: HTS must be 10 digits",IF(LEN($E63)&lt;&gt;2,"CHECK: origin code missing or not 2 letters",IF(TRIM(CLEAN(SUBSTITUTE(Items!G63&amp;""," "," ")))="","CHECK: unit of measure missing",IF(OR(Items!H63="",Items!J63="",Items!K63=""),"CHECK: value, rate or cost missing",IF(OR(NOT(ISNUMBER(Items!H63)),NOT(ISNUMBER(Items!J63)),NOT(ISNUMBER(Items!K63)),AND(Items!I63&lt;&gt;"",NOT(ISNUMBER(Items!I63))),AND(Items!L63&lt;&gt;"",NOT(ISNUMBER(Items!L63))),AND(Items!M63&lt;&gt;"",NOT(ISNUMBER(Items!M63)))),"CHECK: text in a number column",IF(AND(ISNUMBER(Items!M63),OR(N(Items!M63)&lt;0,N(Items!M63)&gt;1)),"CHECK: dutiable share must be 0% to 100%",IF(AND(UPPER(TRIM(CLEAN(SUBSTITUTE(Items!F63&amp;""," "," "))))&lt;&gt;"",UPPER(TRIM(CLEAN(SUBSTITUTE(Items!F63&amp;""," "," "))))&lt;&gt;"Y",UPPER(TRIM(CLEAN(SUBSTITUTE(Items!F63&amp;""," "," "))))&lt;&gt;"N"),"CHECK: USMCA flag must be Y, N or blank",IF(AND(UPPER(TRIM(CLEAN(SUBSTITUTE(Items!F63&amp;""," "," "))))="Y",$E63&lt;&gt;"US",$E63&lt;&gt;"CA",$E63&lt;&gt;"MX"),"CHECK: USMCA flag on an origin other than US, CA or MX",IF(AND($L63="Y",$AO63=0,NOT(ISNUMBER(act_Rate))),"CHECK: in scope but no rate (add a rate line or B15)",IF(AND($L63="Y",UPPER(TRIM(CLEAN(SUBSTITUTE(act_RateType&amp;""," "," "))))="REPLACE",NOT(ISNUMBER(act_PriorRate)),IF($AO63=0,TRUE,NOT(ISNUMBER(INDEX(rate_Prior,MOD($AO63,100)))))),"CHECK: REPLACE but no earlier rate (B17 or the rate line's AD)",IF(AND($L63="Y",$AP63&gt;1),"CHECK: two rate lines match equally",IF(AND($L63="Y",$AN63&gt;1),"CHECK: HTS prefix listed twice on the scope list",IF(AND($L63="Y",$P63="PART",NOT(ISNUMBER(Items!M63))),"CHECK: dutiable share missing (PART base)",IF(AND($L63="Y",$P63="FULL",ISNUMBER(Items!M63),N(Items!M63)&lt;&gt;1),"CHECK: dutiable share entered, but the rate taxes the full value",IF(AND($L63="Y",$Q63+0.0000001&lt;$T63*$S63+$U63),"CHECK: current rate is below the duty being replaced or displaced",IF(AND($L63="Y",$AD63=0),"NOTE: in scope, no quantity",IF(AND($L63="Y",$AF63="N"),"NOTE: in scope, no sell price (left out of margin %)",IF(AND($L63="Y",N(Items!H63)&gt;N(Items!K63)),"NOTE: customs value above standard cost (check unit of measure)",IF(AND($L63="Y",$Q63&gt;1),"NOTE: current rate above 100% (check it was entered as a percentage)","OK")))))))))))))))))))))))</f>
        <v/>
      </c>
      <c r="AK63" s="20">
        <f>IF($A63="","",IF(AND($L63="Y",$AE63&lt;&gt;0),ABS($AE63)+ROW()/1000000000,""))</f>
        <v/>
      </c>
      <c r="AL63" s="10">
        <f>IF($A63="","",UPPER($A63)&amp;"/"&amp;UPPER(TRIM(CLEAN(SUBSTITUTE(Items!C63&amp;""," "," ")))))</f>
        <v/>
      </c>
      <c r="AM63" s="13">
        <f>IF($A63="",0,SUMPRODUCT(MAX((scope_HTS&lt;&gt;"")*(LEFT($C63,LEN(scope_HTS))=scope_HTS)*(LEN(scope_HTS)*1000+ROW(scope_HTS)-4))))</f>
        <v/>
      </c>
      <c r="AN63" s="13">
        <f>IF($AM63=0,0,SUMPRODUCT((scope_HTS&lt;&gt;"")*(LEFT($C63,LEN(scope_HTS))=scope_HTS)*(LEN(scope_HTS)=INT($AM63/1000))))</f>
        <v/>
      </c>
      <c r="AO63" s="13">
        <f>IF($L63&lt;&gt;"Y",0,SUMPRODUCT(MAX(ISNUMBER(rate_Rate)*((UPPER(TRIM(CLEAN(SUBSTITUTE(rate_Group&amp;""," "," "))))="")+(UPPER(TRIM(CLEAN(SUBSTITUTE(rate_Group&amp;""," "," "))))=$N63)&gt;0)*((UPPER(TRIM(CLEAN(SUBSTITUTE(rate_COO&amp;""," "," "))))="")+(UPPER(TRIM(CLEAN(SUBSTITUTE(rate_COO&amp;""," "," "))))=$E63)&gt;0)*((UPPER(TRIM(CLEAN(SUBSTITUTE(rate_USMCA&amp;""," "," "))))="")+(UPPER(TRIM(CLEAN(SUBSTITUTE(rate_USMCA&amp;""," "," "))))=IF(UPPER(TRIM(CLEAN(SUBSTITUTE(Items!F63&amp;""," "," "))))="Y","Y","N"))&gt;0)*((1+(UPPER(TRIM(CLEAN(SUBSTITUTE(rate_Group&amp;""," "," "))))&lt;&gt;"")+2*(UPPER(TRIM(CLEAN(SUBSTITUTE(rate_USMCA&amp;""," "," "))))&lt;&gt;"")+4*(UPPER(TRIM(CLEAN(SUBSTITUTE(rate_COO&amp;""," "," "))))&lt;&gt;""))*100+ROW(rate_Rate)-4))))</f>
        <v/>
      </c>
      <c r="AP63" s="13">
        <f>IF($AO63=0,0,SUMPRODUCT(ISNUMBER(rate_Rate)*((UPPER(TRIM(CLEAN(SUBSTITUTE(rate_Group&amp;""," "," "))))="")+(UPPER(TRIM(CLEAN(SUBSTITUTE(rate_Group&amp;""," "," "))))=$N63)&gt;0)*((UPPER(TRIM(CLEAN(SUBSTITUTE(rate_COO&amp;""," "," "))))="")+(UPPER(TRIM(CLEAN(SUBSTITUTE(rate_COO&amp;""," "," "))))=$E63)&gt;0)*((UPPER(TRIM(CLEAN(SUBSTITUTE(rate_USMCA&amp;""," "," "))))="")+(UPPER(TRIM(CLEAN(SUBSTITUTE(rate_USMCA&amp;""," "," "))))=IF(UPPER(TRIM(CLEAN(SUBSTITUTE(Items!F63&amp;""," "," "))))="Y","Y","N"))&gt;0)*((1+(UPPER(TRIM(CLEAN(SUBSTITUTE(rate_Group&amp;""," "," "))))&lt;&gt;"")+2*(UPPER(TRIM(CLEAN(SUBSTITUTE(rate_USMCA&amp;""," "," "))))&lt;&gt;"")+4*(UPPER(TRIM(CLEAN(SUBSTITUTE(rate_COO&amp;""," "," "))))&lt;&gt;""))=INT($AO63/100))))</f>
        <v/>
      </c>
      <c r="AQ63" s="13">
        <f>IF($A63="",0,IFERROR(MATCH($AL63,det_Key,0),0))</f>
        <v/>
      </c>
    </row>
    <row r="64">
      <c r="A64" s="10">
        <f>IF(TRIM(CLEAN(SUBSTITUTE(Items!A64&amp;""," "," ")))="","",TRIM(CLEAN(SUBSTITUTE(Items!A64&amp;""," "," "))))</f>
        <v/>
      </c>
      <c r="B64" s="10">
        <f>IF($A64="","",Items!B64&amp;"")</f>
        <v/>
      </c>
      <c r="C64" s="10">
        <f>IF($A64="","",SUBSTITUTE(SUBSTITUTE(SUBSTITUTE(SUBSTITUTE(CLEAN(Items!D64&amp;"")," ",""),".","")," ",""),"-",""))</f>
        <v/>
      </c>
      <c r="D64" s="10">
        <f>IF($A64="","",LEFT($C64,2))</f>
        <v/>
      </c>
      <c r="E64" s="10">
        <f>IF($A64="","",UPPER(TRIM(CLEAN(SUBSTITUTE(Items!E64&amp;""," "," ")))))</f>
        <v/>
      </c>
      <c r="F64" s="10">
        <f>IF($A64="","",IF(UPPER(TRIM(CLEAN(SUBSTITUTE(Items!C64&amp;""," "," "))))=UPPER(TRIM(CLEAN(SUBSTITUTE(act_Country&amp;""," "," ")))),"Y","N"))</f>
        <v/>
      </c>
      <c r="G64" s="10">
        <f>IF($A64="","",IF($AM64&gt;0,"Y","N"))</f>
        <v/>
      </c>
      <c r="H64" s="10">
        <f>IF($A64="","",IF(SUMPRODUCT((excl_HTS&lt;&gt;"")*(LEFT($C64,LEN(excl_HTS))=excl_HTS))&gt;0,"Y","N"))</f>
        <v/>
      </c>
      <c r="I64" s="10">
        <f>IF($A64="","",IF($E64="","N",IF(SUMPRODUCT(--(UPPER(TRIM(CLEAN(SUBSTITUTE(scope_COO&amp;""," "," "))))=$E64))&gt;0,"Y","N")))</f>
        <v/>
      </c>
      <c r="J64" s="10">
        <f>IF($A64="","",IF(AND(UPPER(TRIM(CLEAN(SUBSTITUTE(act_USMCAExempt&amp;""," "," "))))="Y",UPPER(TRIM(CLEAN(SUBSTITUTE(Items!F64&amp;""," "," "))))="Y"),"Y","N"))</f>
        <v/>
      </c>
      <c r="K64" s="10">
        <f>IF($A64="","",IF($AQ64=0,"",UPPER(TRIM(CLEAN(SUBSTITUTE(INDEX(det_Status,$AQ64)&amp;""," "," "))))))</f>
        <v/>
      </c>
      <c r="L64" s="10">
        <f>IF($A64="","",IF($F64="N","N",IF($K64="IN","Y",IF($K64="OUT","N",IF(AND($G64="Y",$H64="N",$I64="Y",$J64="N"),"Y","N")))))</f>
        <v/>
      </c>
      <c r="M64" s="10">
        <f>IF($A64="","",IF($F64="N","Out: different import country",IF($K64="IN","In: Research determination",IF($K64="OUT","Out: Research determination",IF($G64="N","Out: HTS not on scope list",IF($H64="Y","Out: HTS on exclusion list",IF($I64="N","Out: origin not on scope list",IF($J64="Y","Out: USMCA-qualifying, exempt","In: matches scope rules"))))))))</f>
        <v/>
      </c>
      <c r="N64" s="10">
        <f>IF(OR($A64="",$AM64=0),"",UPPER(TRIM(CLEAN(SUBSTITUTE(INDEX(scope_Group,MOD($AM64,1000))&amp;""," "," ")))))</f>
        <v/>
      </c>
      <c r="O64" s="10">
        <f>IF($L64&lt;&gt;"Y","",IF($AO64=0,"Default (B15)",UPPER(TRIM(CLEAN(SUBSTITUTE(INDEX(rate_ID,MOD($AO64,100))&amp;""," "," "))))))</f>
        <v/>
      </c>
      <c r="P64" s="10">
        <f>IF($L64&lt;&gt;"Y","",IF($AO64=0,IF(UPPER(TRIM(CLEAN(SUBSTITUTE(act_DefaultBase&amp;""," "," "))))="PART","PART","FULL"),IF(UPPER(TRIM(CLEAN(SUBSTITUTE(INDEX(rate_Base,MOD($AO64,100))&amp;""," "," "))))="PART","PART","FULL")))</f>
        <v/>
      </c>
      <c r="Q64" s="17">
        <f>IF($A64="","",N(Items!J64))</f>
        <v/>
      </c>
      <c r="R64" s="17">
        <f>IF($A64="","",IF($L64&lt;&gt;"Y",0,IF($AO64=0,N(act_Rate),N(INDEX(rate_Rate,MOD($AO64,100))))))</f>
        <v/>
      </c>
      <c r="S64" s="17">
        <f>IF($A64="","",IF($L64&lt;&gt;"Y",0,IF($AO64=0,IF(UPPER(TRIM(CLEAN(SUBSTITUTE(act_RateType&amp;""," "," "))))="REPLACE",N(act_PriorRate),0),IF(ISNUMBER(INDEX(rate_Prior,MOD($AO64,100))),INDEX(rate_Prior,MOD($AO64,100)),IF(UPPER(TRIM(CLEAN(SUBSTITUTE(act_RateType&amp;""," "," "))))="REPLACE",N(act_PriorRate),0)))))</f>
        <v/>
      </c>
      <c r="T64" s="17">
        <f>IF($A64="","",IF(AND($L64="Y",$P64="PART",ISNUMBER(Items!M64)),Items!M64,1))</f>
        <v/>
      </c>
      <c r="U64" s="17">
        <f>IF($A64="","",IF($L64&lt;&gt;"Y",0,IF($AQ64&gt;0,IF(ISNUMBER(INDEX(det_Displaced,$AQ64)),INDEX(det_Displaced,$AQ64),IF($AO64=0,0,N(INDEX(rate_Displaced,MOD($AO64,100))))),IF($AO64=0,0,N(INDEX(rate_Displaced,MOD($AO64,100)))))))</f>
        <v/>
      </c>
      <c r="V64" s="17">
        <f>IF($A64="","",IF($L64="Y",$Q64+$T64*($R64-$S64)-$U64,$Q64))</f>
        <v/>
      </c>
      <c r="W64" s="18">
        <f>IF($A64="","",N(Items!H64)*$Q64)</f>
        <v/>
      </c>
      <c r="X64" s="18">
        <f>IF($A64="","",N(Items!H64)*$V64)</f>
        <v/>
      </c>
      <c r="Y64" s="18">
        <f>IF($A64="","",$X64-$W64)</f>
        <v/>
      </c>
      <c r="Z64" s="18">
        <f>IF($A64="","",N(Items!K64)+$Y64)</f>
        <v/>
      </c>
      <c r="AA64" s="17">
        <f>IF($A64="","",IF(N(Items!L64)=0,"",(N(Items!L64)-N(Items!K64))/N(Items!L64)))</f>
        <v/>
      </c>
      <c r="AB64" s="17">
        <f>IF($A64="","",IF(N(Items!L64)=0,"",(N(Items!L64)-$Z64)/N(Items!L64)))</f>
        <v/>
      </c>
      <c r="AC64" s="17">
        <f>IF(OR($AA64="",$AB64=""),"",$AB64-$AA64)</f>
        <v/>
      </c>
      <c r="AD64" s="13">
        <f>IF($A64="","",N(Items!I64))</f>
        <v/>
      </c>
      <c r="AE64" s="19">
        <f>IF($A64="","",$Y64*$AD64)</f>
        <v/>
      </c>
      <c r="AF64" s="10">
        <f>IF($A64="","",IF(N(Items!L64)&gt;0,"Y","N"))</f>
        <v/>
      </c>
      <c r="AG64" s="19">
        <f>IF($A64="","",IF($AF64="Y",N(Items!L64)*$AD64,0))</f>
        <v/>
      </c>
      <c r="AH64" s="19">
        <f>IF($A64="","",IF($AF64="Y",(N(Items!L64)-N(Items!K64))*$AD64,0))</f>
        <v/>
      </c>
      <c r="AI64" s="19">
        <f>IF($A64="","",IF($AF64="Y",$AH64-$AE64,0))</f>
        <v/>
      </c>
      <c r="AJ64" s="10">
        <f>IF($A64="","",IF(COUNTIF($AL$5:$AL$254,$AL64)&gt;1,"CHECK: duplicate item and import country",IF(TRIM(CLEAN(SUBSTITUTE(Items!C64&amp;""," "," ")))="","CHECK: import country missing",IF(AND(UPPER(TRIM(CLEAN(SUBSTITUTE(Items!C64&amp;""," "," "))))&lt;&gt;"US",UPPER(TRIM(CLEAN(SUBSTITUTE(Items!C64&amp;""," "," "))))&lt;&gt;"CA",UPPER(TRIM(CLEAN(SUBSTITUTE(Items!C64&amp;""," "," "))))&lt;&gt;"MX"),"CHECK: import country must be US, CA or MX",IF(NOT(AND(LEN($C64)=10,IFERROR(TEXT(VALUE($C64),REPT("0",LEN($C64)))=$C64,FALSE))),"CHECK: HTS must be 10 digits",IF(LEN($E64)&lt;&gt;2,"CHECK: origin code missing or not 2 letters",IF(TRIM(CLEAN(SUBSTITUTE(Items!G64&amp;""," "," ")))="","CHECK: unit of measure missing",IF(OR(Items!H64="",Items!J64="",Items!K64=""),"CHECK: value, rate or cost missing",IF(OR(NOT(ISNUMBER(Items!H64)),NOT(ISNUMBER(Items!J64)),NOT(ISNUMBER(Items!K64)),AND(Items!I64&lt;&gt;"",NOT(ISNUMBER(Items!I64))),AND(Items!L64&lt;&gt;"",NOT(ISNUMBER(Items!L64))),AND(Items!M64&lt;&gt;"",NOT(ISNUMBER(Items!M64)))),"CHECK: text in a number column",IF(AND(ISNUMBER(Items!M64),OR(N(Items!M64)&lt;0,N(Items!M64)&gt;1)),"CHECK: dutiable share must be 0% to 100%",IF(AND(UPPER(TRIM(CLEAN(SUBSTITUTE(Items!F64&amp;""," "," "))))&lt;&gt;"",UPPER(TRIM(CLEAN(SUBSTITUTE(Items!F64&amp;""," "," "))))&lt;&gt;"Y",UPPER(TRIM(CLEAN(SUBSTITUTE(Items!F64&amp;""," "," "))))&lt;&gt;"N"),"CHECK: USMCA flag must be Y, N or blank",IF(AND(UPPER(TRIM(CLEAN(SUBSTITUTE(Items!F64&amp;""," "," "))))="Y",$E64&lt;&gt;"US",$E64&lt;&gt;"CA",$E64&lt;&gt;"MX"),"CHECK: USMCA flag on an origin other than US, CA or MX",IF(AND($L64="Y",$AO64=0,NOT(ISNUMBER(act_Rate))),"CHECK: in scope but no rate (add a rate line or B15)",IF(AND($L64="Y",UPPER(TRIM(CLEAN(SUBSTITUTE(act_RateType&amp;""," "," "))))="REPLACE",NOT(ISNUMBER(act_PriorRate)),IF($AO64=0,TRUE,NOT(ISNUMBER(INDEX(rate_Prior,MOD($AO64,100)))))),"CHECK: REPLACE but no earlier rate (B17 or the rate line's AD)",IF(AND($L64="Y",$AP64&gt;1),"CHECK: two rate lines match equally",IF(AND($L64="Y",$AN64&gt;1),"CHECK: HTS prefix listed twice on the scope list",IF(AND($L64="Y",$P64="PART",NOT(ISNUMBER(Items!M64))),"CHECK: dutiable share missing (PART base)",IF(AND($L64="Y",$P64="FULL",ISNUMBER(Items!M64),N(Items!M64)&lt;&gt;1),"CHECK: dutiable share entered, but the rate taxes the full value",IF(AND($L64="Y",$Q64+0.0000001&lt;$T64*$S64+$U64),"CHECK: current rate is below the duty being replaced or displaced",IF(AND($L64="Y",$AD64=0),"NOTE: in scope, no quantity",IF(AND($L64="Y",$AF64="N"),"NOTE: in scope, no sell price (left out of margin %)",IF(AND($L64="Y",N(Items!H64)&gt;N(Items!K64)),"NOTE: customs value above standard cost (check unit of measure)",IF(AND($L64="Y",$Q64&gt;1),"NOTE: current rate above 100% (check it was entered as a percentage)","OK")))))))))))))))))))))))</f>
        <v/>
      </c>
      <c r="AK64" s="20">
        <f>IF($A64="","",IF(AND($L64="Y",$AE64&lt;&gt;0),ABS($AE64)+ROW()/1000000000,""))</f>
        <v/>
      </c>
      <c r="AL64" s="10">
        <f>IF($A64="","",UPPER($A64)&amp;"/"&amp;UPPER(TRIM(CLEAN(SUBSTITUTE(Items!C64&amp;""," "," ")))))</f>
        <v/>
      </c>
      <c r="AM64" s="13">
        <f>IF($A64="",0,SUMPRODUCT(MAX((scope_HTS&lt;&gt;"")*(LEFT($C64,LEN(scope_HTS))=scope_HTS)*(LEN(scope_HTS)*1000+ROW(scope_HTS)-4))))</f>
        <v/>
      </c>
      <c r="AN64" s="13">
        <f>IF($AM64=0,0,SUMPRODUCT((scope_HTS&lt;&gt;"")*(LEFT($C64,LEN(scope_HTS))=scope_HTS)*(LEN(scope_HTS)=INT($AM64/1000))))</f>
        <v/>
      </c>
      <c r="AO64" s="13">
        <f>IF($L64&lt;&gt;"Y",0,SUMPRODUCT(MAX(ISNUMBER(rate_Rate)*((UPPER(TRIM(CLEAN(SUBSTITUTE(rate_Group&amp;""," "," "))))="")+(UPPER(TRIM(CLEAN(SUBSTITUTE(rate_Group&amp;""," "," "))))=$N64)&gt;0)*((UPPER(TRIM(CLEAN(SUBSTITUTE(rate_COO&amp;""," "," "))))="")+(UPPER(TRIM(CLEAN(SUBSTITUTE(rate_COO&amp;""," "," "))))=$E64)&gt;0)*((UPPER(TRIM(CLEAN(SUBSTITUTE(rate_USMCA&amp;""," "," "))))="")+(UPPER(TRIM(CLEAN(SUBSTITUTE(rate_USMCA&amp;""," "," "))))=IF(UPPER(TRIM(CLEAN(SUBSTITUTE(Items!F64&amp;""," "," "))))="Y","Y","N"))&gt;0)*((1+(UPPER(TRIM(CLEAN(SUBSTITUTE(rate_Group&amp;""," "," "))))&lt;&gt;"")+2*(UPPER(TRIM(CLEAN(SUBSTITUTE(rate_USMCA&amp;""," "," "))))&lt;&gt;"")+4*(UPPER(TRIM(CLEAN(SUBSTITUTE(rate_COO&amp;""," "," "))))&lt;&gt;""))*100+ROW(rate_Rate)-4))))</f>
        <v/>
      </c>
      <c r="AP64" s="13">
        <f>IF($AO64=0,0,SUMPRODUCT(ISNUMBER(rate_Rate)*((UPPER(TRIM(CLEAN(SUBSTITUTE(rate_Group&amp;""," "," "))))="")+(UPPER(TRIM(CLEAN(SUBSTITUTE(rate_Group&amp;""," "," "))))=$N64)&gt;0)*((UPPER(TRIM(CLEAN(SUBSTITUTE(rate_COO&amp;""," "," "))))="")+(UPPER(TRIM(CLEAN(SUBSTITUTE(rate_COO&amp;""," "," "))))=$E64)&gt;0)*((UPPER(TRIM(CLEAN(SUBSTITUTE(rate_USMCA&amp;""," "," "))))="")+(UPPER(TRIM(CLEAN(SUBSTITUTE(rate_USMCA&amp;""," "," "))))=IF(UPPER(TRIM(CLEAN(SUBSTITUTE(Items!F64&amp;""," "," "))))="Y","Y","N"))&gt;0)*((1+(UPPER(TRIM(CLEAN(SUBSTITUTE(rate_Group&amp;""," "," "))))&lt;&gt;"")+2*(UPPER(TRIM(CLEAN(SUBSTITUTE(rate_USMCA&amp;""," "," "))))&lt;&gt;"")+4*(UPPER(TRIM(CLEAN(SUBSTITUTE(rate_COO&amp;""," "," "))))&lt;&gt;""))=INT($AO64/100))))</f>
        <v/>
      </c>
      <c r="AQ64" s="13">
        <f>IF($A64="",0,IFERROR(MATCH($AL64,det_Key,0),0))</f>
        <v/>
      </c>
    </row>
    <row r="65">
      <c r="A65" s="10">
        <f>IF(TRIM(CLEAN(SUBSTITUTE(Items!A65&amp;""," "," ")))="","",TRIM(CLEAN(SUBSTITUTE(Items!A65&amp;""," "," "))))</f>
        <v/>
      </c>
      <c r="B65" s="10">
        <f>IF($A65="","",Items!B65&amp;"")</f>
        <v/>
      </c>
      <c r="C65" s="10">
        <f>IF($A65="","",SUBSTITUTE(SUBSTITUTE(SUBSTITUTE(SUBSTITUTE(CLEAN(Items!D65&amp;"")," ",""),".","")," ",""),"-",""))</f>
        <v/>
      </c>
      <c r="D65" s="10">
        <f>IF($A65="","",LEFT($C65,2))</f>
        <v/>
      </c>
      <c r="E65" s="10">
        <f>IF($A65="","",UPPER(TRIM(CLEAN(SUBSTITUTE(Items!E65&amp;""," "," ")))))</f>
        <v/>
      </c>
      <c r="F65" s="10">
        <f>IF($A65="","",IF(UPPER(TRIM(CLEAN(SUBSTITUTE(Items!C65&amp;""," "," "))))=UPPER(TRIM(CLEAN(SUBSTITUTE(act_Country&amp;""," "," ")))),"Y","N"))</f>
        <v/>
      </c>
      <c r="G65" s="10">
        <f>IF($A65="","",IF($AM65&gt;0,"Y","N"))</f>
        <v/>
      </c>
      <c r="H65" s="10">
        <f>IF($A65="","",IF(SUMPRODUCT((excl_HTS&lt;&gt;"")*(LEFT($C65,LEN(excl_HTS))=excl_HTS))&gt;0,"Y","N"))</f>
        <v/>
      </c>
      <c r="I65" s="10">
        <f>IF($A65="","",IF($E65="","N",IF(SUMPRODUCT(--(UPPER(TRIM(CLEAN(SUBSTITUTE(scope_COO&amp;""," "," "))))=$E65))&gt;0,"Y","N")))</f>
        <v/>
      </c>
      <c r="J65" s="10">
        <f>IF($A65="","",IF(AND(UPPER(TRIM(CLEAN(SUBSTITUTE(act_USMCAExempt&amp;""," "," "))))="Y",UPPER(TRIM(CLEAN(SUBSTITUTE(Items!F65&amp;""," "," "))))="Y"),"Y","N"))</f>
        <v/>
      </c>
      <c r="K65" s="10">
        <f>IF($A65="","",IF($AQ65=0,"",UPPER(TRIM(CLEAN(SUBSTITUTE(INDEX(det_Status,$AQ65)&amp;""," "," "))))))</f>
        <v/>
      </c>
      <c r="L65" s="10">
        <f>IF($A65="","",IF($F65="N","N",IF($K65="IN","Y",IF($K65="OUT","N",IF(AND($G65="Y",$H65="N",$I65="Y",$J65="N"),"Y","N")))))</f>
        <v/>
      </c>
      <c r="M65" s="10">
        <f>IF($A65="","",IF($F65="N","Out: different import country",IF($K65="IN","In: Research determination",IF($K65="OUT","Out: Research determination",IF($G65="N","Out: HTS not on scope list",IF($H65="Y","Out: HTS on exclusion list",IF($I65="N","Out: origin not on scope list",IF($J65="Y","Out: USMCA-qualifying, exempt","In: matches scope rules"))))))))</f>
        <v/>
      </c>
      <c r="N65" s="10">
        <f>IF(OR($A65="",$AM65=0),"",UPPER(TRIM(CLEAN(SUBSTITUTE(INDEX(scope_Group,MOD($AM65,1000))&amp;""," "," ")))))</f>
        <v/>
      </c>
      <c r="O65" s="10">
        <f>IF($L65&lt;&gt;"Y","",IF($AO65=0,"Default (B15)",UPPER(TRIM(CLEAN(SUBSTITUTE(INDEX(rate_ID,MOD($AO65,100))&amp;""," "," "))))))</f>
        <v/>
      </c>
      <c r="P65" s="10">
        <f>IF($L65&lt;&gt;"Y","",IF($AO65=0,IF(UPPER(TRIM(CLEAN(SUBSTITUTE(act_DefaultBase&amp;""," "," "))))="PART","PART","FULL"),IF(UPPER(TRIM(CLEAN(SUBSTITUTE(INDEX(rate_Base,MOD($AO65,100))&amp;""," "," "))))="PART","PART","FULL")))</f>
        <v/>
      </c>
      <c r="Q65" s="17">
        <f>IF($A65="","",N(Items!J65))</f>
        <v/>
      </c>
      <c r="R65" s="17">
        <f>IF($A65="","",IF($L65&lt;&gt;"Y",0,IF($AO65=0,N(act_Rate),N(INDEX(rate_Rate,MOD($AO65,100))))))</f>
        <v/>
      </c>
      <c r="S65" s="17">
        <f>IF($A65="","",IF($L65&lt;&gt;"Y",0,IF($AO65=0,IF(UPPER(TRIM(CLEAN(SUBSTITUTE(act_RateType&amp;""," "," "))))="REPLACE",N(act_PriorRate),0),IF(ISNUMBER(INDEX(rate_Prior,MOD($AO65,100))),INDEX(rate_Prior,MOD($AO65,100)),IF(UPPER(TRIM(CLEAN(SUBSTITUTE(act_RateType&amp;""," "," "))))="REPLACE",N(act_PriorRate),0)))))</f>
        <v/>
      </c>
      <c r="T65" s="17">
        <f>IF($A65="","",IF(AND($L65="Y",$P65="PART",ISNUMBER(Items!M65)),Items!M65,1))</f>
        <v/>
      </c>
      <c r="U65" s="17">
        <f>IF($A65="","",IF($L65&lt;&gt;"Y",0,IF($AQ65&gt;0,IF(ISNUMBER(INDEX(det_Displaced,$AQ65)),INDEX(det_Displaced,$AQ65),IF($AO65=0,0,N(INDEX(rate_Displaced,MOD($AO65,100))))),IF($AO65=0,0,N(INDEX(rate_Displaced,MOD($AO65,100)))))))</f>
        <v/>
      </c>
      <c r="V65" s="17">
        <f>IF($A65="","",IF($L65="Y",$Q65+$T65*($R65-$S65)-$U65,$Q65))</f>
        <v/>
      </c>
      <c r="W65" s="18">
        <f>IF($A65="","",N(Items!H65)*$Q65)</f>
        <v/>
      </c>
      <c r="X65" s="18">
        <f>IF($A65="","",N(Items!H65)*$V65)</f>
        <v/>
      </c>
      <c r="Y65" s="18">
        <f>IF($A65="","",$X65-$W65)</f>
        <v/>
      </c>
      <c r="Z65" s="18">
        <f>IF($A65="","",N(Items!K65)+$Y65)</f>
        <v/>
      </c>
      <c r="AA65" s="17">
        <f>IF($A65="","",IF(N(Items!L65)=0,"",(N(Items!L65)-N(Items!K65))/N(Items!L65)))</f>
        <v/>
      </c>
      <c r="AB65" s="17">
        <f>IF($A65="","",IF(N(Items!L65)=0,"",(N(Items!L65)-$Z65)/N(Items!L65)))</f>
        <v/>
      </c>
      <c r="AC65" s="17">
        <f>IF(OR($AA65="",$AB65=""),"",$AB65-$AA65)</f>
        <v/>
      </c>
      <c r="AD65" s="13">
        <f>IF($A65="","",N(Items!I65))</f>
        <v/>
      </c>
      <c r="AE65" s="19">
        <f>IF($A65="","",$Y65*$AD65)</f>
        <v/>
      </c>
      <c r="AF65" s="10">
        <f>IF($A65="","",IF(N(Items!L65)&gt;0,"Y","N"))</f>
        <v/>
      </c>
      <c r="AG65" s="19">
        <f>IF($A65="","",IF($AF65="Y",N(Items!L65)*$AD65,0))</f>
        <v/>
      </c>
      <c r="AH65" s="19">
        <f>IF($A65="","",IF($AF65="Y",(N(Items!L65)-N(Items!K65))*$AD65,0))</f>
        <v/>
      </c>
      <c r="AI65" s="19">
        <f>IF($A65="","",IF($AF65="Y",$AH65-$AE65,0))</f>
        <v/>
      </c>
      <c r="AJ65" s="10">
        <f>IF($A65="","",IF(COUNTIF($AL$5:$AL$254,$AL65)&gt;1,"CHECK: duplicate item and import country",IF(TRIM(CLEAN(SUBSTITUTE(Items!C65&amp;""," "," ")))="","CHECK: import country missing",IF(AND(UPPER(TRIM(CLEAN(SUBSTITUTE(Items!C65&amp;""," "," "))))&lt;&gt;"US",UPPER(TRIM(CLEAN(SUBSTITUTE(Items!C65&amp;""," "," "))))&lt;&gt;"CA",UPPER(TRIM(CLEAN(SUBSTITUTE(Items!C65&amp;""," "," "))))&lt;&gt;"MX"),"CHECK: import country must be US, CA or MX",IF(NOT(AND(LEN($C65)=10,IFERROR(TEXT(VALUE($C65),REPT("0",LEN($C65)))=$C65,FALSE))),"CHECK: HTS must be 10 digits",IF(LEN($E65)&lt;&gt;2,"CHECK: origin code missing or not 2 letters",IF(TRIM(CLEAN(SUBSTITUTE(Items!G65&amp;""," "," ")))="","CHECK: unit of measure missing",IF(OR(Items!H65="",Items!J65="",Items!K65=""),"CHECK: value, rate or cost missing",IF(OR(NOT(ISNUMBER(Items!H65)),NOT(ISNUMBER(Items!J65)),NOT(ISNUMBER(Items!K65)),AND(Items!I65&lt;&gt;"",NOT(ISNUMBER(Items!I65))),AND(Items!L65&lt;&gt;"",NOT(ISNUMBER(Items!L65))),AND(Items!M65&lt;&gt;"",NOT(ISNUMBER(Items!M65)))),"CHECK: text in a number column",IF(AND(ISNUMBER(Items!M65),OR(N(Items!M65)&lt;0,N(Items!M65)&gt;1)),"CHECK: dutiable share must be 0% to 100%",IF(AND(UPPER(TRIM(CLEAN(SUBSTITUTE(Items!F65&amp;""," "," "))))&lt;&gt;"",UPPER(TRIM(CLEAN(SUBSTITUTE(Items!F65&amp;""," "," "))))&lt;&gt;"Y",UPPER(TRIM(CLEAN(SUBSTITUTE(Items!F65&amp;""," "," "))))&lt;&gt;"N"),"CHECK: USMCA flag must be Y, N or blank",IF(AND(UPPER(TRIM(CLEAN(SUBSTITUTE(Items!F65&amp;""," "," "))))="Y",$E65&lt;&gt;"US",$E65&lt;&gt;"CA",$E65&lt;&gt;"MX"),"CHECK: USMCA flag on an origin other than US, CA or MX",IF(AND($L65="Y",$AO65=0,NOT(ISNUMBER(act_Rate))),"CHECK: in scope but no rate (add a rate line or B15)",IF(AND($L65="Y",UPPER(TRIM(CLEAN(SUBSTITUTE(act_RateType&amp;""," "," "))))="REPLACE",NOT(ISNUMBER(act_PriorRate)),IF($AO65=0,TRUE,NOT(ISNUMBER(INDEX(rate_Prior,MOD($AO65,100)))))),"CHECK: REPLACE but no earlier rate (B17 or the rate line's AD)",IF(AND($L65="Y",$AP65&gt;1),"CHECK: two rate lines match equally",IF(AND($L65="Y",$AN65&gt;1),"CHECK: HTS prefix listed twice on the scope list",IF(AND($L65="Y",$P65="PART",NOT(ISNUMBER(Items!M65))),"CHECK: dutiable share missing (PART base)",IF(AND($L65="Y",$P65="FULL",ISNUMBER(Items!M65),N(Items!M65)&lt;&gt;1),"CHECK: dutiable share entered, but the rate taxes the full value",IF(AND($L65="Y",$Q65+0.0000001&lt;$T65*$S65+$U65),"CHECK: current rate is below the duty being replaced or displaced",IF(AND($L65="Y",$AD65=0),"NOTE: in scope, no quantity",IF(AND($L65="Y",$AF65="N"),"NOTE: in scope, no sell price (left out of margin %)",IF(AND($L65="Y",N(Items!H65)&gt;N(Items!K65)),"NOTE: customs value above standard cost (check unit of measure)",IF(AND($L65="Y",$Q65&gt;1),"NOTE: current rate above 100% (check it was entered as a percentage)","OK")))))))))))))))))))))))</f>
        <v/>
      </c>
      <c r="AK65" s="20">
        <f>IF($A65="","",IF(AND($L65="Y",$AE65&lt;&gt;0),ABS($AE65)+ROW()/1000000000,""))</f>
        <v/>
      </c>
      <c r="AL65" s="10">
        <f>IF($A65="","",UPPER($A65)&amp;"/"&amp;UPPER(TRIM(CLEAN(SUBSTITUTE(Items!C65&amp;""," "," ")))))</f>
        <v/>
      </c>
      <c r="AM65" s="13">
        <f>IF($A65="",0,SUMPRODUCT(MAX((scope_HTS&lt;&gt;"")*(LEFT($C65,LEN(scope_HTS))=scope_HTS)*(LEN(scope_HTS)*1000+ROW(scope_HTS)-4))))</f>
        <v/>
      </c>
      <c r="AN65" s="13">
        <f>IF($AM65=0,0,SUMPRODUCT((scope_HTS&lt;&gt;"")*(LEFT($C65,LEN(scope_HTS))=scope_HTS)*(LEN(scope_HTS)=INT($AM65/1000))))</f>
        <v/>
      </c>
      <c r="AO65" s="13">
        <f>IF($L65&lt;&gt;"Y",0,SUMPRODUCT(MAX(ISNUMBER(rate_Rate)*((UPPER(TRIM(CLEAN(SUBSTITUTE(rate_Group&amp;""," "," "))))="")+(UPPER(TRIM(CLEAN(SUBSTITUTE(rate_Group&amp;""," "," "))))=$N65)&gt;0)*((UPPER(TRIM(CLEAN(SUBSTITUTE(rate_COO&amp;""," "," "))))="")+(UPPER(TRIM(CLEAN(SUBSTITUTE(rate_COO&amp;""," "," "))))=$E65)&gt;0)*((UPPER(TRIM(CLEAN(SUBSTITUTE(rate_USMCA&amp;""," "," "))))="")+(UPPER(TRIM(CLEAN(SUBSTITUTE(rate_USMCA&amp;""," "," "))))=IF(UPPER(TRIM(CLEAN(SUBSTITUTE(Items!F65&amp;""," "," "))))="Y","Y","N"))&gt;0)*((1+(UPPER(TRIM(CLEAN(SUBSTITUTE(rate_Group&amp;""," "," "))))&lt;&gt;"")+2*(UPPER(TRIM(CLEAN(SUBSTITUTE(rate_USMCA&amp;""," "," "))))&lt;&gt;"")+4*(UPPER(TRIM(CLEAN(SUBSTITUTE(rate_COO&amp;""," "," "))))&lt;&gt;""))*100+ROW(rate_Rate)-4))))</f>
        <v/>
      </c>
      <c r="AP65" s="13">
        <f>IF($AO65=0,0,SUMPRODUCT(ISNUMBER(rate_Rate)*((UPPER(TRIM(CLEAN(SUBSTITUTE(rate_Group&amp;""," "," "))))="")+(UPPER(TRIM(CLEAN(SUBSTITUTE(rate_Group&amp;""," "," "))))=$N65)&gt;0)*((UPPER(TRIM(CLEAN(SUBSTITUTE(rate_COO&amp;""," "," "))))="")+(UPPER(TRIM(CLEAN(SUBSTITUTE(rate_COO&amp;""," "," "))))=$E65)&gt;0)*((UPPER(TRIM(CLEAN(SUBSTITUTE(rate_USMCA&amp;""," "," "))))="")+(UPPER(TRIM(CLEAN(SUBSTITUTE(rate_USMCA&amp;""," "," "))))=IF(UPPER(TRIM(CLEAN(SUBSTITUTE(Items!F65&amp;""," "," "))))="Y","Y","N"))&gt;0)*((1+(UPPER(TRIM(CLEAN(SUBSTITUTE(rate_Group&amp;""," "," "))))&lt;&gt;"")+2*(UPPER(TRIM(CLEAN(SUBSTITUTE(rate_USMCA&amp;""," "," "))))&lt;&gt;"")+4*(UPPER(TRIM(CLEAN(SUBSTITUTE(rate_COO&amp;""," "," "))))&lt;&gt;""))=INT($AO65/100))))</f>
        <v/>
      </c>
      <c r="AQ65" s="13">
        <f>IF($A65="",0,IFERROR(MATCH($AL65,det_Key,0),0))</f>
        <v/>
      </c>
    </row>
    <row r="66">
      <c r="A66" s="10">
        <f>IF(TRIM(CLEAN(SUBSTITUTE(Items!A66&amp;""," "," ")))="","",TRIM(CLEAN(SUBSTITUTE(Items!A66&amp;""," "," "))))</f>
        <v/>
      </c>
      <c r="B66" s="10">
        <f>IF($A66="","",Items!B66&amp;"")</f>
        <v/>
      </c>
      <c r="C66" s="10">
        <f>IF($A66="","",SUBSTITUTE(SUBSTITUTE(SUBSTITUTE(SUBSTITUTE(CLEAN(Items!D66&amp;"")," ",""),".","")," ",""),"-",""))</f>
        <v/>
      </c>
      <c r="D66" s="10">
        <f>IF($A66="","",LEFT($C66,2))</f>
        <v/>
      </c>
      <c r="E66" s="10">
        <f>IF($A66="","",UPPER(TRIM(CLEAN(SUBSTITUTE(Items!E66&amp;""," "," ")))))</f>
        <v/>
      </c>
      <c r="F66" s="10">
        <f>IF($A66="","",IF(UPPER(TRIM(CLEAN(SUBSTITUTE(Items!C66&amp;""," "," "))))=UPPER(TRIM(CLEAN(SUBSTITUTE(act_Country&amp;""," "," ")))),"Y","N"))</f>
        <v/>
      </c>
      <c r="G66" s="10">
        <f>IF($A66="","",IF($AM66&gt;0,"Y","N"))</f>
        <v/>
      </c>
      <c r="H66" s="10">
        <f>IF($A66="","",IF(SUMPRODUCT((excl_HTS&lt;&gt;"")*(LEFT($C66,LEN(excl_HTS))=excl_HTS))&gt;0,"Y","N"))</f>
        <v/>
      </c>
      <c r="I66" s="10">
        <f>IF($A66="","",IF($E66="","N",IF(SUMPRODUCT(--(UPPER(TRIM(CLEAN(SUBSTITUTE(scope_COO&amp;""," "," "))))=$E66))&gt;0,"Y","N")))</f>
        <v/>
      </c>
      <c r="J66" s="10">
        <f>IF($A66="","",IF(AND(UPPER(TRIM(CLEAN(SUBSTITUTE(act_USMCAExempt&amp;""," "," "))))="Y",UPPER(TRIM(CLEAN(SUBSTITUTE(Items!F66&amp;""," "," "))))="Y"),"Y","N"))</f>
        <v/>
      </c>
      <c r="K66" s="10">
        <f>IF($A66="","",IF($AQ66=0,"",UPPER(TRIM(CLEAN(SUBSTITUTE(INDEX(det_Status,$AQ66)&amp;""," "," "))))))</f>
        <v/>
      </c>
      <c r="L66" s="10">
        <f>IF($A66="","",IF($F66="N","N",IF($K66="IN","Y",IF($K66="OUT","N",IF(AND($G66="Y",$H66="N",$I66="Y",$J66="N"),"Y","N")))))</f>
        <v/>
      </c>
      <c r="M66" s="10">
        <f>IF($A66="","",IF($F66="N","Out: different import country",IF($K66="IN","In: Research determination",IF($K66="OUT","Out: Research determination",IF($G66="N","Out: HTS not on scope list",IF($H66="Y","Out: HTS on exclusion list",IF($I66="N","Out: origin not on scope list",IF($J66="Y","Out: USMCA-qualifying, exempt","In: matches scope rules"))))))))</f>
        <v/>
      </c>
      <c r="N66" s="10">
        <f>IF(OR($A66="",$AM66=0),"",UPPER(TRIM(CLEAN(SUBSTITUTE(INDEX(scope_Group,MOD($AM66,1000))&amp;""," "," ")))))</f>
        <v/>
      </c>
      <c r="O66" s="10">
        <f>IF($L66&lt;&gt;"Y","",IF($AO66=0,"Default (B15)",UPPER(TRIM(CLEAN(SUBSTITUTE(INDEX(rate_ID,MOD($AO66,100))&amp;""," "," "))))))</f>
        <v/>
      </c>
      <c r="P66" s="10">
        <f>IF($L66&lt;&gt;"Y","",IF($AO66=0,IF(UPPER(TRIM(CLEAN(SUBSTITUTE(act_DefaultBase&amp;""," "," "))))="PART","PART","FULL"),IF(UPPER(TRIM(CLEAN(SUBSTITUTE(INDEX(rate_Base,MOD($AO66,100))&amp;""," "," "))))="PART","PART","FULL")))</f>
        <v/>
      </c>
      <c r="Q66" s="17">
        <f>IF($A66="","",N(Items!J66))</f>
        <v/>
      </c>
      <c r="R66" s="17">
        <f>IF($A66="","",IF($L66&lt;&gt;"Y",0,IF($AO66=0,N(act_Rate),N(INDEX(rate_Rate,MOD($AO66,100))))))</f>
        <v/>
      </c>
      <c r="S66" s="17">
        <f>IF($A66="","",IF($L66&lt;&gt;"Y",0,IF($AO66=0,IF(UPPER(TRIM(CLEAN(SUBSTITUTE(act_RateType&amp;""," "," "))))="REPLACE",N(act_PriorRate),0),IF(ISNUMBER(INDEX(rate_Prior,MOD($AO66,100))),INDEX(rate_Prior,MOD($AO66,100)),IF(UPPER(TRIM(CLEAN(SUBSTITUTE(act_RateType&amp;""," "," "))))="REPLACE",N(act_PriorRate),0)))))</f>
        <v/>
      </c>
      <c r="T66" s="17">
        <f>IF($A66="","",IF(AND($L66="Y",$P66="PART",ISNUMBER(Items!M66)),Items!M66,1))</f>
        <v/>
      </c>
      <c r="U66" s="17">
        <f>IF($A66="","",IF($L66&lt;&gt;"Y",0,IF($AQ66&gt;0,IF(ISNUMBER(INDEX(det_Displaced,$AQ66)),INDEX(det_Displaced,$AQ66),IF($AO66=0,0,N(INDEX(rate_Displaced,MOD($AO66,100))))),IF($AO66=0,0,N(INDEX(rate_Displaced,MOD($AO66,100)))))))</f>
        <v/>
      </c>
      <c r="V66" s="17">
        <f>IF($A66="","",IF($L66="Y",$Q66+$T66*($R66-$S66)-$U66,$Q66))</f>
        <v/>
      </c>
      <c r="W66" s="18">
        <f>IF($A66="","",N(Items!H66)*$Q66)</f>
        <v/>
      </c>
      <c r="X66" s="18">
        <f>IF($A66="","",N(Items!H66)*$V66)</f>
        <v/>
      </c>
      <c r="Y66" s="18">
        <f>IF($A66="","",$X66-$W66)</f>
        <v/>
      </c>
      <c r="Z66" s="18">
        <f>IF($A66="","",N(Items!K66)+$Y66)</f>
        <v/>
      </c>
      <c r="AA66" s="17">
        <f>IF($A66="","",IF(N(Items!L66)=0,"",(N(Items!L66)-N(Items!K66))/N(Items!L66)))</f>
        <v/>
      </c>
      <c r="AB66" s="17">
        <f>IF($A66="","",IF(N(Items!L66)=0,"",(N(Items!L66)-$Z66)/N(Items!L66)))</f>
        <v/>
      </c>
      <c r="AC66" s="17">
        <f>IF(OR($AA66="",$AB66=""),"",$AB66-$AA66)</f>
        <v/>
      </c>
      <c r="AD66" s="13">
        <f>IF($A66="","",N(Items!I66))</f>
        <v/>
      </c>
      <c r="AE66" s="19">
        <f>IF($A66="","",$Y66*$AD66)</f>
        <v/>
      </c>
      <c r="AF66" s="10">
        <f>IF($A66="","",IF(N(Items!L66)&gt;0,"Y","N"))</f>
        <v/>
      </c>
      <c r="AG66" s="19">
        <f>IF($A66="","",IF($AF66="Y",N(Items!L66)*$AD66,0))</f>
        <v/>
      </c>
      <c r="AH66" s="19">
        <f>IF($A66="","",IF($AF66="Y",(N(Items!L66)-N(Items!K66))*$AD66,0))</f>
        <v/>
      </c>
      <c r="AI66" s="19">
        <f>IF($A66="","",IF($AF66="Y",$AH66-$AE66,0))</f>
        <v/>
      </c>
      <c r="AJ66" s="10">
        <f>IF($A66="","",IF(COUNTIF($AL$5:$AL$254,$AL66)&gt;1,"CHECK: duplicate item and import country",IF(TRIM(CLEAN(SUBSTITUTE(Items!C66&amp;""," "," ")))="","CHECK: import country missing",IF(AND(UPPER(TRIM(CLEAN(SUBSTITUTE(Items!C66&amp;""," "," "))))&lt;&gt;"US",UPPER(TRIM(CLEAN(SUBSTITUTE(Items!C66&amp;""," "," "))))&lt;&gt;"CA",UPPER(TRIM(CLEAN(SUBSTITUTE(Items!C66&amp;""," "," "))))&lt;&gt;"MX"),"CHECK: import country must be US, CA or MX",IF(NOT(AND(LEN($C66)=10,IFERROR(TEXT(VALUE($C66),REPT("0",LEN($C66)))=$C66,FALSE))),"CHECK: HTS must be 10 digits",IF(LEN($E66)&lt;&gt;2,"CHECK: origin code missing or not 2 letters",IF(TRIM(CLEAN(SUBSTITUTE(Items!G66&amp;""," "," ")))="","CHECK: unit of measure missing",IF(OR(Items!H66="",Items!J66="",Items!K66=""),"CHECK: value, rate or cost missing",IF(OR(NOT(ISNUMBER(Items!H66)),NOT(ISNUMBER(Items!J66)),NOT(ISNUMBER(Items!K66)),AND(Items!I66&lt;&gt;"",NOT(ISNUMBER(Items!I66))),AND(Items!L66&lt;&gt;"",NOT(ISNUMBER(Items!L66))),AND(Items!M66&lt;&gt;"",NOT(ISNUMBER(Items!M66)))),"CHECK: text in a number column",IF(AND(ISNUMBER(Items!M66),OR(N(Items!M66)&lt;0,N(Items!M66)&gt;1)),"CHECK: dutiable share must be 0% to 100%",IF(AND(UPPER(TRIM(CLEAN(SUBSTITUTE(Items!F66&amp;""," "," "))))&lt;&gt;"",UPPER(TRIM(CLEAN(SUBSTITUTE(Items!F66&amp;""," "," "))))&lt;&gt;"Y",UPPER(TRIM(CLEAN(SUBSTITUTE(Items!F66&amp;""," "," "))))&lt;&gt;"N"),"CHECK: USMCA flag must be Y, N or blank",IF(AND(UPPER(TRIM(CLEAN(SUBSTITUTE(Items!F66&amp;""," "," "))))="Y",$E66&lt;&gt;"US",$E66&lt;&gt;"CA",$E66&lt;&gt;"MX"),"CHECK: USMCA flag on an origin other than US, CA or MX",IF(AND($L66="Y",$AO66=0,NOT(ISNUMBER(act_Rate))),"CHECK: in scope but no rate (add a rate line or B15)",IF(AND($L66="Y",UPPER(TRIM(CLEAN(SUBSTITUTE(act_RateType&amp;""," "," "))))="REPLACE",NOT(ISNUMBER(act_PriorRate)),IF($AO66=0,TRUE,NOT(ISNUMBER(INDEX(rate_Prior,MOD($AO66,100)))))),"CHECK: REPLACE but no earlier rate (B17 or the rate line's AD)",IF(AND($L66="Y",$AP66&gt;1),"CHECK: two rate lines match equally",IF(AND($L66="Y",$AN66&gt;1),"CHECK: HTS prefix listed twice on the scope list",IF(AND($L66="Y",$P66="PART",NOT(ISNUMBER(Items!M66))),"CHECK: dutiable share missing (PART base)",IF(AND($L66="Y",$P66="FULL",ISNUMBER(Items!M66),N(Items!M66)&lt;&gt;1),"CHECK: dutiable share entered, but the rate taxes the full value",IF(AND($L66="Y",$Q66+0.0000001&lt;$T66*$S66+$U66),"CHECK: current rate is below the duty being replaced or displaced",IF(AND($L66="Y",$AD66=0),"NOTE: in scope, no quantity",IF(AND($L66="Y",$AF66="N"),"NOTE: in scope, no sell price (left out of margin %)",IF(AND($L66="Y",N(Items!H66)&gt;N(Items!K66)),"NOTE: customs value above standard cost (check unit of measure)",IF(AND($L66="Y",$Q66&gt;1),"NOTE: current rate above 100% (check it was entered as a percentage)","OK")))))))))))))))))))))))</f>
        <v/>
      </c>
      <c r="AK66" s="20">
        <f>IF($A66="","",IF(AND($L66="Y",$AE66&lt;&gt;0),ABS($AE66)+ROW()/1000000000,""))</f>
        <v/>
      </c>
      <c r="AL66" s="10">
        <f>IF($A66="","",UPPER($A66)&amp;"/"&amp;UPPER(TRIM(CLEAN(SUBSTITUTE(Items!C66&amp;""," "," ")))))</f>
        <v/>
      </c>
      <c r="AM66" s="13">
        <f>IF($A66="",0,SUMPRODUCT(MAX((scope_HTS&lt;&gt;"")*(LEFT($C66,LEN(scope_HTS))=scope_HTS)*(LEN(scope_HTS)*1000+ROW(scope_HTS)-4))))</f>
        <v/>
      </c>
      <c r="AN66" s="13">
        <f>IF($AM66=0,0,SUMPRODUCT((scope_HTS&lt;&gt;"")*(LEFT($C66,LEN(scope_HTS))=scope_HTS)*(LEN(scope_HTS)=INT($AM66/1000))))</f>
        <v/>
      </c>
      <c r="AO66" s="13">
        <f>IF($L66&lt;&gt;"Y",0,SUMPRODUCT(MAX(ISNUMBER(rate_Rate)*((UPPER(TRIM(CLEAN(SUBSTITUTE(rate_Group&amp;""," "," "))))="")+(UPPER(TRIM(CLEAN(SUBSTITUTE(rate_Group&amp;""," "," "))))=$N66)&gt;0)*((UPPER(TRIM(CLEAN(SUBSTITUTE(rate_COO&amp;""," "," "))))="")+(UPPER(TRIM(CLEAN(SUBSTITUTE(rate_COO&amp;""," "," "))))=$E66)&gt;0)*((UPPER(TRIM(CLEAN(SUBSTITUTE(rate_USMCA&amp;""," "," "))))="")+(UPPER(TRIM(CLEAN(SUBSTITUTE(rate_USMCA&amp;""," "," "))))=IF(UPPER(TRIM(CLEAN(SUBSTITUTE(Items!F66&amp;""," "," "))))="Y","Y","N"))&gt;0)*((1+(UPPER(TRIM(CLEAN(SUBSTITUTE(rate_Group&amp;""," "," "))))&lt;&gt;"")+2*(UPPER(TRIM(CLEAN(SUBSTITUTE(rate_USMCA&amp;""," "," "))))&lt;&gt;"")+4*(UPPER(TRIM(CLEAN(SUBSTITUTE(rate_COO&amp;""," "," "))))&lt;&gt;""))*100+ROW(rate_Rate)-4))))</f>
        <v/>
      </c>
      <c r="AP66" s="13">
        <f>IF($AO66=0,0,SUMPRODUCT(ISNUMBER(rate_Rate)*((UPPER(TRIM(CLEAN(SUBSTITUTE(rate_Group&amp;""," "," "))))="")+(UPPER(TRIM(CLEAN(SUBSTITUTE(rate_Group&amp;""," "," "))))=$N66)&gt;0)*((UPPER(TRIM(CLEAN(SUBSTITUTE(rate_COO&amp;""," "," "))))="")+(UPPER(TRIM(CLEAN(SUBSTITUTE(rate_COO&amp;""," "," "))))=$E66)&gt;0)*((UPPER(TRIM(CLEAN(SUBSTITUTE(rate_USMCA&amp;""," "," "))))="")+(UPPER(TRIM(CLEAN(SUBSTITUTE(rate_USMCA&amp;""," "," "))))=IF(UPPER(TRIM(CLEAN(SUBSTITUTE(Items!F66&amp;""," "," "))))="Y","Y","N"))&gt;0)*((1+(UPPER(TRIM(CLEAN(SUBSTITUTE(rate_Group&amp;""," "," "))))&lt;&gt;"")+2*(UPPER(TRIM(CLEAN(SUBSTITUTE(rate_USMCA&amp;""," "," "))))&lt;&gt;"")+4*(UPPER(TRIM(CLEAN(SUBSTITUTE(rate_COO&amp;""," "," "))))&lt;&gt;""))=INT($AO66/100))))</f>
        <v/>
      </c>
      <c r="AQ66" s="13">
        <f>IF($A66="",0,IFERROR(MATCH($AL66,det_Key,0),0))</f>
        <v/>
      </c>
    </row>
    <row r="67">
      <c r="A67" s="10">
        <f>IF(TRIM(CLEAN(SUBSTITUTE(Items!A67&amp;""," "," ")))="","",TRIM(CLEAN(SUBSTITUTE(Items!A67&amp;""," "," "))))</f>
        <v/>
      </c>
      <c r="B67" s="10">
        <f>IF($A67="","",Items!B67&amp;"")</f>
        <v/>
      </c>
      <c r="C67" s="10">
        <f>IF($A67="","",SUBSTITUTE(SUBSTITUTE(SUBSTITUTE(SUBSTITUTE(CLEAN(Items!D67&amp;"")," ",""),".","")," ",""),"-",""))</f>
        <v/>
      </c>
      <c r="D67" s="10">
        <f>IF($A67="","",LEFT($C67,2))</f>
        <v/>
      </c>
      <c r="E67" s="10">
        <f>IF($A67="","",UPPER(TRIM(CLEAN(SUBSTITUTE(Items!E67&amp;""," "," ")))))</f>
        <v/>
      </c>
      <c r="F67" s="10">
        <f>IF($A67="","",IF(UPPER(TRIM(CLEAN(SUBSTITUTE(Items!C67&amp;""," "," "))))=UPPER(TRIM(CLEAN(SUBSTITUTE(act_Country&amp;""," "," ")))),"Y","N"))</f>
        <v/>
      </c>
      <c r="G67" s="10">
        <f>IF($A67="","",IF($AM67&gt;0,"Y","N"))</f>
        <v/>
      </c>
      <c r="H67" s="10">
        <f>IF($A67="","",IF(SUMPRODUCT((excl_HTS&lt;&gt;"")*(LEFT($C67,LEN(excl_HTS))=excl_HTS))&gt;0,"Y","N"))</f>
        <v/>
      </c>
      <c r="I67" s="10">
        <f>IF($A67="","",IF($E67="","N",IF(SUMPRODUCT(--(UPPER(TRIM(CLEAN(SUBSTITUTE(scope_COO&amp;""," "," "))))=$E67))&gt;0,"Y","N")))</f>
        <v/>
      </c>
      <c r="J67" s="10">
        <f>IF($A67="","",IF(AND(UPPER(TRIM(CLEAN(SUBSTITUTE(act_USMCAExempt&amp;""," "," "))))="Y",UPPER(TRIM(CLEAN(SUBSTITUTE(Items!F67&amp;""," "," "))))="Y"),"Y","N"))</f>
        <v/>
      </c>
      <c r="K67" s="10">
        <f>IF($A67="","",IF($AQ67=0,"",UPPER(TRIM(CLEAN(SUBSTITUTE(INDEX(det_Status,$AQ67)&amp;""," "," "))))))</f>
        <v/>
      </c>
      <c r="L67" s="10">
        <f>IF($A67="","",IF($F67="N","N",IF($K67="IN","Y",IF($K67="OUT","N",IF(AND($G67="Y",$H67="N",$I67="Y",$J67="N"),"Y","N")))))</f>
        <v/>
      </c>
      <c r="M67" s="10">
        <f>IF($A67="","",IF($F67="N","Out: different import country",IF($K67="IN","In: Research determination",IF($K67="OUT","Out: Research determination",IF($G67="N","Out: HTS not on scope list",IF($H67="Y","Out: HTS on exclusion list",IF($I67="N","Out: origin not on scope list",IF($J67="Y","Out: USMCA-qualifying, exempt","In: matches scope rules"))))))))</f>
        <v/>
      </c>
      <c r="N67" s="10">
        <f>IF(OR($A67="",$AM67=0),"",UPPER(TRIM(CLEAN(SUBSTITUTE(INDEX(scope_Group,MOD($AM67,1000))&amp;""," "," ")))))</f>
        <v/>
      </c>
      <c r="O67" s="10">
        <f>IF($L67&lt;&gt;"Y","",IF($AO67=0,"Default (B15)",UPPER(TRIM(CLEAN(SUBSTITUTE(INDEX(rate_ID,MOD($AO67,100))&amp;""," "," "))))))</f>
        <v/>
      </c>
      <c r="P67" s="10">
        <f>IF($L67&lt;&gt;"Y","",IF($AO67=0,IF(UPPER(TRIM(CLEAN(SUBSTITUTE(act_DefaultBase&amp;""," "," "))))="PART","PART","FULL"),IF(UPPER(TRIM(CLEAN(SUBSTITUTE(INDEX(rate_Base,MOD($AO67,100))&amp;""," "," "))))="PART","PART","FULL")))</f>
        <v/>
      </c>
      <c r="Q67" s="17">
        <f>IF($A67="","",N(Items!J67))</f>
        <v/>
      </c>
      <c r="R67" s="17">
        <f>IF($A67="","",IF($L67&lt;&gt;"Y",0,IF($AO67=0,N(act_Rate),N(INDEX(rate_Rate,MOD($AO67,100))))))</f>
        <v/>
      </c>
      <c r="S67" s="17">
        <f>IF($A67="","",IF($L67&lt;&gt;"Y",0,IF($AO67=0,IF(UPPER(TRIM(CLEAN(SUBSTITUTE(act_RateType&amp;""," "," "))))="REPLACE",N(act_PriorRate),0),IF(ISNUMBER(INDEX(rate_Prior,MOD($AO67,100))),INDEX(rate_Prior,MOD($AO67,100)),IF(UPPER(TRIM(CLEAN(SUBSTITUTE(act_RateType&amp;""," "," "))))="REPLACE",N(act_PriorRate),0)))))</f>
        <v/>
      </c>
      <c r="T67" s="17">
        <f>IF($A67="","",IF(AND($L67="Y",$P67="PART",ISNUMBER(Items!M67)),Items!M67,1))</f>
        <v/>
      </c>
      <c r="U67" s="17">
        <f>IF($A67="","",IF($L67&lt;&gt;"Y",0,IF($AQ67&gt;0,IF(ISNUMBER(INDEX(det_Displaced,$AQ67)),INDEX(det_Displaced,$AQ67),IF($AO67=0,0,N(INDEX(rate_Displaced,MOD($AO67,100))))),IF($AO67=0,0,N(INDEX(rate_Displaced,MOD($AO67,100)))))))</f>
        <v/>
      </c>
      <c r="V67" s="17">
        <f>IF($A67="","",IF($L67="Y",$Q67+$T67*($R67-$S67)-$U67,$Q67))</f>
        <v/>
      </c>
      <c r="W67" s="18">
        <f>IF($A67="","",N(Items!H67)*$Q67)</f>
        <v/>
      </c>
      <c r="X67" s="18">
        <f>IF($A67="","",N(Items!H67)*$V67)</f>
        <v/>
      </c>
      <c r="Y67" s="18">
        <f>IF($A67="","",$X67-$W67)</f>
        <v/>
      </c>
      <c r="Z67" s="18">
        <f>IF($A67="","",N(Items!K67)+$Y67)</f>
        <v/>
      </c>
      <c r="AA67" s="17">
        <f>IF($A67="","",IF(N(Items!L67)=0,"",(N(Items!L67)-N(Items!K67))/N(Items!L67)))</f>
        <v/>
      </c>
      <c r="AB67" s="17">
        <f>IF($A67="","",IF(N(Items!L67)=0,"",(N(Items!L67)-$Z67)/N(Items!L67)))</f>
        <v/>
      </c>
      <c r="AC67" s="17">
        <f>IF(OR($AA67="",$AB67=""),"",$AB67-$AA67)</f>
        <v/>
      </c>
      <c r="AD67" s="13">
        <f>IF($A67="","",N(Items!I67))</f>
        <v/>
      </c>
      <c r="AE67" s="19">
        <f>IF($A67="","",$Y67*$AD67)</f>
        <v/>
      </c>
      <c r="AF67" s="10">
        <f>IF($A67="","",IF(N(Items!L67)&gt;0,"Y","N"))</f>
        <v/>
      </c>
      <c r="AG67" s="19">
        <f>IF($A67="","",IF($AF67="Y",N(Items!L67)*$AD67,0))</f>
        <v/>
      </c>
      <c r="AH67" s="19">
        <f>IF($A67="","",IF($AF67="Y",(N(Items!L67)-N(Items!K67))*$AD67,0))</f>
        <v/>
      </c>
      <c r="AI67" s="19">
        <f>IF($A67="","",IF($AF67="Y",$AH67-$AE67,0))</f>
        <v/>
      </c>
      <c r="AJ67" s="10">
        <f>IF($A67="","",IF(COUNTIF($AL$5:$AL$254,$AL67)&gt;1,"CHECK: duplicate item and import country",IF(TRIM(CLEAN(SUBSTITUTE(Items!C67&amp;""," "," ")))="","CHECK: import country missing",IF(AND(UPPER(TRIM(CLEAN(SUBSTITUTE(Items!C67&amp;""," "," "))))&lt;&gt;"US",UPPER(TRIM(CLEAN(SUBSTITUTE(Items!C67&amp;""," "," "))))&lt;&gt;"CA",UPPER(TRIM(CLEAN(SUBSTITUTE(Items!C67&amp;""," "," "))))&lt;&gt;"MX"),"CHECK: import country must be US, CA or MX",IF(NOT(AND(LEN($C67)=10,IFERROR(TEXT(VALUE($C67),REPT("0",LEN($C67)))=$C67,FALSE))),"CHECK: HTS must be 10 digits",IF(LEN($E67)&lt;&gt;2,"CHECK: origin code missing or not 2 letters",IF(TRIM(CLEAN(SUBSTITUTE(Items!G67&amp;""," "," ")))="","CHECK: unit of measure missing",IF(OR(Items!H67="",Items!J67="",Items!K67=""),"CHECK: value, rate or cost missing",IF(OR(NOT(ISNUMBER(Items!H67)),NOT(ISNUMBER(Items!J67)),NOT(ISNUMBER(Items!K67)),AND(Items!I67&lt;&gt;"",NOT(ISNUMBER(Items!I67))),AND(Items!L67&lt;&gt;"",NOT(ISNUMBER(Items!L67))),AND(Items!M67&lt;&gt;"",NOT(ISNUMBER(Items!M67)))),"CHECK: text in a number column",IF(AND(ISNUMBER(Items!M67),OR(N(Items!M67)&lt;0,N(Items!M67)&gt;1)),"CHECK: dutiable share must be 0% to 100%",IF(AND(UPPER(TRIM(CLEAN(SUBSTITUTE(Items!F67&amp;""," "," "))))&lt;&gt;"",UPPER(TRIM(CLEAN(SUBSTITUTE(Items!F67&amp;""," "," "))))&lt;&gt;"Y",UPPER(TRIM(CLEAN(SUBSTITUTE(Items!F67&amp;""," "," "))))&lt;&gt;"N"),"CHECK: USMCA flag must be Y, N or blank",IF(AND(UPPER(TRIM(CLEAN(SUBSTITUTE(Items!F67&amp;""," "," "))))="Y",$E67&lt;&gt;"US",$E67&lt;&gt;"CA",$E67&lt;&gt;"MX"),"CHECK: USMCA flag on an origin other than US, CA or MX",IF(AND($L67="Y",$AO67=0,NOT(ISNUMBER(act_Rate))),"CHECK: in scope but no rate (add a rate line or B15)",IF(AND($L67="Y",UPPER(TRIM(CLEAN(SUBSTITUTE(act_RateType&amp;""," "," "))))="REPLACE",NOT(ISNUMBER(act_PriorRate)),IF($AO67=0,TRUE,NOT(ISNUMBER(INDEX(rate_Prior,MOD($AO67,100)))))),"CHECK: REPLACE but no earlier rate (B17 or the rate line's AD)",IF(AND($L67="Y",$AP67&gt;1),"CHECK: two rate lines match equally",IF(AND($L67="Y",$AN67&gt;1),"CHECK: HTS prefix listed twice on the scope list",IF(AND($L67="Y",$P67="PART",NOT(ISNUMBER(Items!M67))),"CHECK: dutiable share missing (PART base)",IF(AND($L67="Y",$P67="FULL",ISNUMBER(Items!M67),N(Items!M67)&lt;&gt;1),"CHECK: dutiable share entered, but the rate taxes the full value",IF(AND($L67="Y",$Q67+0.0000001&lt;$T67*$S67+$U67),"CHECK: current rate is below the duty being replaced or displaced",IF(AND($L67="Y",$AD67=0),"NOTE: in scope, no quantity",IF(AND($L67="Y",$AF67="N"),"NOTE: in scope, no sell price (left out of margin %)",IF(AND($L67="Y",N(Items!H67)&gt;N(Items!K67)),"NOTE: customs value above standard cost (check unit of measure)",IF(AND($L67="Y",$Q67&gt;1),"NOTE: current rate above 100% (check it was entered as a percentage)","OK")))))))))))))))))))))))</f>
        <v/>
      </c>
      <c r="AK67" s="20">
        <f>IF($A67="","",IF(AND($L67="Y",$AE67&lt;&gt;0),ABS($AE67)+ROW()/1000000000,""))</f>
        <v/>
      </c>
      <c r="AL67" s="10">
        <f>IF($A67="","",UPPER($A67)&amp;"/"&amp;UPPER(TRIM(CLEAN(SUBSTITUTE(Items!C67&amp;""," "," ")))))</f>
        <v/>
      </c>
      <c r="AM67" s="13">
        <f>IF($A67="",0,SUMPRODUCT(MAX((scope_HTS&lt;&gt;"")*(LEFT($C67,LEN(scope_HTS))=scope_HTS)*(LEN(scope_HTS)*1000+ROW(scope_HTS)-4))))</f>
        <v/>
      </c>
      <c r="AN67" s="13">
        <f>IF($AM67=0,0,SUMPRODUCT((scope_HTS&lt;&gt;"")*(LEFT($C67,LEN(scope_HTS))=scope_HTS)*(LEN(scope_HTS)=INT($AM67/1000))))</f>
        <v/>
      </c>
      <c r="AO67" s="13">
        <f>IF($L67&lt;&gt;"Y",0,SUMPRODUCT(MAX(ISNUMBER(rate_Rate)*((UPPER(TRIM(CLEAN(SUBSTITUTE(rate_Group&amp;""," "," "))))="")+(UPPER(TRIM(CLEAN(SUBSTITUTE(rate_Group&amp;""," "," "))))=$N67)&gt;0)*((UPPER(TRIM(CLEAN(SUBSTITUTE(rate_COO&amp;""," "," "))))="")+(UPPER(TRIM(CLEAN(SUBSTITUTE(rate_COO&amp;""," "," "))))=$E67)&gt;0)*((UPPER(TRIM(CLEAN(SUBSTITUTE(rate_USMCA&amp;""," "," "))))="")+(UPPER(TRIM(CLEAN(SUBSTITUTE(rate_USMCA&amp;""," "," "))))=IF(UPPER(TRIM(CLEAN(SUBSTITUTE(Items!F67&amp;""," "," "))))="Y","Y","N"))&gt;0)*((1+(UPPER(TRIM(CLEAN(SUBSTITUTE(rate_Group&amp;""," "," "))))&lt;&gt;"")+2*(UPPER(TRIM(CLEAN(SUBSTITUTE(rate_USMCA&amp;""," "," "))))&lt;&gt;"")+4*(UPPER(TRIM(CLEAN(SUBSTITUTE(rate_COO&amp;""," "," "))))&lt;&gt;""))*100+ROW(rate_Rate)-4))))</f>
        <v/>
      </c>
      <c r="AP67" s="13">
        <f>IF($AO67=0,0,SUMPRODUCT(ISNUMBER(rate_Rate)*((UPPER(TRIM(CLEAN(SUBSTITUTE(rate_Group&amp;""," "," "))))="")+(UPPER(TRIM(CLEAN(SUBSTITUTE(rate_Group&amp;""," "," "))))=$N67)&gt;0)*((UPPER(TRIM(CLEAN(SUBSTITUTE(rate_COO&amp;""," "," "))))="")+(UPPER(TRIM(CLEAN(SUBSTITUTE(rate_COO&amp;""," "," "))))=$E67)&gt;0)*((UPPER(TRIM(CLEAN(SUBSTITUTE(rate_USMCA&amp;""," "," "))))="")+(UPPER(TRIM(CLEAN(SUBSTITUTE(rate_USMCA&amp;""," "," "))))=IF(UPPER(TRIM(CLEAN(SUBSTITUTE(Items!F67&amp;""," "," "))))="Y","Y","N"))&gt;0)*((1+(UPPER(TRIM(CLEAN(SUBSTITUTE(rate_Group&amp;""," "," "))))&lt;&gt;"")+2*(UPPER(TRIM(CLEAN(SUBSTITUTE(rate_USMCA&amp;""," "," "))))&lt;&gt;"")+4*(UPPER(TRIM(CLEAN(SUBSTITUTE(rate_COO&amp;""," "," "))))&lt;&gt;""))=INT($AO67/100))))</f>
        <v/>
      </c>
      <c r="AQ67" s="13">
        <f>IF($A67="",0,IFERROR(MATCH($AL67,det_Key,0),0))</f>
        <v/>
      </c>
    </row>
    <row r="68">
      <c r="A68" s="10">
        <f>IF(TRIM(CLEAN(SUBSTITUTE(Items!A68&amp;""," "," ")))="","",TRIM(CLEAN(SUBSTITUTE(Items!A68&amp;""," "," "))))</f>
        <v/>
      </c>
      <c r="B68" s="10">
        <f>IF($A68="","",Items!B68&amp;"")</f>
        <v/>
      </c>
      <c r="C68" s="10">
        <f>IF($A68="","",SUBSTITUTE(SUBSTITUTE(SUBSTITUTE(SUBSTITUTE(CLEAN(Items!D68&amp;"")," ",""),".","")," ",""),"-",""))</f>
        <v/>
      </c>
      <c r="D68" s="10">
        <f>IF($A68="","",LEFT($C68,2))</f>
        <v/>
      </c>
      <c r="E68" s="10">
        <f>IF($A68="","",UPPER(TRIM(CLEAN(SUBSTITUTE(Items!E68&amp;""," "," ")))))</f>
        <v/>
      </c>
      <c r="F68" s="10">
        <f>IF($A68="","",IF(UPPER(TRIM(CLEAN(SUBSTITUTE(Items!C68&amp;""," "," "))))=UPPER(TRIM(CLEAN(SUBSTITUTE(act_Country&amp;""," "," ")))),"Y","N"))</f>
        <v/>
      </c>
      <c r="G68" s="10">
        <f>IF($A68="","",IF($AM68&gt;0,"Y","N"))</f>
        <v/>
      </c>
      <c r="H68" s="10">
        <f>IF($A68="","",IF(SUMPRODUCT((excl_HTS&lt;&gt;"")*(LEFT($C68,LEN(excl_HTS))=excl_HTS))&gt;0,"Y","N"))</f>
        <v/>
      </c>
      <c r="I68" s="10">
        <f>IF($A68="","",IF($E68="","N",IF(SUMPRODUCT(--(UPPER(TRIM(CLEAN(SUBSTITUTE(scope_COO&amp;""," "," "))))=$E68))&gt;0,"Y","N")))</f>
        <v/>
      </c>
      <c r="J68" s="10">
        <f>IF($A68="","",IF(AND(UPPER(TRIM(CLEAN(SUBSTITUTE(act_USMCAExempt&amp;""," "," "))))="Y",UPPER(TRIM(CLEAN(SUBSTITUTE(Items!F68&amp;""," "," "))))="Y"),"Y","N"))</f>
        <v/>
      </c>
      <c r="K68" s="10">
        <f>IF($A68="","",IF($AQ68=0,"",UPPER(TRIM(CLEAN(SUBSTITUTE(INDEX(det_Status,$AQ68)&amp;""," "," "))))))</f>
        <v/>
      </c>
      <c r="L68" s="10">
        <f>IF($A68="","",IF($F68="N","N",IF($K68="IN","Y",IF($K68="OUT","N",IF(AND($G68="Y",$H68="N",$I68="Y",$J68="N"),"Y","N")))))</f>
        <v/>
      </c>
      <c r="M68" s="10">
        <f>IF($A68="","",IF($F68="N","Out: different import country",IF($K68="IN","In: Research determination",IF($K68="OUT","Out: Research determination",IF($G68="N","Out: HTS not on scope list",IF($H68="Y","Out: HTS on exclusion list",IF($I68="N","Out: origin not on scope list",IF($J68="Y","Out: USMCA-qualifying, exempt","In: matches scope rules"))))))))</f>
        <v/>
      </c>
      <c r="N68" s="10">
        <f>IF(OR($A68="",$AM68=0),"",UPPER(TRIM(CLEAN(SUBSTITUTE(INDEX(scope_Group,MOD($AM68,1000))&amp;""," "," ")))))</f>
        <v/>
      </c>
      <c r="O68" s="10">
        <f>IF($L68&lt;&gt;"Y","",IF($AO68=0,"Default (B15)",UPPER(TRIM(CLEAN(SUBSTITUTE(INDEX(rate_ID,MOD($AO68,100))&amp;""," "," "))))))</f>
        <v/>
      </c>
      <c r="P68" s="10">
        <f>IF($L68&lt;&gt;"Y","",IF($AO68=0,IF(UPPER(TRIM(CLEAN(SUBSTITUTE(act_DefaultBase&amp;""," "," "))))="PART","PART","FULL"),IF(UPPER(TRIM(CLEAN(SUBSTITUTE(INDEX(rate_Base,MOD($AO68,100))&amp;""," "," "))))="PART","PART","FULL")))</f>
        <v/>
      </c>
      <c r="Q68" s="17">
        <f>IF($A68="","",N(Items!J68))</f>
        <v/>
      </c>
      <c r="R68" s="17">
        <f>IF($A68="","",IF($L68&lt;&gt;"Y",0,IF($AO68=0,N(act_Rate),N(INDEX(rate_Rate,MOD($AO68,100))))))</f>
        <v/>
      </c>
      <c r="S68" s="17">
        <f>IF($A68="","",IF($L68&lt;&gt;"Y",0,IF($AO68=0,IF(UPPER(TRIM(CLEAN(SUBSTITUTE(act_RateType&amp;""," "," "))))="REPLACE",N(act_PriorRate),0),IF(ISNUMBER(INDEX(rate_Prior,MOD($AO68,100))),INDEX(rate_Prior,MOD($AO68,100)),IF(UPPER(TRIM(CLEAN(SUBSTITUTE(act_RateType&amp;""," "," "))))="REPLACE",N(act_PriorRate),0)))))</f>
        <v/>
      </c>
      <c r="T68" s="17">
        <f>IF($A68="","",IF(AND($L68="Y",$P68="PART",ISNUMBER(Items!M68)),Items!M68,1))</f>
        <v/>
      </c>
      <c r="U68" s="17">
        <f>IF($A68="","",IF($L68&lt;&gt;"Y",0,IF($AQ68&gt;0,IF(ISNUMBER(INDEX(det_Displaced,$AQ68)),INDEX(det_Displaced,$AQ68),IF($AO68=0,0,N(INDEX(rate_Displaced,MOD($AO68,100))))),IF($AO68=0,0,N(INDEX(rate_Displaced,MOD($AO68,100)))))))</f>
        <v/>
      </c>
      <c r="V68" s="17">
        <f>IF($A68="","",IF($L68="Y",$Q68+$T68*($R68-$S68)-$U68,$Q68))</f>
        <v/>
      </c>
      <c r="W68" s="18">
        <f>IF($A68="","",N(Items!H68)*$Q68)</f>
        <v/>
      </c>
      <c r="X68" s="18">
        <f>IF($A68="","",N(Items!H68)*$V68)</f>
        <v/>
      </c>
      <c r="Y68" s="18">
        <f>IF($A68="","",$X68-$W68)</f>
        <v/>
      </c>
      <c r="Z68" s="18">
        <f>IF($A68="","",N(Items!K68)+$Y68)</f>
        <v/>
      </c>
      <c r="AA68" s="17">
        <f>IF($A68="","",IF(N(Items!L68)=0,"",(N(Items!L68)-N(Items!K68))/N(Items!L68)))</f>
        <v/>
      </c>
      <c r="AB68" s="17">
        <f>IF($A68="","",IF(N(Items!L68)=0,"",(N(Items!L68)-$Z68)/N(Items!L68)))</f>
        <v/>
      </c>
      <c r="AC68" s="17">
        <f>IF(OR($AA68="",$AB68=""),"",$AB68-$AA68)</f>
        <v/>
      </c>
      <c r="AD68" s="13">
        <f>IF($A68="","",N(Items!I68))</f>
        <v/>
      </c>
      <c r="AE68" s="19">
        <f>IF($A68="","",$Y68*$AD68)</f>
        <v/>
      </c>
      <c r="AF68" s="10">
        <f>IF($A68="","",IF(N(Items!L68)&gt;0,"Y","N"))</f>
        <v/>
      </c>
      <c r="AG68" s="19">
        <f>IF($A68="","",IF($AF68="Y",N(Items!L68)*$AD68,0))</f>
        <v/>
      </c>
      <c r="AH68" s="19">
        <f>IF($A68="","",IF($AF68="Y",(N(Items!L68)-N(Items!K68))*$AD68,0))</f>
        <v/>
      </c>
      <c r="AI68" s="19">
        <f>IF($A68="","",IF($AF68="Y",$AH68-$AE68,0))</f>
        <v/>
      </c>
      <c r="AJ68" s="10">
        <f>IF($A68="","",IF(COUNTIF($AL$5:$AL$254,$AL68)&gt;1,"CHECK: duplicate item and import country",IF(TRIM(CLEAN(SUBSTITUTE(Items!C68&amp;""," "," ")))="","CHECK: import country missing",IF(AND(UPPER(TRIM(CLEAN(SUBSTITUTE(Items!C68&amp;""," "," "))))&lt;&gt;"US",UPPER(TRIM(CLEAN(SUBSTITUTE(Items!C68&amp;""," "," "))))&lt;&gt;"CA",UPPER(TRIM(CLEAN(SUBSTITUTE(Items!C68&amp;""," "," "))))&lt;&gt;"MX"),"CHECK: import country must be US, CA or MX",IF(NOT(AND(LEN($C68)=10,IFERROR(TEXT(VALUE($C68),REPT("0",LEN($C68)))=$C68,FALSE))),"CHECK: HTS must be 10 digits",IF(LEN($E68)&lt;&gt;2,"CHECK: origin code missing or not 2 letters",IF(TRIM(CLEAN(SUBSTITUTE(Items!G68&amp;""," "," ")))="","CHECK: unit of measure missing",IF(OR(Items!H68="",Items!J68="",Items!K68=""),"CHECK: value, rate or cost missing",IF(OR(NOT(ISNUMBER(Items!H68)),NOT(ISNUMBER(Items!J68)),NOT(ISNUMBER(Items!K68)),AND(Items!I68&lt;&gt;"",NOT(ISNUMBER(Items!I68))),AND(Items!L68&lt;&gt;"",NOT(ISNUMBER(Items!L68))),AND(Items!M68&lt;&gt;"",NOT(ISNUMBER(Items!M68)))),"CHECK: text in a number column",IF(AND(ISNUMBER(Items!M68),OR(N(Items!M68)&lt;0,N(Items!M68)&gt;1)),"CHECK: dutiable share must be 0% to 100%",IF(AND(UPPER(TRIM(CLEAN(SUBSTITUTE(Items!F68&amp;""," "," "))))&lt;&gt;"",UPPER(TRIM(CLEAN(SUBSTITUTE(Items!F68&amp;""," "," "))))&lt;&gt;"Y",UPPER(TRIM(CLEAN(SUBSTITUTE(Items!F68&amp;""," "," "))))&lt;&gt;"N"),"CHECK: USMCA flag must be Y, N or blank",IF(AND(UPPER(TRIM(CLEAN(SUBSTITUTE(Items!F68&amp;""," "," "))))="Y",$E68&lt;&gt;"US",$E68&lt;&gt;"CA",$E68&lt;&gt;"MX"),"CHECK: USMCA flag on an origin other than US, CA or MX",IF(AND($L68="Y",$AO68=0,NOT(ISNUMBER(act_Rate))),"CHECK: in scope but no rate (add a rate line or B15)",IF(AND($L68="Y",UPPER(TRIM(CLEAN(SUBSTITUTE(act_RateType&amp;""," "," "))))="REPLACE",NOT(ISNUMBER(act_PriorRate)),IF($AO68=0,TRUE,NOT(ISNUMBER(INDEX(rate_Prior,MOD($AO68,100)))))),"CHECK: REPLACE but no earlier rate (B17 or the rate line's AD)",IF(AND($L68="Y",$AP68&gt;1),"CHECK: two rate lines match equally",IF(AND($L68="Y",$AN68&gt;1),"CHECK: HTS prefix listed twice on the scope list",IF(AND($L68="Y",$P68="PART",NOT(ISNUMBER(Items!M68))),"CHECK: dutiable share missing (PART base)",IF(AND($L68="Y",$P68="FULL",ISNUMBER(Items!M68),N(Items!M68)&lt;&gt;1),"CHECK: dutiable share entered, but the rate taxes the full value",IF(AND($L68="Y",$Q68+0.0000001&lt;$T68*$S68+$U68),"CHECK: current rate is below the duty being replaced or displaced",IF(AND($L68="Y",$AD68=0),"NOTE: in scope, no quantity",IF(AND($L68="Y",$AF68="N"),"NOTE: in scope, no sell price (left out of margin %)",IF(AND($L68="Y",N(Items!H68)&gt;N(Items!K68)),"NOTE: customs value above standard cost (check unit of measure)",IF(AND($L68="Y",$Q68&gt;1),"NOTE: current rate above 100% (check it was entered as a percentage)","OK")))))))))))))))))))))))</f>
        <v/>
      </c>
      <c r="AK68" s="20">
        <f>IF($A68="","",IF(AND($L68="Y",$AE68&lt;&gt;0),ABS($AE68)+ROW()/1000000000,""))</f>
        <v/>
      </c>
      <c r="AL68" s="10">
        <f>IF($A68="","",UPPER($A68)&amp;"/"&amp;UPPER(TRIM(CLEAN(SUBSTITUTE(Items!C68&amp;""," "," ")))))</f>
        <v/>
      </c>
      <c r="AM68" s="13">
        <f>IF($A68="",0,SUMPRODUCT(MAX((scope_HTS&lt;&gt;"")*(LEFT($C68,LEN(scope_HTS))=scope_HTS)*(LEN(scope_HTS)*1000+ROW(scope_HTS)-4))))</f>
        <v/>
      </c>
      <c r="AN68" s="13">
        <f>IF($AM68=0,0,SUMPRODUCT((scope_HTS&lt;&gt;"")*(LEFT($C68,LEN(scope_HTS))=scope_HTS)*(LEN(scope_HTS)=INT($AM68/1000))))</f>
        <v/>
      </c>
      <c r="AO68" s="13">
        <f>IF($L68&lt;&gt;"Y",0,SUMPRODUCT(MAX(ISNUMBER(rate_Rate)*((UPPER(TRIM(CLEAN(SUBSTITUTE(rate_Group&amp;""," "," "))))="")+(UPPER(TRIM(CLEAN(SUBSTITUTE(rate_Group&amp;""," "," "))))=$N68)&gt;0)*((UPPER(TRIM(CLEAN(SUBSTITUTE(rate_COO&amp;""," "," "))))="")+(UPPER(TRIM(CLEAN(SUBSTITUTE(rate_COO&amp;""," "," "))))=$E68)&gt;0)*((UPPER(TRIM(CLEAN(SUBSTITUTE(rate_USMCA&amp;""," "," "))))="")+(UPPER(TRIM(CLEAN(SUBSTITUTE(rate_USMCA&amp;""," "," "))))=IF(UPPER(TRIM(CLEAN(SUBSTITUTE(Items!F68&amp;""," "," "))))="Y","Y","N"))&gt;0)*((1+(UPPER(TRIM(CLEAN(SUBSTITUTE(rate_Group&amp;""," "," "))))&lt;&gt;"")+2*(UPPER(TRIM(CLEAN(SUBSTITUTE(rate_USMCA&amp;""," "," "))))&lt;&gt;"")+4*(UPPER(TRIM(CLEAN(SUBSTITUTE(rate_COO&amp;""," "," "))))&lt;&gt;""))*100+ROW(rate_Rate)-4))))</f>
        <v/>
      </c>
      <c r="AP68" s="13">
        <f>IF($AO68=0,0,SUMPRODUCT(ISNUMBER(rate_Rate)*((UPPER(TRIM(CLEAN(SUBSTITUTE(rate_Group&amp;""," "," "))))="")+(UPPER(TRIM(CLEAN(SUBSTITUTE(rate_Group&amp;""," "," "))))=$N68)&gt;0)*((UPPER(TRIM(CLEAN(SUBSTITUTE(rate_COO&amp;""," "," "))))="")+(UPPER(TRIM(CLEAN(SUBSTITUTE(rate_COO&amp;""," "," "))))=$E68)&gt;0)*((UPPER(TRIM(CLEAN(SUBSTITUTE(rate_USMCA&amp;""," "," "))))="")+(UPPER(TRIM(CLEAN(SUBSTITUTE(rate_USMCA&amp;""," "," "))))=IF(UPPER(TRIM(CLEAN(SUBSTITUTE(Items!F68&amp;""," "," "))))="Y","Y","N"))&gt;0)*((1+(UPPER(TRIM(CLEAN(SUBSTITUTE(rate_Group&amp;""," "," "))))&lt;&gt;"")+2*(UPPER(TRIM(CLEAN(SUBSTITUTE(rate_USMCA&amp;""," "," "))))&lt;&gt;"")+4*(UPPER(TRIM(CLEAN(SUBSTITUTE(rate_COO&amp;""," "," "))))&lt;&gt;""))=INT($AO68/100))))</f>
        <v/>
      </c>
      <c r="AQ68" s="13">
        <f>IF($A68="",0,IFERROR(MATCH($AL68,det_Key,0),0))</f>
        <v/>
      </c>
    </row>
    <row r="69">
      <c r="A69" s="10">
        <f>IF(TRIM(CLEAN(SUBSTITUTE(Items!A69&amp;""," "," ")))="","",TRIM(CLEAN(SUBSTITUTE(Items!A69&amp;""," "," "))))</f>
        <v/>
      </c>
      <c r="B69" s="10">
        <f>IF($A69="","",Items!B69&amp;"")</f>
        <v/>
      </c>
      <c r="C69" s="10">
        <f>IF($A69="","",SUBSTITUTE(SUBSTITUTE(SUBSTITUTE(SUBSTITUTE(CLEAN(Items!D69&amp;"")," ",""),".","")," ",""),"-",""))</f>
        <v/>
      </c>
      <c r="D69" s="10">
        <f>IF($A69="","",LEFT($C69,2))</f>
        <v/>
      </c>
      <c r="E69" s="10">
        <f>IF($A69="","",UPPER(TRIM(CLEAN(SUBSTITUTE(Items!E69&amp;""," "," ")))))</f>
        <v/>
      </c>
      <c r="F69" s="10">
        <f>IF($A69="","",IF(UPPER(TRIM(CLEAN(SUBSTITUTE(Items!C69&amp;""," "," "))))=UPPER(TRIM(CLEAN(SUBSTITUTE(act_Country&amp;""," "," ")))),"Y","N"))</f>
        <v/>
      </c>
      <c r="G69" s="10">
        <f>IF($A69="","",IF($AM69&gt;0,"Y","N"))</f>
        <v/>
      </c>
      <c r="H69" s="10">
        <f>IF($A69="","",IF(SUMPRODUCT((excl_HTS&lt;&gt;"")*(LEFT($C69,LEN(excl_HTS))=excl_HTS))&gt;0,"Y","N"))</f>
        <v/>
      </c>
      <c r="I69" s="10">
        <f>IF($A69="","",IF($E69="","N",IF(SUMPRODUCT(--(UPPER(TRIM(CLEAN(SUBSTITUTE(scope_COO&amp;""," "," "))))=$E69))&gt;0,"Y","N")))</f>
        <v/>
      </c>
      <c r="J69" s="10">
        <f>IF($A69="","",IF(AND(UPPER(TRIM(CLEAN(SUBSTITUTE(act_USMCAExempt&amp;""," "," "))))="Y",UPPER(TRIM(CLEAN(SUBSTITUTE(Items!F69&amp;""," "," "))))="Y"),"Y","N"))</f>
        <v/>
      </c>
      <c r="K69" s="10">
        <f>IF($A69="","",IF($AQ69=0,"",UPPER(TRIM(CLEAN(SUBSTITUTE(INDEX(det_Status,$AQ69)&amp;""," "," "))))))</f>
        <v/>
      </c>
      <c r="L69" s="10">
        <f>IF($A69="","",IF($F69="N","N",IF($K69="IN","Y",IF($K69="OUT","N",IF(AND($G69="Y",$H69="N",$I69="Y",$J69="N"),"Y","N")))))</f>
        <v/>
      </c>
      <c r="M69" s="10">
        <f>IF($A69="","",IF($F69="N","Out: different import country",IF($K69="IN","In: Research determination",IF($K69="OUT","Out: Research determination",IF($G69="N","Out: HTS not on scope list",IF($H69="Y","Out: HTS on exclusion list",IF($I69="N","Out: origin not on scope list",IF($J69="Y","Out: USMCA-qualifying, exempt","In: matches scope rules"))))))))</f>
        <v/>
      </c>
      <c r="N69" s="10">
        <f>IF(OR($A69="",$AM69=0),"",UPPER(TRIM(CLEAN(SUBSTITUTE(INDEX(scope_Group,MOD($AM69,1000))&amp;""," "," ")))))</f>
        <v/>
      </c>
      <c r="O69" s="10">
        <f>IF($L69&lt;&gt;"Y","",IF($AO69=0,"Default (B15)",UPPER(TRIM(CLEAN(SUBSTITUTE(INDEX(rate_ID,MOD($AO69,100))&amp;""," "," "))))))</f>
        <v/>
      </c>
      <c r="P69" s="10">
        <f>IF($L69&lt;&gt;"Y","",IF($AO69=0,IF(UPPER(TRIM(CLEAN(SUBSTITUTE(act_DefaultBase&amp;""," "," "))))="PART","PART","FULL"),IF(UPPER(TRIM(CLEAN(SUBSTITUTE(INDEX(rate_Base,MOD($AO69,100))&amp;""," "," "))))="PART","PART","FULL")))</f>
        <v/>
      </c>
      <c r="Q69" s="17">
        <f>IF($A69="","",N(Items!J69))</f>
        <v/>
      </c>
      <c r="R69" s="17">
        <f>IF($A69="","",IF($L69&lt;&gt;"Y",0,IF($AO69=0,N(act_Rate),N(INDEX(rate_Rate,MOD($AO69,100))))))</f>
        <v/>
      </c>
      <c r="S69" s="17">
        <f>IF($A69="","",IF($L69&lt;&gt;"Y",0,IF($AO69=0,IF(UPPER(TRIM(CLEAN(SUBSTITUTE(act_RateType&amp;""," "," "))))="REPLACE",N(act_PriorRate),0),IF(ISNUMBER(INDEX(rate_Prior,MOD($AO69,100))),INDEX(rate_Prior,MOD($AO69,100)),IF(UPPER(TRIM(CLEAN(SUBSTITUTE(act_RateType&amp;""," "," "))))="REPLACE",N(act_PriorRate),0)))))</f>
        <v/>
      </c>
      <c r="T69" s="17">
        <f>IF($A69="","",IF(AND($L69="Y",$P69="PART",ISNUMBER(Items!M69)),Items!M69,1))</f>
        <v/>
      </c>
      <c r="U69" s="17">
        <f>IF($A69="","",IF($L69&lt;&gt;"Y",0,IF($AQ69&gt;0,IF(ISNUMBER(INDEX(det_Displaced,$AQ69)),INDEX(det_Displaced,$AQ69),IF($AO69=0,0,N(INDEX(rate_Displaced,MOD($AO69,100))))),IF($AO69=0,0,N(INDEX(rate_Displaced,MOD($AO69,100)))))))</f>
        <v/>
      </c>
      <c r="V69" s="17">
        <f>IF($A69="","",IF($L69="Y",$Q69+$T69*($R69-$S69)-$U69,$Q69))</f>
        <v/>
      </c>
      <c r="W69" s="18">
        <f>IF($A69="","",N(Items!H69)*$Q69)</f>
        <v/>
      </c>
      <c r="X69" s="18">
        <f>IF($A69="","",N(Items!H69)*$V69)</f>
        <v/>
      </c>
      <c r="Y69" s="18">
        <f>IF($A69="","",$X69-$W69)</f>
        <v/>
      </c>
      <c r="Z69" s="18">
        <f>IF($A69="","",N(Items!K69)+$Y69)</f>
        <v/>
      </c>
      <c r="AA69" s="17">
        <f>IF($A69="","",IF(N(Items!L69)=0,"",(N(Items!L69)-N(Items!K69))/N(Items!L69)))</f>
        <v/>
      </c>
      <c r="AB69" s="17">
        <f>IF($A69="","",IF(N(Items!L69)=0,"",(N(Items!L69)-$Z69)/N(Items!L69)))</f>
        <v/>
      </c>
      <c r="AC69" s="17">
        <f>IF(OR($AA69="",$AB69=""),"",$AB69-$AA69)</f>
        <v/>
      </c>
      <c r="AD69" s="13">
        <f>IF($A69="","",N(Items!I69))</f>
        <v/>
      </c>
      <c r="AE69" s="19">
        <f>IF($A69="","",$Y69*$AD69)</f>
        <v/>
      </c>
      <c r="AF69" s="10">
        <f>IF($A69="","",IF(N(Items!L69)&gt;0,"Y","N"))</f>
        <v/>
      </c>
      <c r="AG69" s="19">
        <f>IF($A69="","",IF($AF69="Y",N(Items!L69)*$AD69,0))</f>
        <v/>
      </c>
      <c r="AH69" s="19">
        <f>IF($A69="","",IF($AF69="Y",(N(Items!L69)-N(Items!K69))*$AD69,0))</f>
        <v/>
      </c>
      <c r="AI69" s="19">
        <f>IF($A69="","",IF($AF69="Y",$AH69-$AE69,0))</f>
        <v/>
      </c>
      <c r="AJ69" s="10">
        <f>IF($A69="","",IF(COUNTIF($AL$5:$AL$254,$AL69)&gt;1,"CHECK: duplicate item and import country",IF(TRIM(CLEAN(SUBSTITUTE(Items!C69&amp;""," "," ")))="","CHECK: import country missing",IF(AND(UPPER(TRIM(CLEAN(SUBSTITUTE(Items!C69&amp;""," "," "))))&lt;&gt;"US",UPPER(TRIM(CLEAN(SUBSTITUTE(Items!C69&amp;""," "," "))))&lt;&gt;"CA",UPPER(TRIM(CLEAN(SUBSTITUTE(Items!C69&amp;""," "," "))))&lt;&gt;"MX"),"CHECK: import country must be US, CA or MX",IF(NOT(AND(LEN($C69)=10,IFERROR(TEXT(VALUE($C69),REPT("0",LEN($C69)))=$C69,FALSE))),"CHECK: HTS must be 10 digits",IF(LEN($E69)&lt;&gt;2,"CHECK: origin code missing or not 2 letters",IF(TRIM(CLEAN(SUBSTITUTE(Items!G69&amp;""," "," ")))="","CHECK: unit of measure missing",IF(OR(Items!H69="",Items!J69="",Items!K69=""),"CHECK: value, rate or cost missing",IF(OR(NOT(ISNUMBER(Items!H69)),NOT(ISNUMBER(Items!J69)),NOT(ISNUMBER(Items!K69)),AND(Items!I69&lt;&gt;"",NOT(ISNUMBER(Items!I69))),AND(Items!L69&lt;&gt;"",NOT(ISNUMBER(Items!L69))),AND(Items!M69&lt;&gt;"",NOT(ISNUMBER(Items!M69)))),"CHECK: text in a number column",IF(AND(ISNUMBER(Items!M69),OR(N(Items!M69)&lt;0,N(Items!M69)&gt;1)),"CHECK: dutiable share must be 0% to 100%",IF(AND(UPPER(TRIM(CLEAN(SUBSTITUTE(Items!F69&amp;""," "," "))))&lt;&gt;"",UPPER(TRIM(CLEAN(SUBSTITUTE(Items!F69&amp;""," "," "))))&lt;&gt;"Y",UPPER(TRIM(CLEAN(SUBSTITUTE(Items!F69&amp;""," "," "))))&lt;&gt;"N"),"CHECK: USMCA flag must be Y, N or blank",IF(AND(UPPER(TRIM(CLEAN(SUBSTITUTE(Items!F69&amp;""," "," "))))="Y",$E69&lt;&gt;"US",$E69&lt;&gt;"CA",$E69&lt;&gt;"MX"),"CHECK: USMCA flag on an origin other than US, CA or MX",IF(AND($L69="Y",$AO69=0,NOT(ISNUMBER(act_Rate))),"CHECK: in scope but no rate (add a rate line or B15)",IF(AND($L69="Y",UPPER(TRIM(CLEAN(SUBSTITUTE(act_RateType&amp;""," "," "))))="REPLACE",NOT(ISNUMBER(act_PriorRate)),IF($AO69=0,TRUE,NOT(ISNUMBER(INDEX(rate_Prior,MOD($AO69,100)))))),"CHECK: REPLACE but no earlier rate (B17 or the rate line's AD)",IF(AND($L69="Y",$AP69&gt;1),"CHECK: two rate lines match equally",IF(AND($L69="Y",$AN69&gt;1),"CHECK: HTS prefix listed twice on the scope list",IF(AND($L69="Y",$P69="PART",NOT(ISNUMBER(Items!M69))),"CHECK: dutiable share missing (PART base)",IF(AND($L69="Y",$P69="FULL",ISNUMBER(Items!M69),N(Items!M69)&lt;&gt;1),"CHECK: dutiable share entered, but the rate taxes the full value",IF(AND($L69="Y",$Q69+0.0000001&lt;$T69*$S69+$U69),"CHECK: current rate is below the duty being replaced or displaced",IF(AND($L69="Y",$AD69=0),"NOTE: in scope, no quantity",IF(AND($L69="Y",$AF69="N"),"NOTE: in scope, no sell price (left out of margin %)",IF(AND($L69="Y",N(Items!H69)&gt;N(Items!K69)),"NOTE: customs value above standard cost (check unit of measure)",IF(AND($L69="Y",$Q69&gt;1),"NOTE: current rate above 100% (check it was entered as a percentage)","OK")))))))))))))))))))))))</f>
        <v/>
      </c>
      <c r="AK69" s="20">
        <f>IF($A69="","",IF(AND($L69="Y",$AE69&lt;&gt;0),ABS($AE69)+ROW()/1000000000,""))</f>
        <v/>
      </c>
      <c r="AL69" s="10">
        <f>IF($A69="","",UPPER($A69)&amp;"/"&amp;UPPER(TRIM(CLEAN(SUBSTITUTE(Items!C69&amp;""," "," ")))))</f>
        <v/>
      </c>
      <c r="AM69" s="13">
        <f>IF($A69="",0,SUMPRODUCT(MAX((scope_HTS&lt;&gt;"")*(LEFT($C69,LEN(scope_HTS))=scope_HTS)*(LEN(scope_HTS)*1000+ROW(scope_HTS)-4))))</f>
        <v/>
      </c>
      <c r="AN69" s="13">
        <f>IF($AM69=0,0,SUMPRODUCT((scope_HTS&lt;&gt;"")*(LEFT($C69,LEN(scope_HTS))=scope_HTS)*(LEN(scope_HTS)=INT($AM69/1000))))</f>
        <v/>
      </c>
      <c r="AO69" s="13">
        <f>IF($L69&lt;&gt;"Y",0,SUMPRODUCT(MAX(ISNUMBER(rate_Rate)*((UPPER(TRIM(CLEAN(SUBSTITUTE(rate_Group&amp;""," "," "))))="")+(UPPER(TRIM(CLEAN(SUBSTITUTE(rate_Group&amp;""," "," "))))=$N69)&gt;0)*((UPPER(TRIM(CLEAN(SUBSTITUTE(rate_COO&amp;""," "," "))))="")+(UPPER(TRIM(CLEAN(SUBSTITUTE(rate_COO&amp;""," "," "))))=$E69)&gt;0)*((UPPER(TRIM(CLEAN(SUBSTITUTE(rate_USMCA&amp;""," "," "))))="")+(UPPER(TRIM(CLEAN(SUBSTITUTE(rate_USMCA&amp;""," "," "))))=IF(UPPER(TRIM(CLEAN(SUBSTITUTE(Items!F69&amp;""," "," "))))="Y","Y","N"))&gt;0)*((1+(UPPER(TRIM(CLEAN(SUBSTITUTE(rate_Group&amp;""," "," "))))&lt;&gt;"")+2*(UPPER(TRIM(CLEAN(SUBSTITUTE(rate_USMCA&amp;""," "," "))))&lt;&gt;"")+4*(UPPER(TRIM(CLEAN(SUBSTITUTE(rate_COO&amp;""," "," "))))&lt;&gt;""))*100+ROW(rate_Rate)-4))))</f>
        <v/>
      </c>
      <c r="AP69" s="13">
        <f>IF($AO69=0,0,SUMPRODUCT(ISNUMBER(rate_Rate)*((UPPER(TRIM(CLEAN(SUBSTITUTE(rate_Group&amp;""," "," "))))="")+(UPPER(TRIM(CLEAN(SUBSTITUTE(rate_Group&amp;""," "," "))))=$N69)&gt;0)*((UPPER(TRIM(CLEAN(SUBSTITUTE(rate_COO&amp;""," "," "))))="")+(UPPER(TRIM(CLEAN(SUBSTITUTE(rate_COO&amp;""," "," "))))=$E69)&gt;0)*((UPPER(TRIM(CLEAN(SUBSTITUTE(rate_USMCA&amp;""," "," "))))="")+(UPPER(TRIM(CLEAN(SUBSTITUTE(rate_USMCA&amp;""," "," "))))=IF(UPPER(TRIM(CLEAN(SUBSTITUTE(Items!F69&amp;""," "," "))))="Y","Y","N"))&gt;0)*((1+(UPPER(TRIM(CLEAN(SUBSTITUTE(rate_Group&amp;""," "," "))))&lt;&gt;"")+2*(UPPER(TRIM(CLEAN(SUBSTITUTE(rate_USMCA&amp;""," "," "))))&lt;&gt;"")+4*(UPPER(TRIM(CLEAN(SUBSTITUTE(rate_COO&amp;""," "," "))))&lt;&gt;""))=INT($AO69/100))))</f>
        <v/>
      </c>
      <c r="AQ69" s="13">
        <f>IF($A69="",0,IFERROR(MATCH($AL69,det_Key,0),0))</f>
        <v/>
      </c>
    </row>
    <row r="70">
      <c r="A70" s="10">
        <f>IF(TRIM(CLEAN(SUBSTITUTE(Items!A70&amp;""," "," ")))="","",TRIM(CLEAN(SUBSTITUTE(Items!A70&amp;""," "," "))))</f>
        <v/>
      </c>
      <c r="B70" s="10">
        <f>IF($A70="","",Items!B70&amp;"")</f>
        <v/>
      </c>
      <c r="C70" s="10">
        <f>IF($A70="","",SUBSTITUTE(SUBSTITUTE(SUBSTITUTE(SUBSTITUTE(CLEAN(Items!D70&amp;"")," ",""),".","")," ",""),"-",""))</f>
        <v/>
      </c>
      <c r="D70" s="10">
        <f>IF($A70="","",LEFT($C70,2))</f>
        <v/>
      </c>
      <c r="E70" s="10">
        <f>IF($A70="","",UPPER(TRIM(CLEAN(SUBSTITUTE(Items!E70&amp;""," "," ")))))</f>
        <v/>
      </c>
      <c r="F70" s="10">
        <f>IF($A70="","",IF(UPPER(TRIM(CLEAN(SUBSTITUTE(Items!C70&amp;""," "," "))))=UPPER(TRIM(CLEAN(SUBSTITUTE(act_Country&amp;""," "," ")))),"Y","N"))</f>
        <v/>
      </c>
      <c r="G70" s="10">
        <f>IF($A70="","",IF($AM70&gt;0,"Y","N"))</f>
        <v/>
      </c>
      <c r="H70" s="10">
        <f>IF($A70="","",IF(SUMPRODUCT((excl_HTS&lt;&gt;"")*(LEFT($C70,LEN(excl_HTS))=excl_HTS))&gt;0,"Y","N"))</f>
        <v/>
      </c>
      <c r="I70" s="10">
        <f>IF($A70="","",IF($E70="","N",IF(SUMPRODUCT(--(UPPER(TRIM(CLEAN(SUBSTITUTE(scope_COO&amp;""," "," "))))=$E70))&gt;0,"Y","N")))</f>
        <v/>
      </c>
      <c r="J70" s="10">
        <f>IF($A70="","",IF(AND(UPPER(TRIM(CLEAN(SUBSTITUTE(act_USMCAExempt&amp;""," "," "))))="Y",UPPER(TRIM(CLEAN(SUBSTITUTE(Items!F70&amp;""," "," "))))="Y"),"Y","N"))</f>
        <v/>
      </c>
      <c r="K70" s="10">
        <f>IF($A70="","",IF($AQ70=0,"",UPPER(TRIM(CLEAN(SUBSTITUTE(INDEX(det_Status,$AQ70)&amp;""," "," "))))))</f>
        <v/>
      </c>
      <c r="L70" s="10">
        <f>IF($A70="","",IF($F70="N","N",IF($K70="IN","Y",IF($K70="OUT","N",IF(AND($G70="Y",$H70="N",$I70="Y",$J70="N"),"Y","N")))))</f>
        <v/>
      </c>
      <c r="M70" s="10">
        <f>IF($A70="","",IF($F70="N","Out: different import country",IF($K70="IN","In: Research determination",IF($K70="OUT","Out: Research determination",IF($G70="N","Out: HTS not on scope list",IF($H70="Y","Out: HTS on exclusion list",IF($I70="N","Out: origin not on scope list",IF($J70="Y","Out: USMCA-qualifying, exempt","In: matches scope rules"))))))))</f>
        <v/>
      </c>
      <c r="N70" s="10">
        <f>IF(OR($A70="",$AM70=0),"",UPPER(TRIM(CLEAN(SUBSTITUTE(INDEX(scope_Group,MOD($AM70,1000))&amp;""," "," ")))))</f>
        <v/>
      </c>
      <c r="O70" s="10">
        <f>IF($L70&lt;&gt;"Y","",IF($AO70=0,"Default (B15)",UPPER(TRIM(CLEAN(SUBSTITUTE(INDEX(rate_ID,MOD($AO70,100))&amp;""," "," "))))))</f>
        <v/>
      </c>
      <c r="P70" s="10">
        <f>IF($L70&lt;&gt;"Y","",IF($AO70=0,IF(UPPER(TRIM(CLEAN(SUBSTITUTE(act_DefaultBase&amp;""," "," "))))="PART","PART","FULL"),IF(UPPER(TRIM(CLEAN(SUBSTITUTE(INDEX(rate_Base,MOD($AO70,100))&amp;""," "," "))))="PART","PART","FULL")))</f>
        <v/>
      </c>
      <c r="Q70" s="17">
        <f>IF($A70="","",N(Items!J70))</f>
        <v/>
      </c>
      <c r="R70" s="17">
        <f>IF($A70="","",IF($L70&lt;&gt;"Y",0,IF($AO70=0,N(act_Rate),N(INDEX(rate_Rate,MOD($AO70,100))))))</f>
        <v/>
      </c>
      <c r="S70" s="17">
        <f>IF($A70="","",IF($L70&lt;&gt;"Y",0,IF($AO70=0,IF(UPPER(TRIM(CLEAN(SUBSTITUTE(act_RateType&amp;""," "," "))))="REPLACE",N(act_PriorRate),0),IF(ISNUMBER(INDEX(rate_Prior,MOD($AO70,100))),INDEX(rate_Prior,MOD($AO70,100)),IF(UPPER(TRIM(CLEAN(SUBSTITUTE(act_RateType&amp;""," "," "))))="REPLACE",N(act_PriorRate),0)))))</f>
        <v/>
      </c>
      <c r="T70" s="17">
        <f>IF($A70="","",IF(AND($L70="Y",$P70="PART",ISNUMBER(Items!M70)),Items!M70,1))</f>
        <v/>
      </c>
      <c r="U70" s="17">
        <f>IF($A70="","",IF($L70&lt;&gt;"Y",0,IF($AQ70&gt;0,IF(ISNUMBER(INDEX(det_Displaced,$AQ70)),INDEX(det_Displaced,$AQ70),IF($AO70=0,0,N(INDEX(rate_Displaced,MOD($AO70,100))))),IF($AO70=0,0,N(INDEX(rate_Displaced,MOD($AO70,100)))))))</f>
        <v/>
      </c>
      <c r="V70" s="17">
        <f>IF($A70="","",IF($L70="Y",$Q70+$T70*($R70-$S70)-$U70,$Q70))</f>
        <v/>
      </c>
      <c r="W70" s="18">
        <f>IF($A70="","",N(Items!H70)*$Q70)</f>
        <v/>
      </c>
      <c r="X70" s="18">
        <f>IF($A70="","",N(Items!H70)*$V70)</f>
        <v/>
      </c>
      <c r="Y70" s="18">
        <f>IF($A70="","",$X70-$W70)</f>
        <v/>
      </c>
      <c r="Z70" s="18">
        <f>IF($A70="","",N(Items!K70)+$Y70)</f>
        <v/>
      </c>
      <c r="AA70" s="17">
        <f>IF($A70="","",IF(N(Items!L70)=0,"",(N(Items!L70)-N(Items!K70))/N(Items!L70)))</f>
        <v/>
      </c>
      <c r="AB70" s="17">
        <f>IF($A70="","",IF(N(Items!L70)=0,"",(N(Items!L70)-$Z70)/N(Items!L70)))</f>
        <v/>
      </c>
      <c r="AC70" s="17">
        <f>IF(OR($AA70="",$AB70=""),"",$AB70-$AA70)</f>
        <v/>
      </c>
      <c r="AD70" s="13">
        <f>IF($A70="","",N(Items!I70))</f>
        <v/>
      </c>
      <c r="AE70" s="19">
        <f>IF($A70="","",$Y70*$AD70)</f>
        <v/>
      </c>
      <c r="AF70" s="10">
        <f>IF($A70="","",IF(N(Items!L70)&gt;0,"Y","N"))</f>
        <v/>
      </c>
      <c r="AG70" s="19">
        <f>IF($A70="","",IF($AF70="Y",N(Items!L70)*$AD70,0))</f>
        <v/>
      </c>
      <c r="AH70" s="19">
        <f>IF($A70="","",IF($AF70="Y",(N(Items!L70)-N(Items!K70))*$AD70,0))</f>
        <v/>
      </c>
      <c r="AI70" s="19">
        <f>IF($A70="","",IF($AF70="Y",$AH70-$AE70,0))</f>
        <v/>
      </c>
      <c r="AJ70" s="10">
        <f>IF($A70="","",IF(COUNTIF($AL$5:$AL$254,$AL70)&gt;1,"CHECK: duplicate item and import country",IF(TRIM(CLEAN(SUBSTITUTE(Items!C70&amp;""," "," ")))="","CHECK: import country missing",IF(AND(UPPER(TRIM(CLEAN(SUBSTITUTE(Items!C70&amp;""," "," "))))&lt;&gt;"US",UPPER(TRIM(CLEAN(SUBSTITUTE(Items!C70&amp;""," "," "))))&lt;&gt;"CA",UPPER(TRIM(CLEAN(SUBSTITUTE(Items!C70&amp;""," "," "))))&lt;&gt;"MX"),"CHECK: import country must be US, CA or MX",IF(NOT(AND(LEN($C70)=10,IFERROR(TEXT(VALUE($C70),REPT("0",LEN($C70)))=$C70,FALSE))),"CHECK: HTS must be 10 digits",IF(LEN($E70)&lt;&gt;2,"CHECK: origin code missing or not 2 letters",IF(TRIM(CLEAN(SUBSTITUTE(Items!G70&amp;""," "," ")))="","CHECK: unit of measure missing",IF(OR(Items!H70="",Items!J70="",Items!K70=""),"CHECK: value, rate or cost missing",IF(OR(NOT(ISNUMBER(Items!H70)),NOT(ISNUMBER(Items!J70)),NOT(ISNUMBER(Items!K70)),AND(Items!I70&lt;&gt;"",NOT(ISNUMBER(Items!I70))),AND(Items!L70&lt;&gt;"",NOT(ISNUMBER(Items!L70))),AND(Items!M70&lt;&gt;"",NOT(ISNUMBER(Items!M70)))),"CHECK: text in a number column",IF(AND(ISNUMBER(Items!M70),OR(N(Items!M70)&lt;0,N(Items!M70)&gt;1)),"CHECK: dutiable share must be 0% to 100%",IF(AND(UPPER(TRIM(CLEAN(SUBSTITUTE(Items!F70&amp;""," "," "))))&lt;&gt;"",UPPER(TRIM(CLEAN(SUBSTITUTE(Items!F70&amp;""," "," "))))&lt;&gt;"Y",UPPER(TRIM(CLEAN(SUBSTITUTE(Items!F70&amp;""," "," "))))&lt;&gt;"N"),"CHECK: USMCA flag must be Y, N or blank",IF(AND(UPPER(TRIM(CLEAN(SUBSTITUTE(Items!F70&amp;""," "," "))))="Y",$E70&lt;&gt;"US",$E70&lt;&gt;"CA",$E70&lt;&gt;"MX"),"CHECK: USMCA flag on an origin other than US, CA or MX",IF(AND($L70="Y",$AO70=0,NOT(ISNUMBER(act_Rate))),"CHECK: in scope but no rate (add a rate line or B15)",IF(AND($L70="Y",UPPER(TRIM(CLEAN(SUBSTITUTE(act_RateType&amp;""," "," "))))="REPLACE",NOT(ISNUMBER(act_PriorRate)),IF($AO70=0,TRUE,NOT(ISNUMBER(INDEX(rate_Prior,MOD($AO70,100)))))),"CHECK: REPLACE but no earlier rate (B17 or the rate line's AD)",IF(AND($L70="Y",$AP70&gt;1),"CHECK: two rate lines match equally",IF(AND($L70="Y",$AN70&gt;1),"CHECK: HTS prefix listed twice on the scope list",IF(AND($L70="Y",$P70="PART",NOT(ISNUMBER(Items!M70))),"CHECK: dutiable share missing (PART base)",IF(AND($L70="Y",$P70="FULL",ISNUMBER(Items!M70),N(Items!M70)&lt;&gt;1),"CHECK: dutiable share entered, but the rate taxes the full value",IF(AND($L70="Y",$Q70+0.0000001&lt;$T70*$S70+$U70),"CHECK: current rate is below the duty being replaced or displaced",IF(AND($L70="Y",$AD70=0),"NOTE: in scope, no quantity",IF(AND($L70="Y",$AF70="N"),"NOTE: in scope, no sell price (left out of margin %)",IF(AND($L70="Y",N(Items!H70)&gt;N(Items!K70)),"NOTE: customs value above standard cost (check unit of measure)",IF(AND($L70="Y",$Q70&gt;1),"NOTE: current rate above 100% (check it was entered as a percentage)","OK")))))))))))))))))))))))</f>
        <v/>
      </c>
      <c r="AK70" s="20">
        <f>IF($A70="","",IF(AND($L70="Y",$AE70&lt;&gt;0),ABS($AE70)+ROW()/1000000000,""))</f>
        <v/>
      </c>
      <c r="AL70" s="10">
        <f>IF($A70="","",UPPER($A70)&amp;"/"&amp;UPPER(TRIM(CLEAN(SUBSTITUTE(Items!C70&amp;""," "," ")))))</f>
        <v/>
      </c>
      <c r="AM70" s="13">
        <f>IF($A70="",0,SUMPRODUCT(MAX((scope_HTS&lt;&gt;"")*(LEFT($C70,LEN(scope_HTS))=scope_HTS)*(LEN(scope_HTS)*1000+ROW(scope_HTS)-4))))</f>
        <v/>
      </c>
      <c r="AN70" s="13">
        <f>IF($AM70=0,0,SUMPRODUCT((scope_HTS&lt;&gt;"")*(LEFT($C70,LEN(scope_HTS))=scope_HTS)*(LEN(scope_HTS)=INT($AM70/1000))))</f>
        <v/>
      </c>
      <c r="AO70" s="13">
        <f>IF($L70&lt;&gt;"Y",0,SUMPRODUCT(MAX(ISNUMBER(rate_Rate)*((UPPER(TRIM(CLEAN(SUBSTITUTE(rate_Group&amp;""," "," "))))="")+(UPPER(TRIM(CLEAN(SUBSTITUTE(rate_Group&amp;""," "," "))))=$N70)&gt;0)*((UPPER(TRIM(CLEAN(SUBSTITUTE(rate_COO&amp;""," "," "))))="")+(UPPER(TRIM(CLEAN(SUBSTITUTE(rate_COO&amp;""," "," "))))=$E70)&gt;0)*((UPPER(TRIM(CLEAN(SUBSTITUTE(rate_USMCA&amp;""," "," "))))="")+(UPPER(TRIM(CLEAN(SUBSTITUTE(rate_USMCA&amp;""," "," "))))=IF(UPPER(TRIM(CLEAN(SUBSTITUTE(Items!F70&amp;""," "," "))))="Y","Y","N"))&gt;0)*((1+(UPPER(TRIM(CLEAN(SUBSTITUTE(rate_Group&amp;""," "," "))))&lt;&gt;"")+2*(UPPER(TRIM(CLEAN(SUBSTITUTE(rate_USMCA&amp;""," "," "))))&lt;&gt;"")+4*(UPPER(TRIM(CLEAN(SUBSTITUTE(rate_COO&amp;""," "," "))))&lt;&gt;""))*100+ROW(rate_Rate)-4))))</f>
        <v/>
      </c>
      <c r="AP70" s="13">
        <f>IF($AO70=0,0,SUMPRODUCT(ISNUMBER(rate_Rate)*((UPPER(TRIM(CLEAN(SUBSTITUTE(rate_Group&amp;""," "," "))))="")+(UPPER(TRIM(CLEAN(SUBSTITUTE(rate_Group&amp;""," "," "))))=$N70)&gt;0)*((UPPER(TRIM(CLEAN(SUBSTITUTE(rate_COO&amp;""," "," "))))="")+(UPPER(TRIM(CLEAN(SUBSTITUTE(rate_COO&amp;""," "," "))))=$E70)&gt;0)*((UPPER(TRIM(CLEAN(SUBSTITUTE(rate_USMCA&amp;""," "," "))))="")+(UPPER(TRIM(CLEAN(SUBSTITUTE(rate_USMCA&amp;""," "," "))))=IF(UPPER(TRIM(CLEAN(SUBSTITUTE(Items!F70&amp;""," "," "))))="Y","Y","N"))&gt;0)*((1+(UPPER(TRIM(CLEAN(SUBSTITUTE(rate_Group&amp;""," "," "))))&lt;&gt;"")+2*(UPPER(TRIM(CLEAN(SUBSTITUTE(rate_USMCA&amp;""," "," "))))&lt;&gt;"")+4*(UPPER(TRIM(CLEAN(SUBSTITUTE(rate_COO&amp;""," "," "))))&lt;&gt;""))=INT($AO70/100))))</f>
        <v/>
      </c>
      <c r="AQ70" s="13">
        <f>IF($A70="",0,IFERROR(MATCH($AL70,det_Key,0),0))</f>
        <v/>
      </c>
    </row>
    <row r="71">
      <c r="A71" s="10">
        <f>IF(TRIM(CLEAN(SUBSTITUTE(Items!A71&amp;""," "," ")))="","",TRIM(CLEAN(SUBSTITUTE(Items!A71&amp;""," "," "))))</f>
        <v/>
      </c>
      <c r="B71" s="10">
        <f>IF($A71="","",Items!B71&amp;"")</f>
        <v/>
      </c>
      <c r="C71" s="10">
        <f>IF($A71="","",SUBSTITUTE(SUBSTITUTE(SUBSTITUTE(SUBSTITUTE(CLEAN(Items!D71&amp;"")," ",""),".","")," ",""),"-",""))</f>
        <v/>
      </c>
      <c r="D71" s="10">
        <f>IF($A71="","",LEFT($C71,2))</f>
        <v/>
      </c>
      <c r="E71" s="10">
        <f>IF($A71="","",UPPER(TRIM(CLEAN(SUBSTITUTE(Items!E71&amp;""," "," ")))))</f>
        <v/>
      </c>
      <c r="F71" s="10">
        <f>IF($A71="","",IF(UPPER(TRIM(CLEAN(SUBSTITUTE(Items!C71&amp;""," "," "))))=UPPER(TRIM(CLEAN(SUBSTITUTE(act_Country&amp;""," "," ")))),"Y","N"))</f>
        <v/>
      </c>
      <c r="G71" s="10">
        <f>IF($A71="","",IF($AM71&gt;0,"Y","N"))</f>
        <v/>
      </c>
      <c r="H71" s="10">
        <f>IF($A71="","",IF(SUMPRODUCT((excl_HTS&lt;&gt;"")*(LEFT($C71,LEN(excl_HTS))=excl_HTS))&gt;0,"Y","N"))</f>
        <v/>
      </c>
      <c r="I71" s="10">
        <f>IF($A71="","",IF($E71="","N",IF(SUMPRODUCT(--(UPPER(TRIM(CLEAN(SUBSTITUTE(scope_COO&amp;""," "," "))))=$E71))&gt;0,"Y","N")))</f>
        <v/>
      </c>
      <c r="J71" s="10">
        <f>IF($A71="","",IF(AND(UPPER(TRIM(CLEAN(SUBSTITUTE(act_USMCAExempt&amp;""," "," "))))="Y",UPPER(TRIM(CLEAN(SUBSTITUTE(Items!F71&amp;""," "," "))))="Y"),"Y","N"))</f>
        <v/>
      </c>
      <c r="K71" s="10">
        <f>IF($A71="","",IF($AQ71=0,"",UPPER(TRIM(CLEAN(SUBSTITUTE(INDEX(det_Status,$AQ71)&amp;""," "," "))))))</f>
        <v/>
      </c>
      <c r="L71" s="10">
        <f>IF($A71="","",IF($F71="N","N",IF($K71="IN","Y",IF($K71="OUT","N",IF(AND($G71="Y",$H71="N",$I71="Y",$J71="N"),"Y","N")))))</f>
        <v/>
      </c>
      <c r="M71" s="10">
        <f>IF($A71="","",IF($F71="N","Out: different import country",IF($K71="IN","In: Research determination",IF($K71="OUT","Out: Research determination",IF($G71="N","Out: HTS not on scope list",IF($H71="Y","Out: HTS on exclusion list",IF($I71="N","Out: origin not on scope list",IF($J71="Y","Out: USMCA-qualifying, exempt","In: matches scope rules"))))))))</f>
        <v/>
      </c>
      <c r="N71" s="10">
        <f>IF(OR($A71="",$AM71=0),"",UPPER(TRIM(CLEAN(SUBSTITUTE(INDEX(scope_Group,MOD($AM71,1000))&amp;""," "," ")))))</f>
        <v/>
      </c>
      <c r="O71" s="10">
        <f>IF($L71&lt;&gt;"Y","",IF($AO71=0,"Default (B15)",UPPER(TRIM(CLEAN(SUBSTITUTE(INDEX(rate_ID,MOD($AO71,100))&amp;""," "," "))))))</f>
        <v/>
      </c>
      <c r="P71" s="10">
        <f>IF($L71&lt;&gt;"Y","",IF($AO71=0,IF(UPPER(TRIM(CLEAN(SUBSTITUTE(act_DefaultBase&amp;""," "," "))))="PART","PART","FULL"),IF(UPPER(TRIM(CLEAN(SUBSTITUTE(INDEX(rate_Base,MOD($AO71,100))&amp;""," "," "))))="PART","PART","FULL")))</f>
        <v/>
      </c>
      <c r="Q71" s="17">
        <f>IF($A71="","",N(Items!J71))</f>
        <v/>
      </c>
      <c r="R71" s="17">
        <f>IF($A71="","",IF($L71&lt;&gt;"Y",0,IF($AO71=0,N(act_Rate),N(INDEX(rate_Rate,MOD($AO71,100))))))</f>
        <v/>
      </c>
      <c r="S71" s="17">
        <f>IF($A71="","",IF($L71&lt;&gt;"Y",0,IF($AO71=0,IF(UPPER(TRIM(CLEAN(SUBSTITUTE(act_RateType&amp;""," "," "))))="REPLACE",N(act_PriorRate),0),IF(ISNUMBER(INDEX(rate_Prior,MOD($AO71,100))),INDEX(rate_Prior,MOD($AO71,100)),IF(UPPER(TRIM(CLEAN(SUBSTITUTE(act_RateType&amp;""," "," "))))="REPLACE",N(act_PriorRate),0)))))</f>
        <v/>
      </c>
      <c r="T71" s="17">
        <f>IF($A71="","",IF(AND($L71="Y",$P71="PART",ISNUMBER(Items!M71)),Items!M71,1))</f>
        <v/>
      </c>
      <c r="U71" s="17">
        <f>IF($A71="","",IF($L71&lt;&gt;"Y",0,IF($AQ71&gt;0,IF(ISNUMBER(INDEX(det_Displaced,$AQ71)),INDEX(det_Displaced,$AQ71),IF($AO71=0,0,N(INDEX(rate_Displaced,MOD($AO71,100))))),IF($AO71=0,0,N(INDEX(rate_Displaced,MOD($AO71,100)))))))</f>
        <v/>
      </c>
      <c r="V71" s="17">
        <f>IF($A71="","",IF($L71="Y",$Q71+$T71*($R71-$S71)-$U71,$Q71))</f>
        <v/>
      </c>
      <c r="W71" s="18">
        <f>IF($A71="","",N(Items!H71)*$Q71)</f>
        <v/>
      </c>
      <c r="X71" s="18">
        <f>IF($A71="","",N(Items!H71)*$V71)</f>
        <v/>
      </c>
      <c r="Y71" s="18">
        <f>IF($A71="","",$X71-$W71)</f>
        <v/>
      </c>
      <c r="Z71" s="18">
        <f>IF($A71="","",N(Items!K71)+$Y71)</f>
        <v/>
      </c>
      <c r="AA71" s="17">
        <f>IF($A71="","",IF(N(Items!L71)=0,"",(N(Items!L71)-N(Items!K71))/N(Items!L71)))</f>
        <v/>
      </c>
      <c r="AB71" s="17">
        <f>IF($A71="","",IF(N(Items!L71)=0,"",(N(Items!L71)-$Z71)/N(Items!L71)))</f>
        <v/>
      </c>
      <c r="AC71" s="17">
        <f>IF(OR($AA71="",$AB71=""),"",$AB71-$AA71)</f>
        <v/>
      </c>
      <c r="AD71" s="13">
        <f>IF($A71="","",N(Items!I71))</f>
        <v/>
      </c>
      <c r="AE71" s="19">
        <f>IF($A71="","",$Y71*$AD71)</f>
        <v/>
      </c>
      <c r="AF71" s="10">
        <f>IF($A71="","",IF(N(Items!L71)&gt;0,"Y","N"))</f>
        <v/>
      </c>
      <c r="AG71" s="19">
        <f>IF($A71="","",IF($AF71="Y",N(Items!L71)*$AD71,0))</f>
        <v/>
      </c>
      <c r="AH71" s="19">
        <f>IF($A71="","",IF($AF71="Y",(N(Items!L71)-N(Items!K71))*$AD71,0))</f>
        <v/>
      </c>
      <c r="AI71" s="19">
        <f>IF($A71="","",IF($AF71="Y",$AH71-$AE71,0))</f>
        <v/>
      </c>
      <c r="AJ71" s="10">
        <f>IF($A71="","",IF(COUNTIF($AL$5:$AL$254,$AL71)&gt;1,"CHECK: duplicate item and import country",IF(TRIM(CLEAN(SUBSTITUTE(Items!C71&amp;""," "," ")))="","CHECK: import country missing",IF(AND(UPPER(TRIM(CLEAN(SUBSTITUTE(Items!C71&amp;""," "," "))))&lt;&gt;"US",UPPER(TRIM(CLEAN(SUBSTITUTE(Items!C71&amp;""," "," "))))&lt;&gt;"CA",UPPER(TRIM(CLEAN(SUBSTITUTE(Items!C71&amp;""," "," "))))&lt;&gt;"MX"),"CHECK: import country must be US, CA or MX",IF(NOT(AND(LEN($C71)=10,IFERROR(TEXT(VALUE($C71),REPT("0",LEN($C71)))=$C71,FALSE))),"CHECK: HTS must be 10 digits",IF(LEN($E71)&lt;&gt;2,"CHECK: origin code missing or not 2 letters",IF(TRIM(CLEAN(SUBSTITUTE(Items!G71&amp;""," "," ")))="","CHECK: unit of measure missing",IF(OR(Items!H71="",Items!J71="",Items!K71=""),"CHECK: value, rate or cost missing",IF(OR(NOT(ISNUMBER(Items!H71)),NOT(ISNUMBER(Items!J71)),NOT(ISNUMBER(Items!K71)),AND(Items!I71&lt;&gt;"",NOT(ISNUMBER(Items!I71))),AND(Items!L71&lt;&gt;"",NOT(ISNUMBER(Items!L71))),AND(Items!M71&lt;&gt;"",NOT(ISNUMBER(Items!M71)))),"CHECK: text in a number column",IF(AND(ISNUMBER(Items!M71),OR(N(Items!M71)&lt;0,N(Items!M71)&gt;1)),"CHECK: dutiable share must be 0% to 100%",IF(AND(UPPER(TRIM(CLEAN(SUBSTITUTE(Items!F71&amp;""," "," "))))&lt;&gt;"",UPPER(TRIM(CLEAN(SUBSTITUTE(Items!F71&amp;""," "," "))))&lt;&gt;"Y",UPPER(TRIM(CLEAN(SUBSTITUTE(Items!F71&amp;""," "," "))))&lt;&gt;"N"),"CHECK: USMCA flag must be Y, N or blank",IF(AND(UPPER(TRIM(CLEAN(SUBSTITUTE(Items!F71&amp;""," "," "))))="Y",$E71&lt;&gt;"US",$E71&lt;&gt;"CA",$E71&lt;&gt;"MX"),"CHECK: USMCA flag on an origin other than US, CA or MX",IF(AND($L71="Y",$AO71=0,NOT(ISNUMBER(act_Rate))),"CHECK: in scope but no rate (add a rate line or B15)",IF(AND($L71="Y",UPPER(TRIM(CLEAN(SUBSTITUTE(act_RateType&amp;""," "," "))))="REPLACE",NOT(ISNUMBER(act_PriorRate)),IF($AO71=0,TRUE,NOT(ISNUMBER(INDEX(rate_Prior,MOD($AO71,100)))))),"CHECK: REPLACE but no earlier rate (B17 or the rate line's AD)",IF(AND($L71="Y",$AP71&gt;1),"CHECK: two rate lines match equally",IF(AND($L71="Y",$AN71&gt;1),"CHECK: HTS prefix listed twice on the scope list",IF(AND($L71="Y",$P71="PART",NOT(ISNUMBER(Items!M71))),"CHECK: dutiable share missing (PART base)",IF(AND($L71="Y",$P71="FULL",ISNUMBER(Items!M71),N(Items!M71)&lt;&gt;1),"CHECK: dutiable share entered, but the rate taxes the full value",IF(AND($L71="Y",$Q71+0.0000001&lt;$T71*$S71+$U71),"CHECK: current rate is below the duty being replaced or displaced",IF(AND($L71="Y",$AD71=0),"NOTE: in scope, no quantity",IF(AND($L71="Y",$AF71="N"),"NOTE: in scope, no sell price (left out of margin %)",IF(AND($L71="Y",N(Items!H71)&gt;N(Items!K71)),"NOTE: customs value above standard cost (check unit of measure)",IF(AND($L71="Y",$Q71&gt;1),"NOTE: current rate above 100% (check it was entered as a percentage)","OK")))))))))))))))))))))))</f>
        <v/>
      </c>
      <c r="AK71" s="20">
        <f>IF($A71="","",IF(AND($L71="Y",$AE71&lt;&gt;0),ABS($AE71)+ROW()/1000000000,""))</f>
        <v/>
      </c>
      <c r="AL71" s="10">
        <f>IF($A71="","",UPPER($A71)&amp;"/"&amp;UPPER(TRIM(CLEAN(SUBSTITUTE(Items!C71&amp;""," "," ")))))</f>
        <v/>
      </c>
      <c r="AM71" s="13">
        <f>IF($A71="",0,SUMPRODUCT(MAX((scope_HTS&lt;&gt;"")*(LEFT($C71,LEN(scope_HTS))=scope_HTS)*(LEN(scope_HTS)*1000+ROW(scope_HTS)-4))))</f>
        <v/>
      </c>
      <c r="AN71" s="13">
        <f>IF($AM71=0,0,SUMPRODUCT((scope_HTS&lt;&gt;"")*(LEFT($C71,LEN(scope_HTS))=scope_HTS)*(LEN(scope_HTS)=INT($AM71/1000))))</f>
        <v/>
      </c>
      <c r="AO71" s="13">
        <f>IF($L71&lt;&gt;"Y",0,SUMPRODUCT(MAX(ISNUMBER(rate_Rate)*((UPPER(TRIM(CLEAN(SUBSTITUTE(rate_Group&amp;""," "," "))))="")+(UPPER(TRIM(CLEAN(SUBSTITUTE(rate_Group&amp;""," "," "))))=$N71)&gt;0)*((UPPER(TRIM(CLEAN(SUBSTITUTE(rate_COO&amp;""," "," "))))="")+(UPPER(TRIM(CLEAN(SUBSTITUTE(rate_COO&amp;""," "," "))))=$E71)&gt;0)*((UPPER(TRIM(CLEAN(SUBSTITUTE(rate_USMCA&amp;""," "," "))))="")+(UPPER(TRIM(CLEAN(SUBSTITUTE(rate_USMCA&amp;""," "," "))))=IF(UPPER(TRIM(CLEAN(SUBSTITUTE(Items!F71&amp;""," "," "))))="Y","Y","N"))&gt;0)*((1+(UPPER(TRIM(CLEAN(SUBSTITUTE(rate_Group&amp;""," "," "))))&lt;&gt;"")+2*(UPPER(TRIM(CLEAN(SUBSTITUTE(rate_USMCA&amp;""," "," "))))&lt;&gt;"")+4*(UPPER(TRIM(CLEAN(SUBSTITUTE(rate_COO&amp;""," "," "))))&lt;&gt;""))*100+ROW(rate_Rate)-4))))</f>
        <v/>
      </c>
      <c r="AP71" s="13">
        <f>IF($AO71=0,0,SUMPRODUCT(ISNUMBER(rate_Rate)*((UPPER(TRIM(CLEAN(SUBSTITUTE(rate_Group&amp;""," "," "))))="")+(UPPER(TRIM(CLEAN(SUBSTITUTE(rate_Group&amp;""," "," "))))=$N71)&gt;0)*((UPPER(TRIM(CLEAN(SUBSTITUTE(rate_COO&amp;""," "," "))))="")+(UPPER(TRIM(CLEAN(SUBSTITUTE(rate_COO&amp;""," "," "))))=$E71)&gt;0)*((UPPER(TRIM(CLEAN(SUBSTITUTE(rate_USMCA&amp;""," "," "))))="")+(UPPER(TRIM(CLEAN(SUBSTITUTE(rate_USMCA&amp;""," "," "))))=IF(UPPER(TRIM(CLEAN(SUBSTITUTE(Items!F71&amp;""," "," "))))="Y","Y","N"))&gt;0)*((1+(UPPER(TRIM(CLEAN(SUBSTITUTE(rate_Group&amp;""," "," "))))&lt;&gt;"")+2*(UPPER(TRIM(CLEAN(SUBSTITUTE(rate_USMCA&amp;""," "," "))))&lt;&gt;"")+4*(UPPER(TRIM(CLEAN(SUBSTITUTE(rate_COO&amp;""," "," "))))&lt;&gt;""))=INT($AO71/100))))</f>
        <v/>
      </c>
      <c r="AQ71" s="13">
        <f>IF($A71="",0,IFERROR(MATCH($AL71,det_Key,0),0))</f>
        <v/>
      </c>
    </row>
    <row r="72">
      <c r="A72" s="10">
        <f>IF(TRIM(CLEAN(SUBSTITUTE(Items!A72&amp;""," "," ")))="","",TRIM(CLEAN(SUBSTITUTE(Items!A72&amp;""," "," "))))</f>
        <v/>
      </c>
      <c r="B72" s="10">
        <f>IF($A72="","",Items!B72&amp;"")</f>
        <v/>
      </c>
      <c r="C72" s="10">
        <f>IF($A72="","",SUBSTITUTE(SUBSTITUTE(SUBSTITUTE(SUBSTITUTE(CLEAN(Items!D72&amp;"")," ",""),".","")," ",""),"-",""))</f>
        <v/>
      </c>
      <c r="D72" s="10">
        <f>IF($A72="","",LEFT($C72,2))</f>
        <v/>
      </c>
      <c r="E72" s="10">
        <f>IF($A72="","",UPPER(TRIM(CLEAN(SUBSTITUTE(Items!E72&amp;""," "," ")))))</f>
        <v/>
      </c>
      <c r="F72" s="10">
        <f>IF($A72="","",IF(UPPER(TRIM(CLEAN(SUBSTITUTE(Items!C72&amp;""," "," "))))=UPPER(TRIM(CLEAN(SUBSTITUTE(act_Country&amp;""," "," ")))),"Y","N"))</f>
        <v/>
      </c>
      <c r="G72" s="10">
        <f>IF($A72="","",IF($AM72&gt;0,"Y","N"))</f>
        <v/>
      </c>
      <c r="H72" s="10">
        <f>IF($A72="","",IF(SUMPRODUCT((excl_HTS&lt;&gt;"")*(LEFT($C72,LEN(excl_HTS))=excl_HTS))&gt;0,"Y","N"))</f>
        <v/>
      </c>
      <c r="I72" s="10">
        <f>IF($A72="","",IF($E72="","N",IF(SUMPRODUCT(--(UPPER(TRIM(CLEAN(SUBSTITUTE(scope_COO&amp;""," "," "))))=$E72))&gt;0,"Y","N")))</f>
        <v/>
      </c>
      <c r="J72" s="10">
        <f>IF($A72="","",IF(AND(UPPER(TRIM(CLEAN(SUBSTITUTE(act_USMCAExempt&amp;""," "," "))))="Y",UPPER(TRIM(CLEAN(SUBSTITUTE(Items!F72&amp;""," "," "))))="Y"),"Y","N"))</f>
        <v/>
      </c>
      <c r="K72" s="10">
        <f>IF($A72="","",IF($AQ72=0,"",UPPER(TRIM(CLEAN(SUBSTITUTE(INDEX(det_Status,$AQ72)&amp;""," "," "))))))</f>
        <v/>
      </c>
      <c r="L72" s="10">
        <f>IF($A72="","",IF($F72="N","N",IF($K72="IN","Y",IF($K72="OUT","N",IF(AND($G72="Y",$H72="N",$I72="Y",$J72="N"),"Y","N")))))</f>
        <v/>
      </c>
      <c r="M72" s="10">
        <f>IF($A72="","",IF($F72="N","Out: different import country",IF($K72="IN","In: Research determination",IF($K72="OUT","Out: Research determination",IF($G72="N","Out: HTS not on scope list",IF($H72="Y","Out: HTS on exclusion list",IF($I72="N","Out: origin not on scope list",IF($J72="Y","Out: USMCA-qualifying, exempt","In: matches scope rules"))))))))</f>
        <v/>
      </c>
      <c r="N72" s="10">
        <f>IF(OR($A72="",$AM72=0),"",UPPER(TRIM(CLEAN(SUBSTITUTE(INDEX(scope_Group,MOD($AM72,1000))&amp;""," "," ")))))</f>
        <v/>
      </c>
      <c r="O72" s="10">
        <f>IF($L72&lt;&gt;"Y","",IF($AO72=0,"Default (B15)",UPPER(TRIM(CLEAN(SUBSTITUTE(INDEX(rate_ID,MOD($AO72,100))&amp;""," "," "))))))</f>
        <v/>
      </c>
      <c r="P72" s="10">
        <f>IF($L72&lt;&gt;"Y","",IF($AO72=0,IF(UPPER(TRIM(CLEAN(SUBSTITUTE(act_DefaultBase&amp;""," "," "))))="PART","PART","FULL"),IF(UPPER(TRIM(CLEAN(SUBSTITUTE(INDEX(rate_Base,MOD($AO72,100))&amp;""," "," "))))="PART","PART","FULL")))</f>
        <v/>
      </c>
      <c r="Q72" s="17">
        <f>IF($A72="","",N(Items!J72))</f>
        <v/>
      </c>
      <c r="R72" s="17">
        <f>IF($A72="","",IF($L72&lt;&gt;"Y",0,IF($AO72=0,N(act_Rate),N(INDEX(rate_Rate,MOD($AO72,100))))))</f>
        <v/>
      </c>
      <c r="S72" s="17">
        <f>IF($A72="","",IF($L72&lt;&gt;"Y",0,IF($AO72=0,IF(UPPER(TRIM(CLEAN(SUBSTITUTE(act_RateType&amp;""," "," "))))="REPLACE",N(act_PriorRate),0),IF(ISNUMBER(INDEX(rate_Prior,MOD($AO72,100))),INDEX(rate_Prior,MOD($AO72,100)),IF(UPPER(TRIM(CLEAN(SUBSTITUTE(act_RateType&amp;""," "," "))))="REPLACE",N(act_PriorRate),0)))))</f>
        <v/>
      </c>
      <c r="T72" s="17">
        <f>IF($A72="","",IF(AND($L72="Y",$P72="PART",ISNUMBER(Items!M72)),Items!M72,1))</f>
        <v/>
      </c>
      <c r="U72" s="17">
        <f>IF($A72="","",IF($L72&lt;&gt;"Y",0,IF($AQ72&gt;0,IF(ISNUMBER(INDEX(det_Displaced,$AQ72)),INDEX(det_Displaced,$AQ72),IF($AO72=0,0,N(INDEX(rate_Displaced,MOD($AO72,100))))),IF($AO72=0,0,N(INDEX(rate_Displaced,MOD($AO72,100)))))))</f>
        <v/>
      </c>
      <c r="V72" s="17">
        <f>IF($A72="","",IF($L72="Y",$Q72+$T72*($R72-$S72)-$U72,$Q72))</f>
        <v/>
      </c>
      <c r="W72" s="18">
        <f>IF($A72="","",N(Items!H72)*$Q72)</f>
        <v/>
      </c>
      <c r="X72" s="18">
        <f>IF($A72="","",N(Items!H72)*$V72)</f>
        <v/>
      </c>
      <c r="Y72" s="18">
        <f>IF($A72="","",$X72-$W72)</f>
        <v/>
      </c>
      <c r="Z72" s="18">
        <f>IF($A72="","",N(Items!K72)+$Y72)</f>
        <v/>
      </c>
      <c r="AA72" s="17">
        <f>IF($A72="","",IF(N(Items!L72)=0,"",(N(Items!L72)-N(Items!K72))/N(Items!L72)))</f>
        <v/>
      </c>
      <c r="AB72" s="17">
        <f>IF($A72="","",IF(N(Items!L72)=0,"",(N(Items!L72)-$Z72)/N(Items!L72)))</f>
        <v/>
      </c>
      <c r="AC72" s="17">
        <f>IF(OR($AA72="",$AB72=""),"",$AB72-$AA72)</f>
        <v/>
      </c>
      <c r="AD72" s="13">
        <f>IF($A72="","",N(Items!I72))</f>
        <v/>
      </c>
      <c r="AE72" s="19">
        <f>IF($A72="","",$Y72*$AD72)</f>
        <v/>
      </c>
      <c r="AF72" s="10">
        <f>IF($A72="","",IF(N(Items!L72)&gt;0,"Y","N"))</f>
        <v/>
      </c>
      <c r="AG72" s="19">
        <f>IF($A72="","",IF($AF72="Y",N(Items!L72)*$AD72,0))</f>
        <v/>
      </c>
      <c r="AH72" s="19">
        <f>IF($A72="","",IF($AF72="Y",(N(Items!L72)-N(Items!K72))*$AD72,0))</f>
        <v/>
      </c>
      <c r="AI72" s="19">
        <f>IF($A72="","",IF($AF72="Y",$AH72-$AE72,0))</f>
        <v/>
      </c>
      <c r="AJ72" s="10">
        <f>IF($A72="","",IF(COUNTIF($AL$5:$AL$254,$AL72)&gt;1,"CHECK: duplicate item and import country",IF(TRIM(CLEAN(SUBSTITUTE(Items!C72&amp;""," "," ")))="","CHECK: import country missing",IF(AND(UPPER(TRIM(CLEAN(SUBSTITUTE(Items!C72&amp;""," "," "))))&lt;&gt;"US",UPPER(TRIM(CLEAN(SUBSTITUTE(Items!C72&amp;""," "," "))))&lt;&gt;"CA",UPPER(TRIM(CLEAN(SUBSTITUTE(Items!C72&amp;""," "," "))))&lt;&gt;"MX"),"CHECK: import country must be US, CA or MX",IF(NOT(AND(LEN($C72)=10,IFERROR(TEXT(VALUE($C72),REPT("0",LEN($C72)))=$C72,FALSE))),"CHECK: HTS must be 10 digits",IF(LEN($E72)&lt;&gt;2,"CHECK: origin code missing or not 2 letters",IF(TRIM(CLEAN(SUBSTITUTE(Items!G72&amp;""," "," ")))="","CHECK: unit of measure missing",IF(OR(Items!H72="",Items!J72="",Items!K72=""),"CHECK: value, rate or cost missing",IF(OR(NOT(ISNUMBER(Items!H72)),NOT(ISNUMBER(Items!J72)),NOT(ISNUMBER(Items!K72)),AND(Items!I72&lt;&gt;"",NOT(ISNUMBER(Items!I72))),AND(Items!L72&lt;&gt;"",NOT(ISNUMBER(Items!L72))),AND(Items!M72&lt;&gt;"",NOT(ISNUMBER(Items!M72)))),"CHECK: text in a number column",IF(AND(ISNUMBER(Items!M72),OR(N(Items!M72)&lt;0,N(Items!M72)&gt;1)),"CHECK: dutiable share must be 0% to 100%",IF(AND(UPPER(TRIM(CLEAN(SUBSTITUTE(Items!F72&amp;""," "," "))))&lt;&gt;"",UPPER(TRIM(CLEAN(SUBSTITUTE(Items!F72&amp;""," "," "))))&lt;&gt;"Y",UPPER(TRIM(CLEAN(SUBSTITUTE(Items!F72&amp;""," "," "))))&lt;&gt;"N"),"CHECK: USMCA flag must be Y, N or blank",IF(AND(UPPER(TRIM(CLEAN(SUBSTITUTE(Items!F72&amp;""," "," "))))="Y",$E72&lt;&gt;"US",$E72&lt;&gt;"CA",$E72&lt;&gt;"MX"),"CHECK: USMCA flag on an origin other than US, CA or MX",IF(AND($L72="Y",$AO72=0,NOT(ISNUMBER(act_Rate))),"CHECK: in scope but no rate (add a rate line or B15)",IF(AND($L72="Y",UPPER(TRIM(CLEAN(SUBSTITUTE(act_RateType&amp;""," "," "))))="REPLACE",NOT(ISNUMBER(act_PriorRate)),IF($AO72=0,TRUE,NOT(ISNUMBER(INDEX(rate_Prior,MOD($AO72,100)))))),"CHECK: REPLACE but no earlier rate (B17 or the rate line's AD)",IF(AND($L72="Y",$AP72&gt;1),"CHECK: two rate lines match equally",IF(AND($L72="Y",$AN72&gt;1),"CHECK: HTS prefix listed twice on the scope list",IF(AND($L72="Y",$P72="PART",NOT(ISNUMBER(Items!M72))),"CHECK: dutiable share missing (PART base)",IF(AND($L72="Y",$P72="FULL",ISNUMBER(Items!M72),N(Items!M72)&lt;&gt;1),"CHECK: dutiable share entered, but the rate taxes the full value",IF(AND($L72="Y",$Q72+0.0000001&lt;$T72*$S72+$U72),"CHECK: current rate is below the duty being replaced or displaced",IF(AND($L72="Y",$AD72=0),"NOTE: in scope, no quantity",IF(AND($L72="Y",$AF72="N"),"NOTE: in scope, no sell price (left out of margin %)",IF(AND($L72="Y",N(Items!H72)&gt;N(Items!K72)),"NOTE: customs value above standard cost (check unit of measure)",IF(AND($L72="Y",$Q72&gt;1),"NOTE: current rate above 100% (check it was entered as a percentage)","OK")))))))))))))))))))))))</f>
        <v/>
      </c>
      <c r="AK72" s="20">
        <f>IF($A72="","",IF(AND($L72="Y",$AE72&lt;&gt;0),ABS($AE72)+ROW()/1000000000,""))</f>
        <v/>
      </c>
      <c r="AL72" s="10">
        <f>IF($A72="","",UPPER($A72)&amp;"/"&amp;UPPER(TRIM(CLEAN(SUBSTITUTE(Items!C72&amp;""," "," ")))))</f>
        <v/>
      </c>
      <c r="AM72" s="13">
        <f>IF($A72="",0,SUMPRODUCT(MAX((scope_HTS&lt;&gt;"")*(LEFT($C72,LEN(scope_HTS))=scope_HTS)*(LEN(scope_HTS)*1000+ROW(scope_HTS)-4))))</f>
        <v/>
      </c>
      <c r="AN72" s="13">
        <f>IF($AM72=0,0,SUMPRODUCT((scope_HTS&lt;&gt;"")*(LEFT($C72,LEN(scope_HTS))=scope_HTS)*(LEN(scope_HTS)=INT($AM72/1000))))</f>
        <v/>
      </c>
      <c r="AO72" s="13">
        <f>IF($L72&lt;&gt;"Y",0,SUMPRODUCT(MAX(ISNUMBER(rate_Rate)*((UPPER(TRIM(CLEAN(SUBSTITUTE(rate_Group&amp;""," "," "))))="")+(UPPER(TRIM(CLEAN(SUBSTITUTE(rate_Group&amp;""," "," "))))=$N72)&gt;0)*((UPPER(TRIM(CLEAN(SUBSTITUTE(rate_COO&amp;""," "," "))))="")+(UPPER(TRIM(CLEAN(SUBSTITUTE(rate_COO&amp;""," "," "))))=$E72)&gt;0)*((UPPER(TRIM(CLEAN(SUBSTITUTE(rate_USMCA&amp;""," "," "))))="")+(UPPER(TRIM(CLEAN(SUBSTITUTE(rate_USMCA&amp;""," "," "))))=IF(UPPER(TRIM(CLEAN(SUBSTITUTE(Items!F72&amp;""," "," "))))="Y","Y","N"))&gt;0)*((1+(UPPER(TRIM(CLEAN(SUBSTITUTE(rate_Group&amp;""," "," "))))&lt;&gt;"")+2*(UPPER(TRIM(CLEAN(SUBSTITUTE(rate_USMCA&amp;""," "," "))))&lt;&gt;"")+4*(UPPER(TRIM(CLEAN(SUBSTITUTE(rate_COO&amp;""," "," "))))&lt;&gt;""))*100+ROW(rate_Rate)-4))))</f>
        <v/>
      </c>
      <c r="AP72" s="13">
        <f>IF($AO72=0,0,SUMPRODUCT(ISNUMBER(rate_Rate)*((UPPER(TRIM(CLEAN(SUBSTITUTE(rate_Group&amp;""," "," "))))="")+(UPPER(TRIM(CLEAN(SUBSTITUTE(rate_Group&amp;""," "," "))))=$N72)&gt;0)*((UPPER(TRIM(CLEAN(SUBSTITUTE(rate_COO&amp;""," "," "))))="")+(UPPER(TRIM(CLEAN(SUBSTITUTE(rate_COO&amp;""," "," "))))=$E72)&gt;0)*((UPPER(TRIM(CLEAN(SUBSTITUTE(rate_USMCA&amp;""," "," "))))="")+(UPPER(TRIM(CLEAN(SUBSTITUTE(rate_USMCA&amp;""," "," "))))=IF(UPPER(TRIM(CLEAN(SUBSTITUTE(Items!F72&amp;""," "," "))))="Y","Y","N"))&gt;0)*((1+(UPPER(TRIM(CLEAN(SUBSTITUTE(rate_Group&amp;""," "," "))))&lt;&gt;"")+2*(UPPER(TRIM(CLEAN(SUBSTITUTE(rate_USMCA&amp;""," "," "))))&lt;&gt;"")+4*(UPPER(TRIM(CLEAN(SUBSTITUTE(rate_COO&amp;""," "," "))))&lt;&gt;""))=INT($AO72/100))))</f>
        <v/>
      </c>
      <c r="AQ72" s="13">
        <f>IF($A72="",0,IFERROR(MATCH($AL72,det_Key,0),0))</f>
        <v/>
      </c>
    </row>
    <row r="73">
      <c r="A73" s="10">
        <f>IF(TRIM(CLEAN(SUBSTITUTE(Items!A73&amp;""," "," ")))="","",TRIM(CLEAN(SUBSTITUTE(Items!A73&amp;""," "," "))))</f>
        <v/>
      </c>
      <c r="B73" s="10">
        <f>IF($A73="","",Items!B73&amp;"")</f>
        <v/>
      </c>
      <c r="C73" s="10">
        <f>IF($A73="","",SUBSTITUTE(SUBSTITUTE(SUBSTITUTE(SUBSTITUTE(CLEAN(Items!D73&amp;"")," ",""),".","")," ",""),"-",""))</f>
        <v/>
      </c>
      <c r="D73" s="10">
        <f>IF($A73="","",LEFT($C73,2))</f>
        <v/>
      </c>
      <c r="E73" s="10">
        <f>IF($A73="","",UPPER(TRIM(CLEAN(SUBSTITUTE(Items!E73&amp;""," "," ")))))</f>
        <v/>
      </c>
      <c r="F73" s="10">
        <f>IF($A73="","",IF(UPPER(TRIM(CLEAN(SUBSTITUTE(Items!C73&amp;""," "," "))))=UPPER(TRIM(CLEAN(SUBSTITUTE(act_Country&amp;""," "," ")))),"Y","N"))</f>
        <v/>
      </c>
      <c r="G73" s="10">
        <f>IF($A73="","",IF($AM73&gt;0,"Y","N"))</f>
        <v/>
      </c>
      <c r="H73" s="10">
        <f>IF($A73="","",IF(SUMPRODUCT((excl_HTS&lt;&gt;"")*(LEFT($C73,LEN(excl_HTS))=excl_HTS))&gt;0,"Y","N"))</f>
        <v/>
      </c>
      <c r="I73" s="10">
        <f>IF($A73="","",IF($E73="","N",IF(SUMPRODUCT(--(UPPER(TRIM(CLEAN(SUBSTITUTE(scope_COO&amp;""," "," "))))=$E73))&gt;0,"Y","N")))</f>
        <v/>
      </c>
      <c r="J73" s="10">
        <f>IF($A73="","",IF(AND(UPPER(TRIM(CLEAN(SUBSTITUTE(act_USMCAExempt&amp;""," "," "))))="Y",UPPER(TRIM(CLEAN(SUBSTITUTE(Items!F73&amp;""," "," "))))="Y"),"Y","N"))</f>
        <v/>
      </c>
      <c r="K73" s="10">
        <f>IF($A73="","",IF($AQ73=0,"",UPPER(TRIM(CLEAN(SUBSTITUTE(INDEX(det_Status,$AQ73)&amp;""," "," "))))))</f>
        <v/>
      </c>
      <c r="L73" s="10">
        <f>IF($A73="","",IF($F73="N","N",IF($K73="IN","Y",IF($K73="OUT","N",IF(AND($G73="Y",$H73="N",$I73="Y",$J73="N"),"Y","N")))))</f>
        <v/>
      </c>
      <c r="M73" s="10">
        <f>IF($A73="","",IF($F73="N","Out: different import country",IF($K73="IN","In: Research determination",IF($K73="OUT","Out: Research determination",IF($G73="N","Out: HTS not on scope list",IF($H73="Y","Out: HTS on exclusion list",IF($I73="N","Out: origin not on scope list",IF($J73="Y","Out: USMCA-qualifying, exempt","In: matches scope rules"))))))))</f>
        <v/>
      </c>
      <c r="N73" s="10">
        <f>IF(OR($A73="",$AM73=0),"",UPPER(TRIM(CLEAN(SUBSTITUTE(INDEX(scope_Group,MOD($AM73,1000))&amp;""," "," ")))))</f>
        <v/>
      </c>
      <c r="O73" s="10">
        <f>IF($L73&lt;&gt;"Y","",IF($AO73=0,"Default (B15)",UPPER(TRIM(CLEAN(SUBSTITUTE(INDEX(rate_ID,MOD($AO73,100))&amp;""," "," "))))))</f>
        <v/>
      </c>
      <c r="P73" s="10">
        <f>IF($L73&lt;&gt;"Y","",IF($AO73=0,IF(UPPER(TRIM(CLEAN(SUBSTITUTE(act_DefaultBase&amp;""," "," "))))="PART","PART","FULL"),IF(UPPER(TRIM(CLEAN(SUBSTITUTE(INDEX(rate_Base,MOD($AO73,100))&amp;""," "," "))))="PART","PART","FULL")))</f>
        <v/>
      </c>
      <c r="Q73" s="17">
        <f>IF($A73="","",N(Items!J73))</f>
        <v/>
      </c>
      <c r="R73" s="17">
        <f>IF($A73="","",IF($L73&lt;&gt;"Y",0,IF($AO73=0,N(act_Rate),N(INDEX(rate_Rate,MOD($AO73,100))))))</f>
        <v/>
      </c>
      <c r="S73" s="17">
        <f>IF($A73="","",IF($L73&lt;&gt;"Y",0,IF($AO73=0,IF(UPPER(TRIM(CLEAN(SUBSTITUTE(act_RateType&amp;""," "," "))))="REPLACE",N(act_PriorRate),0),IF(ISNUMBER(INDEX(rate_Prior,MOD($AO73,100))),INDEX(rate_Prior,MOD($AO73,100)),IF(UPPER(TRIM(CLEAN(SUBSTITUTE(act_RateType&amp;""," "," "))))="REPLACE",N(act_PriorRate),0)))))</f>
        <v/>
      </c>
      <c r="T73" s="17">
        <f>IF($A73="","",IF(AND($L73="Y",$P73="PART",ISNUMBER(Items!M73)),Items!M73,1))</f>
        <v/>
      </c>
      <c r="U73" s="17">
        <f>IF($A73="","",IF($L73&lt;&gt;"Y",0,IF($AQ73&gt;0,IF(ISNUMBER(INDEX(det_Displaced,$AQ73)),INDEX(det_Displaced,$AQ73),IF($AO73=0,0,N(INDEX(rate_Displaced,MOD($AO73,100))))),IF($AO73=0,0,N(INDEX(rate_Displaced,MOD($AO73,100)))))))</f>
        <v/>
      </c>
      <c r="V73" s="17">
        <f>IF($A73="","",IF($L73="Y",$Q73+$T73*($R73-$S73)-$U73,$Q73))</f>
        <v/>
      </c>
      <c r="W73" s="18">
        <f>IF($A73="","",N(Items!H73)*$Q73)</f>
        <v/>
      </c>
      <c r="X73" s="18">
        <f>IF($A73="","",N(Items!H73)*$V73)</f>
        <v/>
      </c>
      <c r="Y73" s="18">
        <f>IF($A73="","",$X73-$W73)</f>
        <v/>
      </c>
      <c r="Z73" s="18">
        <f>IF($A73="","",N(Items!K73)+$Y73)</f>
        <v/>
      </c>
      <c r="AA73" s="17">
        <f>IF($A73="","",IF(N(Items!L73)=0,"",(N(Items!L73)-N(Items!K73))/N(Items!L73)))</f>
        <v/>
      </c>
      <c r="AB73" s="17">
        <f>IF($A73="","",IF(N(Items!L73)=0,"",(N(Items!L73)-$Z73)/N(Items!L73)))</f>
        <v/>
      </c>
      <c r="AC73" s="17">
        <f>IF(OR($AA73="",$AB73=""),"",$AB73-$AA73)</f>
        <v/>
      </c>
      <c r="AD73" s="13">
        <f>IF($A73="","",N(Items!I73))</f>
        <v/>
      </c>
      <c r="AE73" s="19">
        <f>IF($A73="","",$Y73*$AD73)</f>
        <v/>
      </c>
      <c r="AF73" s="10">
        <f>IF($A73="","",IF(N(Items!L73)&gt;0,"Y","N"))</f>
        <v/>
      </c>
      <c r="AG73" s="19">
        <f>IF($A73="","",IF($AF73="Y",N(Items!L73)*$AD73,0))</f>
        <v/>
      </c>
      <c r="AH73" s="19">
        <f>IF($A73="","",IF($AF73="Y",(N(Items!L73)-N(Items!K73))*$AD73,0))</f>
        <v/>
      </c>
      <c r="AI73" s="19">
        <f>IF($A73="","",IF($AF73="Y",$AH73-$AE73,0))</f>
        <v/>
      </c>
      <c r="AJ73" s="10">
        <f>IF($A73="","",IF(COUNTIF($AL$5:$AL$254,$AL73)&gt;1,"CHECK: duplicate item and import country",IF(TRIM(CLEAN(SUBSTITUTE(Items!C73&amp;""," "," ")))="","CHECK: import country missing",IF(AND(UPPER(TRIM(CLEAN(SUBSTITUTE(Items!C73&amp;""," "," "))))&lt;&gt;"US",UPPER(TRIM(CLEAN(SUBSTITUTE(Items!C73&amp;""," "," "))))&lt;&gt;"CA",UPPER(TRIM(CLEAN(SUBSTITUTE(Items!C73&amp;""," "," "))))&lt;&gt;"MX"),"CHECK: import country must be US, CA or MX",IF(NOT(AND(LEN($C73)=10,IFERROR(TEXT(VALUE($C73),REPT("0",LEN($C73)))=$C73,FALSE))),"CHECK: HTS must be 10 digits",IF(LEN($E73)&lt;&gt;2,"CHECK: origin code missing or not 2 letters",IF(TRIM(CLEAN(SUBSTITUTE(Items!G73&amp;""," "," ")))="","CHECK: unit of measure missing",IF(OR(Items!H73="",Items!J73="",Items!K73=""),"CHECK: value, rate or cost missing",IF(OR(NOT(ISNUMBER(Items!H73)),NOT(ISNUMBER(Items!J73)),NOT(ISNUMBER(Items!K73)),AND(Items!I73&lt;&gt;"",NOT(ISNUMBER(Items!I73))),AND(Items!L73&lt;&gt;"",NOT(ISNUMBER(Items!L73))),AND(Items!M73&lt;&gt;"",NOT(ISNUMBER(Items!M73)))),"CHECK: text in a number column",IF(AND(ISNUMBER(Items!M73),OR(N(Items!M73)&lt;0,N(Items!M73)&gt;1)),"CHECK: dutiable share must be 0% to 100%",IF(AND(UPPER(TRIM(CLEAN(SUBSTITUTE(Items!F73&amp;""," "," "))))&lt;&gt;"",UPPER(TRIM(CLEAN(SUBSTITUTE(Items!F73&amp;""," "," "))))&lt;&gt;"Y",UPPER(TRIM(CLEAN(SUBSTITUTE(Items!F73&amp;""," "," "))))&lt;&gt;"N"),"CHECK: USMCA flag must be Y, N or blank",IF(AND(UPPER(TRIM(CLEAN(SUBSTITUTE(Items!F73&amp;""," "," "))))="Y",$E73&lt;&gt;"US",$E73&lt;&gt;"CA",$E73&lt;&gt;"MX"),"CHECK: USMCA flag on an origin other than US, CA or MX",IF(AND($L73="Y",$AO73=0,NOT(ISNUMBER(act_Rate))),"CHECK: in scope but no rate (add a rate line or B15)",IF(AND($L73="Y",UPPER(TRIM(CLEAN(SUBSTITUTE(act_RateType&amp;""," "," "))))="REPLACE",NOT(ISNUMBER(act_PriorRate)),IF($AO73=0,TRUE,NOT(ISNUMBER(INDEX(rate_Prior,MOD($AO73,100)))))),"CHECK: REPLACE but no earlier rate (B17 or the rate line's AD)",IF(AND($L73="Y",$AP73&gt;1),"CHECK: two rate lines match equally",IF(AND($L73="Y",$AN73&gt;1),"CHECK: HTS prefix listed twice on the scope list",IF(AND($L73="Y",$P73="PART",NOT(ISNUMBER(Items!M73))),"CHECK: dutiable share missing (PART base)",IF(AND($L73="Y",$P73="FULL",ISNUMBER(Items!M73),N(Items!M73)&lt;&gt;1),"CHECK: dutiable share entered, but the rate taxes the full value",IF(AND($L73="Y",$Q73+0.0000001&lt;$T73*$S73+$U73),"CHECK: current rate is below the duty being replaced or displaced",IF(AND($L73="Y",$AD73=0),"NOTE: in scope, no quantity",IF(AND($L73="Y",$AF73="N"),"NOTE: in scope, no sell price (left out of margin %)",IF(AND($L73="Y",N(Items!H73)&gt;N(Items!K73)),"NOTE: customs value above standard cost (check unit of measure)",IF(AND($L73="Y",$Q73&gt;1),"NOTE: current rate above 100% (check it was entered as a percentage)","OK")))))))))))))))))))))))</f>
        <v/>
      </c>
      <c r="AK73" s="20">
        <f>IF($A73="","",IF(AND($L73="Y",$AE73&lt;&gt;0),ABS($AE73)+ROW()/1000000000,""))</f>
        <v/>
      </c>
      <c r="AL73" s="10">
        <f>IF($A73="","",UPPER($A73)&amp;"/"&amp;UPPER(TRIM(CLEAN(SUBSTITUTE(Items!C73&amp;""," "," ")))))</f>
        <v/>
      </c>
      <c r="AM73" s="13">
        <f>IF($A73="",0,SUMPRODUCT(MAX((scope_HTS&lt;&gt;"")*(LEFT($C73,LEN(scope_HTS))=scope_HTS)*(LEN(scope_HTS)*1000+ROW(scope_HTS)-4))))</f>
        <v/>
      </c>
      <c r="AN73" s="13">
        <f>IF($AM73=0,0,SUMPRODUCT((scope_HTS&lt;&gt;"")*(LEFT($C73,LEN(scope_HTS))=scope_HTS)*(LEN(scope_HTS)=INT($AM73/1000))))</f>
        <v/>
      </c>
      <c r="AO73" s="13">
        <f>IF($L73&lt;&gt;"Y",0,SUMPRODUCT(MAX(ISNUMBER(rate_Rate)*((UPPER(TRIM(CLEAN(SUBSTITUTE(rate_Group&amp;""," "," "))))="")+(UPPER(TRIM(CLEAN(SUBSTITUTE(rate_Group&amp;""," "," "))))=$N73)&gt;0)*((UPPER(TRIM(CLEAN(SUBSTITUTE(rate_COO&amp;""," "," "))))="")+(UPPER(TRIM(CLEAN(SUBSTITUTE(rate_COO&amp;""," "," "))))=$E73)&gt;0)*((UPPER(TRIM(CLEAN(SUBSTITUTE(rate_USMCA&amp;""," "," "))))="")+(UPPER(TRIM(CLEAN(SUBSTITUTE(rate_USMCA&amp;""," "," "))))=IF(UPPER(TRIM(CLEAN(SUBSTITUTE(Items!F73&amp;""," "," "))))="Y","Y","N"))&gt;0)*((1+(UPPER(TRIM(CLEAN(SUBSTITUTE(rate_Group&amp;""," "," "))))&lt;&gt;"")+2*(UPPER(TRIM(CLEAN(SUBSTITUTE(rate_USMCA&amp;""," "," "))))&lt;&gt;"")+4*(UPPER(TRIM(CLEAN(SUBSTITUTE(rate_COO&amp;""," "," "))))&lt;&gt;""))*100+ROW(rate_Rate)-4))))</f>
        <v/>
      </c>
      <c r="AP73" s="13">
        <f>IF($AO73=0,0,SUMPRODUCT(ISNUMBER(rate_Rate)*((UPPER(TRIM(CLEAN(SUBSTITUTE(rate_Group&amp;""," "," "))))="")+(UPPER(TRIM(CLEAN(SUBSTITUTE(rate_Group&amp;""," "," "))))=$N73)&gt;0)*((UPPER(TRIM(CLEAN(SUBSTITUTE(rate_COO&amp;""," "," "))))="")+(UPPER(TRIM(CLEAN(SUBSTITUTE(rate_COO&amp;""," "," "))))=$E73)&gt;0)*((UPPER(TRIM(CLEAN(SUBSTITUTE(rate_USMCA&amp;""," "," "))))="")+(UPPER(TRIM(CLEAN(SUBSTITUTE(rate_USMCA&amp;""," "," "))))=IF(UPPER(TRIM(CLEAN(SUBSTITUTE(Items!F73&amp;""," "," "))))="Y","Y","N"))&gt;0)*((1+(UPPER(TRIM(CLEAN(SUBSTITUTE(rate_Group&amp;""," "," "))))&lt;&gt;"")+2*(UPPER(TRIM(CLEAN(SUBSTITUTE(rate_USMCA&amp;""," "," "))))&lt;&gt;"")+4*(UPPER(TRIM(CLEAN(SUBSTITUTE(rate_COO&amp;""," "," "))))&lt;&gt;""))=INT($AO73/100))))</f>
        <v/>
      </c>
      <c r="AQ73" s="13">
        <f>IF($A73="",0,IFERROR(MATCH($AL73,det_Key,0),0))</f>
        <v/>
      </c>
    </row>
    <row r="74">
      <c r="A74" s="10">
        <f>IF(TRIM(CLEAN(SUBSTITUTE(Items!A74&amp;""," "," ")))="","",TRIM(CLEAN(SUBSTITUTE(Items!A74&amp;""," "," "))))</f>
        <v/>
      </c>
      <c r="B74" s="10">
        <f>IF($A74="","",Items!B74&amp;"")</f>
        <v/>
      </c>
      <c r="C74" s="10">
        <f>IF($A74="","",SUBSTITUTE(SUBSTITUTE(SUBSTITUTE(SUBSTITUTE(CLEAN(Items!D74&amp;"")," ",""),".","")," ",""),"-",""))</f>
        <v/>
      </c>
      <c r="D74" s="10">
        <f>IF($A74="","",LEFT($C74,2))</f>
        <v/>
      </c>
      <c r="E74" s="10">
        <f>IF($A74="","",UPPER(TRIM(CLEAN(SUBSTITUTE(Items!E74&amp;""," "," ")))))</f>
        <v/>
      </c>
      <c r="F74" s="10">
        <f>IF($A74="","",IF(UPPER(TRIM(CLEAN(SUBSTITUTE(Items!C74&amp;""," "," "))))=UPPER(TRIM(CLEAN(SUBSTITUTE(act_Country&amp;""," "," ")))),"Y","N"))</f>
        <v/>
      </c>
      <c r="G74" s="10">
        <f>IF($A74="","",IF($AM74&gt;0,"Y","N"))</f>
        <v/>
      </c>
      <c r="H74" s="10">
        <f>IF($A74="","",IF(SUMPRODUCT((excl_HTS&lt;&gt;"")*(LEFT($C74,LEN(excl_HTS))=excl_HTS))&gt;0,"Y","N"))</f>
        <v/>
      </c>
      <c r="I74" s="10">
        <f>IF($A74="","",IF($E74="","N",IF(SUMPRODUCT(--(UPPER(TRIM(CLEAN(SUBSTITUTE(scope_COO&amp;""," "," "))))=$E74))&gt;0,"Y","N")))</f>
        <v/>
      </c>
      <c r="J74" s="10">
        <f>IF($A74="","",IF(AND(UPPER(TRIM(CLEAN(SUBSTITUTE(act_USMCAExempt&amp;""," "," "))))="Y",UPPER(TRIM(CLEAN(SUBSTITUTE(Items!F74&amp;""," "," "))))="Y"),"Y","N"))</f>
        <v/>
      </c>
      <c r="K74" s="10">
        <f>IF($A74="","",IF($AQ74=0,"",UPPER(TRIM(CLEAN(SUBSTITUTE(INDEX(det_Status,$AQ74)&amp;""," "," "))))))</f>
        <v/>
      </c>
      <c r="L74" s="10">
        <f>IF($A74="","",IF($F74="N","N",IF($K74="IN","Y",IF($K74="OUT","N",IF(AND($G74="Y",$H74="N",$I74="Y",$J74="N"),"Y","N")))))</f>
        <v/>
      </c>
      <c r="M74" s="10">
        <f>IF($A74="","",IF($F74="N","Out: different import country",IF($K74="IN","In: Research determination",IF($K74="OUT","Out: Research determination",IF($G74="N","Out: HTS not on scope list",IF($H74="Y","Out: HTS on exclusion list",IF($I74="N","Out: origin not on scope list",IF($J74="Y","Out: USMCA-qualifying, exempt","In: matches scope rules"))))))))</f>
        <v/>
      </c>
      <c r="N74" s="10">
        <f>IF(OR($A74="",$AM74=0),"",UPPER(TRIM(CLEAN(SUBSTITUTE(INDEX(scope_Group,MOD($AM74,1000))&amp;""," "," ")))))</f>
        <v/>
      </c>
      <c r="O74" s="10">
        <f>IF($L74&lt;&gt;"Y","",IF($AO74=0,"Default (B15)",UPPER(TRIM(CLEAN(SUBSTITUTE(INDEX(rate_ID,MOD($AO74,100))&amp;""," "," "))))))</f>
        <v/>
      </c>
      <c r="P74" s="10">
        <f>IF($L74&lt;&gt;"Y","",IF($AO74=0,IF(UPPER(TRIM(CLEAN(SUBSTITUTE(act_DefaultBase&amp;""," "," "))))="PART","PART","FULL"),IF(UPPER(TRIM(CLEAN(SUBSTITUTE(INDEX(rate_Base,MOD($AO74,100))&amp;""," "," "))))="PART","PART","FULL")))</f>
        <v/>
      </c>
      <c r="Q74" s="17">
        <f>IF($A74="","",N(Items!J74))</f>
        <v/>
      </c>
      <c r="R74" s="17">
        <f>IF($A74="","",IF($L74&lt;&gt;"Y",0,IF($AO74=0,N(act_Rate),N(INDEX(rate_Rate,MOD($AO74,100))))))</f>
        <v/>
      </c>
      <c r="S74" s="17">
        <f>IF($A74="","",IF($L74&lt;&gt;"Y",0,IF($AO74=0,IF(UPPER(TRIM(CLEAN(SUBSTITUTE(act_RateType&amp;""," "," "))))="REPLACE",N(act_PriorRate),0),IF(ISNUMBER(INDEX(rate_Prior,MOD($AO74,100))),INDEX(rate_Prior,MOD($AO74,100)),IF(UPPER(TRIM(CLEAN(SUBSTITUTE(act_RateType&amp;""," "," "))))="REPLACE",N(act_PriorRate),0)))))</f>
        <v/>
      </c>
      <c r="T74" s="17">
        <f>IF($A74="","",IF(AND($L74="Y",$P74="PART",ISNUMBER(Items!M74)),Items!M74,1))</f>
        <v/>
      </c>
      <c r="U74" s="17">
        <f>IF($A74="","",IF($L74&lt;&gt;"Y",0,IF($AQ74&gt;0,IF(ISNUMBER(INDEX(det_Displaced,$AQ74)),INDEX(det_Displaced,$AQ74),IF($AO74=0,0,N(INDEX(rate_Displaced,MOD($AO74,100))))),IF($AO74=0,0,N(INDEX(rate_Displaced,MOD($AO74,100)))))))</f>
        <v/>
      </c>
      <c r="V74" s="17">
        <f>IF($A74="","",IF($L74="Y",$Q74+$T74*($R74-$S74)-$U74,$Q74))</f>
        <v/>
      </c>
      <c r="W74" s="18">
        <f>IF($A74="","",N(Items!H74)*$Q74)</f>
        <v/>
      </c>
      <c r="X74" s="18">
        <f>IF($A74="","",N(Items!H74)*$V74)</f>
        <v/>
      </c>
      <c r="Y74" s="18">
        <f>IF($A74="","",$X74-$W74)</f>
        <v/>
      </c>
      <c r="Z74" s="18">
        <f>IF($A74="","",N(Items!K74)+$Y74)</f>
        <v/>
      </c>
      <c r="AA74" s="17">
        <f>IF($A74="","",IF(N(Items!L74)=0,"",(N(Items!L74)-N(Items!K74))/N(Items!L74)))</f>
        <v/>
      </c>
      <c r="AB74" s="17">
        <f>IF($A74="","",IF(N(Items!L74)=0,"",(N(Items!L74)-$Z74)/N(Items!L74)))</f>
        <v/>
      </c>
      <c r="AC74" s="17">
        <f>IF(OR($AA74="",$AB74=""),"",$AB74-$AA74)</f>
        <v/>
      </c>
      <c r="AD74" s="13">
        <f>IF($A74="","",N(Items!I74))</f>
        <v/>
      </c>
      <c r="AE74" s="19">
        <f>IF($A74="","",$Y74*$AD74)</f>
        <v/>
      </c>
      <c r="AF74" s="10">
        <f>IF($A74="","",IF(N(Items!L74)&gt;0,"Y","N"))</f>
        <v/>
      </c>
      <c r="AG74" s="19">
        <f>IF($A74="","",IF($AF74="Y",N(Items!L74)*$AD74,0))</f>
        <v/>
      </c>
      <c r="AH74" s="19">
        <f>IF($A74="","",IF($AF74="Y",(N(Items!L74)-N(Items!K74))*$AD74,0))</f>
        <v/>
      </c>
      <c r="AI74" s="19">
        <f>IF($A74="","",IF($AF74="Y",$AH74-$AE74,0))</f>
        <v/>
      </c>
      <c r="AJ74" s="10">
        <f>IF($A74="","",IF(COUNTIF($AL$5:$AL$254,$AL74)&gt;1,"CHECK: duplicate item and import country",IF(TRIM(CLEAN(SUBSTITUTE(Items!C74&amp;""," "," ")))="","CHECK: import country missing",IF(AND(UPPER(TRIM(CLEAN(SUBSTITUTE(Items!C74&amp;""," "," "))))&lt;&gt;"US",UPPER(TRIM(CLEAN(SUBSTITUTE(Items!C74&amp;""," "," "))))&lt;&gt;"CA",UPPER(TRIM(CLEAN(SUBSTITUTE(Items!C74&amp;""," "," "))))&lt;&gt;"MX"),"CHECK: import country must be US, CA or MX",IF(NOT(AND(LEN($C74)=10,IFERROR(TEXT(VALUE($C74),REPT("0",LEN($C74)))=$C74,FALSE))),"CHECK: HTS must be 10 digits",IF(LEN($E74)&lt;&gt;2,"CHECK: origin code missing or not 2 letters",IF(TRIM(CLEAN(SUBSTITUTE(Items!G74&amp;""," "," ")))="","CHECK: unit of measure missing",IF(OR(Items!H74="",Items!J74="",Items!K74=""),"CHECK: value, rate or cost missing",IF(OR(NOT(ISNUMBER(Items!H74)),NOT(ISNUMBER(Items!J74)),NOT(ISNUMBER(Items!K74)),AND(Items!I74&lt;&gt;"",NOT(ISNUMBER(Items!I74))),AND(Items!L74&lt;&gt;"",NOT(ISNUMBER(Items!L74))),AND(Items!M74&lt;&gt;"",NOT(ISNUMBER(Items!M74)))),"CHECK: text in a number column",IF(AND(ISNUMBER(Items!M74),OR(N(Items!M74)&lt;0,N(Items!M74)&gt;1)),"CHECK: dutiable share must be 0% to 100%",IF(AND(UPPER(TRIM(CLEAN(SUBSTITUTE(Items!F74&amp;""," "," "))))&lt;&gt;"",UPPER(TRIM(CLEAN(SUBSTITUTE(Items!F74&amp;""," "," "))))&lt;&gt;"Y",UPPER(TRIM(CLEAN(SUBSTITUTE(Items!F74&amp;""," "," "))))&lt;&gt;"N"),"CHECK: USMCA flag must be Y, N or blank",IF(AND(UPPER(TRIM(CLEAN(SUBSTITUTE(Items!F74&amp;""," "," "))))="Y",$E74&lt;&gt;"US",$E74&lt;&gt;"CA",$E74&lt;&gt;"MX"),"CHECK: USMCA flag on an origin other than US, CA or MX",IF(AND($L74="Y",$AO74=0,NOT(ISNUMBER(act_Rate))),"CHECK: in scope but no rate (add a rate line or B15)",IF(AND($L74="Y",UPPER(TRIM(CLEAN(SUBSTITUTE(act_RateType&amp;""," "," "))))="REPLACE",NOT(ISNUMBER(act_PriorRate)),IF($AO74=0,TRUE,NOT(ISNUMBER(INDEX(rate_Prior,MOD($AO74,100)))))),"CHECK: REPLACE but no earlier rate (B17 or the rate line's AD)",IF(AND($L74="Y",$AP74&gt;1),"CHECK: two rate lines match equally",IF(AND($L74="Y",$AN74&gt;1),"CHECK: HTS prefix listed twice on the scope list",IF(AND($L74="Y",$P74="PART",NOT(ISNUMBER(Items!M74))),"CHECK: dutiable share missing (PART base)",IF(AND($L74="Y",$P74="FULL",ISNUMBER(Items!M74),N(Items!M74)&lt;&gt;1),"CHECK: dutiable share entered, but the rate taxes the full value",IF(AND($L74="Y",$Q74+0.0000001&lt;$T74*$S74+$U74),"CHECK: current rate is below the duty being replaced or displaced",IF(AND($L74="Y",$AD74=0),"NOTE: in scope, no quantity",IF(AND($L74="Y",$AF74="N"),"NOTE: in scope, no sell price (left out of margin %)",IF(AND($L74="Y",N(Items!H74)&gt;N(Items!K74)),"NOTE: customs value above standard cost (check unit of measure)",IF(AND($L74="Y",$Q74&gt;1),"NOTE: current rate above 100% (check it was entered as a percentage)","OK")))))))))))))))))))))))</f>
        <v/>
      </c>
      <c r="AK74" s="20">
        <f>IF($A74="","",IF(AND($L74="Y",$AE74&lt;&gt;0),ABS($AE74)+ROW()/1000000000,""))</f>
        <v/>
      </c>
      <c r="AL74" s="10">
        <f>IF($A74="","",UPPER($A74)&amp;"/"&amp;UPPER(TRIM(CLEAN(SUBSTITUTE(Items!C74&amp;""," "," ")))))</f>
        <v/>
      </c>
      <c r="AM74" s="13">
        <f>IF($A74="",0,SUMPRODUCT(MAX((scope_HTS&lt;&gt;"")*(LEFT($C74,LEN(scope_HTS))=scope_HTS)*(LEN(scope_HTS)*1000+ROW(scope_HTS)-4))))</f>
        <v/>
      </c>
      <c r="AN74" s="13">
        <f>IF($AM74=0,0,SUMPRODUCT((scope_HTS&lt;&gt;"")*(LEFT($C74,LEN(scope_HTS))=scope_HTS)*(LEN(scope_HTS)=INT($AM74/1000))))</f>
        <v/>
      </c>
      <c r="AO74" s="13">
        <f>IF($L74&lt;&gt;"Y",0,SUMPRODUCT(MAX(ISNUMBER(rate_Rate)*((UPPER(TRIM(CLEAN(SUBSTITUTE(rate_Group&amp;""," "," "))))="")+(UPPER(TRIM(CLEAN(SUBSTITUTE(rate_Group&amp;""," "," "))))=$N74)&gt;0)*((UPPER(TRIM(CLEAN(SUBSTITUTE(rate_COO&amp;""," "," "))))="")+(UPPER(TRIM(CLEAN(SUBSTITUTE(rate_COO&amp;""," "," "))))=$E74)&gt;0)*((UPPER(TRIM(CLEAN(SUBSTITUTE(rate_USMCA&amp;""," "," "))))="")+(UPPER(TRIM(CLEAN(SUBSTITUTE(rate_USMCA&amp;""," "," "))))=IF(UPPER(TRIM(CLEAN(SUBSTITUTE(Items!F74&amp;""," "," "))))="Y","Y","N"))&gt;0)*((1+(UPPER(TRIM(CLEAN(SUBSTITUTE(rate_Group&amp;""," "," "))))&lt;&gt;"")+2*(UPPER(TRIM(CLEAN(SUBSTITUTE(rate_USMCA&amp;""," "," "))))&lt;&gt;"")+4*(UPPER(TRIM(CLEAN(SUBSTITUTE(rate_COO&amp;""," "," "))))&lt;&gt;""))*100+ROW(rate_Rate)-4))))</f>
        <v/>
      </c>
      <c r="AP74" s="13">
        <f>IF($AO74=0,0,SUMPRODUCT(ISNUMBER(rate_Rate)*((UPPER(TRIM(CLEAN(SUBSTITUTE(rate_Group&amp;""," "," "))))="")+(UPPER(TRIM(CLEAN(SUBSTITUTE(rate_Group&amp;""," "," "))))=$N74)&gt;0)*((UPPER(TRIM(CLEAN(SUBSTITUTE(rate_COO&amp;""," "," "))))="")+(UPPER(TRIM(CLEAN(SUBSTITUTE(rate_COO&amp;""," "," "))))=$E74)&gt;0)*((UPPER(TRIM(CLEAN(SUBSTITUTE(rate_USMCA&amp;""," "," "))))="")+(UPPER(TRIM(CLEAN(SUBSTITUTE(rate_USMCA&amp;""," "," "))))=IF(UPPER(TRIM(CLEAN(SUBSTITUTE(Items!F74&amp;""," "," "))))="Y","Y","N"))&gt;0)*((1+(UPPER(TRIM(CLEAN(SUBSTITUTE(rate_Group&amp;""," "," "))))&lt;&gt;"")+2*(UPPER(TRIM(CLEAN(SUBSTITUTE(rate_USMCA&amp;""," "," "))))&lt;&gt;"")+4*(UPPER(TRIM(CLEAN(SUBSTITUTE(rate_COO&amp;""," "," "))))&lt;&gt;""))=INT($AO74/100))))</f>
        <v/>
      </c>
      <c r="AQ74" s="13">
        <f>IF($A74="",0,IFERROR(MATCH($AL74,det_Key,0),0))</f>
        <v/>
      </c>
    </row>
    <row r="75">
      <c r="A75" s="10">
        <f>IF(TRIM(CLEAN(SUBSTITUTE(Items!A75&amp;""," "," ")))="","",TRIM(CLEAN(SUBSTITUTE(Items!A75&amp;""," "," "))))</f>
        <v/>
      </c>
      <c r="B75" s="10">
        <f>IF($A75="","",Items!B75&amp;"")</f>
        <v/>
      </c>
      <c r="C75" s="10">
        <f>IF($A75="","",SUBSTITUTE(SUBSTITUTE(SUBSTITUTE(SUBSTITUTE(CLEAN(Items!D75&amp;"")," ",""),".","")," ",""),"-",""))</f>
        <v/>
      </c>
      <c r="D75" s="10">
        <f>IF($A75="","",LEFT($C75,2))</f>
        <v/>
      </c>
      <c r="E75" s="10">
        <f>IF($A75="","",UPPER(TRIM(CLEAN(SUBSTITUTE(Items!E75&amp;""," "," ")))))</f>
        <v/>
      </c>
      <c r="F75" s="10">
        <f>IF($A75="","",IF(UPPER(TRIM(CLEAN(SUBSTITUTE(Items!C75&amp;""," "," "))))=UPPER(TRIM(CLEAN(SUBSTITUTE(act_Country&amp;""," "," ")))),"Y","N"))</f>
        <v/>
      </c>
      <c r="G75" s="10">
        <f>IF($A75="","",IF($AM75&gt;0,"Y","N"))</f>
        <v/>
      </c>
      <c r="H75" s="10">
        <f>IF($A75="","",IF(SUMPRODUCT((excl_HTS&lt;&gt;"")*(LEFT($C75,LEN(excl_HTS))=excl_HTS))&gt;0,"Y","N"))</f>
        <v/>
      </c>
      <c r="I75" s="10">
        <f>IF($A75="","",IF($E75="","N",IF(SUMPRODUCT(--(UPPER(TRIM(CLEAN(SUBSTITUTE(scope_COO&amp;""," "," "))))=$E75))&gt;0,"Y","N")))</f>
        <v/>
      </c>
      <c r="J75" s="10">
        <f>IF($A75="","",IF(AND(UPPER(TRIM(CLEAN(SUBSTITUTE(act_USMCAExempt&amp;""," "," "))))="Y",UPPER(TRIM(CLEAN(SUBSTITUTE(Items!F75&amp;""," "," "))))="Y"),"Y","N"))</f>
        <v/>
      </c>
      <c r="K75" s="10">
        <f>IF($A75="","",IF($AQ75=0,"",UPPER(TRIM(CLEAN(SUBSTITUTE(INDEX(det_Status,$AQ75)&amp;""," "," "))))))</f>
        <v/>
      </c>
      <c r="L75" s="10">
        <f>IF($A75="","",IF($F75="N","N",IF($K75="IN","Y",IF($K75="OUT","N",IF(AND($G75="Y",$H75="N",$I75="Y",$J75="N"),"Y","N")))))</f>
        <v/>
      </c>
      <c r="M75" s="10">
        <f>IF($A75="","",IF($F75="N","Out: different import country",IF($K75="IN","In: Research determination",IF($K75="OUT","Out: Research determination",IF($G75="N","Out: HTS not on scope list",IF($H75="Y","Out: HTS on exclusion list",IF($I75="N","Out: origin not on scope list",IF($J75="Y","Out: USMCA-qualifying, exempt","In: matches scope rules"))))))))</f>
        <v/>
      </c>
      <c r="N75" s="10">
        <f>IF(OR($A75="",$AM75=0),"",UPPER(TRIM(CLEAN(SUBSTITUTE(INDEX(scope_Group,MOD($AM75,1000))&amp;""," "," ")))))</f>
        <v/>
      </c>
      <c r="O75" s="10">
        <f>IF($L75&lt;&gt;"Y","",IF($AO75=0,"Default (B15)",UPPER(TRIM(CLEAN(SUBSTITUTE(INDEX(rate_ID,MOD($AO75,100))&amp;""," "," "))))))</f>
        <v/>
      </c>
      <c r="P75" s="10">
        <f>IF($L75&lt;&gt;"Y","",IF($AO75=0,IF(UPPER(TRIM(CLEAN(SUBSTITUTE(act_DefaultBase&amp;""," "," "))))="PART","PART","FULL"),IF(UPPER(TRIM(CLEAN(SUBSTITUTE(INDEX(rate_Base,MOD($AO75,100))&amp;""," "," "))))="PART","PART","FULL")))</f>
        <v/>
      </c>
      <c r="Q75" s="17">
        <f>IF($A75="","",N(Items!J75))</f>
        <v/>
      </c>
      <c r="R75" s="17">
        <f>IF($A75="","",IF($L75&lt;&gt;"Y",0,IF($AO75=0,N(act_Rate),N(INDEX(rate_Rate,MOD($AO75,100))))))</f>
        <v/>
      </c>
      <c r="S75" s="17">
        <f>IF($A75="","",IF($L75&lt;&gt;"Y",0,IF($AO75=0,IF(UPPER(TRIM(CLEAN(SUBSTITUTE(act_RateType&amp;""," "," "))))="REPLACE",N(act_PriorRate),0),IF(ISNUMBER(INDEX(rate_Prior,MOD($AO75,100))),INDEX(rate_Prior,MOD($AO75,100)),IF(UPPER(TRIM(CLEAN(SUBSTITUTE(act_RateType&amp;""," "," "))))="REPLACE",N(act_PriorRate),0)))))</f>
        <v/>
      </c>
      <c r="T75" s="17">
        <f>IF($A75="","",IF(AND($L75="Y",$P75="PART",ISNUMBER(Items!M75)),Items!M75,1))</f>
        <v/>
      </c>
      <c r="U75" s="17">
        <f>IF($A75="","",IF($L75&lt;&gt;"Y",0,IF($AQ75&gt;0,IF(ISNUMBER(INDEX(det_Displaced,$AQ75)),INDEX(det_Displaced,$AQ75),IF($AO75=0,0,N(INDEX(rate_Displaced,MOD($AO75,100))))),IF($AO75=0,0,N(INDEX(rate_Displaced,MOD($AO75,100)))))))</f>
        <v/>
      </c>
      <c r="V75" s="17">
        <f>IF($A75="","",IF($L75="Y",$Q75+$T75*($R75-$S75)-$U75,$Q75))</f>
        <v/>
      </c>
      <c r="W75" s="18">
        <f>IF($A75="","",N(Items!H75)*$Q75)</f>
        <v/>
      </c>
      <c r="X75" s="18">
        <f>IF($A75="","",N(Items!H75)*$V75)</f>
        <v/>
      </c>
      <c r="Y75" s="18">
        <f>IF($A75="","",$X75-$W75)</f>
        <v/>
      </c>
      <c r="Z75" s="18">
        <f>IF($A75="","",N(Items!K75)+$Y75)</f>
        <v/>
      </c>
      <c r="AA75" s="17">
        <f>IF($A75="","",IF(N(Items!L75)=0,"",(N(Items!L75)-N(Items!K75))/N(Items!L75)))</f>
        <v/>
      </c>
      <c r="AB75" s="17">
        <f>IF($A75="","",IF(N(Items!L75)=0,"",(N(Items!L75)-$Z75)/N(Items!L75)))</f>
        <v/>
      </c>
      <c r="AC75" s="17">
        <f>IF(OR($AA75="",$AB75=""),"",$AB75-$AA75)</f>
        <v/>
      </c>
      <c r="AD75" s="13">
        <f>IF($A75="","",N(Items!I75))</f>
        <v/>
      </c>
      <c r="AE75" s="19">
        <f>IF($A75="","",$Y75*$AD75)</f>
        <v/>
      </c>
      <c r="AF75" s="10">
        <f>IF($A75="","",IF(N(Items!L75)&gt;0,"Y","N"))</f>
        <v/>
      </c>
      <c r="AG75" s="19">
        <f>IF($A75="","",IF($AF75="Y",N(Items!L75)*$AD75,0))</f>
        <v/>
      </c>
      <c r="AH75" s="19">
        <f>IF($A75="","",IF($AF75="Y",(N(Items!L75)-N(Items!K75))*$AD75,0))</f>
        <v/>
      </c>
      <c r="AI75" s="19">
        <f>IF($A75="","",IF($AF75="Y",$AH75-$AE75,0))</f>
        <v/>
      </c>
      <c r="AJ75" s="10">
        <f>IF($A75="","",IF(COUNTIF($AL$5:$AL$254,$AL75)&gt;1,"CHECK: duplicate item and import country",IF(TRIM(CLEAN(SUBSTITUTE(Items!C75&amp;""," "," ")))="","CHECK: import country missing",IF(AND(UPPER(TRIM(CLEAN(SUBSTITUTE(Items!C75&amp;""," "," "))))&lt;&gt;"US",UPPER(TRIM(CLEAN(SUBSTITUTE(Items!C75&amp;""," "," "))))&lt;&gt;"CA",UPPER(TRIM(CLEAN(SUBSTITUTE(Items!C75&amp;""," "," "))))&lt;&gt;"MX"),"CHECK: import country must be US, CA or MX",IF(NOT(AND(LEN($C75)=10,IFERROR(TEXT(VALUE($C75),REPT("0",LEN($C75)))=$C75,FALSE))),"CHECK: HTS must be 10 digits",IF(LEN($E75)&lt;&gt;2,"CHECK: origin code missing or not 2 letters",IF(TRIM(CLEAN(SUBSTITUTE(Items!G75&amp;""," "," ")))="","CHECK: unit of measure missing",IF(OR(Items!H75="",Items!J75="",Items!K75=""),"CHECK: value, rate or cost missing",IF(OR(NOT(ISNUMBER(Items!H75)),NOT(ISNUMBER(Items!J75)),NOT(ISNUMBER(Items!K75)),AND(Items!I75&lt;&gt;"",NOT(ISNUMBER(Items!I75))),AND(Items!L75&lt;&gt;"",NOT(ISNUMBER(Items!L75))),AND(Items!M75&lt;&gt;"",NOT(ISNUMBER(Items!M75)))),"CHECK: text in a number column",IF(AND(ISNUMBER(Items!M75),OR(N(Items!M75)&lt;0,N(Items!M75)&gt;1)),"CHECK: dutiable share must be 0% to 100%",IF(AND(UPPER(TRIM(CLEAN(SUBSTITUTE(Items!F75&amp;""," "," "))))&lt;&gt;"",UPPER(TRIM(CLEAN(SUBSTITUTE(Items!F75&amp;""," "," "))))&lt;&gt;"Y",UPPER(TRIM(CLEAN(SUBSTITUTE(Items!F75&amp;""," "," "))))&lt;&gt;"N"),"CHECK: USMCA flag must be Y, N or blank",IF(AND(UPPER(TRIM(CLEAN(SUBSTITUTE(Items!F75&amp;""," "," "))))="Y",$E75&lt;&gt;"US",$E75&lt;&gt;"CA",$E75&lt;&gt;"MX"),"CHECK: USMCA flag on an origin other than US, CA or MX",IF(AND($L75="Y",$AO75=0,NOT(ISNUMBER(act_Rate))),"CHECK: in scope but no rate (add a rate line or B15)",IF(AND($L75="Y",UPPER(TRIM(CLEAN(SUBSTITUTE(act_RateType&amp;""," "," "))))="REPLACE",NOT(ISNUMBER(act_PriorRate)),IF($AO75=0,TRUE,NOT(ISNUMBER(INDEX(rate_Prior,MOD($AO75,100)))))),"CHECK: REPLACE but no earlier rate (B17 or the rate line's AD)",IF(AND($L75="Y",$AP75&gt;1),"CHECK: two rate lines match equally",IF(AND($L75="Y",$AN75&gt;1),"CHECK: HTS prefix listed twice on the scope list",IF(AND($L75="Y",$P75="PART",NOT(ISNUMBER(Items!M75))),"CHECK: dutiable share missing (PART base)",IF(AND($L75="Y",$P75="FULL",ISNUMBER(Items!M75),N(Items!M75)&lt;&gt;1),"CHECK: dutiable share entered, but the rate taxes the full value",IF(AND($L75="Y",$Q75+0.0000001&lt;$T75*$S75+$U75),"CHECK: current rate is below the duty being replaced or displaced",IF(AND($L75="Y",$AD75=0),"NOTE: in scope, no quantity",IF(AND($L75="Y",$AF75="N"),"NOTE: in scope, no sell price (left out of margin %)",IF(AND($L75="Y",N(Items!H75)&gt;N(Items!K75)),"NOTE: customs value above standard cost (check unit of measure)",IF(AND($L75="Y",$Q75&gt;1),"NOTE: current rate above 100% (check it was entered as a percentage)","OK")))))))))))))))))))))))</f>
        <v/>
      </c>
      <c r="AK75" s="20">
        <f>IF($A75="","",IF(AND($L75="Y",$AE75&lt;&gt;0),ABS($AE75)+ROW()/1000000000,""))</f>
        <v/>
      </c>
      <c r="AL75" s="10">
        <f>IF($A75="","",UPPER($A75)&amp;"/"&amp;UPPER(TRIM(CLEAN(SUBSTITUTE(Items!C75&amp;""," "," ")))))</f>
        <v/>
      </c>
      <c r="AM75" s="13">
        <f>IF($A75="",0,SUMPRODUCT(MAX((scope_HTS&lt;&gt;"")*(LEFT($C75,LEN(scope_HTS))=scope_HTS)*(LEN(scope_HTS)*1000+ROW(scope_HTS)-4))))</f>
        <v/>
      </c>
      <c r="AN75" s="13">
        <f>IF($AM75=0,0,SUMPRODUCT((scope_HTS&lt;&gt;"")*(LEFT($C75,LEN(scope_HTS))=scope_HTS)*(LEN(scope_HTS)=INT($AM75/1000))))</f>
        <v/>
      </c>
      <c r="AO75" s="13">
        <f>IF($L75&lt;&gt;"Y",0,SUMPRODUCT(MAX(ISNUMBER(rate_Rate)*((UPPER(TRIM(CLEAN(SUBSTITUTE(rate_Group&amp;""," "," "))))="")+(UPPER(TRIM(CLEAN(SUBSTITUTE(rate_Group&amp;""," "," "))))=$N75)&gt;0)*((UPPER(TRIM(CLEAN(SUBSTITUTE(rate_COO&amp;""," "," "))))="")+(UPPER(TRIM(CLEAN(SUBSTITUTE(rate_COO&amp;""," "," "))))=$E75)&gt;0)*((UPPER(TRIM(CLEAN(SUBSTITUTE(rate_USMCA&amp;""," "," "))))="")+(UPPER(TRIM(CLEAN(SUBSTITUTE(rate_USMCA&amp;""," "," "))))=IF(UPPER(TRIM(CLEAN(SUBSTITUTE(Items!F75&amp;""," "," "))))="Y","Y","N"))&gt;0)*((1+(UPPER(TRIM(CLEAN(SUBSTITUTE(rate_Group&amp;""," "," "))))&lt;&gt;"")+2*(UPPER(TRIM(CLEAN(SUBSTITUTE(rate_USMCA&amp;""," "," "))))&lt;&gt;"")+4*(UPPER(TRIM(CLEAN(SUBSTITUTE(rate_COO&amp;""," "," "))))&lt;&gt;""))*100+ROW(rate_Rate)-4))))</f>
        <v/>
      </c>
      <c r="AP75" s="13">
        <f>IF($AO75=0,0,SUMPRODUCT(ISNUMBER(rate_Rate)*((UPPER(TRIM(CLEAN(SUBSTITUTE(rate_Group&amp;""," "," "))))="")+(UPPER(TRIM(CLEAN(SUBSTITUTE(rate_Group&amp;""," "," "))))=$N75)&gt;0)*((UPPER(TRIM(CLEAN(SUBSTITUTE(rate_COO&amp;""," "," "))))="")+(UPPER(TRIM(CLEAN(SUBSTITUTE(rate_COO&amp;""," "," "))))=$E75)&gt;0)*((UPPER(TRIM(CLEAN(SUBSTITUTE(rate_USMCA&amp;""," "," "))))="")+(UPPER(TRIM(CLEAN(SUBSTITUTE(rate_USMCA&amp;""," "," "))))=IF(UPPER(TRIM(CLEAN(SUBSTITUTE(Items!F75&amp;""," "," "))))="Y","Y","N"))&gt;0)*((1+(UPPER(TRIM(CLEAN(SUBSTITUTE(rate_Group&amp;""," "," "))))&lt;&gt;"")+2*(UPPER(TRIM(CLEAN(SUBSTITUTE(rate_USMCA&amp;""," "," "))))&lt;&gt;"")+4*(UPPER(TRIM(CLEAN(SUBSTITUTE(rate_COO&amp;""," "," "))))&lt;&gt;""))=INT($AO75/100))))</f>
        <v/>
      </c>
      <c r="AQ75" s="13">
        <f>IF($A75="",0,IFERROR(MATCH($AL75,det_Key,0),0))</f>
        <v/>
      </c>
    </row>
    <row r="76">
      <c r="A76" s="10">
        <f>IF(TRIM(CLEAN(SUBSTITUTE(Items!A76&amp;""," "," ")))="","",TRIM(CLEAN(SUBSTITUTE(Items!A76&amp;""," "," "))))</f>
        <v/>
      </c>
      <c r="B76" s="10">
        <f>IF($A76="","",Items!B76&amp;"")</f>
        <v/>
      </c>
      <c r="C76" s="10">
        <f>IF($A76="","",SUBSTITUTE(SUBSTITUTE(SUBSTITUTE(SUBSTITUTE(CLEAN(Items!D76&amp;"")," ",""),".","")," ",""),"-",""))</f>
        <v/>
      </c>
      <c r="D76" s="10">
        <f>IF($A76="","",LEFT($C76,2))</f>
        <v/>
      </c>
      <c r="E76" s="10">
        <f>IF($A76="","",UPPER(TRIM(CLEAN(SUBSTITUTE(Items!E76&amp;""," "," ")))))</f>
        <v/>
      </c>
      <c r="F76" s="10">
        <f>IF($A76="","",IF(UPPER(TRIM(CLEAN(SUBSTITUTE(Items!C76&amp;""," "," "))))=UPPER(TRIM(CLEAN(SUBSTITUTE(act_Country&amp;""," "," ")))),"Y","N"))</f>
        <v/>
      </c>
      <c r="G76" s="10">
        <f>IF($A76="","",IF($AM76&gt;0,"Y","N"))</f>
        <v/>
      </c>
      <c r="H76" s="10">
        <f>IF($A76="","",IF(SUMPRODUCT((excl_HTS&lt;&gt;"")*(LEFT($C76,LEN(excl_HTS))=excl_HTS))&gt;0,"Y","N"))</f>
        <v/>
      </c>
      <c r="I76" s="10">
        <f>IF($A76="","",IF($E76="","N",IF(SUMPRODUCT(--(UPPER(TRIM(CLEAN(SUBSTITUTE(scope_COO&amp;""," "," "))))=$E76))&gt;0,"Y","N")))</f>
        <v/>
      </c>
      <c r="J76" s="10">
        <f>IF($A76="","",IF(AND(UPPER(TRIM(CLEAN(SUBSTITUTE(act_USMCAExempt&amp;""," "," "))))="Y",UPPER(TRIM(CLEAN(SUBSTITUTE(Items!F76&amp;""," "," "))))="Y"),"Y","N"))</f>
        <v/>
      </c>
      <c r="K76" s="10">
        <f>IF($A76="","",IF($AQ76=0,"",UPPER(TRIM(CLEAN(SUBSTITUTE(INDEX(det_Status,$AQ76)&amp;""," "," "))))))</f>
        <v/>
      </c>
      <c r="L76" s="10">
        <f>IF($A76="","",IF($F76="N","N",IF($K76="IN","Y",IF($K76="OUT","N",IF(AND($G76="Y",$H76="N",$I76="Y",$J76="N"),"Y","N")))))</f>
        <v/>
      </c>
      <c r="M76" s="10">
        <f>IF($A76="","",IF($F76="N","Out: different import country",IF($K76="IN","In: Research determination",IF($K76="OUT","Out: Research determination",IF($G76="N","Out: HTS not on scope list",IF($H76="Y","Out: HTS on exclusion list",IF($I76="N","Out: origin not on scope list",IF($J76="Y","Out: USMCA-qualifying, exempt","In: matches scope rules"))))))))</f>
        <v/>
      </c>
      <c r="N76" s="10">
        <f>IF(OR($A76="",$AM76=0),"",UPPER(TRIM(CLEAN(SUBSTITUTE(INDEX(scope_Group,MOD($AM76,1000))&amp;""," "," ")))))</f>
        <v/>
      </c>
      <c r="O76" s="10">
        <f>IF($L76&lt;&gt;"Y","",IF($AO76=0,"Default (B15)",UPPER(TRIM(CLEAN(SUBSTITUTE(INDEX(rate_ID,MOD($AO76,100))&amp;""," "," "))))))</f>
        <v/>
      </c>
      <c r="P76" s="10">
        <f>IF($L76&lt;&gt;"Y","",IF($AO76=0,IF(UPPER(TRIM(CLEAN(SUBSTITUTE(act_DefaultBase&amp;""," "," "))))="PART","PART","FULL"),IF(UPPER(TRIM(CLEAN(SUBSTITUTE(INDEX(rate_Base,MOD($AO76,100))&amp;""," "," "))))="PART","PART","FULL")))</f>
        <v/>
      </c>
      <c r="Q76" s="17">
        <f>IF($A76="","",N(Items!J76))</f>
        <v/>
      </c>
      <c r="R76" s="17">
        <f>IF($A76="","",IF($L76&lt;&gt;"Y",0,IF($AO76=0,N(act_Rate),N(INDEX(rate_Rate,MOD($AO76,100))))))</f>
        <v/>
      </c>
      <c r="S76" s="17">
        <f>IF($A76="","",IF($L76&lt;&gt;"Y",0,IF($AO76=0,IF(UPPER(TRIM(CLEAN(SUBSTITUTE(act_RateType&amp;""," "," "))))="REPLACE",N(act_PriorRate),0),IF(ISNUMBER(INDEX(rate_Prior,MOD($AO76,100))),INDEX(rate_Prior,MOD($AO76,100)),IF(UPPER(TRIM(CLEAN(SUBSTITUTE(act_RateType&amp;""," "," "))))="REPLACE",N(act_PriorRate),0)))))</f>
        <v/>
      </c>
      <c r="T76" s="17">
        <f>IF($A76="","",IF(AND($L76="Y",$P76="PART",ISNUMBER(Items!M76)),Items!M76,1))</f>
        <v/>
      </c>
      <c r="U76" s="17">
        <f>IF($A76="","",IF($L76&lt;&gt;"Y",0,IF($AQ76&gt;0,IF(ISNUMBER(INDEX(det_Displaced,$AQ76)),INDEX(det_Displaced,$AQ76),IF($AO76=0,0,N(INDEX(rate_Displaced,MOD($AO76,100))))),IF($AO76=0,0,N(INDEX(rate_Displaced,MOD($AO76,100)))))))</f>
        <v/>
      </c>
      <c r="V76" s="17">
        <f>IF($A76="","",IF($L76="Y",$Q76+$T76*($R76-$S76)-$U76,$Q76))</f>
        <v/>
      </c>
      <c r="W76" s="18">
        <f>IF($A76="","",N(Items!H76)*$Q76)</f>
        <v/>
      </c>
      <c r="X76" s="18">
        <f>IF($A76="","",N(Items!H76)*$V76)</f>
        <v/>
      </c>
      <c r="Y76" s="18">
        <f>IF($A76="","",$X76-$W76)</f>
        <v/>
      </c>
      <c r="Z76" s="18">
        <f>IF($A76="","",N(Items!K76)+$Y76)</f>
        <v/>
      </c>
      <c r="AA76" s="17">
        <f>IF($A76="","",IF(N(Items!L76)=0,"",(N(Items!L76)-N(Items!K76))/N(Items!L76)))</f>
        <v/>
      </c>
      <c r="AB76" s="17">
        <f>IF($A76="","",IF(N(Items!L76)=0,"",(N(Items!L76)-$Z76)/N(Items!L76)))</f>
        <v/>
      </c>
      <c r="AC76" s="17">
        <f>IF(OR($AA76="",$AB76=""),"",$AB76-$AA76)</f>
        <v/>
      </c>
      <c r="AD76" s="13">
        <f>IF($A76="","",N(Items!I76))</f>
        <v/>
      </c>
      <c r="AE76" s="19">
        <f>IF($A76="","",$Y76*$AD76)</f>
        <v/>
      </c>
      <c r="AF76" s="10">
        <f>IF($A76="","",IF(N(Items!L76)&gt;0,"Y","N"))</f>
        <v/>
      </c>
      <c r="AG76" s="19">
        <f>IF($A76="","",IF($AF76="Y",N(Items!L76)*$AD76,0))</f>
        <v/>
      </c>
      <c r="AH76" s="19">
        <f>IF($A76="","",IF($AF76="Y",(N(Items!L76)-N(Items!K76))*$AD76,0))</f>
        <v/>
      </c>
      <c r="AI76" s="19">
        <f>IF($A76="","",IF($AF76="Y",$AH76-$AE76,0))</f>
        <v/>
      </c>
      <c r="AJ76" s="10">
        <f>IF($A76="","",IF(COUNTIF($AL$5:$AL$254,$AL76)&gt;1,"CHECK: duplicate item and import country",IF(TRIM(CLEAN(SUBSTITUTE(Items!C76&amp;""," "," ")))="","CHECK: import country missing",IF(AND(UPPER(TRIM(CLEAN(SUBSTITUTE(Items!C76&amp;""," "," "))))&lt;&gt;"US",UPPER(TRIM(CLEAN(SUBSTITUTE(Items!C76&amp;""," "," "))))&lt;&gt;"CA",UPPER(TRIM(CLEAN(SUBSTITUTE(Items!C76&amp;""," "," "))))&lt;&gt;"MX"),"CHECK: import country must be US, CA or MX",IF(NOT(AND(LEN($C76)=10,IFERROR(TEXT(VALUE($C76),REPT("0",LEN($C76)))=$C76,FALSE))),"CHECK: HTS must be 10 digits",IF(LEN($E76)&lt;&gt;2,"CHECK: origin code missing or not 2 letters",IF(TRIM(CLEAN(SUBSTITUTE(Items!G76&amp;""," "," ")))="","CHECK: unit of measure missing",IF(OR(Items!H76="",Items!J76="",Items!K76=""),"CHECK: value, rate or cost missing",IF(OR(NOT(ISNUMBER(Items!H76)),NOT(ISNUMBER(Items!J76)),NOT(ISNUMBER(Items!K76)),AND(Items!I76&lt;&gt;"",NOT(ISNUMBER(Items!I76))),AND(Items!L76&lt;&gt;"",NOT(ISNUMBER(Items!L76))),AND(Items!M76&lt;&gt;"",NOT(ISNUMBER(Items!M76)))),"CHECK: text in a number column",IF(AND(ISNUMBER(Items!M76),OR(N(Items!M76)&lt;0,N(Items!M76)&gt;1)),"CHECK: dutiable share must be 0% to 100%",IF(AND(UPPER(TRIM(CLEAN(SUBSTITUTE(Items!F76&amp;""," "," "))))&lt;&gt;"",UPPER(TRIM(CLEAN(SUBSTITUTE(Items!F76&amp;""," "," "))))&lt;&gt;"Y",UPPER(TRIM(CLEAN(SUBSTITUTE(Items!F76&amp;""," "," "))))&lt;&gt;"N"),"CHECK: USMCA flag must be Y, N or blank",IF(AND(UPPER(TRIM(CLEAN(SUBSTITUTE(Items!F76&amp;""," "," "))))="Y",$E76&lt;&gt;"US",$E76&lt;&gt;"CA",$E76&lt;&gt;"MX"),"CHECK: USMCA flag on an origin other than US, CA or MX",IF(AND($L76="Y",$AO76=0,NOT(ISNUMBER(act_Rate))),"CHECK: in scope but no rate (add a rate line or B15)",IF(AND($L76="Y",UPPER(TRIM(CLEAN(SUBSTITUTE(act_RateType&amp;""," "," "))))="REPLACE",NOT(ISNUMBER(act_PriorRate)),IF($AO76=0,TRUE,NOT(ISNUMBER(INDEX(rate_Prior,MOD($AO76,100)))))),"CHECK: REPLACE but no earlier rate (B17 or the rate line's AD)",IF(AND($L76="Y",$AP76&gt;1),"CHECK: two rate lines match equally",IF(AND($L76="Y",$AN76&gt;1),"CHECK: HTS prefix listed twice on the scope list",IF(AND($L76="Y",$P76="PART",NOT(ISNUMBER(Items!M76))),"CHECK: dutiable share missing (PART base)",IF(AND($L76="Y",$P76="FULL",ISNUMBER(Items!M76),N(Items!M76)&lt;&gt;1),"CHECK: dutiable share entered, but the rate taxes the full value",IF(AND($L76="Y",$Q76+0.0000001&lt;$T76*$S76+$U76),"CHECK: current rate is below the duty being replaced or displaced",IF(AND($L76="Y",$AD76=0),"NOTE: in scope, no quantity",IF(AND($L76="Y",$AF76="N"),"NOTE: in scope, no sell price (left out of margin %)",IF(AND($L76="Y",N(Items!H76)&gt;N(Items!K76)),"NOTE: customs value above standard cost (check unit of measure)",IF(AND($L76="Y",$Q76&gt;1),"NOTE: current rate above 100% (check it was entered as a percentage)","OK")))))))))))))))))))))))</f>
        <v/>
      </c>
      <c r="AK76" s="20">
        <f>IF($A76="","",IF(AND($L76="Y",$AE76&lt;&gt;0),ABS($AE76)+ROW()/1000000000,""))</f>
        <v/>
      </c>
      <c r="AL76" s="10">
        <f>IF($A76="","",UPPER($A76)&amp;"/"&amp;UPPER(TRIM(CLEAN(SUBSTITUTE(Items!C76&amp;""," "," ")))))</f>
        <v/>
      </c>
      <c r="AM76" s="13">
        <f>IF($A76="",0,SUMPRODUCT(MAX((scope_HTS&lt;&gt;"")*(LEFT($C76,LEN(scope_HTS))=scope_HTS)*(LEN(scope_HTS)*1000+ROW(scope_HTS)-4))))</f>
        <v/>
      </c>
      <c r="AN76" s="13">
        <f>IF($AM76=0,0,SUMPRODUCT((scope_HTS&lt;&gt;"")*(LEFT($C76,LEN(scope_HTS))=scope_HTS)*(LEN(scope_HTS)=INT($AM76/1000))))</f>
        <v/>
      </c>
      <c r="AO76" s="13">
        <f>IF($L76&lt;&gt;"Y",0,SUMPRODUCT(MAX(ISNUMBER(rate_Rate)*((UPPER(TRIM(CLEAN(SUBSTITUTE(rate_Group&amp;""," "," "))))="")+(UPPER(TRIM(CLEAN(SUBSTITUTE(rate_Group&amp;""," "," "))))=$N76)&gt;0)*((UPPER(TRIM(CLEAN(SUBSTITUTE(rate_COO&amp;""," "," "))))="")+(UPPER(TRIM(CLEAN(SUBSTITUTE(rate_COO&amp;""," "," "))))=$E76)&gt;0)*((UPPER(TRIM(CLEAN(SUBSTITUTE(rate_USMCA&amp;""," "," "))))="")+(UPPER(TRIM(CLEAN(SUBSTITUTE(rate_USMCA&amp;""," "," "))))=IF(UPPER(TRIM(CLEAN(SUBSTITUTE(Items!F76&amp;""," "," "))))="Y","Y","N"))&gt;0)*((1+(UPPER(TRIM(CLEAN(SUBSTITUTE(rate_Group&amp;""," "," "))))&lt;&gt;"")+2*(UPPER(TRIM(CLEAN(SUBSTITUTE(rate_USMCA&amp;""," "," "))))&lt;&gt;"")+4*(UPPER(TRIM(CLEAN(SUBSTITUTE(rate_COO&amp;""," "," "))))&lt;&gt;""))*100+ROW(rate_Rate)-4))))</f>
        <v/>
      </c>
      <c r="AP76" s="13">
        <f>IF($AO76=0,0,SUMPRODUCT(ISNUMBER(rate_Rate)*((UPPER(TRIM(CLEAN(SUBSTITUTE(rate_Group&amp;""," "," "))))="")+(UPPER(TRIM(CLEAN(SUBSTITUTE(rate_Group&amp;""," "," "))))=$N76)&gt;0)*((UPPER(TRIM(CLEAN(SUBSTITUTE(rate_COO&amp;""," "," "))))="")+(UPPER(TRIM(CLEAN(SUBSTITUTE(rate_COO&amp;""," "," "))))=$E76)&gt;0)*((UPPER(TRIM(CLEAN(SUBSTITUTE(rate_USMCA&amp;""," "," "))))="")+(UPPER(TRIM(CLEAN(SUBSTITUTE(rate_USMCA&amp;""," "," "))))=IF(UPPER(TRIM(CLEAN(SUBSTITUTE(Items!F76&amp;""," "," "))))="Y","Y","N"))&gt;0)*((1+(UPPER(TRIM(CLEAN(SUBSTITUTE(rate_Group&amp;""," "," "))))&lt;&gt;"")+2*(UPPER(TRIM(CLEAN(SUBSTITUTE(rate_USMCA&amp;""," "," "))))&lt;&gt;"")+4*(UPPER(TRIM(CLEAN(SUBSTITUTE(rate_COO&amp;""," "," "))))&lt;&gt;""))=INT($AO76/100))))</f>
        <v/>
      </c>
      <c r="AQ76" s="13">
        <f>IF($A76="",0,IFERROR(MATCH($AL76,det_Key,0),0))</f>
        <v/>
      </c>
    </row>
    <row r="77">
      <c r="A77" s="10">
        <f>IF(TRIM(CLEAN(SUBSTITUTE(Items!A77&amp;""," "," ")))="","",TRIM(CLEAN(SUBSTITUTE(Items!A77&amp;""," "," "))))</f>
        <v/>
      </c>
      <c r="B77" s="10">
        <f>IF($A77="","",Items!B77&amp;"")</f>
        <v/>
      </c>
      <c r="C77" s="10">
        <f>IF($A77="","",SUBSTITUTE(SUBSTITUTE(SUBSTITUTE(SUBSTITUTE(CLEAN(Items!D77&amp;"")," ",""),".","")," ",""),"-",""))</f>
        <v/>
      </c>
      <c r="D77" s="10">
        <f>IF($A77="","",LEFT($C77,2))</f>
        <v/>
      </c>
      <c r="E77" s="10">
        <f>IF($A77="","",UPPER(TRIM(CLEAN(SUBSTITUTE(Items!E77&amp;""," "," ")))))</f>
        <v/>
      </c>
      <c r="F77" s="10">
        <f>IF($A77="","",IF(UPPER(TRIM(CLEAN(SUBSTITUTE(Items!C77&amp;""," "," "))))=UPPER(TRIM(CLEAN(SUBSTITUTE(act_Country&amp;""," "," ")))),"Y","N"))</f>
        <v/>
      </c>
      <c r="G77" s="10">
        <f>IF($A77="","",IF($AM77&gt;0,"Y","N"))</f>
        <v/>
      </c>
      <c r="H77" s="10">
        <f>IF($A77="","",IF(SUMPRODUCT((excl_HTS&lt;&gt;"")*(LEFT($C77,LEN(excl_HTS))=excl_HTS))&gt;0,"Y","N"))</f>
        <v/>
      </c>
      <c r="I77" s="10">
        <f>IF($A77="","",IF($E77="","N",IF(SUMPRODUCT(--(UPPER(TRIM(CLEAN(SUBSTITUTE(scope_COO&amp;""," "," "))))=$E77))&gt;0,"Y","N")))</f>
        <v/>
      </c>
      <c r="J77" s="10">
        <f>IF($A77="","",IF(AND(UPPER(TRIM(CLEAN(SUBSTITUTE(act_USMCAExempt&amp;""," "," "))))="Y",UPPER(TRIM(CLEAN(SUBSTITUTE(Items!F77&amp;""," "," "))))="Y"),"Y","N"))</f>
        <v/>
      </c>
      <c r="K77" s="10">
        <f>IF($A77="","",IF($AQ77=0,"",UPPER(TRIM(CLEAN(SUBSTITUTE(INDEX(det_Status,$AQ77)&amp;""," "," "))))))</f>
        <v/>
      </c>
      <c r="L77" s="10">
        <f>IF($A77="","",IF($F77="N","N",IF($K77="IN","Y",IF($K77="OUT","N",IF(AND($G77="Y",$H77="N",$I77="Y",$J77="N"),"Y","N")))))</f>
        <v/>
      </c>
      <c r="M77" s="10">
        <f>IF($A77="","",IF($F77="N","Out: different import country",IF($K77="IN","In: Research determination",IF($K77="OUT","Out: Research determination",IF($G77="N","Out: HTS not on scope list",IF($H77="Y","Out: HTS on exclusion list",IF($I77="N","Out: origin not on scope list",IF($J77="Y","Out: USMCA-qualifying, exempt","In: matches scope rules"))))))))</f>
        <v/>
      </c>
      <c r="N77" s="10">
        <f>IF(OR($A77="",$AM77=0),"",UPPER(TRIM(CLEAN(SUBSTITUTE(INDEX(scope_Group,MOD($AM77,1000))&amp;""," "," ")))))</f>
        <v/>
      </c>
      <c r="O77" s="10">
        <f>IF($L77&lt;&gt;"Y","",IF($AO77=0,"Default (B15)",UPPER(TRIM(CLEAN(SUBSTITUTE(INDEX(rate_ID,MOD($AO77,100))&amp;""," "," "))))))</f>
        <v/>
      </c>
      <c r="P77" s="10">
        <f>IF($L77&lt;&gt;"Y","",IF($AO77=0,IF(UPPER(TRIM(CLEAN(SUBSTITUTE(act_DefaultBase&amp;""," "," "))))="PART","PART","FULL"),IF(UPPER(TRIM(CLEAN(SUBSTITUTE(INDEX(rate_Base,MOD($AO77,100))&amp;""," "," "))))="PART","PART","FULL")))</f>
        <v/>
      </c>
      <c r="Q77" s="17">
        <f>IF($A77="","",N(Items!J77))</f>
        <v/>
      </c>
      <c r="R77" s="17">
        <f>IF($A77="","",IF($L77&lt;&gt;"Y",0,IF($AO77=0,N(act_Rate),N(INDEX(rate_Rate,MOD($AO77,100))))))</f>
        <v/>
      </c>
      <c r="S77" s="17">
        <f>IF($A77="","",IF($L77&lt;&gt;"Y",0,IF($AO77=0,IF(UPPER(TRIM(CLEAN(SUBSTITUTE(act_RateType&amp;""," "," "))))="REPLACE",N(act_PriorRate),0),IF(ISNUMBER(INDEX(rate_Prior,MOD($AO77,100))),INDEX(rate_Prior,MOD($AO77,100)),IF(UPPER(TRIM(CLEAN(SUBSTITUTE(act_RateType&amp;""," "," "))))="REPLACE",N(act_PriorRate),0)))))</f>
        <v/>
      </c>
      <c r="T77" s="17">
        <f>IF($A77="","",IF(AND($L77="Y",$P77="PART",ISNUMBER(Items!M77)),Items!M77,1))</f>
        <v/>
      </c>
      <c r="U77" s="17">
        <f>IF($A77="","",IF($L77&lt;&gt;"Y",0,IF($AQ77&gt;0,IF(ISNUMBER(INDEX(det_Displaced,$AQ77)),INDEX(det_Displaced,$AQ77),IF($AO77=0,0,N(INDEX(rate_Displaced,MOD($AO77,100))))),IF($AO77=0,0,N(INDEX(rate_Displaced,MOD($AO77,100)))))))</f>
        <v/>
      </c>
      <c r="V77" s="17">
        <f>IF($A77="","",IF($L77="Y",$Q77+$T77*($R77-$S77)-$U77,$Q77))</f>
        <v/>
      </c>
      <c r="W77" s="18">
        <f>IF($A77="","",N(Items!H77)*$Q77)</f>
        <v/>
      </c>
      <c r="X77" s="18">
        <f>IF($A77="","",N(Items!H77)*$V77)</f>
        <v/>
      </c>
      <c r="Y77" s="18">
        <f>IF($A77="","",$X77-$W77)</f>
        <v/>
      </c>
      <c r="Z77" s="18">
        <f>IF($A77="","",N(Items!K77)+$Y77)</f>
        <v/>
      </c>
      <c r="AA77" s="17">
        <f>IF($A77="","",IF(N(Items!L77)=0,"",(N(Items!L77)-N(Items!K77))/N(Items!L77)))</f>
        <v/>
      </c>
      <c r="AB77" s="17">
        <f>IF($A77="","",IF(N(Items!L77)=0,"",(N(Items!L77)-$Z77)/N(Items!L77)))</f>
        <v/>
      </c>
      <c r="AC77" s="17">
        <f>IF(OR($AA77="",$AB77=""),"",$AB77-$AA77)</f>
        <v/>
      </c>
      <c r="AD77" s="13">
        <f>IF($A77="","",N(Items!I77))</f>
        <v/>
      </c>
      <c r="AE77" s="19">
        <f>IF($A77="","",$Y77*$AD77)</f>
        <v/>
      </c>
      <c r="AF77" s="10">
        <f>IF($A77="","",IF(N(Items!L77)&gt;0,"Y","N"))</f>
        <v/>
      </c>
      <c r="AG77" s="19">
        <f>IF($A77="","",IF($AF77="Y",N(Items!L77)*$AD77,0))</f>
        <v/>
      </c>
      <c r="AH77" s="19">
        <f>IF($A77="","",IF($AF77="Y",(N(Items!L77)-N(Items!K77))*$AD77,0))</f>
        <v/>
      </c>
      <c r="AI77" s="19">
        <f>IF($A77="","",IF($AF77="Y",$AH77-$AE77,0))</f>
        <v/>
      </c>
      <c r="AJ77" s="10">
        <f>IF($A77="","",IF(COUNTIF($AL$5:$AL$254,$AL77)&gt;1,"CHECK: duplicate item and import country",IF(TRIM(CLEAN(SUBSTITUTE(Items!C77&amp;""," "," ")))="","CHECK: import country missing",IF(AND(UPPER(TRIM(CLEAN(SUBSTITUTE(Items!C77&amp;""," "," "))))&lt;&gt;"US",UPPER(TRIM(CLEAN(SUBSTITUTE(Items!C77&amp;""," "," "))))&lt;&gt;"CA",UPPER(TRIM(CLEAN(SUBSTITUTE(Items!C77&amp;""," "," "))))&lt;&gt;"MX"),"CHECK: import country must be US, CA or MX",IF(NOT(AND(LEN($C77)=10,IFERROR(TEXT(VALUE($C77),REPT("0",LEN($C77)))=$C77,FALSE))),"CHECK: HTS must be 10 digits",IF(LEN($E77)&lt;&gt;2,"CHECK: origin code missing or not 2 letters",IF(TRIM(CLEAN(SUBSTITUTE(Items!G77&amp;""," "," ")))="","CHECK: unit of measure missing",IF(OR(Items!H77="",Items!J77="",Items!K77=""),"CHECK: value, rate or cost missing",IF(OR(NOT(ISNUMBER(Items!H77)),NOT(ISNUMBER(Items!J77)),NOT(ISNUMBER(Items!K77)),AND(Items!I77&lt;&gt;"",NOT(ISNUMBER(Items!I77))),AND(Items!L77&lt;&gt;"",NOT(ISNUMBER(Items!L77))),AND(Items!M77&lt;&gt;"",NOT(ISNUMBER(Items!M77)))),"CHECK: text in a number column",IF(AND(ISNUMBER(Items!M77),OR(N(Items!M77)&lt;0,N(Items!M77)&gt;1)),"CHECK: dutiable share must be 0% to 100%",IF(AND(UPPER(TRIM(CLEAN(SUBSTITUTE(Items!F77&amp;""," "," "))))&lt;&gt;"",UPPER(TRIM(CLEAN(SUBSTITUTE(Items!F77&amp;""," "," "))))&lt;&gt;"Y",UPPER(TRIM(CLEAN(SUBSTITUTE(Items!F77&amp;""," "," "))))&lt;&gt;"N"),"CHECK: USMCA flag must be Y, N or blank",IF(AND(UPPER(TRIM(CLEAN(SUBSTITUTE(Items!F77&amp;""," "," "))))="Y",$E77&lt;&gt;"US",$E77&lt;&gt;"CA",$E77&lt;&gt;"MX"),"CHECK: USMCA flag on an origin other than US, CA or MX",IF(AND($L77="Y",$AO77=0,NOT(ISNUMBER(act_Rate))),"CHECK: in scope but no rate (add a rate line or B15)",IF(AND($L77="Y",UPPER(TRIM(CLEAN(SUBSTITUTE(act_RateType&amp;""," "," "))))="REPLACE",NOT(ISNUMBER(act_PriorRate)),IF($AO77=0,TRUE,NOT(ISNUMBER(INDEX(rate_Prior,MOD($AO77,100)))))),"CHECK: REPLACE but no earlier rate (B17 or the rate line's AD)",IF(AND($L77="Y",$AP77&gt;1),"CHECK: two rate lines match equally",IF(AND($L77="Y",$AN77&gt;1),"CHECK: HTS prefix listed twice on the scope list",IF(AND($L77="Y",$P77="PART",NOT(ISNUMBER(Items!M77))),"CHECK: dutiable share missing (PART base)",IF(AND($L77="Y",$P77="FULL",ISNUMBER(Items!M77),N(Items!M77)&lt;&gt;1),"CHECK: dutiable share entered, but the rate taxes the full value",IF(AND($L77="Y",$Q77+0.0000001&lt;$T77*$S77+$U77),"CHECK: current rate is below the duty being replaced or displaced",IF(AND($L77="Y",$AD77=0),"NOTE: in scope, no quantity",IF(AND($L77="Y",$AF77="N"),"NOTE: in scope, no sell price (left out of margin %)",IF(AND($L77="Y",N(Items!H77)&gt;N(Items!K77)),"NOTE: customs value above standard cost (check unit of measure)",IF(AND($L77="Y",$Q77&gt;1),"NOTE: current rate above 100% (check it was entered as a percentage)","OK")))))))))))))))))))))))</f>
        <v/>
      </c>
      <c r="AK77" s="20">
        <f>IF($A77="","",IF(AND($L77="Y",$AE77&lt;&gt;0),ABS($AE77)+ROW()/1000000000,""))</f>
        <v/>
      </c>
      <c r="AL77" s="10">
        <f>IF($A77="","",UPPER($A77)&amp;"/"&amp;UPPER(TRIM(CLEAN(SUBSTITUTE(Items!C77&amp;""," "," ")))))</f>
        <v/>
      </c>
      <c r="AM77" s="13">
        <f>IF($A77="",0,SUMPRODUCT(MAX((scope_HTS&lt;&gt;"")*(LEFT($C77,LEN(scope_HTS))=scope_HTS)*(LEN(scope_HTS)*1000+ROW(scope_HTS)-4))))</f>
        <v/>
      </c>
      <c r="AN77" s="13">
        <f>IF($AM77=0,0,SUMPRODUCT((scope_HTS&lt;&gt;"")*(LEFT($C77,LEN(scope_HTS))=scope_HTS)*(LEN(scope_HTS)=INT($AM77/1000))))</f>
        <v/>
      </c>
      <c r="AO77" s="13">
        <f>IF($L77&lt;&gt;"Y",0,SUMPRODUCT(MAX(ISNUMBER(rate_Rate)*((UPPER(TRIM(CLEAN(SUBSTITUTE(rate_Group&amp;""," "," "))))="")+(UPPER(TRIM(CLEAN(SUBSTITUTE(rate_Group&amp;""," "," "))))=$N77)&gt;0)*((UPPER(TRIM(CLEAN(SUBSTITUTE(rate_COO&amp;""," "," "))))="")+(UPPER(TRIM(CLEAN(SUBSTITUTE(rate_COO&amp;""," "," "))))=$E77)&gt;0)*((UPPER(TRIM(CLEAN(SUBSTITUTE(rate_USMCA&amp;""," "," "))))="")+(UPPER(TRIM(CLEAN(SUBSTITUTE(rate_USMCA&amp;""," "," "))))=IF(UPPER(TRIM(CLEAN(SUBSTITUTE(Items!F77&amp;""," "," "))))="Y","Y","N"))&gt;0)*((1+(UPPER(TRIM(CLEAN(SUBSTITUTE(rate_Group&amp;""," "," "))))&lt;&gt;"")+2*(UPPER(TRIM(CLEAN(SUBSTITUTE(rate_USMCA&amp;""," "," "))))&lt;&gt;"")+4*(UPPER(TRIM(CLEAN(SUBSTITUTE(rate_COO&amp;""," "," "))))&lt;&gt;""))*100+ROW(rate_Rate)-4))))</f>
        <v/>
      </c>
      <c r="AP77" s="13">
        <f>IF($AO77=0,0,SUMPRODUCT(ISNUMBER(rate_Rate)*((UPPER(TRIM(CLEAN(SUBSTITUTE(rate_Group&amp;""," "," "))))="")+(UPPER(TRIM(CLEAN(SUBSTITUTE(rate_Group&amp;""," "," "))))=$N77)&gt;0)*((UPPER(TRIM(CLEAN(SUBSTITUTE(rate_COO&amp;""," "," "))))="")+(UPPER(TRIM(CLEAN(SUBSTITUTE(rate_COO&amp;""," "," "))))=$E77)&gt;0)*((UPPER(TRIM(CLEAN(SUBSTITUTE(rate_USMCA&amp;""," "," "))))="")+(UPPER(TRIM(CLEAN(SUBSTITUTE(rate_USMCA&amp;""," "," "))))=IF(UPPER(TRIM(CLEAN(SUBSTITUTE(Items!F77&amp;""," "," "))))="Y","Y","N"))&gt;0)*((1+(UPPER(TRIM(CLEAN(SUBSTITUTE(rate_Group&amp;""," "," "))))&lt;&gt;"")+2*(UPPER(TRIM(CLEAN(SUBSTITUTE(rate_USMCA&amp;""," "," "))))&lt;&gt;"")+4*(UPPER(TRIM(CLEAN(SUBSTITUTE(rate_COO&amp;""," "," "))))&lt;&gt;""))=INT($AO77/100))))</f>
        <v/>
      </c>
      <c r="AQ77" s="13">
        <f>IF($A77="",0,IFERROR(MATCH($AL77,det_Key,0),0))</f>
        <v/>
      </c>
    </row>
    <row r="78">
      <c r="A78" s="10">
        <f>IF(TRIM(CLEAN(SUBSTITUTE(Items!A78&amp;""," "," ")))="","",TRIM(CLEAN(SUBSTITUTE(Items!A78&amp;""," "," "))))</f>
        <v/>
      </c>
      <c r="B78" s="10">
        <f>IF($A78="","",Items!B78&amp;"")</f>
        <v/>
      </c>
      <c r="C78" s="10">
        <f>IF($A78="","",SUBSTITUTE(SUBSTITUTE(SUBSTITUTE(SUBSTITUTE(CLEAN(Items!D78&amp;"")," ",""),".","")," ",""),"-",""))</f>
        <v/>
      </c>
      <c r="D78" s="10">
        <f>IF($A78="","",LEFT($C78,2))</f>
        <v/>
      </c>
      <c r="E78" s="10">
        <f>IF($A78="","",UPPER(TRIM(CLEAN(SUBSTITUTE(Items!E78&amp;""," "," ")))))</f>
        <v/>
      </c>
      <c r="F78" s="10">
        <f>IF($A78="","",IF(UPPER(TRIM(CLEAN(SUBSTITUTE(Items!C78&amp;""," "," "))))=UPPER(TRIM(CLEAN(SUBSTITUTE(act_Country&amp;""," "," ")))),"Y","N"))</f>
        <v/>
      </c>
      <c r="G78" s="10">
        <f>IF($A78="","",IF($AM78&gt;0,"Y","N"))</f>
        <v/>
      </c>
      <c r="H78" s="10">
        <f>IF($A78="","",IF(SUMPRODUCT((excl_HTS&lt;&gt;"")*(LEFT($C78,LEN(excl_HTS))=excl_HTS))&gt;0,"Y","N"))</f>
        <v/>
      </c>
      <c r="I78" s="10">
        <f>IF($A78="","",IF($E78="","N",IF(SUMPRODUCT(--(UPPER(TRIM(CLEAN(SUBSTITUTE(scope_COO&amp;""," "," "))))=$E78))&gt;0,"Y","N")))</f>
        <v/>
      </c>
      <c r="J78" s="10">
        <f>IF($A78="","",IF(AND(UPPER(TRIM(CLEAN(SUBSTITUTE(act_USMCAExempt&amp;""," "," "))))="Y",UPPER(TRIM(CLEAN(SUBSTITUTE(Items!F78&amp;""," "," "))))="Y"),"Y","N"))</f>
        <v/>
      </c>
      <c r="K78" s="10">
        <f>IF($A78="","",IF($AQ78=0,"",UPPER(TRIM(CLEAN(SUBSTITUTE(INDEX(det_Status,$AQ78)&amp;""," "," "))))))</f>
        <v/>
      </c>
      <c r="L78" s="10">
        <f>IF($A78="","",IF($F78="N","N",IF($K78="IN","Y",IF($K78="OUT","N",IF(AND($G78="Y",$H78="N",$I78="Y",$J78="N"),"Y","N")))))</f>
        <v/>
      </c>
      <c r="M78" s="10">
        <f>IF($A78="","",IF($F78="N","Out: different import country",IF($K78="IN","In: Research determination",IF($K78="OUT","Out: Research determination",IF($G78="N","Out: HTS not on scope list",IF($H78="Y","Out: HTS on exclusion list",IF($I78="N","Out: origin not on scope list",IF($J78="Y","Out: USMCA-qualifying, exempt","In: matches scope rules"))))))))</f>
        <v/>
      </c>
      <c r="N78" s="10">
        <f>IF(OR($A78="",$AM78=0),"",UPPER(TRIM(CLEAN(SUBSTITUTE(INDEX(scope_Group,MOD($AM78,1000))&amp;""," "," ")))))</f>
        <v/>
      </c>
      <c r="O78" s="10">
        <f>IF($L78&lt;&gt;"Y","",IF($AO78=0,"Default (B15)",UPPER(TRIM(CLEAN(SUBSTITUTE(INDEX(rate_ID,MOD($AO78,100))&amp;""," "," "))))))</f>
        <v/>
      </c>
      <c r="P78" s="10">
        <f>IF($L78&lt;&gt;"Y","",IF($AO78=0,IF(UPPER(TRIM(CLEAN(SUBSTITUTE(act_DefaultBase&amp;""," "," "))))="PART","PART","FULL"),IF(UPPER(TRIM(CLEAN(SUBSTITUTE(INDEX(rate_Base,MOD($AO78,100))&amp;""," "," "))))="PART","PART","FULL")))</f>
        <v/>
      </c>
      <c r="Q78" s="17">
        <f>IF($A78="","",N(Items!J78))</f>
        <v/>
      </c>
      <c r="R78" s="17">
        <f>IF($A78="","",IF($L78&lt;&gt;"Y",0,IF($AO78=0,N(act_Rate),N(INDEX(rate_Rate,MOD($AO78,100))))))</f>
        <v/>
      </c>
      <c r="S78" s="17">
        <f>IF($A78="","",IF($L78&lt;&gt;"Y",0,IF($AO78=0,IF(UPPER(TRIM(CLEAN(SUBSTITUTE(act_RateType&amp;""," "," "))))="REPLACE",N(act_PriorRate),0),IF(ISNUMBER(INDEX(rate_Prior,MOD($AO78,100))),INDEX(rate_Prior,MOD($AO78,100)),IF(UPPER(TRIM(CLEAN(SUBSTITUTE(act_RateType&amp;""," "," "))))="REPLACE",N(act_PriorRate),0)))))</f>
        <v/>
      </c>
      <c r="T78" s="17">
        <f>IF($A78="","",IF(AND($L78="Y",$P78="PART",ISNUMBER(Items!M78)),Items!M78,1))</f>
        <v/>
      </c>
      <c r="U78" s="17">
        <f>IF($A78="","",IF($L78&lt;&gt;"Y",0,IF($AQ78&gt;0,IF(ISNUMBER(INDEX(det_Displaced,$AQ78)),INDEX(det_Displaced,$AQ78),IF($AO78=0,0,N(INDEX(rate_Displaced,MOD($AO78,100))))),IF($AO78=0,0,N(INDEX(rate_Displaced,MOD($AO78,100)))))))</f>
        <v/>
      </c>
      <c r="V78" s="17">
        <f>IF($A78="","",IF($L78="Y",$Q78+$T78*($R78-$S78)-$U78,$Q78))</f>
        <v/>
      </c>
      <c r="W78" s="18">
        <f>IF($A78="","",N(Items!H78)*$Q78)</f>
        <v/>
      </c>
      <c r="X78" s="18">
        <f>IF($A78="","",N(Items!H78)*$V78)</f>
        <v/>
      </c>
      <c r="Y78" s="18">
        <f>IF($A78="","",$X78-$W78)</f>
        <v/>
      </c>
      <c r="Z78" s="18">
        <f>IF($A78="","",N(Items!K78)+$Y78)</f>
        <v/>
      </c>
      <c r="AA78" s="17">
        <f>IF($A78="","",IF(N(Items!L78)=0,"",(N(Items!L78)-N(Items!K78))/N(Items!L78)))</f>
        <v/>
      </c>
      <c r="AB78" s="17">
        <f>IF($A78="","",IF(N(Items!L78)=0,"",(N(Items!L78)-$Z78)/N(Items!L78)))</f>
        <v/>
      </c>
      <c r="AC78" s="17">
        <f>IF(OR($AA78="",$AB78=""),"",$AB78-$AA78)</f>
        <v/>
      </c>
      <c r="AD78" s="13">
        <f>IF($A78="","",N(Items!I78))</f>
        <v/>
      </c>
      <c r="AE78" s="19">
        <f>IF($A78="","",$Y78*$AD78)</f>
        <v/>
      </c>
      <c r="AF78" s="10">
        <f>IF($A78="","",IF(N(Items!L78)&gt;0,"Y","N"))</f>
        <v/>
      </c>
      <c r="AG78" s="19">
        <f>IF($A78="","",IF($AF78="Y",N(Items!L78)*$AD78,0))</f>
        <v/>
      </c>
      <c r="AH78" s="19">
        <f>IF($A78="","",IF($AF78="Y",(N(Items!L78)-N(Items!K78))*$AD78,0))</f>
        <v/>
      </c>
      <c r="AI78" s="19">
        <f>IF($A78="","",IF($AF78="Y",$AH78-$AE78,0))</f>
        <v/>
      </c>
      <c r="AJ78" s="10">
        <f>IF($A78="","",IF(COUNTIF($AL$5:$AL$254,$AL78)&gt;1,"CHECK: duplicate item and import country",IF(TRIM(CLEAN(SUBSTITUTE(Items!C78&amp;""," "," ")))="","CHECK: import country missing",IF(AND(UPPER(TRIM(CLEAN(SUBSTITUTE(Items!C78&amp;""," "," "))))&lt;&gt;"US",UPPER(TRIM(CLEAN(SUBSTITUTE(Items!C78&amp;""," "," "))))&lt;&gt;"CA",UPPER(TRIM(CLEAN(SUBSTITUTE(Items!C78&amp;""," "," "))))&lt;&gt;"MX"),"CHECK: import country must be US, CA or MX",IF(NOT(AND(LEN($C78)=10,IFERROR(TEXT(VALUE($C78),REPT("0",LEN($C78)))=$C78,FALSE))),"CHECK: HTS must be 10 digits",IF(LEN($E78)&lt;&gt;2,"CHECK: origin code missing or not 2 letters",IF(TRIM(CLEAN(SUBSTITUTE(Items!G78&amp;""," "," ")))="","CHECK: unit of measure missing",IF(OR(Items!H78="",Items!J78="",Items!K78=""),"CHECK: value, rate or cost missing",IF(OR(NOT(ISNUMBER(Items!H78)),NOT(ISNUMBER(Items!J78)),NOT(ISNUMBER(Items!K78)),AND(Items!I78&lt;&gt;"",NOT(ISNUMBER(Items!I78))),AND(Items!L78&lt;&gt;"",NOT(ISNUMBER(Items!L78))),AND(Items!M78&lt;&gt;"",NOT(ISNUMBER(Items!M78)))),"CHECK: text in a number column",IF(AND(ISNUMBER(Items!M78),OR(N(Items!M78)&lt;0,N(Items!M78)&gt;1)),"CHECK: dutiable share must be 0% to 100%",IF(AND(UPPER(TRIM(CLEAN(SUBSTITUTE(Items!F78&amp;""," "," "))))&lt;&gt;"",UPPER(TRIM(CLEAN(SUBSTITUTE(Items!F78&amp;""," "," "))))&lt;&gt;"Y",UPPER(TRIM(CLEAN(SUBSTITUTE(Items!F78&amp;""," "," "))))&lt;&gt;"N"),"CHECK: USMCA flag must be Y, N or blank",IF(AND(UPPER(TRIM(CLEAN(SUBSTITUTE(Items!F78&amp;""," "," "))))="Y",$E78&lt;&gt;"US",$E78&lt;&gt;"CA",$E78&lt;&gt;"MX"),"CHECK: USMCA flag on an origin other than US, CA or MX",IF(AND($L78="Y",$AO78=0,NOT(ISNUMBER(act_Rate))),"CHECK: in scope but no rate (add a rate line or B15)",IF(AND($L78="Y",UPPER(TRIM(CLEAN(SUBSTITUTE(act_RateType&amp;""," "," "))))="REPLACE",NOT(ISNUMBER(act_PriorRate)),IF($AO78=0,TRUE,NOT(ISNUMBER(INDEX(rate_Prior,MOD($AO78,100)))))),"CHECK: REPLACE but no earlier rate (B17 or the rate line's AD)",IF(AND($L78="Y",$AP78&gt;1),"CHECK: two rate lines match equally",IF(AND($L78="Y",$AN78&gt;1),"CHECK: HTS prefix listed twice on the scope list",IF(AND($L78="Y",$P78="PART",NOT(ISNUMBER(Items!M78))),"CHECK: dutiable share missing (PART base)",IF(AND($L78="Y",$P78="FULL",ISNUMBER(Items!M78),N(Items!M78)&lt;&gt;1),"CHECK: dutiable share entered, but the rate taxes the full value",IF(AND($L78="Y",$Q78+0.0000001&lt;$T78*$S78+$U78),"CHECK: current rate is below the duty being replaced or displaced",IF(AND($L78="Y",$AD78=0),"NOTE: in scope, no quantity",IF(AND($L78="Y",$AF78="N"),"NOTE: in scope, no sell price (left out of margin %)",IF(AND($L78="Y",N(Items!H78)&gt;N(Items!K78)),"NOTE: customs value above standard cost (check unit of measure)",IF(AND($L78="Y",$Q78&gt;1),"NOTE: current rate above 100% (check it was entered as a percentage)","OK")))))))))))))))))))))))</f>
        <v/>
      </c>
      <c r="AK78" s="20">
        <f>IF($A78="","",IF(AND($L78="Y",$AE78&lt;&gt;0),ABS($AE78)+ROW()/1000000000,""))</f>
        <v/>
      </c>
      <c r="AL78" s="10">
        <f>IF($A78="","",UPPER($A78)&amp;"/"&amp;UPPER(TRIM(CLEAN(SUBSTITUTE(Items!C78&amp;""," "," ")))))</f>
        <v/>
      </c>
      <c r="AM78" s="13">
        <f>IF($A78="",0,SUMPRODUCT(MAX((scope_HTS&lt;&gt;"")*(LEFT($C78,LEN(scope_HTS))=scope_HTS)*(LEN(scope_HTS)*1000+ROW(scope_HTS)-4))))</f>
        <v/>
      </c>
      <c r="AN78" s="13">
        <f>IF($AM78=0,0,SUMPRODUCT((scope_HTS&lt;&gt;"")*(LEFT($C78,LEN(scope_HTS))=scope_HTS)*(LEN(scope_HTS)=INT($AM78/1000))))</f>
        <v/>
      </c>
      <c r="AO78" s="13">
        <f>IF($L78&lt;&gt;"Y",0,SUMPRODUCT(MAX(ISNUMBER(rate_Rate)*((UPPER(TRIM(CLEAN(SUBSTITUTE(rate_Group&amp;""," "," "))))="")+(UPPER(TRIM(CLEAN(SUBSTITUTE(rate_Group&amp;""," "," "))))=$N78)&gt;0)*((UPPER(TRIM(CLEAN(SUBSTITUTE(rate_COO&amp;""," "," "))))="")+(UPPER(TRIM(CLEAN(SUBSTITUTE(rate_COO&amp;""," "," "))))=$E78)&gt;0)*((UPPER(TRIM(CLEAN(SUBSTITUTE(rate_USMCA&amp;""," "," "))))="")+(UPPER(TRIM(CLEAN(SUBSTITUTE(rate_USMCA&amp;""," "," "))))=IF(UPPER(TRIM(CLEAN(SUBSTITUTE(Items!F78&amp;""," "," "))))="Y","Y","N"))&gt;0)*((1+(UPPER(TRIM(CLEAN(SUBSTITUTE(rate_Group&amp;""," "," "))))&lt;&gt;"")+2*(UPPER(TRIM(CLEAN(SUBSTITUTE(rate_USMCA&amp;""," "," "))))&lt;&gt;"")+4*(UPPER(TRIM(CLEAN(SUBSTITUTE(rate_COO&amp;""," "," "))))&lt;&gt;""))*100+ROW(rate_Rate)-4))))</f>
        <v/>
      </c>
      <c r="AP78" s="13">
        <f>IF($AO78=0,0,SUMPRODUCT(ISNUMBER(rate_Rate)*((UPPER(TRIM(CLEAN(SUBSTITUTE(rate_Group&amp;""," "," "))))="")+(UPPER(TRIM(CLEAN(SUBSTITUTE(rate_Group&amp;""," "," "))))=$N78)&gt;0)*((UPPER(TRIM(CLEAN(SUBSTITUTE(rate_COO&amp;""," "," "))))="")+(UPPER(TRIM(CLEAN(SUBSTITUTE(rate_COO&amp;""," "," "))))=$E78)&gt;0)*((UPPER(TRIM(CLEAN(SUBSTITUTE(rate_USMCA&amp;""," "," "))))="")+(UPPER(TRIM(CLEAN(SUBSTITUTE(rate_USMCA&amp;""," "," "))))=IF(UPPER(TRIM(CLEAN(SUBSTITUTE(Items!F78&amp;""," "," "))))="Y","Y","N"))&gt;0)*((1+(UPPER(TRIM(CLEAN(SUBSTITUTE(rate_Group&amp;""," "," "))))&lt;&gt;"")+2*(UPPER(TRIM(CLEAN(SUBSTITUTE(rate_USMCA&amp;""," "," "))))&lt;&gt;"")+4*(UPPER(TRIM(CLEAN(SUBSTITUTE(rate_COO&amp;""," "," "))))&lt;&gt;""))=INT($AO78/100))))</f>
        <v/>
      </c>
      <c r="AQ78" s="13">
        <f>IF($A78="",0,IFERROR(MATCH($AL78,det_Key,0),0))</f>
        <v/>
      </c>
    </row>
    <row r="79">
      <c r="A79" s="10">
        <f>IF(TRIM(CLEAN(SUBSTITUTE(Items!A79&amp;""," "," ")))="","",TRIM(CLEAN(SUBSTITUTE(Items!A79&amp;""," "," "))))</f>
        <v/>
      </c>
      <c r="B79" s="10">
        <f>IF($A79="","",Items!B79&amp;"")</f>
        <v/>
      </c>
      <c r="C79" s="10">
        <f>IF($A79="","",SUBSTITUTE(SUBSTITUTE(SUBSTITUTE(SUBSTITUTE(CLEAN(Items!D79&amp;"")," ",""),".","")," ",""),"-",""))</f>
        <v/>
      </c>
      <c r="D79" s="10">
        <f>IF($A79="","",LEFT($C79,2))</f>
        <v/>
      </c>
      <c r="E79" s="10">
        <f>IF($A79="","",UPPER(TRIM(CLEAN(SUBSTITUTE(Items!E79&amp;""," "," ")))))</f>
        <v/>
      </c>
      <c r="F79" s="10">
        <f>IF($A79="","",IF(UPPER(TRIM(CLEAN(SUBSTITUTE(Items!C79&amp;""," "," "))))=UPPER(TRIM(CLEAN(SUBSTITUTE(act_Country&amp;""," "," ")))),"Y","N"))</f>
        <v/>
      </c>
      <c r="G79" s="10">
        <f>IF($A79="","",IF($AM79&gt;0,"Y","N"))</f>
        <v/>
      </c>
      <c r="H79" s="10">
        <f>IF($A79="","",IF(SUMPRODUCT((excl_HTS&lt;&gt;"")*(LEFT($C79,LEN(excl_HTS))=excl_HTS))&gt;0,"Y","N"))</f>
        <v/>
      </c>
      <c r="I79" s="10">
        <f>IF($A79="","",IF($E79="","N",IF(SUMPRODUCT(--(UPPER(TRIM(CLEAN(SUBSTITUTE(scope_COO&amp;""," "," "))))=$E79))&gt;0,"Y","N")))</f>
        <v/>
      </c>
      <c r="J79" s="10">
        <f>IF($A79="","",IF(AND(UPPER(TRIM(CLEAN(SUBSTITUTE(act_USMCAExempt&amp;""," "," "))))="Y",UPPER(TRIM(CLEAN(SUBSTITUTE(Items!F79&amp;""," "," "))))="Y"),"Y","N"))</f>
        <v/>
      </c>
      <c r="K79" s="10">
        <f>IF($A79="","",IF($AQ79=0,"",UPPER(TRIM(CLEAN(SUBSTITUTE(INDEX(det_Status,$AQ79)&amp;""," "," "))))))</f>
        <v/>
      </c>
      <c r="L79" s="10">
        <f>IF($A79="","",IF($F79="N","N",IF($K79="IN","Y",IF($K79="OUT","N",IF(AND($G79="Y",$H79="N",$I79="Y",$J79="N"),"Y","N")))))</f>
        <v/>
      </c>
      <c r="M79" s="10">
        <f>IF($A79="","",IF($F79="N","Out: different import country",IF($K79="IN","In: Research determination",IF($K79="OUT","Out: Research determination",IF($G79="N","Out: HTS not on scope list",IF($H79="Y","Out: HTS on exclusion list",IF($I79="N","Out: origin not on scope list",IF($J79="Y","Out: USMCA-qualifying, exempt","In: matches scope rules"))))))))</f>
        <v/>
      </c>
      <c r="N79" s="10">
        <f>IF(OR($A79="",$AM79=0),"",UPPER(TRIM(CLEAN(SUBSTITUTE(INDEX(scope_Group,MOD($AM79,1000))&amp;""," "," ")))))</f>
        <v/>
      </c>
      <c r="O79" s="10">
        <f>IF($L79&lt;&gt;"Y","",IF($AO79=0,"Default (B15)",UPPER(TRIM(CLEAN(SUBSTITUTE(INDEX(rate_ID,MOD($AO79,100))&amp;""," "," "))))))</f>
        <v/>
      </c>
      <c r="P79" s="10">
        <f>IF($L79&lt;&gt;"Y","",IF($AO79=0,IF(UPPER(TRIM(CLEAN(SUBSTITUTE(act_DefaultBase&amp;""," "," "))))="PART","PART","FULL"),IF(UPPER(TRIM(CLEAN(SUBSTITUTE(INDEX(rate_Base,MOD($AO79,100))&amp;""," "," "))))="PART","PART","FULL")))</f>
        <v/>
      </c>
      <c r="Q79" s="17">
        <f>IF($A79="","",N(Items!J79))</f>
        <v/>
      </c>
      <c r="R79" s="17">
        <f>IF($A79="","",IF($L79&lt;&gt;"Y",0,IF($AO79=0,N(act_Rate),N(INDEX(rate_Rate,MOD($AO79,100))))))</f>
        <v/>
      </c>
      <c r="S79" s="17">
        <f>IF($A79="","",IF($L79&lt;&gt;"Y",0,IF($AO79=0,IF(UPPER(TRIM(CLEAN(SUBSTITUTE(act_RateType&amp;""," "," "))))="REPLACE",N(act_PriorRate),0),IF(ISNUMBER(INDEX(rate_Prior,MOD($AO79,100))),INDEX(rate_Prior,MOD($AO79,100)),IF(UPPER(TRIM(CLEAN(SUBSTITUTE(act_RateType&amp;""," "," "))))="REPLACE",N(act_PriorRate),0)))))</f>
        <v/>
      </c>
      <c r="T79" s="17">
        <f>IF($A79="","",IF(AND($L79="Y",$P79="PART",ISNUMBER(Items!M79)),Items!M79,1))</f>
        <v/>
      </c>
      <c r="U79" s="17">
        <f>IF($A79="","",IF($L79&lt;&gt;"Y",0,IF($AQ79&gt;0,IF(ISNUMBER(INDEX(det_Displaced,$AQ79)),INDEX(det_Displaced,$AQ79),IF($AO79=0,0,N(INDEX(rate_Displaced,MOD($AO79,100))))),IF($AO79=0,0,N(INDEX(rate_Displaced,MOD($AO79,100)))))))</f>
        <v/>
      </c>
      <c r="V79" s="17">
        <f>IF($A79="","",IF($L79="Y",$Q79+$T79*($R79-$S79)-$U79,$Q79))</f>
        <v/>
      </c>
      <c r="W79" s="18">
        <f>IF($A79="","",N(Items!H79)*$Q79)</f>
        <v/>
      </c>
      <c r="X79" s="18">
        <f>IF($A79="","",N(Items!H79)*$V79)</f>
        <v/>
      </c>
      <c r="Y79" s="18">
        <f>IF($A79="","",$X79-$W79)</f>
        <v/>
      </c>
      <c r="Z79" s="18">
        <f>IF($A79="","",N(Items!K79)+$Y79)</f>
        <v/>
      </c>
      <c r="AA79" s="17">
        <f>IF($A79="","",IF(N(Items!L79)=0,"",(N(Items!L79)-N(Items!K79))/N(Items!L79)))</f>
        <v/>
      </c>
      <c r="AB79" s="17">
        <f>IF($A79="","",IF(N(Items!L79)=0,"",(N(Items!L79)-$Z79)/N(Items!L79)))</f>
        <v/>
      </c>
      <c r="AC79" s="17">
        <f>IF(OR($AA79="",$AB79=""),"",$AB79-$AA79)</f>
        <v/>
      </c>
      <c r="AD79" s="13">
        <f>IF($A79="","",N(Items!I79))</f>
        <v/>
      </c>
      <c r="AE79" s="19">
        <f>IF($A79="","",$Y79*$AD79)</f>
        <v/>
      </c>
      <c r="AF79" s="10">
        <f>IF($A79="","",IF(N(Items!L79)&gt;0,"Y","N"))</f>
        <v/>
      </c>
      <c r="AG79" s="19">
        <f>IF($A79="","",IF($AF79="Y",N(Items!L79)*$AD79,0))</f>
        <v/>
      </c>
      <c r="AH79" s="19">
        <f>IF($A79="","",IF($AF79="Y",(N(Items!L79)-N(Items!K79))*$AD79,0))</f>
        <v/>
      </c>
      <c r="AI79" s="19">
        <f>IF($A79="","",IF($AF79="Y",$AH79-$AE79,0))</f>
        <v/>
      </c>
      <c r="AJ79" s="10">
        <f>IF($A79="","",IF(COUNTIF($AL$5:$AL$254,$AL79)&gt;1,"CHECK: duplicate item and import country",IF(TRIM(CLEAN(SUBSTITUTE(Items!C79&amp;""," "," ")))="","CHECK: import country missing",IF(AND(UPPER(TRIM(CLEAN(SUBSTITUTE(Items!C79&amp;""," "," "))))&lt;&gt;"US",UPPER(TRIM(CLEAN(SUBSTITUTE(Items!C79&amp;""," "," "))))&lt;&gt;"CA",UPPER(TRIM(CLEAN(SUBSTITUTE(Items!C79&amp;""," "," "))))&lt;&gt;"MX"),"CHECK: import country must be US, CA or MX",IF(NOT(AND(LEN($C79)=10,IFERROR(TEXT(VALUE($C79),REPT("0",LEN($C79)))=$C79,FALSE))),"CHECK: HTS must be 10 digits",IF(LEN($E79)&lt;&gt;2,"CHECK: origin code missing or not 2 letters",IF(TRIM(CLEAN(SUBSTITUTE(Items!G79&amp;""," "," ")))="","CHECK: unit of measure missing",IF(OR(Items!H79="",Items!J79="",Items!K79=""),"CHECK: value, rate or cost missing",IF(OR(NOT(ISNUMBER(Items!H79)),NOT(ISNUMBER(Items!J79)),NOT(ISNUMBER(Items!K79)),AND(Items!I79&lt;&gt;"",NOT(ISNUMBER(Items!I79))),AND(Items!L79&lt;&gt;"",NOT(ISNUMBER(Items!L79))),AND(Items!M79&lt;&gt;"",NOT(ISNUMBER(Items!M79)))),"CHECK: text in a number column",IF(AND(ISNUMBER(Items!M79),OR(N(Items!M79)&lt;0,N(Items!M79)&gt;1)),"CHECK: dutiable share must be 0% to 100%",IF(AND(UPPER(TRIM(CLEAN(SUBSTITUTE(Items!F79&amp;""," "," "))))&lt;&gt;"",UPPER(TRIM(CLEAN(SUBSTITUTE(Items!F79&amp;""," "," "))))&lt;&gt;"Y",UPPER(TRIM(CLEAN(SUBSTITUTE(Items!F79&amp;""," "," "))))&lt;&gt;"N"),"CHECK: USMCA flag must be Y, N or blank",IF(AND(UPPER(TRIM(CLEAN(SUBSTITUTE(Items!F79&amp;""," "," "))))="Y",$E79&lt;&gt;"US",$E79&lt;&gt;"CA",$E79&lt;&gt;"MX"),"CHECK: USMCA flag on an origin other than US, CA or MX",IF(AND($L79="Y",$AO79=0,NOT(ISNUMBER(act_Rate))),"CHECK: in scope but no rate (add a rate line or B15)",IF(AND($L79="Y",UPPER(TRIM(CLEAN(SUBSTITUTE(act_RateType&amp;""," "," "))))="REPLACE",NOT(ISNUMBER(act_PriorRate)),IF($AO79=0,TRUE,NOT(ISNUMBER(INDEX(rate_Prior,MOD($AO79,100)))))),"CHECK: REPLACE but no earlier rate (B17 or the rate line's AD)",IF(AND($L79="Y",$AP79&gt;1),"CHECK: two rate lines match equally",IF(AND($L79="Y",$AN79&gt;1),"CHECK: HTS prefix listed twice on the scope list",IF(AND($L79="Y",$P79="PART",NOT(ISNUMBER(Items!M79))),"CHECK: dutiable share missing (PART base)",IF(AND($L79="Y",$P79="FULL",ISNUMBER(Items!M79),N(Items!M79)&lt;&gt;1),"CHECK: dutiable share entered, but the rate taxes the full value",IF(AND($L79="Y",$Q79+0.0000001&lt;$T79*$S79+$U79),"CHECK: current rate is below the duty being replaced or displaced",IF(AND($L79="Y",$AD79=0),"NOTE: in scope, no quantity",IF(AND($L79="Y",$AF79="N"),"NOTE: in scope, no sell price (left out of margin %)",IF(AND($L79="Y",N(Items!H79)&gt;N(Items!K79)),"NOTE: customs value above standard cost (check unit of measure)",IF(AND($L79="Y",$Q79&gt;1),"NOTE: current rate above 100% (check it was entered as a percentage)","OK")))))))))))))))))))))))</f>
        <v/>
      </c>
      <c r="AK79" s="20">
        <f>IF($A79="","",IF(AND($L79="Y",$AE79&lt;&gt;0),ABS($AE79)+ROW()/1000000000,""))</f>
        <v/>
      </c>
      <c r="AL79" s="10">
        <f>IF($A79="","",UPPER($A79)&amp;"/"&amp;UPPER(TRIM(CLEAN(SUBSTITUTE(Items!C79&amp;""," "," ")))))</f>
        <v/>
      </c>
      <c r="AM79" s="13">
        <f>IF($A79="",0,SUMPRODUCT(MAX((scope_HTS&lt;&gt;"")*(LEFT($C79,LEN(scope_HTS))=scope_HTS)*(LEN(scope_HTS)*1000+ROW(scope_HTS)-4))))</f>
        <v/>
      </c>
      <c r="AN79" s="13">
        <f>IF($AM79=0,0,SUMPRODUCT((scope_HTS&lt;&gt;"")*(LEFT($C79,LEN(scope_HTS))=scope_HTS)*(LEN(scope_HTS)=INT($AM79/1000))))</f>
        <v/>
      </c>
      <c r="AO79" s="13">
        <f>IF($L79&lt;&gt;"Y",0,SUMPRODUCT(MAX(ISNUMBER(rate_Rate)*((UPPER(TRIM(CLEAN(SUBSTITUTE(rate_Group&amp;""," "," "))))="")+(UPPER(TRIM(CLEAN(SUBSTITUTE(rate_Group&amp;""," "," "))))=$N79)&gt;0)*((UPPER(TRIM(CLEAN(SUBSTITUTE(rate_COO&amp;""," "," "))))="")+(UPPER(TRIM(CLEAN(SUBSTITUTE(rate_COO&amp;""," "," "))))=$E79)&gt;0)*((UPPER(TRIM(CLEAN(SUBSTITUTE(rate_USMCA&amp;""," "," "))))="")+(UPPER(TRIM(CLEAN(SUBSTITUTE(rate_USMCA&amp;""," "," "))))=IF(UPPER(TRIM(CLEAN(SUBSTITUTE(Items!F79&amp;""," "," "))))="Y","Y","N"))&gt;0)*((1+(UPPER(TRIM(CLEAN(SUBSTITUTE(rate_Group&amp;""," "," "))))&lt;&gt;"")+2*(UPPER(TRIM(CLEAN(SUBSTITUTE(rate_USMCA&amp;""," "," "))))&lt;&gt;"")+4*(UPPER(TRIM(CLEAN(SUBSTITUTE(rate_COO&amp;""," "," "))))&lt;&gt;""))*100+ROW(rate_Rate)-4))))</f>
        <v/>
      </c>
      <c r="AP79" s="13">
        <f>IF($AO79=0,0,SUMPRODUCT(ISNUMBER(rate_Rate)*((UPPER(TRIM(CLEAN(SUBSTITUTE(rate_Group&amp;""," "," "))))="")+(UPPER(TRIM(CLEAN(SUBSTITUTE(rate_Group&amp;""," "," "))))=$N79)&gt;0)*((UPPER(TRIM(CLEAN(SUBSTITUTE(rate_COO&amp;""," "," "))))="")+(UPPER(TRIM(CLEAN(SUBSTITUTE(rate_COO&amp;""," "," "))))=$E79)&gt;0)*((UPPER(TRIM(CLEAN(SUBSTITUTE(rate_USMCA&amp;""," "," "))))="")+(UPPER(TRIM(CLEAN(SUBSTITUTE(rate_USMCA&amp;""," "," "))))=IF(UPPER(TRIM(CLEAN(SUBSTITUTE(Items!F79&amp;""," "," "))))="Y","Y","N"))&gt;0)*((1+(UPPER(TRIM(CLEAN(SUBSTITUTE(rate_Group&amp;""," "," "))))&lt;&gt;"")+2*(UPPER(TRIM(CLEAN(SUBSTITUTE(rate_USMCA&amp;""," "," "))))&lt;&gt;"")+4*(UPPER(TRIM(CLEAN(SUBSTITUTE(rate_COO&amp;""," "," "))))&lt;&gt;""))=INT($AO79/100))))</f>
        <v/>
      </c>
      <c r="AQ79" s="13">
        <f>IF($A79="",0,IFERROR(MATCH($AL79,det_Key,0),0))</f>
        <v/>
      </c>
    </row>
    <row r="80">
      <c r="A80" s="10">
        <f>IF(TRIM(CLEAN(SUBSTITUTE(Items!A80&amp;""," "," ")))="","",TRIM(CLEAN(SUBSTITUTE(Items!A80&amp;""," "," "))))</f>
        <v/>
      </c>
      <c r="B80" s="10">
        <f>IF($A80="","",Items!B80&amp;"")</f>
        <v/>
      </c>
      <c r="C80" s="10">
        <f>IF($A80="","",SUBSTITUTE(SUBSTITUTE(SUBSTITUTE(SUBSTITUTE(CLEAN(Items!D80&amp;"")," ",""),".","")," ",""),"-",""))</f>
        <v/>
      </c>
      <c r="D80" s="10">
        <f>IF($A80="","",LEFT($C80,2))</f>
        <v/>
      </c>
      <c r="E80" s="10">
        <f>IF($A80="","",UPPER(TRIM(CLEAN(SUBSTITUTE(Items!E80&amp;""," "," ")))))</f>
        <v/>
      </c>
      <c r="F80" s="10">
        <f>IF($A80="","",IF(UPPER(TRIM(CLEAN(SUBSTITUTE(Items!C80&amp;""," "," "))))=UPPER(TRIM(CLEAN(SUBSTITUTE(act_Country&amp;""," "," ")))),"Y","N"))</f>
        <v/>
      </c>
      <c r="G80" s="10">
        <f>IF($A80="","",IF($AM80&gt;0,"Y","N"))</f>
        <v/>
      </c>
      <c r="H80" s="10">
        <f>IF($A80="","",IF(SUMPRODUCT((excl_HTS&lt;&gt;"")*(LEFT($C80,LEN(excl_HTS))=excl_HTS))&gt;0,"Y","N"))</f>
        <v/>
      </c>
      <c r="I80" s="10">
        <f>IF($A80="","",IF($E80="","N",IF(SUMPRODUCT(--(UPPER(TRIM(CLEAN(SUBSTITUTE(scope_COO&amp;""," "," "))))=$E80))&gt;0,"Y","N")))</f>
        <v/>
      </c>
      <c r="J80" s="10">
        <f>IF($A80="","",IF(AND(UPPER(TRIM(CLEAN(SUBSTITUTE(act_USMCAExempt&amp;""," "," "))))="Y",UPPER(TRIM(CLEAN(SUBSTITUTE(Items!F80&amp;""," "," "))))="Y"),"Y","N"))</f>
        <v/>
      </c>
      <c r="K80" s="10">
        <f>IF($A80="","",IF($AQ80=0,"",UPPER(TRIM(CLEAN(SUBSTITUTE(INDEX(det_Status,$AQ80)&amp;""," "," "))))))</f>
        <v/>
      </c>
      <c r="L80" s="10">
        <f>IF($A80="","",IF($F80="N","N",IF($K80="IN","Y",IF($K80="OUT","N",IF(AND($G80="Y",$H80="N",$I80="Y",$J80="N"),"Y","N")))))</f>
        <v/>
      </c>
      <c r="M80" s="10">
        <f>IF($A80="","",IF($F80="N","Out: different import country",IF($K80="IN","In: Research determination",IF($K80="OUT","Out: Research determination",IF($G80="N","Out: HTS not on scope list",IF($H80="Y","Out: HTS on exclusion list",IF($I80="N","Out: origin not on scope list",IF($J80="Y","Out: USMCA-qualifying, exempt","In: matches scope rules"))))))))</f>
        <v/>
      </c>
      <c r="N80" s="10">
        <f>IF(OR($A80="",$AM80=0),"",UPPER(TRIM(CLEAN(SUBSTITUTE(INDEX(scope_Group,MOD($AM80,1000))&amp;""," "," ")))))</f>
        <v/>
      </c>
      <c r="O80" s="10">
        <f>IF($L80&lt;&gt;"Y","",IF($AO80=0,"Default (B15)",UPPER(TRIM(CLEAN(SUBSTITUTE(INDEX(rate_ID,MOD($AO80,100))&amp;""," "," "))))))</f>
        <v/>
      </c>
      <c r="P80" s="10">
        <f>IF($L80&lt;&gt;"Y","",IF($AO80=0,IF(UPPER(TRIM(CLEAN(SUBSTITUTE(act_DefaultBase&amp;""," "," "))))="PART","PART","FULL"),IF(UPPER(TRIM(CLEAN(SUBSTITUTE(INDEX(rate_Base,MOD($AO80,100))&amp;""," "," "))))="PART","PART","FULL")))</f>
        <v/>
      </c>
      <c r="Q80" s="17">
        <f>IF($A80="","",N(Items!J80))</f>
        <v/>
      </c>
      <c r="R80" s="17">
        <f>IF($A80="","",IF($L80&lt;&gt;"Y",0,IF($AO80=0,N(act_Rate),N(INDEX(rate_Rate,MOD($AO80,100))))))</f>
        <v/>
      </c>
      <c r="S80" s="17">
        <f>IF($A80="","",IF($L80&lt;&gt;"Y",0,IF($AO80=0,IF(UPPER(TRIM(CLEAN(SUBSTITUTE(act_RateType&amp;""," "," "))))="REPLACE",N(act_PriorRate),0),IF(ISNUMBER(INDEX(rate_Prior,MOD($AO80,100))),INDEX(rate_Prior,MOD($AO80,100)),IF(UPPER(TRIM(CLEAN(SUBSTITUTE(act_RateType&amp;""," "," "))))="REPLACE",N(act_PriorRate),0)))))</f>
        <v/>
      </c>
      <c r="T80" s="17">
        <f>IF($A80="","",IF(AND($L80="Y",$P80="PART",ISNUMBER(Items!M80)),Items!M80,1))</f>
        <v/>
      </c>
      <c r="U80" s="17">
        <f>IF($A80="","",IF($L80&lt;&gt;"Y",0,IF($AQ80&gt;0,IF(ISNUMBER(INDEX(det_Displaced,$AQ80)),INDEX(det_Displaced,$AQ80),IF($AO80=0,0,N(INDEX(rate_Displaced,MOD($AO80,100))))),IF($AO80=0,0,N(INDEX(rate_Displaced,MOD($AO80,100)))))))</f>
        <v/>
      </c>
      <c r="V80" s="17">
        <f>IF($A80="","",IF($L80="Y",$Q80+$T80*($R80-$S80)-$U80,$Q80))</f>
        <v/>
      </c>
      <c r="W80" s="18">
        <f>IF($A80="","",N(Items!H80)*$Q80)</f>
        <v/>
      </c>
      <c r="X80" s="18">
        <f>IF($A80="","",N(Items!H80)*$V80)</f>
        <v/>
      </c>
      <c r="Y80" s="18">
        <f>IF($A80="","",$X80-$W80)</f>
        <v/>
      </c>
      <c r="Z80" s="18">
        <f>IF($A80="","",N(Items!K80)+$Y80)</f>
        <v/>
      </c>
      <c r="AA80" s="17">
        <f>IF($A80="","",IF(N(Items!L80)=0,"",(N(Items!L80)-N(Items!K80))/N(Items!L80)))</f>
        <v/>
      </c>
      <c r="AB80" s="17">
        <f>IF($A80="","",IF(N(Items!L80)=0,"",(N(Items!L80)-$Z80)/N(Items!L80)))</f>
        <v/>
      </c>
      <c r="AC80" s="17">
        <f>IF(OR($AA80="",$AB80=""),"",$AB80-$AA80)</f>
        <v/>
      </c>
      <c r="AD80" s="13">
        <f>IF($A80="","",N(Items!I80))</f>
        <v/>
      </c>
      <c r="AE80" s="19">
        <f>IF($A80="","",$Y80*$AD80)</f>
        <v/>
      </c>
      <c r="AF80" s="10">
        <f>IF($A80="","",IF(N(Items!L80)&gt;0,"Y","N"))</f>
        <v/>
      </c>
      <c r="AG80" s="19">
        <f>IF($A80="","",IF($AF80="Y",N(Items!L80)*$AD80,0))</f>
        <v/>
      </c>
      <c r="AH80" s="19">
        <f>IF($A80="","",IF($AF80="Y",(N(Items!L80)-N(Items!K80))*$AD80,0))</f>
        <v/>
      </c>
      <c r="AI80" s="19">
        <f>IF($A80="","",IF($AF80="Y",$AH80-$AE80,0))</f>
        <v/>
      </c>
      <c r="AJ80" s="10">
        <f>IF($A80="","",IF(COUNTIF($AL$5:$AL$254,$AL80)&gt;1,"CHECK: duplicate item and import country",IF(TRIM(CLEAN(SUBSTITUTE(Items!C80&amp;""," "," ")))="","CHECK: import country missing",IF(AND(UPPER(TRIM(CLEAN(SUBSTITUTE(Items!C80&amp;""," "," "))))&lt;&gt;"US",UPPER(TRIM(CLEAN(SUBSTITUTE(Items!C80&amp;""," "," "))))&lt;&gt;"CA",UPPER(TRIM(CLEAN(SUBSTITUTE(Items!C80&amp;""," "," "))))&lt;&gt;"MX"),"CHECK: import country must be US, CA or MX",IF(NOT(AND(LEN($C80)=10,IFERROR(TEXT(VALUE($C80),REPT("0",LEN($C80)))=$C80,FALSE))),"CHECK: HTS must be 10 digits",IF(LEN($E80)&lt;&gt;2,"CHECK: origin code missing or not 2 letters",IF(TRIM(CLEAN(SUBSTITUTE(Items!G80&amp;""," "," ")))="","CHECK: unit of measure missing",IF(OR(Items!H80="",Items!J80="",Items!K80=""),"CHECK: value, rate or cost missing",IF(OR(NOT(ISNUMBER(Items!H80)),NOT(ISNUMBER(Items!J80)),NOT(ISNUMBER(Items!K80)),AND(Items!I80&lt;&gt;"",NOT(ISNUMBER(Items!I80))),AND(Items!L80&lt;&gt;"",NOT(ISNUMBER(Items!L80))),AND(Items!M80&lt;&gt;"",NOT(ISNUMBER(Items!M80)))),"CHECK: text in a number column",IF(AND(ISNUMBER(Items!M80),OR(N(Items!M80)&lt;0,N(Items!M80)&gt;1)),"CHECK: dutiable share must be 0% to 100%",IF(AND(UPPER(TRIM(CLEAN(SUBSTITUTE(Items!F80&amp;""," "," "))))&lt;&gt;"",UPPER(TRIM(CLEAN(SUBSTITUTE(Items!F80&amp;""," "," "))))&lt;&gt;"Y",UPPER(TRIM(CLEAN(SUBSTITUTE(Items!F80&amp;""," "," "))))&lt;&gt;"N"),"CHECK: USMCA flag must be Y, N or blank",IF(AND(UPPER(TRIM(CLEAN(SUBSTITUTE(Items!F80&amp;""," "," "))))="Y",$E80&lt;&gt;"US",$E80&lt;&gt;"CA",$E80&lt;&gt;"MX"),"CHECK: USMCA flag on an origin other than US, CA or MX",IF(AND($L80="Y",$AO80=0,NOT(ISNUMBER(act_Rate))),"CHECK: in scope but no rate (add a rate line or B15)",IF(AND($L80="Y",UPPER(TRIM(CLEAN(SUBSTITUTE(act_RateType&amp;""," "," "))))="REPLACE",NOT(ISNUMBER(act_PriorRate)),IF($AO80=0,TRUE,NOT(ISNUMBER(INDEX(rate_Prior,MOD($AO80,100)))))),"CHECK: REPLACE but no earlier rate (B17 or the rate line's AD)",IF(AND($L80="Y",$AP80&gt;1),"CHECK: two rate lines match equally",IF(AND($L80="Y",$AN80&gt;1),"CHECK: HTS prefix listed twice on the scope list",IF(AND($L80="Y",$P80="PART",NOT(ISNUMBER(Items!M80))),"CHECK: dutiable share missing (PART base)",IF(AND($L80="Y",$P80="FULL",ISNUMBER(Items!M80),N(Items!M80)&lt;&gt;1),"CHECK: dutiable share entered, but the rate taxes the full value",IF(AND($L80="Y",$Q80+0.0000001&lt;$T80*$S80+$U80),"CHECK: current rate is below the duty being replaced or displaced",IF(AND($L80="Y",$AD80=0),"NOTE: in scope, no quantity",IF(AND($L80="Y",$AF80="N"),"NOTE: in scope, no sell price (left out of margin %)",IF(AND($L80="Y",N(Items!H80)&gt;N(Items!K80)),"NOTE: customs value above standard cost (check unit of measure)",IF(AND($L80="Y",$Q80&gt;1),"NOTE: current rate above 100% (check it was entered as a percentage)","OK")))))))))))))))))))))))</f>
        <v/>
      </c>
      <c r="AK80" s="20">
        <f>IF($A80="","",IF(AND($L80="Y",$AE80&lt;&gt;0),ABS($AE80)+ROW()/1000000000,""))</f>
        <v/>
      </c>
      <c r="AL80" s="10">
        <f>IF($A80="","",UPPER($A80)&amp;"/"&amp;UPPER(TRIM(CLEAN(SUBSTITUTE(Items!C80&amp;""," "," ")))))</f>
        <v/>
      </c>
      <c r="AM80" s="13">
        <f>IF($A80="",0,SUMPRODUCT(MAX((scope_HTS&lt;&gt;"")*(LEFT($C80,LEN(scope_HTS))=scope_HTS)*(LEN(scope_HTS)*1000+ROW(scope_HTS)-4))))</f>
        <v/>
      </c>
      <c r="AN80" s="13">
        <f>IF($AM80=0,0,SUMPRODUCT((scope_HTS&lt;&gt;"")*(LEFT($C80,LEN(scope_HTS))=scope_HTS)*(LEN(scope_HTS)=INT($AM80/1000))))</f>
        <v/>
      </c>
      <c r="AO80" s="13">
        <f>IF($L80&lt;&gt;"Y",0,SUMPRODUCT(MAX(ISNUMBER(rate_Rate)*((UPPER(TRIM(CLEAN(SUBSTITUTE(rate_Group&amp;""," "," "))))="")+(UPPER(TRIM(CLEAN(SUBSTITUTE(rate_Group&amp;""," "," "))))=$N80)&gt;0)*((UPPER(TRIM(CLEAN(SUBSTITUTE(rate_COO&amp;""," "," "))))="")+(UPPER(TRIM(CLEAN(SUBSTITUTE(rate_COO&amp;""," "," "))))=$E80)&gt;0)*((UPPER(TRIM(CLEAN(SUBSTITUTE(rate_USMCA&amp;""," "," "))))="")+(UPPER(TRIM(CLEAN(SUBSTITUTE(rate_USMCA&amp;""," "," "))))=IF(UPPER(TRIM(CLEAN(SUBSTITUTE(Items!F80&amp;""," "," "))))="Y","Y","N"))&gt;0)*((1+(UPPER(TRIM(CLEAN(SUBSTITUTE(rate_Group&amp;""," "," "))))&lt;&gt;"")+2*(UPPER(TRIM(CLEAN(SUBSTITUTE(rate_USMCA&amp;""," "," "))))&lt;&gt;"")+4*(UPPER(TRIM(CLEAN(SUBSTITUTE(rate_COO&amp;""," "," "))))&lt;&gt;""))*100+ROW(rate_Rate)-4))))</f>
        <v/>
      </c>
      <c r="AP80" s="13">
        <f>IF($AO80=0,0,SUMPRODUCT(ISNUMBER(rate_Rate)*((UPPER(TRIM(CLEAN(SUBSTITUTE(rate_Group&amp;""," "," "))))="")+(UPPER(TRIM(CLEAN(SUBSTITUTE(rate_Group&amp;""," "," "))))=$N80)&gt;0)*((UPPER(TRIM(CLEAN(SUBSTITUTE(rate_COO&amp;""," "," "))))="")+(UPPER(TRIM(CLEAN(SUBSTITUTE(rate_COO&amp;""," "," "))))=$E80)&gt;0)*((UPPER(TRIM(CLEAN(SUBSTITUTE(rate_USMCA&amp;""," "," "))))="")+(UPPER(TRIM(CLEAN(SUBSTITUTE(rate_USMCA&amp;""," "," "))))=IF(UPPER(TRIM(CLEAN(SUBSTITUTE(Items!F80&amp;""," "," "))))="Y","Y","N"))&gt;0)*((1+(UPPER(TRIM(CLEAN(SUBSTITUTE(rate_Group&amp;""," "," "))))&lt;&gt;"")+2*(UPPER(TRIM(CLEAN(SUBSTITUTE(rate_USMCA&amp;""," "," "))))&lt;&gt;"")+4*(UPPER(TRIM(CLEAN(SUBSTITUTE(rate_COO&amp;""," "," "))))&lt;&gt;""))=INT($AO80/100))))</f>
        <v/>
      </c>
      <c r="AQ80" s="13">
        <f>IF($A80="",0,IFERROR(MATCH($AL80,det_Key,0),0))</f>
        <v/>
      </c>
    </row>
    <row r="81">
      <c r="A81" s="10">
        <f>IF(TRIM(CLEAN(SUBSTITUTE(Items!A81&amp;""," "," ")))="","",TRIM(CLEAN(SUBSTITUTE(Items!A81&amp;""," "," "))))</f>
        <v/>
      </c>
      <c r="B81" s="10">
        <f>IF($A81="","",Items!B81&amp;"")</f>
        <v/>
      </c>
      <c r="C81" s="10">
        <f>IF($A81="","",SUBSTITUTE(SUBSTITUTE(SUBSTITUTE(SUBSTITUTE(CLEAN(Items!D81&amp;"")," ",""),".","")," ",""),"-",""))</f>
        <v/>
      </c>
      <c r="D81" s="10">
        <f>IF($A81="","",LEFT($C81,2))</f>
        <v/>
      </c>
      <c r="E81" s="10">
        <f>IF($A81="","",UPPER(TRIM(CLEAN(SUBSTITUTE(Items!E81&amp;""," "," ")))))</f>
        <v/>
      </c>
      <c r="F81" s="10">
        <f>IF($A81="","",IF(UPPER(TRIM(CLEAN(SUBSTITUTE(Items!C81&amp;""," "," "))))=UPPER(TRIM(CLEAN(SUBSTITUTE(act_Country&amp;""," "," ")))),"Y","N"))</f>
        <v/>
      </c>
      <c r="G81" s="10">
        <f>IF($A81="","",IF($AM81&gt;0,"Y","N"))</f>
        <v/>
      </c>
      <c r="H81" s="10">
        <f>IF($A81="","",IF(SUMPRODUCT((excl_HTS&lt;&gt;"")*(LEFT($C81,LEN(excl_HTS))=excl_HTS))&gt;0,"Y","N"))</f>
        <v/>
      </c>
      <c r="I81" s="10">
        <f>IF($A81="","",IF($E81="","N",IF(SUMPRODUCT(--(UPPER(TRIM(CLEAN(SUBSTITUTE(scope_COO&amp;""," "," "))))=$E81))&gt;0,"Y","N")))</f>
        <v/>
      </c>
      <c r="J81" s="10">
        <f>IF($A81="","",IF(AND(UPPER(TRIM(CLEAN(SUBSTITUTE(act_USMCAExempt&amp;""," "," "))))="Y",UPPER(TRIM(CLEAN(SUBSTITUTE(Items!F81&amp;""," "," "))))="Y"),"Y","N"))</f>
        <v/>
      </c>
      <c r="K81" s="10">
        <f>IF($A81="","",IF($AQ81=0,"",UPPER(TRIM(CLEAN(SUBSTITUTE(INDEX(det_Status,$AQ81)&amp;""," "," "))))))</f>
        <v/>
      </c>
      <c r="L81" s="10">
        <f>IF($A81="","",IF($F81="N","N",IF($K81="IN","Y",IF($K81="OUT","N",IF(AND($G81="Y",$H81="N",$I81="Y",$J81="N"),"Y","N")))))</f>
        <v/>
      </c>
      <c r="M81" s="10">
        <f>IF($A81="","",IF($F81="N","Out: different import country",IF($K81="IN","In: Research determination",IF($K81="OUT","Out: Research determination",IF($G81="N","Out: HTS not on scope list",IF($H81="Y","Out: HTS on exclusion list",IF($I81="N","Out: origin not on scope list",IF($J81="Y","Out: USMCA-qualifying, exempt","In: matches scope rules"))))))))</f>
        <v/>
      </c>
      <c r="N81" s="10">
        <f>IF(OR($A81="",$AM81=0),"",UPPER(TRIM(CLEAN(SUBSTITUTE(INDEX(scope_Group,MOD($AM81,1000))&amp;""," "," ")))))</f>
        <v/>
      </c>
      <c r="O81" s="10">
        <f>IF($L81&lt;&gt;"Y","",IF($AO81=0,"Default (B15)",UPPER(TRIM(CLEAN(SUBSTITUTE(INDEX(rate_ID,MOD($AO81,100))&amp;""," "," "))))))</f>
        <v/>
      </c>
      <c r="P81" s="10">
        <f>IF($L81&lt;&gt;"Y","",IF($AO81=0,IF(UPPER(TRIM(CLEAN(SUBSTITUTE(act_DefaultBase&amp;""," "," "))))="PART","PART","FULL"),IF(UPPER(TRIM(CLEAN(SUBSTITUTE(INDEX(rate_Base,MOD($AO81,100))&amp;""," "," "))))="PART","PART","FULL")))</f>
        <v/>
      </c>
      <c r="Q81" s="17">
        <f>IF($A81="","",N(Items!J81))</f>
        <v/>
      </c>
      <c r="R81" s="17">
        <f>IF($A81="","",IF($L81&lt;&gt;"Y",0,IF($AO81=0,N(act_Rate),N(INDEX(rate_Rate,MOD($AO81,100))))))</f>
        <v/>
      </c>
      <c r="S81" s="17">
        <f>IF($A81="","",IF($L81&lt;&gt;"Y",0,IF($AO81=0,IF(UPPER(TRIM(CLEAN(SUBSTITUTE(act_RateType&amp;""," "," "))))="REPLACE",N(act_PriorRate),0),IF(ISNUMBER(INDEX(rate_Prior,MOD($AO81,100))),INDEX(rate_Prior,MOD($AO81,100)),IF(UPPER(TRIM(CLEAN(SUBSTITUTE(act_RateType&amp;""," "," "))))="REPLACE",N(act_PriorRate),0)))))</f>
        <v/>
      </c>
      <c r="T81" s="17">
        <f>IF($A81="","",IF(AND($L81="Y",$P81="PART",ISNUMBER(Items!M81)),Items!M81,1))</f>
        <v/>
      </c>
      <c r="U81" s="17">
        <f>IF($A81="","",IF($L81&lt;&gt;"Y",0,IF($AQ81&gt;0,IF(ISNUMBER(INDEX(det_Displaced,$AQ81)),INDEX(det_Displaced,$AQ81),IF($AO81=0,0,N(INDEX(rate_Displaced,MOD($AO81,100))))),IF($AO81=0,0,N(INDEX(rate_Displaced,MOD($AO81,100)))))))</f>
        <v/>
      </c>
      <c r="V81" s="17">
        <f>IF($A81="","",IF($L81="Y",$Q81+$T81*($R81-$S81)-$U81,$Q81))</f>
        <v/>
      </c>
      <c r="W81" s="18">
        <f>IF($A81="","",N(Items!H81)*$Q81)</f>
        <v/>
      </c>
      <c r="X81" s="18">
        <f>IF($A81="","",N(Items!H81)*$V81)</f>
        <v/>
      </c>
      <c r="Y81" s="18">
        <f>IF($A81="","",$X81-$W81)</f>
        <v/>
      </c>
      <c r="Z81" s="18">
        <f>IF($A81="","",N(Items!K81)+$Y81)</f>
        <v/>
      </c>
      <c r="AA81" s="17">
        <f>IF($A81="","",IF(N(Items!L81)=0,"",(N(Items!L81)-N(Items!K81))/N(Items!L81)))</f>
        <v/>
      </c>
      <c r="AB81" s="17">
        <f>IF($A81="","",IF(N(Items!L81)=0,"",(N(Items!L81)-$Z81)/N(Items!L81)))</f>
        <v/>
      </c>
      <c r="AC81" s="17">
        <f>IF(OR($AA81="",$AB81=""),"",$AB81-$AA81)</f>
        <v/>
      </c>
      <c r="AD81" s="13">
        <f>IF($A81="","",N(Items!I81))</f>
        <v/>
      </c>
      <c r="AE81" s="19">
        <f>IF($A81="","",$Y81*$AD81)</f>
        <v/>
      </c>
      <c r="AF81" s="10">
        <f>IF($A81="","",IF(N(Items!L81)&gt;0,"Y","N"))</f>
        <v/>
      </c>
      <c r="AG81" s="19">
        <f>IF($A81="","",IF($AF81="Y",N(Items!L81)*$AD81,0))</f>
        <v/>
      </c>
      <c r="AH81" s="19">
        <f>IF($A81="","",IF($AF81="Y",(N(Items!L81)-N(Items!K81))*$AD81,0))</f>
        <v/>
      </c>
      <c r="AI81" s="19">
        <f>IF($A81="","",IF($AF81="Y",$AH81-$AE81,0))</f>
        <v/>
      </c>
      <c r="AJ81" s="10">
        <f>IF($A81="","",IF(COUNTIF($AL$5:$AL$254,$AL81)&gt;1,"CHECK: duplicate item and import country",IF(TRIM(CLEAN(SUBSTITUTE(Items!C81&amp;""," "," ")))="","CHECK: import country missing",IF(AND(UPPER(TRIM(CLEAN(SUBSTITUTE(Items!C81&amp;""," "," "))))&lt;&gt;"US",UPPER(TRIM(CLEAN(SUBSTITUTE(Items!C81&amp;""," "," "))))&lt;&gt;"CA",UPPER(TRIM(CLEAN(SUBSTITUTE(Items!C81&amp;""," "," "))))&lt;&gt;"MX"),"CHECK: import country must be US, CA or MX",IF(NOT(AND(LEN($C81)=10,IFERROR(TEXT(VALUE($C81),REPT("0",LEN($C81)))=$C81,FALSE))),"CHECK: HTS must be 10 digits",IF(LEN($E81)&lt;&gt;2,"CHECK: origin code missing or not 2 letters",IF(TRIM(CLEAN(SUBSTITUTE(Items!G81&amp;""," "," ")))="","CHECK: unit of measure missing",IF(OR(Items!H81="",Items!J81="",Items!K81=""),"CHECK: value, rate or cost missing",IF(OR(NOT(ISNUMBER(Items!H81)),NOT(ISNUMBER(Items!J81)),NOT(ISNUMBER(Items!K81)),AND(Items!I81&lt;&gt;"",NOT(ISNUMBER(Items!I81))),AND(Items!L81&lt;&gt;"",NOT(ISNUMBER(Items!L81))),AND(Items!M81&lt;&gt;"",NOT(ISNUMBER(Items!M81)))),"CHECK: text in a number column",IF(AND(ISNUMBER(Items!M81),OR(N(Items!M81)&lt;0,N(Items!M81)&gt;1)),"CHECK: dutiable share must be 0% to 100%",IF(AND(UPPER(TRIM(CLEAN(SUBSTITUTE(Items!F81&amp;""," "," "))))&lt;&gt;"",UPPER(TRIM(CLEAN(SUBSTITUTE(Items!F81&amp;""," "," "))))&lt;&gt;"Y",UPPER(TRIM(CLEAN(SUBSTITUTE(Items!F81&amp;""," "," "))))&lt;&gt;"N"),"CHECK: USMCA flag must be Y, N or blank",IF(AND(UPPER(TRIM(CLEAN(SUBSTITUTE(Items!F81&amp;""," "," "))))="Y",$E81&lt;&gt;"US",$E81&lt;&gt;"CA",$E81&lt;&gt;"MX"),"CHECK: USMCA flag on an origin other than US, CA or MX",IF(AND($L81="Y",$AO81=0,NOT(ISNUMBER(act_Rate))),"CHECK: in scope but no rate (add a rate line or B15)",IF(AND($L81="Y",UPPER(TRIM(CLEAN(SUBSTITUTE(act_RateType&amp;""," "," "))))="REPLACE",NOT(ISNUMBER(act_PriorRate)),IF($AO81=0,TRUE,NOT(ISNUMBER(INDEX(rate_Prior,MOD($AO81,100)))))),"CHECK: REPLACE but no earlier rate (B17 or the rate line's AD)",IF(AND($L81="Y",$AP81&gt;1),"CHECK: two rate lines match equally",IF(AND($L81="Y",$AN81&gt;1),"CHECK: HTS prefix listed twice on the scope list",IF(AND($L81="Y",$P81="PART",NOT(ISNUMBER(Items!M81))),"CHECK: dutiable share missing (PART base)",IF(AND($L81="Y",$P81="FULL",ISNUMBER(Items!M81),N(Items!M81)&lt;&gt;1),"CHECK: dutiable share entered, but the rate taxes the full value",IF(AND($L81="Y",$Q81+0.0000001&lt;$T81*$S81+$U81),"CHECK: current rate is below the duty being replaced or displaced",IF(AND($L81="Y",$AD81=0),"NOTE: in scope, no quantity",IF(AND($L81="Y",$AF81="N"),"NOTE: in scope, no sell price (left out of margin %)",IF(AND($L81="Y",N(Items!H81)&gt;N(Items!K81)),"NOTE: customs value above standard cost (check unit of measure)",IF(AND($L81="Y",$Q81&gt;1),"NOTE: current rate above 100% (check it was entered as a percentage)","OK")))))))))))))))))))))))</f>
        <v/>
      </c>
      <c r="AK81" s="20">
        <f>IF($A81="","",IF(AND($L81="Y",$AE81&lt;&gt;0),ABS($AE81)+ROW()/1000000000,""))</f>
        <v/>
      </c>
      <c r="AL81" s="10">
        <f>IF($A81="","",UPPER($A81)&amp;"/"&amp;UPPER(TRIM(CLEAN(SUBSTITUTE(Items!C81&amp;""," "," ")))))</f>
        <v/>
      </c>
      <c r="AM81" s="13">
        <f>IF($A81="",0,SUMPRODUCT(MAX((scope_HTS&lt;&gt;"")*(LEFT($C81,LEN(scope_HTS))=scope_HTS)*(LEN(scope_HTS)*1000+ROW(scope_HTS)-4))))</f>
        <v/>
      </c>
      <c r="AN81" s="13">
        <f>IF($AM81=0,0,SUMPRODUCT((scope_HTS&lt;&gt;"")*(LEFT($C81,LEN(scope_HTS))=scope_HTS)*(LEN(scope_HTS)=INT($AM81/1000))))</f>
        <v/>
      </c>
      <c r="AO81" s="13">
        <f>IF($L81&lt;&gt;"Y",0,SUMPRODUCT(MAX(ISNUMBER(rate_Rate)*((UPPER(TRIM(CLEAN(SUBSTITUTE(rate_Group&amp;""," "," "))))="")+(UPPER(TRIM(CLEAN(SUBSTITUTE(rate_Group&amp;""," "," "))))=$N81)&gt;0)*((UPPER(TRIM(CLEAN(SUBSTITUTE(rate_COO&amp;""," "," "))))="")+(UPPER(TRIM(CLEAN(SUBSTITUTE(rate_COO&amp;""," "," "))))=$E81)&gt;0)*((UPPER(TRIM(CLEAN(SUBSTITUTE(rate_USMCA&amp;""," "," "))))="")+(UPPER(TRIM(CLEAN(SUBSTITUTE(rate_USMCA&amp;""," "," "))))=IF(UPPER(TRIM(CLEAN(SUBSTITUTE(Items!F81&amp;""," "," "))))="Y","Y","N"))&gt;0)*((1+(UPPER(TRIM(CLEAN(SUBSTITUTE(rate_Group&amp;""," "," "))))&lt;&gt;"")+2*(UPPER(TRIM(CLEAN(SUBSTITUTE(rate_USMCA&amp;""," "," "))))&lt;&gt;"")+4*(UPPER(TRIM(CLEAN(SUBSTITUTE(rate_COO&amp;""," "," "))))&lt;&gt;""))*100+ROW(rate_Rate)-4))))</f>
        <v/>
      </c>
      <c r="AP81" s="13">
        <f>IF($AO81=0,0,SUMPRODUCT(ISNUMBER(rate_Rate)*((UPPER(TRIM(CLEAN(SUBSTITUTE(rate_Group&amp;""," "," "))))="")+(UPPER(TRIM(CLEAN(SUBSTITUTE(rate_Group&amp;""," "," "))))=$N81)&gt;0)*((UPPER(TRIM(CLEAN(SUBSTITUTE(rate_COO&amp;""," "," "))))="")+(UPPER(TRIM(CLEAN(SUBSTITUTE(rate_COO&amp;""," "," "))))=$E81)&gt;0)*((UPPER(TRIM(CLEAN(SUBSTITUTE(rate_USMCA&amp;""," "," "))))="")+(UPPER(TRIM(CLEAN(SUBSTITUTE(rate_USMCA&amp;""," "," "))))=IF(UPPER(TRIM(CLEAN(SUBSTITUTE(Items!F81&amp;""," "," "))))="Y","Y","N"))&gt;0)*((1+(UPPER(TRIM(CLEAN(SUBSTITUTE(rate_Group&amp;""," "," "))))&lt;&gt;"")+2*(UPPER(TRIM(CLEAN(SUBSTITUTE(rate_USMCA&amp;""," "," "))))&lt;&gt;"")+4*(UPPER(TRIM(CLEAN(SUBSTITUTE(rate_COO&amp;""," "," "))))&lt;&gt;""))=INT($AO81/100))))</f>
        <v/>
      </c>
      <c r="AQ81" s="13">
        <f>IF($A81="",0,IFERROR(MATCH($AL81,det_Key,0),0))</f>
        <v/>
      </c>
    </row>
    <row r="82">
      <c r="A82" s="10">
        <f>IF(TRIM(CLEAN(SUBSTITUTE(Items!A82&amp;""," "," ")))="","",TRIM(CLEAN(SUBSTITUTE(Items!A82&amp;""," "," "))))</f>
        <v/>
      </c>
      <c r="B82" s="10">
        <f>IF($A82="","",Items!B82&amp;"")</f>
        <v/>
      </c>
      <c r="C82" s="10">
        <f>IF($A82="","",SUBSTITUTE(SUBSTITUTE(SUBSTITUTE(SUBSTITUTE(CLEAN(Items!D82&amp;"")," ",""),".","")," ",""),"-",""))</f>
        <v/>
      </c>
      <c r="D82" s="10">
        <f>IF($A82="","",LEFT($C82,2))</f>
        <v/>
      </c>
      <c r="E82" s="10">
        <f>IF($A82="","",UPPER(TRIM(CLEAN(SUBSTITUTE(Items!E82&amp;""," "," ")))))</f>
        <v/>
      </c>
      <c r="F82" s="10">
        <f>IF($A82="","",IF(UPPER(TRIM(CLEAN(SUBSTITUTE(Items!C82&amp;""," "," "))))=UPPER(TRIM(CLEAN(SUBSTITUTE(act_Country&amp;""," "," ")))),"Y","N"))</f>
        <v/>
      </c>
      <c r="G82" s="10">
        <f>IF($A82="","",IF($AM82&gt;0,"Y","N"))</f>
        <v/>
      </c>
      <c r="H82" s="10">
        <f>IF($A82="","",IF(SUMPRODUCT((excl_HTS&lt;&gt;"")*(LEFT($C82,LEN(excl_HTS))=excl_HTS))&gt;0,"Y","N"))</f>
        <v/>
      </c>
      <c r="I82" s="10">
        <f>IF($A82="","",IF($E82="","N",IF(SUMPRODUCT(--(UPPER(TRIM(CLEAN(SUBSTITUTE(scope_COO&amp;""," "," "))))=$E82))&gt;0,"Y","N")))</f>
        <v/>
      </c>
      <c r="J82" s="10">
        <f>IF($A82="","",IF(AND(UPPER(TRIM(CLEAN(SUBSTITUTE(act_USMCAExempt&amp;""," "," "))))="Y",UPPER(TRIM(CLEAN(SUBSTITUTE(Items!F82&amp;""," "," "))))="Y"),"Y","N"))</f>
        <v/>
      </c>
      <c r="K82" s="10">
        <f>IF($A82="","",IF($AQ82=0,"",UPPER(TRIM(CLEAN(SUBSTITUTE(INDEX(det_Status,$AQ82)&amp;""," "," "))))))</f>
        <v/>
      </c>
      <c r="L82" s="10">
        <f>IF($A82="","",IF($F82="N","N",IF($K82="IN","Y",IF($K82="OUT","N",IF(AND($G82="Y",$H82="N",$I82="Y",$J82="N"),"Y","N")))))</f>
        <v/>
      </c>
      <c r="M82" s="10">
        <f>IF($A82="","",IF($F82="N","Out: different import country",IF($K82="IN","In: Research determination",IF($K82="OUT","Out: Research determination",IF($G82="N","Out: HTS not on scope list",IF($H82="Y","Out: HTS on exclusion list",IF($I82="N","Out: origin not on scope list",IF($J82="Y","Out: USMCA-qualifying, exempt","In: matches scope rules"))))))))</f>
        <v/>
      </c>
      <c r="N82" s="10">
        <f>IF(OR($A82="",$AM82=0),"",UPPER(TRIM(CLEAN(SUBSTITUTE(INDEX(scope_Group,MOD($AM82,1000))&amp;""," "," ")))))</f>
        <v/>
      </c>
      <c r="O82" s="10">
        <f>IF($L82&lt;&gt;"Y","",IF($AO82=0,"Default (B15)",UPPER(TRIM(CLEAN(SUBSTITUTE(INDEX(rate_ID,MOD($AO82,100))&amp;""," "," "))))))</f>
        <v/>
      </c>
      <c r="P82" s="10">
        <f>IF($L82&lt;&gt;"Y","",IF($AO82=0,IF(UPPER(TRIM(CLEAN(SUBSTITUTE(act_DefaultBase&amp;""," "," "))))="PART","PART","FULL"),IF(UPPER(TRIM(CLEAN(SUBSTITUTE(INDEX(rate_Base,MOD($AO82,100))&amp;""," "," "))))="PART","PART","FULL")))</f>
        <v/>
      </c>
      <c r="Q82" s="17">
        <f>IF($A82="","",N(Items!J82))</f>
        <v/>
      </c>
      <c r="R82" s="17">
        <f>IF($A82="","",IF($L82&lt;&gt;"Y",0,IF($AO82=0,N(act_Rate),N(INDEX(rate_Rate,MOD($AO82,100))))))</f>
        <v/>
      </c>
      <c r="S82" s="17">
        <f>IF($A82="","",IF($L82&lt;&gt;"Y",0,IF($AO82=0,IF(UPPER(TRIM(CLEAN(SUBSTITUTE(act_RateType&amp;""," "," "))))="REPLACE",N(act_PriorRate),0),IF(ISNUMBER(INDEX(rate_Prior,MOD($AO82,100))),INDEX(rate_Prior,MOD($AO82,100)),IF(UPPER(TRIM(CLEAN(SUBSTITUTE(act_RateType&amp;""," "," "))))="REPLACE",N(act_PriorRate),0)))))</f>
        <v/>
      </c>
      <c r="T82" s="17">
        <f>IF($A82="","",IF(AND($L82="Y",$P82="PART",ISNUMBER(Items!M82)),Items!M82,1))</f>
        <v/>
      </c>
      <c r="U82" s="17">
        <f>IF($A82="","",IF($L82&lt;&gt;"Y",0,IF($AQ82&gt;0,IF(ISNUMBER(INDEX(det_Displaced,$AQ82)),INDEX(det_Displaced,$AQ82),IF($AO82=0,0,N(INDEX(rate_Displaced,MOD($AO82,100))))),IF($AO82=0,0,N(INDEX(rate_Displaced,MOD($AO82,100)))))))</f>
        <v/>
      </c>
      <c r="V82" s="17">
        <f>IF($A82="","",IF($L82="Y",$Q82+$T82*($R82-$S82)-$U82,$Q82))</f>
        <v/>
      </c>
      <c r="W82" s="18">
        <f>IF($A82="","",N(Items!H82)*$Q82)</f>
        <v/>
      </c>
      <c r="X82" s="18">
        <f>IF($A82="","",N(Items!H82)*$V82)</f>
        <v/>
      </c>
      <c r="Y82" s="18">
        <f>IF($A82="","",$X82-$W82)</f>
        <v/>
      </c>
      <c r="Z82" s="18">
        <f>IF($A82="","",N(Items!K82)+$Y82)</f>
        <v/>
      </c>
      <c r="AA82" s="17">
        <f>IF($A82="","",IF(N(Items!L82)=0,"",(N(Items!L82)-N(Items!K82))/N(Items!L82)))</f>
        <v/>
      </c>
      <c r="AB82" s="17">
        <f>IF($A82="","",IF(N(Items!L82)=0,"",(N(Items!L82)-$Z82)/N(Items!L82)))</f>
        <v/>
      </c>
      <c r="AC82" s="17">
        <f>IF(OR($AA82="",$AB82=""),"",$AB82-$AA82)</f>
        <v/>
      </c>
      <c r="AD82" s="13">
        <f>IF($A82="","",N(Items!I82))</f>
        <v/>
      </c>
      <c r="AE82" s="19">
        <f>IF($A82="","",$Y82*$AD82)</f>
        <v/>
      </c>
      <c r="AF82" s="10">
        <f>IF($A82="","",IF(N(Items!L82)&gt;0,"Y","N"))</f>
        <v/>
      </c>
      <c r="AG82" s="19">
        <f>IF($A82="","",IF($AF82="Y",N(Items!L82)*$AD82,0))</f>
        <v/>
      </c>
      <c r="AH82" s="19">
        <f>IF($A82="","",IF($AF82="Y",(N(Items!L82)-N(Items!K82))*$AD82,0))</f>
        <v/>
      </c>
      <c r="AI82" s="19">
        <f>IF($A82="","",IF($AF82="Y",$AH82-$AE82,0))</f>
        <v/>
      </c>
      <c r="AJ82" s="10">
        <f>IF($A82="","",IF(COUNTIF($AL$5:$AL$254,$AL82)&gt;1,"CHECK: duplicate item and import country",IF(TRIM(CLEAN(SUBSTITUTE(Items!C82&amp;""," "," ")))="","CHECK: import country missing",IF(AND(UPPER(TRIM(CLEAN(SUBSTITUTE(Items!C82&amp;""," "," "))))&lt;&gt;"US",UPPER(TRIM(CLEAN(SUBSTITUTE(Items!C82&amp;""," "," "))))&lt;&gt;"CA",UPPER(TRIM(CLEAN(SUBSTITUTE(Items!C82&amp;""," "," "))))&lt;&gt;"MX"),"CHECK: import country must be US, CA or MX",IF(NOT(AND(LEN($C82)=10,IFERROR(TEXT(VALUE($C82),REPT("0",LEN($C82)))=$C82,FALSE))),"CHECK: HTS must be 10 digits",IF(LEN($E82)&lt;&gt;2,"CHECK: origin code missing or not 2 letters",IF(TRIM(CLEAN(SUBSTITUTE(Items!G82&amp;""," "," ")))="","CHECK: unit of measure missing",IF(OR(Items!H82="",Items!J82="",Items!K82=""),"CHECK: value, rate or cost missing",IF(OR(NOT(ISNUMBER(Items!H82)),NOT(ISNUMBER(Items!J82)),NOT(ISNUMBER(Items!K82)),AND(Items!I82&lt;&gt;"",NOT(ISNUMBER(Items!I82))),AND(Items!L82&lt;&gt;"",NOT(ISNUMBER(Items!L82))),AND(Items!M82&lt;&gt;"",NOT(ISNUMBER(Items!M82)))),"CHECK: text in a number column",IF(AND(ISNUMBER(Items!M82),OR(N(Items!M82)&lt;0,N(Items!M82)&gt;1)),"CHECK: dutiable share must be 0% to 100%",IF(AND(UPPER(TRIM(CLEAN(SUBSTITUTE(Items!F82&amp;""," "," "))))&lt;&gt;"",UPPER(TRIM(CLEAN(SUBSTITUTE(Items!F82&amp;""," "," "))))&lt;&gt;"Y",UPPER(TRIM(CLEAN(SUBSTITUTE(Items!F82&amp;""," "," "))))&lt;&gt;"N"),"CHECK: USMCA flag must be Y, N or blank",IF(AND(UPPER(TRIM(CLEAN(SUBSTITUTE(Items!F82&amp;""," "," "))))="Y",$E82&lt;&gt;"US",$E82&lt;&gt;"CA",$E82&lt;&gt;"MX"),"CHECK: USMCA flag on an origin other than US, CA or MX",IF(AND($L82="Y",$AO82=0,NOT(ISNUMBER(act_Rate))),"CHECK: in scope but no rate (add a rate line or B15)",IF(AND($L82="Y",UPPER(TRIM(CLEAN(SUBSTITUTE(act_RateType&amp;""," "," "))))="REPLACE",NOT(ISNUMBER(act_PriorRate)),IF($AO82=0,TRUE,NOT(ISNUMBER(INDEX(rate_Prior,MOD($AO82,100)))))),"CHECK: REPLACE but no earlier rate (B17 or the rate line's AD)",IF(AND($L82="Y",$AP82&gt;1),"CHECK: two rate lines match equally",IF(AND($L82="Y",$AN82&gt;1),"CHECK: HTS prefix listed twice on the scope list",IF(AND($L82="Y",$P82="PART",NOT(ISNUMBER(Items!M82))),"CHECK: dutiable share missing (PART base)",IF(AND($L82="Y",$P82="FULL",ISNUMBER(Items!M82),N(Items!M82)&lt;&gt;1),"CHECK: dutiable share entered, but the rate taxes the full value",IF(AND($L82="Y",$Q82+0.0000001&lt;$T82*$S82+$U82),"CHECK: current rate is below the duty being replaced or displaced",IF(AND($L82="Y",$AD82=0),"NOTE: in scope, no quantity",IF(AND($L82="Y",$AF82="N"),"NOTE: in scope, no sell price (left out of margin %)",IF(AND($L82="Y",N(Items!H82)&gt;N(Items!K82)),"NOTE: customs value above standard cost (check unit of measure)",IF(AND($L82="Y",$Q82&gt;1),"NOTE: current rate above 100% (check it was entered as a percentage)","OK")))))))))))))))))))))))</f>
        <v/>
      </c>
      <c r="AK82" s="20">
        <f>IF($A82="","",IF(AND($L82="Y",$AE82&lt;&gt;0),ABS($AE82)+ROW()/1000000000,""))</f>
        <v/>
      </c>
      <c r="AL82" s="10">
        <f>IF($A82="","",UPPER($A82)&amp;"/"&amp;UPPER(TRIM(CLEAN(SUBSTITUTE(Items!C82&amp;""," "," ")))))</f>
        <v/>
      </c>
      <c r="AM82" s="13">
        <f>IF($A82="",0,SUMPRODUCT(MAX((scope_HTS&lt;&gt;"")*(LEFT($C82,LEN(scope_HTS))=scope_HTS)*(LEN(scope_HTS)*1000+ROW(scope_HTS)-4))))</f>
        <v/>
      </c>
      <c r="AN82" s="13">
        <f>IF($AM82=0,0,SUMPRODUCT((scope_HTS&lt;&gt;"")*(LEFT($C82,LEN(scope_HTS))=scope_HTS)*(LEN(scope_HTS)=INT($AM82/1000))))</f>
        <v/>
      </c>
      <c r="AO82" s="13">
        <f>IF($L82&lt;&gt;"Y",0,SUMPRODUCT(MAX(ISNUMBER(rate_Rate)*((UPPER(TRIM(CLEAN(SUBSTITUTE(rate_Group&amp;""," "," "))))="")+(UPPER(TRIM(CLEAN(SUBSTITUTE(rate_Group&amp;""," "," "))))=$N82)&gt;0)*((UPPER(TRIM(CLEAN(SUBSTITUTE(rate_COO&amp;""," "," "))))="")+(UPPER(TRIM(CLEAN(SUBSTITUTE(rate_COO&amp;""," "," "))))=$E82)&gt;0)*((UPPER(TRIM(CLEAN(SUBSTITUTE(rate_USMCA&amp;""," "," "))))="")+(UPPER(TRIM(CLEAN(SUBSTITUTE(rate_USMCA&amp;""," "," "))))=IF(UPPER(TRIM(CLEAN(SUBSTITUTE(Items!F82&amp;""," "," "))))="Y","Y","N"))&gt;0)*((1+(UPPER(TRIM(CLEAN(SUBSTITUTE(rate_Group&amp;""," "," "))))&lt;&gt;"")+2*(UPPER(TRIM(CLEAN(SUBSTITUTE(rate_USMCA&amp;""," "," "))))&lt;&gt;"")+4*(UPPER(TRIM(CLEAN(SUBSTITUTE(rate_COO&amp;""," "," "))))&lt;&gt;""))*100+ROW(rate_Rate)-4))))</f>
        <v/>
      </c>
      <c r="AP82" s="13">
        <f>IF($AO82=0,0,SUMPRODUCT(ISNUMBER(rate_Rate)*((UPPER(TRIM(CLEAN(SUBSTITUTE(rate_Group&amp;""," "," "))))="")+(UPPER(TRIM(CLEAN(SUBSTITUTE(rate_Group&amp;""," "," "))))=$N82)&gt;0)*((UPPER(TRIM(CLEAN(SUBSTITUTE(rate_COO&amp;""," "," "))))="")+(UPPER(TRIM(CLEAN(SUBSTITUTE(rate_COO&amp;""," "," "))))=$E82)&gt;0)*((UPPER(TRIM(CLEAN(SUBSTITUTE(rate_USMCA&amp;""," "," "))))="")+(UPPER(TRIM(CLEAN(SUBSTITUTE(rate_USMCA&amp;""," "," "))))=IF(UPPER(TRIM(CLEAN(SUBSTITUTE(Items!F82&amp;""," "," "))))="Y","Y","N"))&gt;0)*((1+(UPPER(TRIM(CLEAN(SUBSTITUTE(rate_Group&amp;""," "," "))))&lt;&gt;"")+2*(UPPER(TRIM(CLEAN(SUBSTITUTE(rate_USMCA&amp;""," "," "))))&lt;&gt;"")+4*(UPPER(TRIM(CLEAN(SUBSTITUTE(rate_COO&amp;""," "," "))))&lt;&gt;""))=INT($AO82/100))))</f>
        <v/>
      </c>
      <c r="AQ82" s="13">
        <f>IF($A82="",0,IFERROR(MATCH($AL82,det_Key,0),0))</f>
        <v/>
      </c>
    </row>
    <row r="83">
      <c r="A83" s="10">
        <f>IF(TRIM(CLEAN(SUBSTITUTE(Items!A83&amp;""," "," ")))="","",TRIM(CLEAN(SUBSTITUTE(Items!A83&amp;""," "," "))))</f>
        <v/>
      </c>
      <c r="B83" s="10">
        <f>IF($A83="","",Items!B83&amp;"")</f>
        <v/>
      </c>
      <c r="C83" s="10">
        <f>IF($A83="","",SUBSTITUTE(SUBSTITUTE(SUBSTITUTE(SUBSTITUTE(CLEAN(Items!D83&amp;"")," ",""),".","")," ",""),"-",""))</f>
        <v/>
      </c>
      <c r="D83" s="10">
        <f>IF($A83="","",LEFT($C83,2))</f>
        <v/>
      </c>
      <c r="E83" s="10">
        <f>IF($A83="","",UPPER(TRIM(CLEAN(SUBSTITUTE(Items!E83&amp;""," "," ")))))</f>
        <v/>
      </c>
      <c r="F83" s="10">
        <f>IF($A83="","",IF(UPPER(TRIM(CLEAN(SUBSTITUTE(Items!C83&amp;""," "," "))))=UPPER(TRIM(CLEAN(SUBSTITUTE(act_Country&amp;""," "," ")))),"Y","N"))</f>
        <v/>
      </c>
      <c r="G83" s="10">
        <f>IF($A83="","",IF($AM83&gt;0,"Y","N"))</f>
        <v/>
      </c>
      <c r="H83" s="10">
        <f>IF($A83="","",IF(SUMPRODUCT((excl_HTS&lt;&gt;"")*(LEFT($C83,LEN(excl_HTS))=excl_HTS))&gt;0,"Y","N"))</f>
        <v/>
      </c>
      <c r="I83" s="10">
        <f>IF($A83="","",IF($E83="","N",IF(SUMPRODUCT(--(UPPER(TRIM(CLEAN(SUBSTITUTE(scope_COO&amp;""," "," "))))=$E83))&gt;0,"Y","N")))</f>
        <v/>
      </c>
      <c r="J83" s="10">
        <f>IF($A83="","",IF(AND(UPPER(TRIM(CLEAN(SUBSTITUTE(act_USMCAExempt&amp;""," "," "))))="Y",UPPER(TRIM(CLEAN(SUBSTITUTE(Items!F83&amp;""," "," "))))="Y"),"Y","N"))</f>
        <v/>
      </c>
      <c r="K83" s="10">
        <f>IF($A83="","",IF($AQ83=0,"",UPPER(TRIM(CLEAN(SUBSTITUTE(INDEX(det_Status,$AQ83)&amp;""," "," "))))))</f>
        <v/>
      </c>
      <c r="L83" s="10">
        <f>IF($A83="","",IF($F83="N","N",IF($K83="IN","Y",IF($K83="OUT","N",IF(AND($G83="Y",$H83="N",$I83="Y",$J83="N"),"Y","N")))))</f>
        <v/>
      </c>
      <c r="M83" s="10">
        <f>IF($A83="","",IF($F83="N","Out: different import country",IF($K83="IN","In: Research determination",IF($K83="OUT","Out: Research determination",IF($G83="N","Out: HTS not on scope list",IF($H83="Y","Out: HTS on exclusion list",IF($I83="N","Out: origin not on scope list",IF($J83="Y","Out: USMCA-qualifying, exempt","In: matches scope rules"))))))))</f>
        <v/>
      </c>
      <c r="N83" s="10">
        <f>IF(OR($A83="",$AM83=0),"",UPPER(TRIM(CLEAN(SUBSTITUTE(INDEX(scope_Group,MOD($AM83,1000))&amp;""," "," ")))))</f>
        <v/>
      </c>
      <c r="O83" s="10">
        <f>IF($L83&lt;&gt;"Y","",IF($AO83=0,"Default (B15)",UPPER(TRIM(CLEAN(SUBSTITUTE(INDEX(rate_ID,MOD($AO83,100))&amp;""," "," "))))))</f>
        <v/>
      </c>
      <c r="P83" s="10">
        <f>IF($L83&lt;&gt;"Y","",IF($AO83=0,IF(UPPER(TRIM(CLEAN(SUBSTITUTE(act_DefaultBase&amp;""," "," "))))="PART","PART","FULL"),IF(UPPER(TRIM(CLEAN(SUBSTITUTE(INDEX(rate_Base,MOD($AO83,100))&amp;""," "," "))))="PART","PART","FULL")))</f>
        <v/>
      </c>
      <c r="Q83" s="17">
        <f>IF($A83="","",N(Items!J83))</f>
        <v/>
      </c>
      <c r="R83" s="17">
        <f>IF($A83="","",IF($L83&lt;&gt;"Y",0,IF($AO83=0,N(act_Rate),N(INDEX(rate_Rate,MOD($AO83,100))))))</f>
        <v/>
      </c>
      <c r="S83" s="17">
        <f>IF($A83="","",IF($L83&lt;&gt;"Y",0,IF($AO83=0,IF(UPPER(TRIM(CLEAN(SUBSTITUTE(act_RateType&amp;""," "," "))))="REPLACE",N(act_PriorRate),0),IF(ISNUMBER(INDEX(rate_Prior,MOD($AO83,100))),INDEX(rate_Prior,MOD($AO83,100)),IF(UPPER(TRIM(CLEAN(SUBSTITUTE(act_RateType&amp;""," "," "))))="REPLACE",N(act_PriorRate),0)))))</f>
        <v/>
      </c>
      <c r="T83" s="17">
        <f>IF($A83="","",IF(AND($L83="Y",$P83="PART",ISNUMBER(Items!M83)),Items!M83,1))</f>
        <v/>
      </c>
      <c r="U83" s="17">
        <f>IF($A83="","",IF($L83&lt;&gt;"Y",0,IF($AQ83&gt;0,IF(ISNUMBER(INDEX(det_Displaced,$AQ83)),INDEX(det_Displaced,$AQ83),IF($AO83=0,0,N(INDEX(rate_Displaced,MOD($AO83,100))))),IF($AO83=0,0,N(INDEX(rate_Displaced,MOD($AO83,100)))))))</f>
        <v/>
      </c>
      <c r="V83" s="17">
        <f>IF($A83="","",IF($L83="Y",$Q83+$T83*($R83-$S83)-$U83,$Q83))</f>
        <v/>
      </c>
      <c r="W83" s="18">
        <f>IF($A83="","",N(Items!H83)*$Q83)</f>
        <v/>
      </c>
      <c r="X83" s="18">
        <f>IF($A83="","",N(Items!H83)*$V83)</f>
        <v/>
      </c>
      <c r="Y83" s="18">
        <f>IF($A83="","",$X83-$W83)</f>
        <v/>
      </c>
      <c r="Z83" s="18">
        <f>IF($A83="","",N(Items!K83)+$Y83)</f>
        <v/>
      </c>
      <c r="AA83" s="17">
        <f>IF($A83="","",IF(N(Items!L83)=0,"",(N(Items!L83)-N(Items!K83))/N(Items!L83)))</f>
        <v/>
      </c>
      <c r="AB83" s="17">
        <f>IF($A83="","",IF(N(Items!L83)=0,"",(N(Items!L83)-$Z83)/N(Items!L83)))</f>
        <v/>
      </c>
      <c r="AC83" s="17">
        <f>IF(OR($AA83="",$AB83=""),"",$AB83-$AA83)</f>
        <v/>
      </c>
      <c r="AD83" s="13">
        <f>IF($A83="","",N(Items!I83))</f>
        <v/>
      </c>
      <c r="AE83" s="19">
        <f>IF($A83="","",$Y83*$AD83)</f>
        <v/>
      </c>
      <c r="AF83" s="10">
        <f>IF($A83="","",IF(N(Items!L83)&gt;0,"Y","N"))</f>
        <v/>
      </c>
      <c r="AG83" s="19">
        <f>IF($A83="","",IF($AF83="Y",N(Items!L83)*$AD83,0))</f>
        <v/>
      </c>
      <c r="AH83" s="19">
        <f>IF($A83="","",IF($AF83="Y",(N(Items!L83)-N(Items!K83))*$AD83,0))</f>
        <v/>
      </c>
      <c r="AI83" s="19">
        <f>IF($A83="","",IF($AF83="Y",$AH83-$AE83,0))</f>
        <v/>
      </c>
      <c r="AJ83" s="10">
        <f>IF($A83="","",IF(COUNTIF($AL$5:$AL$254,$AL83)&gt;1,"CHECK: duplicate item and import country",IF(TRIM(CLEAN(SUBSTITUTE(Items!C83&amp;""," "," ")))="","CHECK: import country missing",IF(AND(UPPER(TRIM(CLEAN(SUBSTITUTE(Items!C83&amp;""," "," "))))&lt;&gt;"US",UPPER(TRIM(CLEAN(SUBSTITUTE(Items!C83&amp;""," "," "))))&lt;&gt;"CA",UPPER(TRIM(CLEAN(SUBSTITUTE(Items!C83&amp;""," "," "))))&lt;&gt;"MX"),"CHECK: import country must be US, CA or MX",IF(NOT(AND(LEN($C83)=10,IFERROR(TEXT(VALUE($C83),REPT("0",LEN($C83)))=$C83,FALSE))),"CHECK: HTS must be 10 digits",IF(LEN($E83)&lt;&gt;2,"CHECK: origin code missing or not 2 letters",IF(TRIM(CLEAN(SUBSTITUTE(Items!G83&amp;""," "," ")))="","CHECK: unit of measure missing",IF(OR(Items!H83="",Items!J83="",Items!K83=""),"CHECK: value, rate or cost missing",IF(OR(NOT(ISNUMBER(Items!H83)),NOT(ISNUMBER(Items!J83)),NOT(ISNUMBER(Items!K83)),AND(Items!I83&lt;&gt;"",NOT(ISNUMBER(Items!I83))),AND(Items!L83&lt;&gt;"",NOT(ISNUMBER(Items!L83))),AND(Items!M83&lt;&gt;"",NOT(ISNUMBER(Items!M83)))),"CHECK: text in a number column",IF(AND(ISNUMBER(Items!M83),OR(N(Items!M83)&lt;0,N(Items!M83)&gt;1)),"CHECK: dutiable share must be 0% to 100%",IF(AND(UPPER(TRIM(CLEAN(SUBSTITUTE(Items!F83&amp;""," "," "))))&lt;&gt;"",UPPER(TRIM(CLEAN(SUBSTITUTE(Items!F83&amp;""," "," "))))&lt;&gt;"Y",UPPER(TRIM(CLEAN(SUBSTITUTE(Items!F83&amp;""," "," "))))&lt;&gt;"N"),"CHECK: USMCA flag must be Y, N or blank",IF(AND(UPPER(TRIM(CLEAN(SUBSTITUTE(Items!F83&amp;""," "," "))))="Y",$E83&lt;&gt;"US",$E83&lt;&gt;"CA",$E83&lt;&gt;"MX"),"CHECK: USMCA flag on an origin other than US, CA or MX",IF(AND($L83="Y",$AO83=0,NOT(ISNUMBER(act_Rate))),"CHECK: in scope but no rate (add a rate line or B15)",IF(AND($L83="Y",UPPER(TRIM(CLEAN(SUBSTITUTE(act_RateType&amp;""," "," "))))="REPLACE",NOT(ISNUMBER(act_PriorRate)),IF($AO83=0,TRUE,NOT(ISNUMBER(INDEX(rate_Prior,MOD($AO83,100)))))),"CHECK: REPLACE but no earlier rate (B17 or the rate line's AD)",IF(AND($L83="Y",$AP83&gt;1),"CHECK: two rate lines match equally",IF(AND($L83="Y",$AN83&gt;1),"CHECK: HTS prefix listed twice on the scope list",IF(AND($L83="Y",$P83="PART",NOT(ISNUMBER(Items!M83))),"CHECK: dutiable share missing (PART base)",IF(AND($L83="Y",$P83="FULL",ISNUMBER(Items!M83),N(Items!M83)&lt;&gt;1),"CHECK: dutiable share entered, but the rate taxes the full value",IF(AND($L83="Y",$Q83+0.0000001&lt;$T83*$S83+$U83),"CHECK: current rate is below the duty being replaced or displaced",IF(AND($L83="Y",$AD83=0),"NOTE: in scope, no quantity",IF(AND($L83="Y",$AF83="N"),"NOTE: in scope, no sell price (left out of margin %)",IF(AND($L83="Y",N(Items!H83)&gt;N(Items!K83)),"NOTE: customs value above standard cost (check unit of measure)",IF(AND($L83="Y",$Q83&gt;1),"NOTE: current rate above 100% (check it was entered as a percentage)","OK")))))))))))))))))))))))</f>
        <v/>
      </c>
      <c r="AK83" s="20">
        <f>IF($A83="","",IF(AND($L83="Y",$AE83&lt;&gt;0),ABS($AE83)+ROW()/1000000000,""))</f>
        <v/>
      </c>
      <c r="AL83" s="10">
        <f>IF($A83="","",UPPER($A83)&amp;"/"&amp;UPPER(TRIM(CLEAN(SUBSTITUTE(Items!C83&amp;""," "," ")))))</f>
        <v/>
      </c>
      <c r="AM83" s="13">
        <f>IF($A83="",0,SUMPRODUCT(MAX((scope_HTS&lt;&gt;"")*(LEFT($C83,LEN(scope_HTS))=scope_HTS)*(LEN(scope_HTS)*1000+ROW(scope_HTS)-4))))</f>
        <v/>
      </c>
      <c r="AN83" s="13">
        <f>IF($AM83=0,0,SUMPRODUCT((scope_HTS&lt;&gt;"")*(LEFT($C83,LEN(scope_HTS))=scope_HTS)*(LEN(scope_HTS)=INT($AM83/1000))))</f>
        <v/>
      </c>
      <c r="AO83" s="13">
        <f>IF($L83&lt;&gt;"Y",0,SUMPRODUCT(MAX(ISNUMBER(rate_Rate)*((UPPER(TRIM(CLEAN(SUBSTITUTE(rate_Group&amp;""," "," "))))="")+(UPPER(TRIM(CLEAN(SUBSTITUTE(rate_Group&amp;""," "," "))))=$N83)&gt;0)*((UPPER(TRIM(CLEAN(SUBSTITUTE(rate_COO&amp;""," "," "))))="")+(UPPER(TRIM(CLEAN(SUBSTITUTE(rate_COO&amp;""," "," "))))=$E83)&gt;0)*((UPPER(TRIM(CLEAN(SUBSTITUTE(rate_USMCA&amp;""," "," "))))="")+(UPPER(TRIM(CLEAN(SUBSTITUTE(rate_USMCA&amp;""," "," "))))=IF(UPPER(TRIM(CLEAN(SUBSTITUTE(Items!F83&amp;""," "," "))))="Y","Y","N"))&gt;0)*((1+(UPPER(TRIM(CLEAN(SUBSTITUTE(rate_Group&amp;""," "," "))))&lt;&gt;"")+2*(UPPER(TRIM(CLEAN(SUBSTITUTE(rate_USMCA&amp;""," "," "))))&lt;&gt;"")+4*(UPPER(TRIM(CLEAN(SUBSTITUTE(rate_COO&amp;""," "," "))))&lt;&gt;""))*100+ROW(rate_Rate)-4))))</f>
        <v/>
      </c>
      <c r="AP83" s="13">
        <f>IF($AO83=0,0,SUMPRODUCT(ISNUMBER(rate_Rate)*((UPPER(TRIM(CLEAN(SUBSTITUTE(rate_Group&amp;""," "," "))))="")+(UPPER(TRIM(CLEAN(SUBSTITUTE(rate_Group&amp;""," "," "))))=$N83)&gt;0)*((UPPER(TRIM(CLEAN(SUBSTITUTE(rate_COO&amp;""," "," "))))="")+(UPPER(TRIM(CLEAN(SUBSTITUTE(rate_COO&amp;""," "," "))))=$E83)&gt;0)*((UPPER(TRIM(CLEAN(SUBSTITUTE(rate_USMCA&amp;""," "," "))))="")+(UPPER(TRIM(CLEAN(SUBSTITUTE(rate_USMCA&amp;""," "," "))))=IF(UPPER(TRIM(CLEAN(SUBSTITUTE(Items!F83&amp;""," "," "))))="Y","Y","N"))&gt;0)*((1+(UPPER(TRIM(CLEAN(SUBSTITUTE(rate_Group&amp;""," "," "))))&lt;&gt;"")+2*(UPPER(TRIM(CLEAN(SUBSTITUTE(rate_USMCA&amp;""," "," "))))&lt;&gt;"")+4*(UPPER(TRIM(CLEAN(SUBSTITUTE(rate_COO&amp;""," "," "))))&lt;&gt;""))=INT($AO83/100))))</f>
        <v/>
      </c>
      <c r="AQ83" s="13">
        <f>IF($A83="",0,IFERROR(MATCH($AL83,det_Key,0),0))</f>
        <v/>
      </c>
    </row>
    <row r="84">
      <c r="A84" s="10">
        <f>IF(TRIM(CLEAN(SUBSTITUTE(Items!A84&amp;""," "," ")))="","",TRIM(CLEAN(SUBSTITUTE(Items!A84&amp;""," "," "))))</f>
        <v/>
      </c>
      <c r="B84" s="10">
        <f>IF($A84="","",Items!B84&amp;"")</f>
        <v/>
      </c>
      <c r="C84" s="10">
        <f>IF($A84="","",SUBSTITUTE(SUBSTITUTE(SUBSTITUTE(SUBSTITUTE(CLEAN(Items!D84&amp;"")," ",""),".","")," ",""),"-",""))</f>
        <v/>
      </c>
      <c r="D84" s="10">
        <f>IF($A84="","",LEFT($C84,2))</f>
        <v/>
      </c>
      <c r="E84" s="10">
        <f>IF($A84="","",UPPER(TRIM(CLEAN(SUBSTITUTE(Items!E84&amp;""," "," ")))))</f>
        <v/>
      </c>
      <c r="F84" s="10">
        <f>IF($A84="","",IF(UPPER(TRIM(CLEAN(SUBSTITUTE(Items!C84&amp;""," "," "))))=UPPER(TRIM(CLEAN(SUBSTITUTE(act_Country&amp;""," "," ")))),"Y","N"))</f>
        <v/>
      </c>
      <c r="G84" s="10">
        <f>IF($A84="","",IF($AM84&gt;0,"Y","N"))</f>
        <v/>
      </c>
      <c r="H84" s="10">
        <f>IF($A84="","",IF(SUMPRODUCT((excl_HTS&lt;&gt;"")*(LEFT($C84,LEN(excl_HTS))=excl_HTS))&gt;0,"Y","N"))</f>
        <v/>
      </c>
      <c r="I84" s="10">
        <f>IF($A84="","",IF($E84="","N",IF(SUMPRODUCT(--(UPPER(TRIM(CLEAN(SUBSTITUTE(scope_COO&amp;""," "," "))))=$E84))&gt;0,"Y","N")))</f>
        <v/>
      </c>
      <c r="J84" s="10">
        <f>IF($A84="","",IF(AND(UPPER(TRIM(CLEAN(SUBSTITUTE(act_USMCAExempt&amp;""," "," "))))="Y",UPPER(TRIM(CLEAN(SUBSTITUTE(Items!F84&amp;""," "," "))))="Y"),"Y","N"))</f>
        <v/>
      </c>
      <c r="K84" s="10">
        <f>IF($A84="","",IF($AQ84=0,"",UPPER(TRIM(CLEAN(SUBSTITUTE(INDEX(det_Status,$AQ84)&amp;""," "," "))))))</f>
        <v/>
      </c>
      <c r="L84" s="10">
        <f>IF($A84="","",IF($F84="N","N",IF($K84="IN","Y",IF($K84="OUT","N",IF(AND($G84="Y",$H84="N",$I84="Y",$J84="N"),"Y","N")))))</f>
        <v/>
      </c>
      <c r="M84" s="10">
        <f>IF($A84="","",IF($F84="N","Out: different import country",IF($K84="IN","In: Research determination",IF($K84="OUT","Out: Research determination",IF($G84="N","Out: HTS not on scope list",IF($H84="Y","Out: HTS on exclusion list",IF($I84="N","Out: origin not on scope list",IF($J84="Y","Out: USMCA-qualifying, exempt","In: matches scope rules"))))))))</f>
        <v/>
      </c>
      <c r="N84" s="10">
        <f>IF(OR($A84="",$AM84=0),"",UPPER(TRIM(CLEAN(SUBSTITUTE(INDEX(scope_Group,MOD($AM84,1000))&amp;""," "," ")))))</f>
        <v/>
      </c>
      <c r="O84" s="10">
        <f>IF($L84&lt;&gt;"Y","",IF($AO84=0,"Default (B15)",UPPER(TRIM(CLEAN(SUBSTITUTE(INDEX(rate_ID,MOD($AO84,100))&amp;""," "," "))))))</f>
        <v/>
      </c>
      <c r="P84" s="10">
        <f>IF($L84&lt;&gt;"Y","",IF($AO84=0,IF(UPPER(TRIM(CLEAN(SUBSTITUTE(act_DefaultBase&amp;""," "," "))))="PART","PART","FULL"),IF(UPPER(TRIM(CLEAN(SUBSTITUTE(INDEX(rate_Base,MOD($AO84,100))&amp;""," "," "))))="PART","PART","FULL")))</f>
        <v/>
      </c>
      <c r="Q84" s="17">
        <f>IF($A84="","",N(Items!J84))</f>
        <v/>
      </c>
      <c r="R84" s="17">
        <f>IF($A84="","",IF($L84&lt;&gt;"Y",0,IF($AO84=0,N(act_Rate),N(INDEX(rate_Rate,MOD($AO84,100))))))</f>
        <v/>
      </c>
      <c r="S84" s="17">
        <f>IF($A84="","",IF($L84&lt;&gt;"Y",0,IF($AO84=0,IF(UPPER(TRIM(CLEAN(SUBSTITUTE(act_RateType&amp;""," "," "))))="REPLACE",N(act_PriorRate),0),IF(ISNUMBER(INDEX(rate_Prior,MOD($AO84,100))),INDEX(rate_Prior,MOD($AO84,100)),IF(UPPER(TRIM(CLEAN(SUBSTITUTE(act_RateType&amp;""," "," "))))="REPLACE",N(act_PriorRate),0)))))</f>
        <v/>
      </c>
      <c r="T84" s="17">
        <f>IF($A84="","",IF(AND($L84="Y",$P84="PART",ISNUMBER(Items!M84)),Items!M84,1))</f>
        <v/>
      </c>
      <c r="U84" s="17">
        <f>IF($A84="","",IF($L84&lt;&gt;"Y",0,IF($AQ84&gt;0,IF(ISNUMBER(INDEX(det_Displaced,$AQ84)),INDEX(det_Displaced,$AQ84),IF($AO84=0,0,N(INDEX(rate_Displaced,MOD($AO84,100))))),IF($AO84=0,0,N(INDEX(rate_Displaced,MOD($AO84,100)))))))</f>
        <v/>
      </c>
      <c r="V84" s="17">
        <f>IF($A84="","",IF($L84="Y",$Q84+$T84*($R84-$S84)-$U84,$Q84))</f>
        <v/>
      </c>
      <c r="W84" s="18">
        <f>IF($A84="","",N(Items!H84)*$Q84)</f>
        <v/>
      </c>
      <c r="X84" s="18">
        <f>IF($A84="","",N(Items!H84)*$V84)</f>
        <v/>
      </c>
      <c r="Y84" s="18">
        <f>IF($A84="","",$X84-$W84)</f>
        <v/>
      </c>
      <c r="Z84" s="18">
        <f>IF($A84="","",N(Items!K84)+$Y84)</f>
        <v/>
      </c>
      <c r="AA84" s="17">
        <f>IF($A84="","",IF(N(Items!L84)=0,"",(N(Items!L84)-N(Items!K84))/N(Items!L84)))</f>
        <v/>
      </c>
      <c r="AB84" s="17">
        <f>IF($A84="","",IF(N(Items!L84)=0,"",(N(Items!L84)-$Z84)/N(Items!L84)))</f>
        <v/>
      </c>
      <c r="AC84" s="17">
        <f>IF(OR($AA84="",$AB84=""),"",$AB84-$AA84)</f>
        <v/>
      </c>
      <c r="AD84" s="13">
        <f>IF($A84="","",N(Items!I84))</f>
        <v/>
      </c>
      <c r="AE84" s="19">
        <f>IF($A84="","",$Y84*$AD84)</f>
        <v/>
      </c>
      <c r="AF84" s="10">
        <f>IF($A84="","",IF(N(Items!L84)&gt;0,"Y","N"))</f>
        <v/>
      </c>
      <c r="AG84" s="19">
        <f>IF($A84="","",IF($AF84="Y",N(Items!L84)*$AD84,0))</f>
        <v/>
      </c>
      <c r="AH84" s="19">
        <f>IF($A84="","",IF($AF84="Y",(N(Items!L84)-N(Items!K84))*$AD84,0))</f>
        <v/>
      </c>
      <c r="AI84" s="19">
        <f>IF($A84="","",IF($AF84="Y",$AH84-$AE84,0))</f>
        <v/>
      </c>
      <c r="AJ84" s="10">
        <f>IF($A84="","",IF(COUNTIF($AL$5:$AL$254,$AL84)&gt;1,"CHECK: duplicate item and import country",IF(TRIM(CLEAN(SUBSTITUTE(Items!C84&amp;""," "," ")))="","CHECK: import country missing",IF(AND(UPPER(TRIM(CLEAN(SUBSTITUTE(Items!C84&amp;""," "," "))))&lt;&gt;"US",UPPER(TRIM(CLEAN(SUBSTITUTE(Items!C84&amp;""," "," "))))&lt;&gt;"CA",UPPER(TRIM(CLEAN(SUBSTITUTE(Items!C84&amp;""," "," "))))&lt;&gt;"MX"),"CHECK: import country must be US, CA or MX",IF(NOT(AND(LEN($C84)=10,IFERROR(TEXT(VALUE($C84),REPT("0",LEN($C84)))=$C84,FALSE))),"CHECK: HTS must be 10 digits",IF(LEN($E84)&lt;&gt;2,"CHECK: origin code missing or not 2 letters",IF(TRIM(CLEAN(SUBSTITUTE(Items!G84&amp;""," "," ")))="","CHECK: unit of measure missing",IF(OR(Items!H84="",Items!J84="",Items!K84=""),"CHECK: value, rate or cost missing",IF(OR(NOT(ISNUMBER(Items!H84)),NOT(ISNUMBER(Items!J84)),NOT(ISNUMBER(Items!K84)),AND(Items!I84&lt;&gt;"",NOT(ISNUMBER(Items!I84))),AND(Items!L84&lt;&gt;"",NOT(ISNUMBER(Items!L84))),AND(Items!M84&lt;&gt;"",NOT(ISNUMBER(Items!M84)))),"CHECK: text in a number column",IF(AND(ISNUMBER(Items!M84),OR(N(Items!M84)&lt;0,N(Items!M84)&gt;1)),"CHECK: dutiable share must be 0% to 100%",IF(AND(UPPER(TRIM(CLEAN(SUBSTITUTE(Items!F84&amp;""," "," "))))&lt;&gt;"",UPPER(TRIM(CLEAN(SUBSTITUTE(Items!F84&amp;""," "," "))))&lt;&gt;"Y",UPPER(TRIM(CLEAN(SUBSTITUTE(Items!F84&amp;""," "," "))))&lt;&gt;"N"),"CHECK: USMCA flag must be Y, N or blank",IF(AND(UPPER(TRIM(CLEAN(SUBSTITUTE(Items!F84&amp;""," "," "))))="Y",$E84&lt;&gt;"US",$E84&lt;&gt;"CA",$E84&lt;&gt;"MX"),"CHECK: USMCA flag on an origin other than US, CA or MX",IF(AND($L84="Y",$AO84=0,NOT(ISNUMBER(act_Rate))),"CHECK: in scope but no rate (add a rate line or B15)",IF(AND($L84="Y",UPPER(TRIM(CLEAN(SUBSTITUTE(act_RateType&amp;""," "," "))))="REPLACE",NOT(ISNUMBER(act_PriorRate)),IF($AO84=0,TRUE,NOT(ISNUMBER(INDEX(rate_Prior,MOD($AO84,100)))))),"CHECK: REPLACE but no earlier rate (B17 or the rate line's AD)",IF(AND($L84="Y",$AP84&gt;1),"CHECK: two rate lines match equally",IF(AND($L84="Y",$AN84&gt;1),"CHECK: HTS prefix listed twice on the scope list",IF(AND($L84="Y",$P84="PART",NOT(ISNUMBER(Items!M84))),"CHECK: dutiable share missing (PART base)",IF(AND($L84="Y",$P84="FULL",ISNUMBER(Items!M84),N(Items!M84)&lt;&gt;1),"CHECK: dutiable share entered, but the rate taxes the full value",IF(AND($L84="Y",$Q84+0.0000001&lt;$T84*$S84+$U84),"CHECK: current rate is below the duty being replaced or displaced",IF(AND($L84="Y",$AD84=0),"NOTE: in scope, no quantity",IF(AND($L84="Y",$AF84="N"),"NOTE: in scope, no sell price (left out of margin %)",IF(AND($L84="Y",N(Items!H84)&gt;N(Items!K84)),"NOTE: customs value above standard cost (check unit of measure)",IF(AND($L84="Y",$Q84&gt;1),"NOTE: current rate above 100% (check it was entered as a percentage)","OK")))))))))))))))))))))))</f>
        <v/>
      </c>
      <c r="AK84" s="20">
        <f>IF($A84="","",IF(AND($L84="Y",$AE84&lt;&gt;0),ABS($AE84)+ROW()/1000000000,""))</f>
        <v/>
      </c>
      <c r="AL84" s="10">
        <f>IF($A84="","",UPPER($A84)&amp;"/"&amp;UPPER(TRIM(CLEAN(SUBSTITUTE(Items!C84&amp;""," "," ")))))</f>
        <v/>
      </c>
      <c r="AM84" s="13">
        <f>IF($A84="",0,SUMPRODUCT(MAX((scope_HTS&lt;&gt;"")*(LEFT($C84,LEN(scope_HTS))=scope_HTS)*(LEN(scope_HTS)*1000+ROW(scope_HTS)-4))))</f>
        <v/>
      </c>
      <c r="AN84" s="13">
        <f>IF($AM84=0,0,SUMPRODUCT((scope_HTS&lt;&gt;"")*(LEFT($C84,LEN(scope_HTS))=scope_HTS)*(LEN(scope_HTS)=INT($AM84/1000))))</f>
        <v/>
      </c>
      <c r="AO84" s="13">
        <f>IF($L84&lt;&gt;"Y",0,SUMPRODUCT(MAX(ISNUMBER(rate_Rate)*((UPPER(TRIM(CLEAN(SUBSTITUTE(rate_Group&amp;""," "," "))))="")+(UPPER(TRIM(CLEAN(SUBSTITUTE(rate_Group&amp;""," "," "))))=$N84)&gt;0)*((UPPER(TRIM(CLEAN(SUBSTITUTE(rate_COO&amp;""," "," "))))="")+(UPPER(TRIM(CLEAN(SUBSTITUTE(rate_COO&amp;""," "," "))))=$E84)&gt;0)*((UPPER(TRIM(CLEAN(SUBSTITUTE(rate_USMCA&amp;""," "," "))))="")+(UPPER(TRIM(CLEAN(SUBSTITUTE(rate_USMCA&amp;""," "," "))))=IF(UPPER(TRIM(CLEAN(SUBSTITUTE(Items!F84&amp;""," "," "))))="Y","Y","N"))&gt;0)*((1+(UPPER(TRIM(CLEAN(SUBSTITUTE(rate_Group&amp;""," "," "))))&lt;&gt;"")+2*(UPPER(TRIM(CLEAN(SUBSTITUTE(rate_USMCA&amp;""," "," "))))&lt;&gt;"")+4*(UPPER(TRIM(CLEAN(SUBSTITUTE(rate_COO&amp;""," "," "))))&lt;&gt;""))*100+ROW(rate_Rate)-4))))</f>
        <v/>
      </c>
      <c r="AP84" s="13">
        <f>IF($AO84=0,0,SUMPRODUCT(ISNUMBER(rate_Rate)*((UPPER(TRIM(CLEAN(SUBSTITUTE(rate_Group&amp;""," "," "))))="")+(UPPER(TRIM(CLEAN(SUBSTITUTE(rate_Group&amp;""," "," "))))=$N84)&gt;0)*((UPPER(TRIM(CLEAN(SUBSTITUTE(rate_COO&amp;""," "," "))))="")+(UPPER(TRIM(CLEAN(SUBSTITUTE(rate_COO&amp;""," "," "))))=$E84)&gt;0)*((UPPER(TRIM(CLEAN(SUBSTITUTE(rate_USMCA&amp;""," "," "))))="")+(UPPER(TRIM(CLEAN(SUBSTITUTE(rate_USMCA&amp;""," "," "))))=IF(UPPER(TRIM(CLEAN(SUBSTITUTE(Items!F84&amp;""," "," "))))="Y","Y","N"))&gt;0)*((1+(UPPER(TRIM(CLEAN(SUBSTITUTE(rate_Group&amp;""," "," "))))&lt;&gt;"")+2*(UPPER(TRIM(CLEAN(SUBSTITUTE(rate_USMCA&amp;""," "," "))))&lt;&gt;"")+4*(UPPER(TRIM(CLEAN(SUBSTITUTE(rate_COO&amp;""," "," "))))&lt;&gt;""))=INT($AO84/100))))</f>
        <v/>
      </c>
      <c r="AQ84" s="13">
        <f>IF($A84="",0,IFERROR(MATCH($AL84,det_Key,0),0))</f>
        <v/>
      </c>
    </row>
    <row r="85">
      <c r="A85" s="10">
        <f>IF(TRIM(CLEAN(SUBSTITUTE(Items!A85&amp;""," "," ")))="","",TRIM(CLEAN(SUBSTITUTE(Items!A85&amp;""," "," "))))</f>
        <v/>
      </c>
      <c r="B85" s="10">
        <f>IF($A85="","",Items!B85&amp;"")</f>
        <v/>
      </c>
      <c r="C85" s="10">
        <f>IF($A85="","",SUBSTITUTE(SUBSTITUTE(SUBSTITUTE(SUBSTITUTE(CLEAN(Items!D85&amp;"")," ",""),".","")," ",""),"-",""))</f>
        <v/>
      </c>
      <c r="D85" s="10">
        <f>IF($A85="","",LEFT($C85,2))</f>
        <v/>
      </c>
      <c r="E85" s="10">
        <f>IF($A85="","",UPPER(TRIM(CLEAN(SUBSTITUTE(Items!E85&amp;""," "," ")))))</f>
        <v/>
      </c>
      <c r="F85" s="10">
        <f>IF($A85="","",IF(UPPER(TRIM(CLEAN(SUBSTITUTE(Items!C85&amp;""," "," "))))=UPPER(TRIM(CLEAN(SUBSTITUTE(act_Country&amp;""," "," ")))),"Y","N"))</f>
        <v/>
      </c>
      <c r="G85" s="10">
        <f>IF($A85="","",IF($AM85&gt;0,"Y","N"))</f>
        <v/>
      </c>
      <c r="H85" s="10">
        <f>IF($A85="","",IF(SUMPRODUCT((excl_HTS&lt;&gt;"")*(LEFT($C85,LEN(excl_HTS))=excl_HTS))&gt;0,"Y","N"))</f>
        <v/>
      </c>
      <c r="I85" s="10">
        <f>IF($A85="","",IF($E85="","N",IF(SUMPRODUCT(--(UPPER(TRIM(CLEAN(SUBSTITUTE(scope_COO&amp;""," "," "))))=$E85))&gt;0,"Y","N")))</f>
        <v/>
      </c>
      <c r="J85" s="10">
        <f>IF($A85="","",IF(AND(UPPER(TRIM(CLEAN(SUBSTITUTE(act_USMCAExempt&amp;""," "," "))))="Y",UPPER(TRIM(CLEAN(SUBSTITUTE(Items!F85&amp;""," "," "))))="Y"),"Y","N"))</f>
        <v/>
      </c>
      <c r="K85" s="10">
        <f>IF($A85="","",IF($AQ85=0,"",UPPER(TRIM(CLEAN(SUBSTITUTE(INDEX(det_Status,$AQ85)&amp;""," "," "))))))</f>
        <v/>
      </c>
      <c r="L85" s="10">
        <f>IF($A85="","",IF($F85="N","N",IF($K85="IN","Y",IF($K85="OUT","N",IF(AND($G85="Y",$H85="N",$I85="Y",$J85="N"),"Y","N")))))</f>
        <v/>
      </c>
      <c r="M85" s="10">
        <f>IF($A85="","",IF($F85="N","Out: different import country",IF($K85="IN","In: Research determination",IF($K85="OUT","Out: Research determination",IF($G85="N","Out: HTS not on scope list",IF($H85="Y","Out: HTS on exclusion list",IF($I85="N","Out: origin not on scope list",IF($J85="Y","Out: USMCA-qualifying, exempt","In: matches scope rules"))))))))</f>
        <v/>
      </c>
      <c r="N85" s="10">
        <f>IF(OR($A85="",$AM85=0),"",UPPER(TRIM(CLEAN(SUBSTITUTE(INDEX(scope_Group,MOD($AM85,1000))&amp;""," "," ")))))</f>
        <v/>
      </c>
      <c r="O85" s="10">
        <f>IF($L85&lt;&gt;"Y","",IF($AO85=0,"Default (B15)",UPPER(TRIM(CLEAN(SUBSTITUTE(INDEX(rate_ID,MOD($AO85,100))&amp;""," "," "))))))</f>
        <v/>
      </c>
      <c r="P85" s="10">
        <f>IF($L85&lt;&gt;"Y","",IF($AO85=0,IF(UPPER(TRIM(CLEAN(SUBSTITUTE(act_DefaultBase&amp;""," "," "))))="PART","PART","FULL"),IF(UPPER(TRIM(CLEAN(SUBSTITUTE(INDEX(rate_Base,MOD($AO85,100))&amp;""," "," "))))="PART","PART","FULL")))</f>
        <v/>
      </c>
      <c r="Q85" s="17">
        <f>IF($A85="","",N(Items!J85))</f>
        <v/>
      </c>
      <c r="R85" s="17">
        <f>IF($A85="","",IF($L85&lt;&gt;"Y",0,IF($AO85=0,N(act_Rate),N(INDEX(rate_Rate,MOD($AO85,100))))))</f>
        <v/>
      </c>
      <c r="S85" s="17">
        <f>IF($A85="","",IF($L85&lt;&gt;"Y",0,IF($AO85=0,IF(UPPER(TRIM(CLEAN(SUBSTITUTE(act_RateType&amp;""," "," "))))="REPLACE",N(act_PriorRate),0),IF(ISNUMBER(INDEX(rate_Prior,MOD($AO85,100))),INDEX(rate_Prior,MOD($AO85,100)),IF(UPPER(TRIM(CLEAN(SUBSTITUTE(act_RateType&amp;""," "," "))))="REPLACE",N(act_PriorRate),0)))))</f>
        <v/>
      </c>
      <c r="T85" s="17">
        <f>IF($A85="","",IF(AND($L85="Y",$P85="PART",ISNUMBER(Items!M85)),Items!M85,1))</f>
        <v/>
      </c>
      <c r="U85" s="17">
        <f>IF($A85="","",IF($L85&lt;&gt;"Y",0,IF($AQ85&gt;0,IF(ISNUMBER(INDEX(det_Displaced,$AQ85)),INDEX(det_Displaced,$AQ85),IF($AO85=0,0,N(INDEX(rate_Displaced,MOD($AO85,100))))),IF($AO85=0,0,N(INDEX(rate_Displaced,MOD($AO85,100)))))))</f>
        <v/>
      </c>
      <c r="V85" s="17">
        <f>IF($A85="","",IF($L85="Y",$Q85+$T85*($R85-$S85)-$U85,$Q85))</f>
        <v/>
      </c>
      <c r="W85" s="18">
        <f>IF($A85="","",N(Items!H85)*$Q85)</f>
        <v/>
      </c>
      <c r="X85" s="18">
        <f>IF($A85="","",N(Items!H85)*$V85)</f>
        <v/>
      </c>
      <c r="Y85" s="18">
        <f>IF($A85="","",$X85-$W85)</f>
        <v/>
      </c>
      <c r="Z85" s="18">
        <f>IF($A85="","",N(Items!K85)+$Y85)</f>
        <v/>
      </c>
      <c r="AA85" s="17">
        <f>IF($A85="","",IF(N(Items!L85)=0,"",(N(Items!L85)-N(Items!K85))/N(Items!L85)))</f>
        <v/>
      </c>
      <c r="AB85" s="17">
        <f>IF($A85="","",IF(N(Items!L85)=0,"",(N(Items!L85)-$Z85)/N(Items!L85)))</f>
        <v/>
      </c>
      <c r="AC85" s="17">
        <f>IF(OR($AA85="",$AB85=""),"",$AB85-$AA85)</f>
        <v/>
      </c>
      <c r="AD85" s="13">
        <f>IF($A85="","",N(Items!I85))</f>
        <v/>
      </c>
      <c r="AE85" s="19">
        <f>IF($A85="","",$Y85*$AD85)</f>
        <v/>
      </c>
      <c r="AF85" s="10">
        <f>IF($A85="","",IF(N(Items!L85)&gt;0,"Y","N"))</f>
        <v/>
      </c>
      <c r="AG85" s="19">
        <f>IF($A85="","",IF($AF85="Y",N(Items!L85)*$AD85,0))</f>
        <v/>
      </c>
      <c r="AH85" s="19">
        <f>IF($A85="","",IF($AF85="Y",(N(Items!L85)-N(Items!K85))*$AD85,0))</f>
        <v/>
      </c>
      <c r="AI85" s="19">
        <f>IF($A85="","",IF($AF85="Y",$AH85-$AE85,0))</f>
        <v/>
      </c>
      <c r="AJ85" s="10">
        <f>IF($A85="","",IF(COUNTIF($AL$5:$AL$254,$AL85)&gt;1,"CHECK: duplicate item and import country",IF(TRIM(CLEAN(SUBSTITUTE(Items!C85&amp;""," "," ")))="","CHECK: import country missing",IF(AND(UPPER(TRIM(CLEAN(SUBSTITUTE(Items!C85&amp;""," "," "))))&lt;&gt;"US",UPPER(TRIM(CLEAN(SUBSTITUTE(Items!C85&amp;""," "," "))))&lt;&gt;"CA",UPPER(TRIM(CLEAN(SUBSTITUTE(Items!C85&amp;""," "," "))))&lt;&gt;"MX"),"CHECK: import country must be US, CA or MX",IF(NOT(AND(LEN($C85)=10,IFERROR(TEXT(VALUE($C85),REPT("0",LEN($C85)))=$C85,FALSE))),"CHECK: HTS must be 10 digits",IF(LEN($E85)&lt;&gt;2,"CHECK: origin code missing or not 2 letters",IF(TRIM(CLEAN(SUBSTITUTE(Items!G85&amp;""," "," ")))="","CHECK: unit of measure missing",IF(OR(Items!H85="",Items!J85="",Items!K85=""),"CHECK: value, rate or cost missing",IF(OR(NOT(ISNUMBER(Items!H85)),NOT(ISNUMBER(Items!J85)),NOT(ISNUMBER(Items!K85)),AND(Items!I85&lt;&gt;"",NOT(ISNUMBER(Items!I85))),AND(Items!L85&lt;&gt;"",NOT(ISNUMBER(Items!L85))),AND(Items!M85&lt;&gt;"",NOT(ISNUMBER(Items!M85)))),"CHECK: text in a number column",IF(AND(ISNUMBER(Items!M85),OR(N(Items!M85)&lt;0,N(Items!M85)&gt;1)),"CHECK: dutiable share must be 0% to 100%",IF(AND(UPPER(TRIM(CLEAN(SUBSTITUTE(Items!F85&amp;""," "," "))))&lt;&gt;"",UPPER(TRIM(CLEAN(SUBSTITUTE(Items!F85&amp;""," "," "))))&lt;&gt;"Y",UPPER(TRIM(CLEAN(SUBSTITUTE(Items!F85&amp;""," "," "))))&lt;&gt;"N"),"CHECK: USMCA flag must be Y, N or blank",IF(AND(UPPER(TRIM(CLEAN(SUBSTITUTE(Items!F85&amp;""," "," "))))="Y",$E85&lt;&gt;"US",$E85&lt;&gt;"CA",$E85&lt;&gt;"MX"),"CHECK: USMCA flag on an origin other than US, CA or MX",IF(AND($L85="Y",$AO85=0,NOT(ISNUMBER(act_Rate))),"CHECK: in scope but no rate (add a rate line or B15)",IF(AND($L85="Y",UPPER(TRIM(CLEAN(SUBSTITUTE(act_RateType&amp;""," "," "))))="REPLACE",NOT(ISNUMBER(act_PriorRate)),IF($AO85=0,TRUE,NOT(ISNUMBER(INDEX(rate_Prior,MOD($AO85,100)))))),"CHECK: REPLACE but no earlier rate (B17 or the rate line's AD)",IF(AND($L85="Y",$AP85&gt;1),"CHECK: two rate lines match equally",IF(AND($L85="Y",$AN85&gt;1),"CHECK: HTS prefix listed twice on the scope list",IF(AND($L85="Y",$P85="PART",NOT(ISNUMBER(Items!M85))),"CHECK: dutiable share missing (PART base)",IF(AND($L85="Y",$P85="FULL",ISNUMBER(Items!M85),N(Items!M85)&lt;&gt;1),"CHECK: dutiable share entered, but the rate taxes the full value",IF(AND($L85="Y",$Q85+0.0000001&lt;$T85*$S85+$U85),"CHECK: current rate is below the duty being replaced or displaced",IF(AND($L85="Y",$AD85=0),"NOTE: in scope, no quantity",IF(AND($L85="Y",$AF85="N"),"NOTE: in scope, no sell price (left out of margin %)",IF(AND($L85="Y",N(Items!H85)&gt;N(Items!K85)),"NOTE: customs value above standard cost (check unit of measure)",IF(AND($L85="Y",$Q85&gt;1),"NOTE: current rate above 100% (check it was entered as a percentage)","OK")))))))))))))))))))))))</f>
        <v/>
      </c>
      <c r="AK85" s="20">
        <f>IF($A85="","",IF(AND($L85="Y",$AE85&lt;&gt;0),ABS($AE85)+ROW()/1000000000,""))</f>
        <v/>
      </c>
      <c r="AL85" s="10">
        <f>IF($A85="","",UPPER($A85)&amp;"/"&amp;UPPER(TRIM(CLEAN(SUBSTITUTE(Items!C85&amp;""," "," ")))))</f>
        <v/>
      </c>
      <c r="AM85" s="13">
        <f>IF($A85="",0,SUMPRODUCT(MAX((scope_HTS&lt;&gt;"")*(LEFT($C85,LEN(scope_HTS))=scope_HTS)*(LEN(scope_HTS)*1000+ROW(scope_HTS)-4))))</f>
        <v/>
      </c>
      <c r="AN85" s="13">
        <f>IF($AM85=0,0,SUMPRODUCT((scope_HTS&lt;&gt;"")*(LEFT($C85,LEN(scope_HTS))=scope_HTS)*(LEN(scope_HTS)=INT($AM85/1000))))</f>
        <v/>
      </c>
      <c r="AO85" s="13">
        <f>IF($L85&lt;&gt;"Y",0,SUMPRODUCT(MAX(ISNUMBER(rate_Rate)*((UPPER(TRIM(CLEAN(SUBSTITUTE(rate_Group&amp;""," "," "))))="")+(UPPER(TRIM(CLEAN(SUBSTITUTE(rate_Group&amp;""," "," "))))=$N85)&gt;0)*((UPPER(TRIM(CLEAN(SUBSTITUTE(rate_COO&amp;""," "," "))))="")+(UPPER(TRIM(CLEAN(SUBSTITUTE(rate_COO&amp;""," "," "))))=$E85)&gt;0)*((UPPER(TRIM(CLEAN(SUBSTITUTE(rate_USMCA&amp;""," "," "))))="")+(UPPER(TRIM(CLEAN(SUBSTITUTE(rate_USMCA&amp;""," "," "))))=IF(UPPER(TRIM(CLEAN(SUBSTITUTE(Items!F85&amp;""," "," "))))="Y","Y","N"))&gt;0)*((1+(UPPER(TRIM(CLEAN(SUBSTITUTE(rate_Group&amp;""," "," "))))&lt;&gt;"")+2*(UPPER(TRIM(CLEAN(SUBSTITUTE(rate_USMCA&amp;""," "," "))))&lt;&gt;"")+4*(UPPER(TRIM(CLEAN(SUBSTITUTE(rate_COO&amp;""," "," "))))&lt;&gt;""))*100+ROW(rate_Rate)-4))))</f>
        <v/>
      </c>
      <c r="AP85" s="13">
        <f>IF($AO85=0,0,SUMPRODUCT(ISNUMBER(rate_Rate)*((UPPER(TRIM(CLEAN(SUBSTITUTE(rate_Group&amp;""," "," "))))="")+(UPPER(TRIM(CLEAN(SUBSTITUTE(rate_Group&amp;""," "," "))))=$N85)&gt;0)*((UPPER(TRIM(CLEAN(SUBSTITUTE(rate_COO&amp;""," "," "))))="")+(UPPER(TRIM(CLEAN(SUBSTITUTE(rate_COO&amp;""," "," "))))=$E85)&gt;0)*((UPPER(TRIM(CLEAN(SUBSTITUTE(rate_USMCA&amp;""," "," "))))="")+(UPPER(TRIM(CLEAN(SUBSTITUTE(rate_USMCA&amp;""," "," "))))=IF(UPPER(TRIM(CLEAN(SUBSTITUTE(Items!F85&amp;""," "," "))))="Y","Y","N"))&gt;0)*((1+(UPPER(TRIM(CLEAN(SUBSTITUTE(rate_Group&amp;""," "," "))))&lt;&gt;"")+2*(UPPER(TRIM(CLEAN(SUBSTITUTE(rate_USMCA&amp;""," "," "))))&lt;&gt;"")+4*(UPPER(TRIM(CLEAN(SUBSTITUTE(rate_COO&amp;""," "," "))))&lt;&gt;""))=INT($AO85/100))))</f>
        <v/>
      </c>
      <c r="AQ85" s="13">
        <f>IF($A85="",0,IFERROR(MATCH($AL85,det_Key,0),0))</f>
        <v/>
      </c>
    </row>
    <row r="86">
      <c r="A86" s="10">
        <f>IF(TRIM(CLEAN(SUBSTITUTE(Items!A86&amp;""," "," ")))="","",TRIM(CLEAN(SUBSTITUTE(Items!A86&amp;""," "," "))))</f>
        <v/>
      </c>
      <c r="B86" s="10">
        <f>IF($A86="","",Items!B86&amp;"")</f>
        <v/>
      </c>
      <c r="C86" s="10">
        <f>IF($A86="","",SUBSTITUTE(SUBSTITUTE(SUBSTITUTE(SUBSTITUTE(CLEAN(Items!D86&amp;"")," ",""),".","")," ",""),"-",""))</f>
        <v/>
      </c>
      <c r="D86" s="10">
        <f>IF($A86="","",LEFT($C86,2))</f>
        <v/>
      </c>
      <c r="E86" s="10">
        <f>IF($A86="","",UPPER(TRIM(CLEAN(SUBSTITUTE(Items!E86&amp;""," "," ")))))</f>
        <v/>
      </c>
      <c r="F86" s="10">
        <f>IF($A86="","",IF(UPPER(TRIM(CLEAN(SUBSTITUTE(Items!C86&amp;""," "," "))))=UPPER(TRIM(CLEAN(SUBSTITUTE(act_Country&amp;""," "," ")))),"Y","N"))</f>
        <v/>
      </c>
      <c r="G86" s="10">
        <f>IF($A86="","",IF($AM86&gt;0,"Y","N"))</f>
        <v/>
      </c>
      <c r="H86" s="10">
        <f>IF($A86="","",IF(SUMPRODUCT((excl_HTS&lt;&gt;"")*(LEFT($C86,LEN(excl_HTS))=excl_HTS))&gt;0,"Y","N"))</f>
        <v/>
      </c>
      <c r="I86" s="10">
        <f>IF($A86="","",IF($E86="","N",IF(SUMPRODUCT(--(UPPER(TRIM(CLEAN(SUBSTITUTE(scope_COO&amp;""," "," "))))=$E86))&gt;0,"Y","N")))</f>
        <v/>
      </c>
      <c r="J86" s="10">
        <f>IF($A86="","",IF(AND(UPPER(TRIM(CLEAN(SUBSTITUTE(act_USMCAExempt&amp;""," "," "))))="Y",UPPER(TRIM(CLEAN(SUBSTITUTE(Items!F86&amp;""," "," "))))="Y"),"Y","N"))</f>
        <v/>
      </c>
      <c r="K86" s="10">
        <f>IF($A86="","",IF($AQ86=0,"",UPPER(TRIM(CLEAN(SUBSTITUTE(INDEX(det_Status,$AQ86)&amp;""," "," "))))))</f>
        <v/>
      </c>
      <c r="L86" s="10">
        <f>IF($A86="","",IF($F86="N","N",IF($K86="IN","Y",IF($K86="OUT","N",IF(AND($G86="Y",$H86="N",$I86="Y",$J86="N"),"Y","N")))))</f>
        <v/>
      </c>
      <c r="M86" s="10">
        <f>IF($A86="","",IF($F86="N","Out: different import country",IF($K86="IN","In: Research determination",IF($K86="OUT","Out: Research determination",IF($G86="N","Out: HTS not on scope list",IF($H86="Y","Out: HTS on exclusion list",IF($I86="N","Out: origin not on scope list",IF($J86="Y","Out: USMCA-qualifying, exempt","In: matches scope rules"))))))))</f>
        <v/>
      </c>
      <c r="N86" s="10">
        <f>IF(OR($A86="",$AM86=0),"",UPPER(TRIM(CLEAN(SUBSTITUTE(INDEX(scope_Group,MOD($AM86,1000))&amp;""," "," ")))))</f>
        <v/>
      </c>
      <c r="O86" s="10">
        <f>IF($L86&lt;&gt;"Y","",IF($AO86=0,"Default (B15)",UPPER(TRIM(CLEAN(SUBSTITUTE(INDEX(rate_ID,MOD($AO86,100))&amp;""," "," "))))))</f>
        <v/>
      </c>
      <c r="P86" s="10">
        <f>IF($L86&lt;&gt;"Y","",IF($AO86=0,IF(UPPER(TRIM(CLEAN(SUBSTITUTE(act_DefaultBase&amp;""," "," "))))="PART","PART","FULL"),IF(UPPER(TRIM(CLEAN(SUBSTITUTE(INDEX(rate_Base,MOD($AO86,100))&amp;""," "," "))))="PART","PART","FULL")))</f>
        <v/>
      </c>
      <c r="Q86" s="17">
        <f>IF($A86="","",N(Items!J86))</f>
        <v/>
      </c>
      <c r="R86" s="17">
        <f>IF($A86="","",IF($L86&lt;&gt;"Y",0,IF($AO86=0,N(act_Rate),N(INDEX(rate_Rate,MOD($AO86,100))))))</f>
        <v/>
      </c>
      <c r="S86" s="17">
        <f>IF($A86="","",IF($L86&lt;&gt;"Y",0,IF($AO86=0,IF(UPPER(TRIM(CLEAN(SUBSTITUTE(act_RateType&amp;""," "," "))))="REPLACE",N(act_PriorRate),0),IF(ISNUMBER(INDEX(rate_Prior,MOD($AO86,100))),INDEX(rate_Prior,MOD($AO86,100)),IF(UPPER(TRIM(CLEAN(SUBSTITUTE(act_RateType&amp;""," "," "))))="REPLACE",N(act_PriorRate),0)))))</f>
        <v/>
      </c>
      <c r="T86" s="17">
        <f>IF($A86="","",IF(AND($L86="Y",$P86="PART",ISNUMBER(Items!M86)),Items!M86,1))</f>
        <v/>
      </c>
      <c r="U86" s="17">
        <f>IF($A86="","",IF($L86&lt;&gt;"Y",0,IF($AQ86&gt;0,IF(ISNUMBER(INDEX(det_Displaced,$AQ86)),INDEX(det_Displaced,$AQ86),IF($AO86=0,0,N(INDEX(rate_Displaced,MOD($AO86,100))))),IF($AO86=0,0,N(INDEX(rate_Displaced,MOD($AO86,100)))))))</f>
        <v/>
      </c>
      <c r="V86" s="17">
        <f>IF($A86="","",IF($L86="Y",$Q86+$T86*($R86-$S86)-$U86,$Q86))</f>
        <v/>
      </c>
      <c r="W86" s="18">
        <f>IF($A86="","",N(Items!H86)*$Q86)</f>
        <v/>
      </c>
      <c r="X86" s="18">
        <f>IF($A86="","",N(Items!H86)*$V86)</f>
        <v/>
      </c>
      <c r="Y86" s="18">
        <f>IF($A86="","",$X86-$W86)</f>
        <v/>
      </c>
      <c r="Z86" s="18">
        <f>IF($A86="","",N(Items!K86)+$Y86)</f>
        <v/>
      </c>
      <c r="AA86" s="17">
        <f>IF($A86="","",IF(N(Items!L86)=0,"",(N(Items!L86)-N(Items!K86))/N(Items!L86)))</f>
        <v/>
      </c>
      <c r="AB86" s="17">
        <f>IF($A86="","",IF(N(Items!L86)=0,"",(N(Items!L86)-$Z86)/N(Items!L86)))</f>
        <v/>
      </c>
      <c r="AC86" s="17">
        <f>IF(OR($AA86="",$AB86=""),"",$AB86-$AA86)</f>
        <v/>
      </c>
      <c r="AD86" s="13">
        <f>IF($A86="","",N(Items!I86))</f>
        <v/>
      </c>
      <c r="AE86" s="19">
        <f>IF($A86="","",$Y86*$AD86)</f>
        <v/>
      </c>
      <c r="AF86" s="10">
        <f>IF($A86="","",IF(N(Items!L86)&gt;0,"Y","N"))</f>
        <v/>
      </c>
      <c r="AG86" s="19">
        <f>IF($A86="","",IF($AF86="Y",N(Items!L86)*$AD86,0))</f>
        <v/>
      </c>
      <c r="AH86" s="19">
        <f>IF($A86="","",IF($AF86="Y",(N(Items!L86)-N(Items!K86))*$AD86,0))</f>
        <v/>
      </c>
      <c r="AI86" s="19">
        <f>IF($A86="","",IF($AF86="Y",$AH86-$AE86,0))</f>
        <v/>
      </c>
      <c r="AJ86" s="10">
        <f>IF($A86="","",IF(COUNTIF($AL$5:$AL$254,$AL86)&gt;1,"CHECK: duplicate item and import country",IF(TRIM(CLEAN(SUBSTITUTE(Items!C86&amp;""," "," ")))="","CHECK: import country missing",IF(AND(UPPER(TRIM(CLEAN(SUBSTITUTE(Items!C86&amp;""," "," "))))&lt;&gt;"US",UPPER(TRIM(CLEAN(SUBSTITUTE(Items!C86&amp;""," "," "))))&lt;&gt;"CA",UPPER(TRIM(CLEAN(SUBSTITUTE(Items!C86&amp;""," "," "))))&lt;&gt;"MX"),"CHECK: import country must be US, CA or MX",IF(NOT(AND(LEN($C86)=10,IFERROR(TEXT(VALUE($C86),REPT("0",LEN($C86)))=$C86,FALSE))),"CHECK: HTS must be 10 digits",IF(LEN($E86)&lt;&gt;2,"CHECK: origin code missing or not 2 letters",IF(TRIM(CLEAN(SUBSTITUTE(Items!G86&amp;""," "," ")))="","CHECK: unit of measure missing",IF(OR(Items!H86="",Items!J86="",Items!K86=""),"CHECK: value, rate or cost missing",IF(OR(NOT(ISNUMBER(Items!H86)),NOT(ISNUMBER(Items!J86)),NOT(ISNUMBER(Items!K86)),AND(Items!I86&lt;&gt;"",NOT(ISNUMBER(Items!I86))),AND(Items!L86&lt;&gt;"",NOT(ISNUMBER(Items!L86))),AND(Items!M86&lt;&gt;"",NOT(ISNUMBER(Items!M86)))),"CHECK: text in a number column",IF(AND(ISNUMBER(Items!M86),OR(N(Items!M86)&lt;0,N(Items!M86)&gt;1)),"CHECK: dutiable share must be 0% to 100%",IF(AND(UPPER(TRIM(CLEAN(SUBSTITUTE(Items!F86&amp;""," "," "))))&lt;&gt;"",UPPER(TRIM(CLEAN(SUBSTITUTE(Items!F86&amp;""," "," "))))&lt;&gt;"Y",UPPER(TRIM(CLEAN(SUBSTITUTE(Items!F86&amp;""," "," "))))&lt;&gt;"N"),"CHECK: USMCA flag must be Y, N or blank",IF(AND(UPPER(TRIM(CLEAN(SUBSTITUTE(Items!F86&amp;""," "," "))))="Y",$E86&lt;&gt;"US",$E86&lt;&gt;"CA",$E86&lt;&gt;"MX"),"CHECK: USMCA flag on an origin other than US, CA or MX",IF(AND($L86="Y",$AO86=0,NOT(ISNUMBER(act_Rate))),"CHECK: in scope but no rate (add a rate line or B15)",IF(AND($L86="Y",UPPER(TRIM(CLEAN(SUBSTITUTE(act_RateType&amp;""," "," "))))="REPLACE",NOT(ISNUMBER(act_PriorRate)),IF($AO86=0,TRUE,NOT(ISNUMBER(INDEX(rate_Prior,MOD($AO86,100)))))),"CHECK: REPLACE but no earlier rate (B17 or the rate line's AD)",IF(AND($L86="Y",$AP86&gt;1),"CHECK: two rate lines match equally",IF(AND($L86="Y",$AN86&gt;1),"CHECK: HTS prefix listed twice on the scope list",IF(AND($L86="Y",$P86="PART",NOT(ISNUMBER(Items!M86))),"CHECK: dutiable share missing (PART base)",IF(AND($L86="Y",$P86="FULL",ISNUMBER(Items!M86),N(Items!M86)&lt;&gt;1),"CHECK: dutiable share entered, but the rate taxes the full value",IF(AND($L86="Y",$Q86+0.0000001&lt;$T86*$S86+$U86),"CHECK: current rate is below the duty being replaced or displaced",IF(AND($L86="Y",$AD86=0),"NOTE: in scope, no quantity",IF(AND($L86="Y",$AF86="N"),"NOTE: in scope, no sell price (left out of margin %)",IF(AND($L86="Y",N(Items!H86)&gt;N(Items!K86)),"NOTE: customs value above standard cost (check unit of measure)",IF(AND($L86="Y",$Q86&gt;1),"NOTE: current rate above 100% (check it was entered as a percentage)","OK")))))))))))))))))))))))</f>
        <v/>
      </c>
      <c r="AK86" s="20">
        <f>IF($A86="","",IF(AND($L86="Y",$AE86&lt;&gt;0),ABS($AE86)+ROW()/1000000000,""))</f>
        <v/>
      </c>
      <c r="AL86" s="10">
        <f>IF($A86="","",UPPER($A86)&amp;"/"&amp;UPPER(TRIM(CLEAN(SUBSTITUTE(Items!C86&amp;""," "," ")))))</f>
        <v/>
      </c>
      <c r="AM86" s="13">
        <f>IF($A86="",0,SUMPRODUCT(MAX((scope_HTS&lt;&gt;"")*(LEFT($C86,LEN(scope_HTS))=scope_HTS)*(LEN(scope_HTS)*1000+ROW(scope_HTS)-4))))</f>
        <v/>
      </c>
      <c r="AN86" s="13">
        <f>IF($AM86=0,0,SUMPRODUCT((scope_HTS&lt;&gt;"")*(LEFT($C86,LEN(scope_HTS))=scope_HTS)*(LEN(scope_HTS)=INT($AM86/1000))))</f>
        <v/>
      </c>
      <c r="AO86" s="13">
        <f>IF($L86&lt;&gt;"Y",0,SUMPRODUCT(MAX(ISNUMBER(rate_Rate)*((UPPER(TRIM(CLEAN(SUBSTITUTE(rate_Group&amp;""," "," "))))="")+(UPPER(TRIM(CLEAN(SUBSTITUTE(rate_Group&amp;""," "," "))))=$N86)&gt;0)*((UPPER(TRIM(CLEAN(SUBSTITUTE(rate_COO&amp;""," "," "))))="")+(UPPER(TRIM(CLEAN(SUBSTITUTE(rate_COO&amp;""," "," "))))=$E86)&gt;0)*((UPPER(TRIM(CLEAN(SUBSTITUTE(rate_USMCA&amp;""," "," "))))="")+(UPPER(TRIM(CLEAN(SUBSTITUTE(rate_USMCA&amp;""," "," "))))=IF(UPPER(TRIM(CLEAN(SUBSTITUTE(Items!F86&amp;""," "," "))))="Y","Y","N"))&gt;0)*((1+(UPPER(TRIM(CLEAN(SUBSTITUTE(rate_Group&amp;""," "," "))))&lt;&gt;"")+2*(UPPER(TRIM(CLEAN(SUBSTITUTE(rate_USMCA&amp;""," "," "))))&lt;&gt;"")+4*(UPPER(TRIM(CLEAN(SUBSTITUTE(rate_COO&amp;""," "," "))))&lt;&gt;""))*100+ROW(rate_Rate)-4))))</f>
        <v/>
      </c>
      <c r="AP86" s="13">
        <f>IF($AO86=0,0,SUMPRODUCT(ISNUMBER(rate_Rate)*((UPPER(TRIM(CLEAN(SUBSTITUTE(rate_Group&amp;""," "," "))))="")+(UPPER(TRIM(CLEAN(SUBSTITUTE(rate_Group&amp;""," "," "))))=$N86)&gt;0)*((UPPER(TRIM(CLEAN(SUBSTITUTE(rate_COO&amp;""," "," "))))="")+(UPPER(TRIM(CLEAN(SUBSTITUTE(rate_COO&amp;""," "," "))))=$E86)&gt;0)*((UPPER(TRIM(CLEAN(SUBSTITUTE(rate_USMCA&amp;""," "," "))))="")+(UPPER(TRIM(CLEAN(SUBSTITUTE(rate_USMCA&amp;""," "," "))))=IF(UPPER(TRIM(CLEAN(SUBSTITUTE(Items!F86&amp;""," "," "))))="Y","Y","N"))&gt;0)*((1+(UPPER(TRIM(CLEAN(SUBSTITUTE(rate_Group&amp;""," "," "))))&lt;&gt;"")+2*(UPPER(TRIM(CLEAN(SUBSTITUTE(rate_USMCA&amp;""," "," "))))&lt;&gt;"")+4*(UPPER(TRIM(CLEAN(SUBSTITUTE(rate_COO&amp;""," "," "))))&lt;&gt;""))=INT($AO86/100))))</f>
        <v/>
      </c>
      <c r="AQ86" s="13">
        <f>IF($A86="",0,IFERROR(MATCH($AL86,det_Key,0),0))</f>
        <v/>
      </c>
    </row>
    <row r="87">
      <c r="A87" s="10">
        <f>IF(TRIM(CLEAN(SUBSTITUTE(Items!A87&amp;""," "," ")))="","",TRIM(CLEAN(SUBSTITUTE(Items!A87&amp;""," "," "))))</f>
        <v/>
      </c>
      <c r="B87" s="10">
        <f>IF($A87="","",Items!B87&amp;"")</f>
        <v/>
      </c>
      <c r="C87" s="10">
        <f>IF($A87="","",SUBSTITUTE(SUBSTITUTE(SUBSTITUTE(SUBSTITUTE(CLEAN(Items!D87&amp;"")," ",""),".","")," ",""),"-",""))</f>
        <v/>
      </c>
      <c r="D87" s="10">
        <f>IF($A87="","",LEFT($C87,2))</f>
        <v/>
      </c>
      <c r="E87" s="10">
        <f>IF($A87="","",UPPER(TRIM(CLEAN(SUBSTITUTE(Items!E87&amp;""," "," ")))))</f>
        <v/>
      </c>
      <c r="F87" s="10">
        <f>IF($A87="","",IF(UPPER(TRIM(CLEAN(SUBSTITUTE(Items!C87&amp;""," "," "))))=UPPER(TRIM(CLEAN(SUBSTITUTE(act_Country&amp;""," "," ")))),"Y","N"))</f>
        <v/>
      </c>
      <c r="G87" s="10">
        <f>IF($A87="","",IF($AM87&gt;0,"Y","N"))</f>
        <v/>
      </c>
      <c r="H87" s="10">
        <f>IF($A87="","",IF(SUMPRODUCT((excl_HTS&lt;&gt;"")*(LEFT($C87,LEN(excl_HTS))=excl_HTS))&gt;0,"Y","N"))</f>
        <v/>
      </c>
      <c r="I87" s="10">
        <f>IF($A87="","",IF($E87="","N",IF(SUMPRODUCT(--(UPPER(TRIM(CLEAN(SUBSTITUTE(scope_COO&amp;""," "," "))))=$E87))&gt;0,"Y","N")))</f>
        <v/>
      </c>
      <c r="J87" s="10">
        <f>IF($A87="","",IF(AND(UPPER(TRIM(CLEAN(SUBSTITUTE(act_USMCAExempt&amp;""," "," "))))="Y",UPPER(TRIM(CLEAN(SUBSTITUTE(Items!F87&amp;""," "," "))))="Y"),"Y","N"))</f>
        <v/>
      </c>
      <c r="K87" s="10">
        <f>IF($A87="","",IF($AQ87=0,"",UPPER(TRIM(CLEAN(SUBSTITUTE(INDEX(det_Status,$AQ87)&amp;""," "," "))))))</f>
        <v/>
      </c>
      <c r="L87" s="10">
        <f>IF($A87="","",IF($F87="N","N",IF($K87="IN","Y",IF($K87="OUT","N",IF(AND($G87="Y",$H87="N",$I87="Y",$J87="N"),"Y","N")))))</f>
        <v/>
      </c>
      <c r="M87" s="10">
        <f>IF($A87="","",IF($F87="N","Out: different import country",IF($K87="IN","In: Research determination",IF($K87="OUT","Out: Research determination",IF($G87="N","Out: HTS not on scope list",IF($H87="Y","Out: HTS on exclusion list",IF($I87="N","Out: origin not on scope list",IF($J87="Y","Out: USMCA-qualifying, exempt","In: matches scope rules"))))))))</f>
        <v/>
      </c>
      <c r="N87" s="10">
        <f>IF(OR($A87="",$AM87=0),"",UPPER(TRIM(CLEAN(SUBSTITUTE(INDEX(scope_Group,MOD($AM87,1000))&amp;""," "," ")))))</f>
        <v/>
      </c>
      <c r="O87" s="10">
        <f>IF($L87&lt;&gt;"Y","",IF($AO87=0,"Default (B15)",UPPER(TRIM(CLEAN(SUBSTITUTE(INDEX(rate_ID,MOD($AO87,100))&amp;""," "," "))))))</f>
        <v/>
      </c>
      <c r="P87" s="10">
        <f>IF($L87&lt;&gt;"Y","",IF($AO87=0,IF(UPPER(TRIM(CLEAN(SUBSTITUTE(act_DefaultBase&amp;""," "," "))))="PART","PART","FULL"),IF(UPPER(TRIM(CLEAN(SUBSTITUTE(INDEX(rate_Base,MOD($AO87,100))&amp;""," "," "))))="PART","PART","FULL")))</f>
        <v/>
      </c>
      <c r="Q87" s="17">
        <f>IF($A87="","",N(Items!J87))</f>
        <v/>
      </c>
      <c r="R87" s="17">
        <f>IF($A87="","",IF($L87&lt;&gt;"Y",0,IF($AO87=0,N(act_Rate),N(INDEX(rate_Rate,MOD($AO87,100))))))</f>
        <v/>
      </c>
      <c r="S87" s="17">
        <f>IF($A87="","",IF($L87&lt;&gt;"Y",0,IF($AO87=0,IF(UPPER(TRIM(CLEAN(SUBSTITUTE(act_RateType&amp;""," "," "))))="REPLACE",N(act_PriorRate),0),IF(ISNUMBER(INDEX(rate_Prior,MOD($AO87,100))),INDEX(rate_Prior,MOD($AO87,100)),IF(UPPER(TRIM(CLEAN(SUBSTITUTE(act_RateType&amp;""," "," "))))="REPLACE",N(act_PriorRate),0)))))</f>
        <v/>
      </c>
      <c r="T87" s="17">
        <f>IF($A87="","",IF(AND($L87="Y",$P87="PART",ISNUMBER(Items!M87)),Items!M87,1))</f>
        <v/>
      </c>
      <c r="U87" s="17">
        <f>IF($A87="","",IF($L87&lt;&gt;"Y",0,IF($AQ87&gt;0,IF(ISNUMBER(INDEX(det_Displaced,$AQ87)),INDEX(det_Displaced,$AQ87),IF($AO87=0,0,N(INDEX(rate_Displaced,MOD($AO87,100))))),IF($AO87=0,0,N(INDEX(rate_Displaced,MOD($AO87,100)))))))</f>
        <v/>
      </c>
      <c r="V87" s="17">
        <f>IF($A87="","",IF($L87="Y",$Q87+$T87*($R87-$S87)-$U87,$Q87))</f>
        <v/>
      </c>
      <c r="W87" s="18">
        <f>IF($A87="","",N(Items!H87)*$Q87)</f>
        <v/>
      </c>
      <c r="X87" s="18">
        <f>IF($A87="","",N(Items!H87)*$V87)</f>
        <v/>
      </c>
      <c r="Y87" s="18">
        <f>IF($A87="","",$X87-$W87)</f>
        <v/>
      </c>
      <c r="Z87" s="18">
        <f>IF($A87="","",N(Items!K87)+$Y87)</f>
        <v/>
      </c>
      <c r="AA87" s="17">
        <f>IF($A87="","",IF(N(Items!L87)=0,"",(N(Items!L87)-N(Items!K87))/N(Items!L87)))</f>
        <v/>
      </c>
      <c r="AB87" s="17">
        <f>IF($A87="","",IF(N(Items!L87)=0,"",(N(Items!L87)-$Z87)/N(Items!L87)))</f>
        <v/>
      </c>
      <c r="AC87" s="17">
        <f>IF(OR($AA87="",$AB87=""),"",$AB87-$AA87)</f>
        <v/>
      </c>
      <c r="AD87" s="13">
        <f>IF($A87="","",N(Items!I87))</f>
        <v/>
      </c>
      <c r="AE87" s="19">
        <f>IF($A87="","",$Y87*$AD87)</f>
        <v/>
      </c>
      <c r="AF87" s="10">
        <f>IF($A87="","",IF(N(Items!L87)&gt;0,"Y","N"))</f>
        <v/>
      </c>
      <c r="AG87" s="19">
        <f>IF($A87="","",IF($AF87="Y",N(Items!L87)*$AD87,0))</f>
        <v/>
      </c>
      <c r="AH87" s="19">
        <f>IF($A87="","",IF($AF87="Y",(N(Items!L87)-N(Items!K87))*$AD87,0))</f>
        <v/>
      </c>
      <c r="AI87" s="19">
        <f>IF($A87="","",IF($AF87="Y",$AH87-$AE87,0))</f>
        <v/>
      </c>
      <c r="AJ87" s="10">
        <f>IF($A87="","",IF(COUNTIF($AL$5:$AL$254,$AL87)&gt;1,"CHECK: duplicate item and import country",IF(TRIM(CLEAN(SUBSTITUTE(Items!C87&amp;""," "," ")))="","CHECK: import country missing",IF(AND(UPPER(TRIM(CLEAN(SUBSTITUTE(Items!C87&amp;""," "," "))))&lt;&gt;"US",UPPER(TRIM(CLEAN(SUBSTITUTE(Items!C87&amp;""," "," "))))&lt;&gt;"CA",UPPER(TRIM(CLEAN(SUBSTITUTE(Items!C87&amp;""," "," "))))&lt;&gt;"MX"),"CHECK: import country must be US, CA or MX",IF(NOT(AND(LEN($C87)=10,IFERROR(TEXT(VALUE($C87),REPT("0",LEN($C87)))=$C87,FALSE))),"CHECK: HTS must be 10 digits",IF(LEN($E87)&lt;&gt;2,"CHECK: origin code missing or not 2 letters",IF(TRIM(CLEAN(SUBSTITUTE(Items!G87&amp;""," "," ")))="","CHECK: unit of measure missing",IF(OR(Items!H87="",Items!J87="",Items!K87=""),"CHECK: value, rate or cost missing",IF(OR(NOT(ISNUMBER(Items!H87)),NOT(ISNUMBER(Items!J87)),NOT(ISNUMBER(Items!K87)),AND(Items!I87&lt;&gt;"",NOT(ISNUMBER(Items!I87))),AND(Items!L87&lt;&gt;"",NOT(ISNUMBER(Items!L87))),AND(Items!M87&lt;&gt;"",NOT(ISNUMBER(Items!M87)))),"CHECK: text in a number column",IF(AND(ISNUMBER(Items!M87),OR(N(Items!M87)&lt;0,N(Items!M87)&gt;1)),"CHECK: dutiable share must be 0% to 100%",IF(AND(UPPER(TRIM(CLEAN(SUBSTITUTE(Items!F87&amp;""," "," "))))&lt;&gt;"",UPPER(TRIM(CLEAN(SUBSTITUTE(Items!F87&amp;""," "," "))))&lt;&gt;"Y",UPPER(TRIM(CLEAN(SUBSTITUTE(Items!F87&amp;""," "," "))))&lt;&gt;"N"),"CHECK: USMCA flag must be Y, N or blank",IF(AND(UPPER(TRIM(CLEAN(SUBSTITUTE(Items!F87&amp;""," "," "))))="Y",$E87&lt;&gt;"US",$E87&lt;&gt;"CA",$E87&lt;&gt;"MX"),"CHECK: USMCA flag on an origin other than US, CA or MX",IF(AND($L87="Y",$AO87=0,NOT(ISNUMBER(act_Rate))),"CHECK: in scope but no rate (add a rate line or B15)",IF(AND($L87="Y",UPPER(TRIM(CLEAN(SUBSTITUTE(act_RateType&amp;""," "," "))))="REPLACE",NOT(ISNUMBER(act_PriorRate)),IF($AO87=0,TRUE,NOT(ISNUMBER(INDEX(rate_Prior,MOD($AO87,100)))))),"CHECK: REPLACE but no earlier rate (B17 or the rate line's AD)",IF(AND($L87="Y",$AP87&gt;1),"CHECK: two rate lines match equally",IF(AND($L87="Y",$AN87&gt;1),"CHECK: HTS prefix listed twice on the scope list",IF(AND($L87="Y",$P87="PART",NOT(ISNUMBER(Items!M87))),"CHECK: dutiable share missing (PART base)",IF(AND($L87="Y",$P87="FULL",ISNUMBER(Items!M87),N(Items!M87)&lt;&gt;1),"CHECK: dutiable share entered, but the rate taxes the full value",IF(AND($L87="Y",$Q87+0.0000001&lt;$T87*$S87+$U87),"CHECK: current rate is below the duty being replaced or displaced",IF(AND($L87="Y",$AD87=0),"NOTE: in scope, no quantity",IF(AND($L87="Y",$AF87="N"),"NOTE: in scope, no sell price (left out of margin %)",IF(AND($L87="Y",N(Items!H87)&gt;N(Items!K87)),"NOTE: customs value above standard cost (check unit of measure)",IF(AND($L87="Y",$Q87&gt;1),"NOTE: current rate above 100% (check it was entered as a percentage)","OK")))))))))))))))))))))))</f>
        <v/>
      </c>
      <c r="AK87" s="20">
        <f>IF($A87="","",IF(AND($L87="Y",$AE87&lt;&gt;0),ABS($AE87)+ROW()/1000000000,""))</f>
        <v/>
      </c>
      <c r="AL87" s="10">
        <f>IF($A87="","",UPPER($A87)&amp;"/"&amp;UPPER(TRIM(CLEAN(SUBSTITUTE(Items!C87&amp;""," "," ")))))</f>
        <v/>
      </c>
      <c r="AM87" s="13">
        <f>IF($A87="",0,SUMPRODUCT(MAX((scope_HTS&lt;&gt;"")*(LEFT($C87,LEN(scope_HTS))=scope_HTS)*(LEN(scope_HTS)*1000+ROW(scope_HTS)-4))))</f>
        <v/>
      </c>
      <c r="AN87" s="13">
        <f>IF($AM87=0,0,SUMPRODUCT((scope_HTS&lt;&gt;"")*(LEFT($C87,LEN(scope_HTS))=scope_HTS)*(LEN(scope_HTS)=INT($AM87/1000))))</f>
        <v/>
      </c>
      <c r="AO87" s="13">
        <f>IF($L87&lt;&gt;"Y",0,SUMPRODUCT(MAX(ISNUMBER(rate_Rate)*((UPPER(TRIM(CLEAN(SUBSTITUTE(rate_Group&amp;""," "," "))))="")+(UPPER(TRIM(CLEAN(SUBSTITUTE(rate_Group&amp;""," "," "))))=$N87)&gt;0)*((UPPER(TRIM(CLEAN(SUBSTITUTE(rate_COO&amp;""," "," "))))="")+(UPPER(TRIM(CLEAN(SUBSTITUTE(rate_COO&amp;""," "," "))))=$E87)&gt;0)*((UPPER(TRIM(CLEAN(SUBSTITUTE(rate_USMCA&amp;""," "," "))))="")+(UPPER(TRIM(CLEAN(SUBSTITUTE(rate_USMCA&amp;""," "," "))))=IF(UPPER(TRIM(CLEAN(SUBSTITUTE(Items!F87&amp;""," "," "))))="Y","Y","N"))&gt;0)*((1+(UPPER(TRIM(CLEAN(SUBSTITUTE(rate_Group&amp;""," "," "))))&lt;&gt;"")+2*(UPPER(TRIM(CLEAN(SUBSTITUTE(rate_USMCA&amp;""," "," "))))&lt;&gt;"")+4*(UPPER(TRIM(CLEAN(SUBSTITUTE(rate_COO&amp;""," "," "))))&lt;&gt;""))*100+ROW(rate_Rate)-4))))</f>
        <v/>
      </c>
      <c r="AP87" s="13">
        <f>IF($AO87=0,0,SUMPRODUCT(ISNUMBER(rate_Rate)*((UPPER(TRIM(CLEAN(SUBSTITUTE(rate_Group&amp;""," "," "))))="")+(UPPER(TRIM(CLEAN(SUBSTITUTE(rate_Group&amp;""," "," "))))=$N87)&gt;0)*((UPPER(TRIM(CLEAN(SUBSTITUTE(rate_COO&amp;""," "," "))))="")+(UPPER(TRIM(CLEAN(SUBSTITUTE(rate_COO&amp;""," "," "))))=$E87)&gt;0)*((UPPER(TRIM(CLEAN(SUBSTITUTE(rate_USMCA&amp;""," "," "))))="")+(UPPER(TRIM(CLEAN(SUBSTITUTE(rate_USMCA&amp;""," "," "))))=IF(UPPER(TRIM(CLEAN(SUBSTITUTE(Items!F87&amp;""," "," "))))="Y","Y","N"))&gt;0)*((1+(UPPER(TRIM(CLEAN(SUBSTITUTE(rate_Group&amp;""," "," "))))&lt;&gt;"")+2*(UPPER(TRIM(CLEAN(SUBSTITUTE(rate_USMCA&amp;""," "," "))))&lt;&gt;"")+4*(UPPER(TRIM(CLEAN(SUBSTITUTE(rate_COO&amp;""," "," "))))&lt;&gt;""))=INT($AO87/100))))</f>
        <v/>
      </c>
      <c r="AQ87" s="13">
        <f>IF($A87="",0,IFERROR(MATCH($AL87,det_Key,0),0))</f>
        <v/>
      </c>
    </row>
    <row r="88">
      <c r="A88" s="10">
        <f>IF(TRIM(CLEAN(SUBSTITUTE(Items!A88&amp;""," "," ")))="","",TRIM(CLEAN(SUBSTITUTE(Items!A88&amp;""," "," "))))</f>
        <v/>
      </c>
      <c r="B88" s="10">
        <f>IF($A88="","",Items!B88&amp;"")</f>
        <v/>
      </c>
      <c r="C88" s="10">
        <f>IF($A88="","",SUBSTITUTE(SUBSTITUTE(SUBSTITUTE(SUBSTITUTE(CLEAN(Items!D88&amp;"")," ",""),".","")," ",""),"-",""))</f>
        <v/>
      </c>
      <c r="D88" s="10">
        <f>IF($A88="","",LEFT($C88,2))</f>
        <v/>
      </c>
      <c r="E88" s="10">
        <f>IF($A88="","",UPPER(TRIM(CLEAN(SUBSTITUTE(Items!E88&amp;""," "," ")))))</f>
        <v/>
      </c>
      <c r="F88" s="10">
        <f>IF($A88="","",IF(UPPER(TRIM(CLEAN(SUBSTITUTE(Items!C88&amp;""," "," "))))=UPPER(TRIM(CLEAN(SUBSTITUTE(act_Country&amp;""," "," ")))),"Y","N"))</f>
        <v/>
      </c>
      <c r="G88" s="10">
        <f>IF($A88="","",IF($AM88&gt;0,"Y","N"))</f>
        <v/>
      </c>
      <c r="H88" s="10">
        <f>IF($A88="","",IF(SUMPRODUCT((excl_HTS&lt;&gt;"")*(LEFT($C88,LEN(excl_HTS))=excl_HTS))&gt;0,"Y","N"))</f>
        <v/>
      </c>
      <c r="I88" s="10">
        <f>IF($A88="","",IF($E88="","N",IF(SUMPRODUCT(--(UPPER(TRIM(CLEAN(SUBSTITUTE(scope_COO&amp;""," "," "))))=$E88))&gt;0,"Y","N")))</f>
        <v/>
      </c>
      <c r="J88" s="10">
        <f>IF($A88="","",IF(AND(UPPER(TRIM(CLEAN(SUBSTITUTE(act_USMCAExempt&amp;""," "," "))))="Y",UPPER(TRIM(CLEAN(SUBSTITUTE(Items!F88&amp;""," "," "))))="Y"),"Y","N"))</f>
        <v/>
      </c>
      <c r="K88" s="10">
        <f>IF($A88="","",IF($AQ88=0,"",UPPER(TRIM(CLEAN(SUBSTITUTE(INDEX(det_Status,$AQ88)&amp;""," "," "))))))</f>
        <v/>
      </c>
      <c r="L88" s="10">
        <f>IF($A88="","",IF($F88="N","N",IF($K88="IN","Y",IF($K88="OUT","N",IF(AND($G88="Y",$H88="N",$I88="Y",$J88="N"),"Y","N")))))</f>
        <v/>
      </c>
      <c r="M88" s="10">
        <f>IF($A88="","",IF($F88="N","Out: different import country",IF($K88="IN","In: Research determination",IF($K88="OUT","Out: Research determination",IF($G88="N","Out: HTS not on scope list",IF($H88="Y","Out: HTS on exclusion list",IF($I88="N","Out: origin not on scope list",IF($J88="Y","Out: USMCA-qualifying, exempt","In: matches scope rules"))))))))</f>
        <v/>
      </c>
      <c r="N88" s="10">
        <f>IF(OR($A88="",$AM88=0),"",UPPER(TRIM(CLEAN(SUBSTITUTE(INDEX(scope_Group,MOD($AM88,1000))&amp;""," "," ")))))</f>
        <v/>
      </c>
      <c r="O88" s="10">
        <f>IF($L88&lt;&gt;"Y","",IF($AO88=0,"Default (B15)",UPPER(TRIM(CLEAN(SUBSTITUTE(INDEX(rate_ID,MOD($AO88,100))&amp;""," "," "))))))</f>
        <v/>
      </c>
      <c r="P88" s="10">
        <f>IF($L88&lt;&gt;"Y","",IF($AO88=0,IF(UPPER(TRIM(CLEAN(SUBSTITUTE(act_DefaultBase&amp;""," "," "))))="PART","PART","FULL"),IF(UPPER(TRIM(CLEAN(SUBSTITUTE(INDEX(rate_Base,MOD($AO88,100))&amp;""," "," "))))="PART","PART","FULL")))</f>
        <v/>
      </c>
      <c r="Q88" s="17">
        <f>IF($A88="","",N(Items!J88))</f>
        <v/>
      </c>
      <c r="R88" s="17">
        <f>IF($A88="","",IF($L88&lt;&gt;"Y",0,IF($AO88=0,N(act_Rate),N(INDEX(rate_Rate,MOD($AO88,100))))))</f>
        <v/>
      </c>
      <c r="S88" s="17">
        <f>IF($A88="","",IF($L88&lt;&gt;"Y",0,IF($AO88=0,IF(UPPER(TRIM(CLEAN(SUBSTITUTE(act_RateType&amp;""," "," "))))="REPLACE",N(act_PriorRate),0),IF(ISNUMBER(INDEX(rate_Prior,MOD($AO88,100))),INDEX(rate_Prior,MOD($AO88,100)),IF(UPPER(TRIM(CLEAN(SUBSTITUTE(act_RateType&amp;""," "," "))))="REPLACE",N(act_PriorRate),0)))))</f>
        <v/>
      </c>
      <c r="T88" s="17">
        <f>IF($A88="","",IF(AND($L88="Y",$P88="PART",ISNUMBER(Items!M88)),Items!M88,1))</f>
        <v/>
      </c>
      <c r="U88" s="17">
        <f>IF($A88="","",IF($L88&lt;&gt;"Y",0,IF($AQ88&gt;0,IF(ISNUMBER(INDEX(det_Displaced,$AQ88)),INDEX(det_Displaced,$AQ88),IF($AO88=0,0,N(INDEX(rate_Displaced,MOD($AO88,100))))),IF($AO88=0,0,N(INDEX(rate_Displaced,MOD($AO88,100)))))))</f>
        <v/>
      </c>
      <c r="V88" s="17">
        <f>IF($A88="","",IF($L88="Y",$Q88+$T88*($R88-$S88)-$U88,$Q88))</f>
        <v/>
      </c>
      <c r="W88" s="18">
        <f>IF($A88="","",N(Items!H88)*$Q88)</f>
        <v/>
      </c>
      <c r="X88" s="18">
        <f>IF($A88="","",N(Items!H88)*$V88)</f>
        <v/>
      </c>
      <c r="Y88" s="18">
        <f>IF($A88="","",$X88-$W88)</f>
        <v/>
      </c>
      <c r="Z88" s="18">
        <f>IF($A88="","",N(Items!K88)+$Y88)</f>
        <v/>
      </c>
      <c r="AA88" s="17">
        <f>IF($A88="","",IF(N(Items!L88)=0,"",(N(Items!L88)-N(Items!K88))/N(Items!L88)))</f>
        <v/>
      </c>
      <c r="AB88" s="17">
        <f>IF($A88="","",IF(N(Items!L88)=0,"",(N(Items!L88)-$Z88)/N(Items!L88)))</f>
        <v/>
      </c>
      <c r="AC88" s="17">
        <f>IF(OR($AA88="",$AB88=""),"",$AB88-$AA88)</f>
        <v/>
      </c>
      <c r="AD88" s="13">
        <f>IF($A88="","",N(Items!I88))</f>
        <v/>
      </c>
      <c r="AE88" s="19">
        <f>IF($A88="","",$Y88*$AD88)</f>
        <v/>
      </c>
      <c r="AF88" s="10">
        <f>IF($A88="","",IF(N(Items!L88)&gt;0,"Y","N"))</f>
        <v/>
      </c>
      <c r="AG88" s="19">
        <f>IF($A88="","",IF($AF88="Y",N(Items!L88)*$AD88,0))</f>
        <v/>
      </c>
      <c r="AH88" s="19">
        <f>IF($A88="","",IF($AF88="Y",(N(Items!L88)-N(Items!K88))*$AD88,0))</f>
        <v/>
      </c>
      <c r="AI88" s="19">
        <f>IF($A88="","",IF($AF88="Y",$AH88-$AE88,0))</f>
        <v/>
      </c>
      <c r="AJ88" s="10">
        <f>IF($A88="","",IF(COUNTIF($AL$5:$AL$254,$AL88)&gt;1,"CHECK: duplicate item and import country",IF(TRIM(CLEAN(SUBSTITUTE(Items!C88&amp;""," "," ")))="","CHECK: import country missing",IF(AND(UPPER(TRIM(CLEAN(SUBSTITUTE(Items!C88&amp;""," "," "))))&lt;&gt;"US",UPPER(TRIM(CLEAN(SUBSTITUTE(Items!C88&amp;""," "," "))))&lt;&gt;"CA",UPPER(TRIM(CLEAN(SUBSTITUTE(Items!C88&amp;""," "," "))))&lt;&gt;"MX"),"CHECK: import country must be US, CA or MX",IF(NOT(AND(LEN($C88)=10,IFERROR(TEXT(VALUE($C88),REPT("0",LEN($C88)))=$C88,FALSE))),"CHECK: HTS must be 10 digits",IF(LEN($E88)&lt;&gt;2,"CHECK: origin code missing or not 2 letters",IF(TRIM(CLEAN(SUBSTITUTE(Items!G88&amp;""," "," ")))="","CHECK: unit of measure missing",IF(OR(Items!H88="",Items!J88="",Items!K88=""),"CHECK: value, rate or cost missing",IF(OR(NOT(ISNUMBER(Items!H88)),NOT(ISNUMBER(Items!J88)),NOT(ISNUMBER(Items!K88)),AND(Items!I88&lt;&gt;"",NOT(ISNUMBER(Items!I88))),AND(Items!L88&lt;&gt;"",NOT(ISNUMBER(Items!L88))),AND(Items!M88&lt;&gt;"",NOT(ISNUMBER(Items!M88)))),"CHECK: text in a number column",IF(AND(ISNUMBER(Items!M88),OR(N(Items!M88)&lt;0,N(Items!M88)&gt;1)),"CHECK: dutiable share must be 0% to 100%",IF(AND(UPPER(TRIM(CLEAN(SUBSTITUTE(Items!F88&amp;""," "," "))))&lt;&gt;"",UPPER(TRIM(CLEAN(SUBSTITUTE(Items!F88&amp;""," "," "))))&lt;&gt;"Y",UPPER(TRIM(CLEAN(SUBSTITUTE(Items!F88&amp;""," "," "))))&lt;&gt;"N"),"CHECK: USMCA flag must be Y, N or blank",IF(AND(UPPER(TRIM(CLEAN(SUBSTITUTE(Items!F88&amp;""," "," "))))="Y",$E88&lt;&gt;"US",$E88&lt;&gt;"CA",$E88&lt;&gt;"MX"),"CHECK: USMCA flag on an origin other than US, CA or MX",IF(AND($L88="Y",$AO88=0,NOT(ISNUMBER(act_Rate))),"CHECK: in scope but no rate (add a rate line or B15)",IF(AND($L88="Y",UPPER(TRIM(CLEAN(SUBSTITUTE(act_RateType&amp;""," "," "))))="REPLACE",NOT(ISNUMBER(act_PriorRate)),IF($AO88=0,TRUE,NOT(ISNUMBER(INDEX(rate_Prior,MOD($AO88,100)))))),"CHECK: REPLACE but no earlier rate (B17 or the rate line's AD)",IF(AND($L88="Y",$AP88&gt;1),"CHECK: two rate lines match equally",IF(AND($L88="Y",$AN88&gt;1),"CHECK: HTS prefix listed twice on the scope list",IF(AND($L88="Y",$P88="PART",NOT(ISNUMBER(Items!M88))),"CHECK: dutiable share missing (PART base)",IF(AND($L88="Y",$P88="FULL",ISNUMBER(Items!M88),N(Items!M88)&lt;&gt;1),"CHECK: dutiable share entered, but the rate taxes the full value",IF(AND($L88="Y",$Q88+0.0000001&lt;$T88*$S88+$U88),"CHECK: current rate is below the duty being replaced or displaced",IF(AND($L88="Y",$AD88=0),"NOTE: in scope, no quantity",IF(AND($L88="Y",$AF88="N"),"NOTE: in scope, no sell price (left out of margin %)",IF(AND($L88="Y",N(Items!H88)&gt;N(Items!K88)),"NOTE: customs value above standard cost (check unit of measure)",IF(AND($L88="Y",$Q88&gt;1),"NOTE: current rate above 100% (check it was entered as a percentage)","OK")))))))))))))))))))))))</f>
        <v/>
      </c>
      <c r="AK88" s="20">
        <f>IF($A88="","",IF(AND($L88="Y",$AE88&lt;&gt;0),ABS($AE88)+ROW()/1000000000,""))</f>
        <v/>
      </c>
      <c r="AL88" s="10">
        <f>IF($A88="","",UPPER($A88)&amp;"/"&amp;UPPER(TRIM(CLEAN(SUBSTITUTE(Items!C88&amp;""," "," ")))))</f>
        <v/>
      </c>
      <c r="AM88" s="13">
        <f>IF($A88="",0,SUMPRODUCT(MAX((scope_HTS&lt;&gt;"")*(LEFT($C88,LEN(scope_HTS))=scope_HTS)*(LEN(scope_HTS)*1000+ROW(scope_HTS)-4))))</f>
        <v/>
      </c>
      <c r="AN88" s="13">
        <f>IF($AM88=0,0,SUMPRODUCT((scope_HTS&lt;&gt;"")*(LEFT($C88,LEN(scope_HTS))=scope_HTS)*(LEN(scope_HTS)=INT($AM88/1000))))</f>
        <v/>
      </c>
      <c r="AO88" s="13">
        <f>IF($L88&lt;&gt;"Y",0,SUMPRODUCT(MAX(ISNUMBER(rate_Rate)*((UPPER(TRIM(CLEAN(SUBSTITUTE(rate_Group&amp;""," "," "))))="")+(UPPER(TRIM(CLEAN(SUBSTITUTE(rate_Group&amp;""," "," "))))=$N88)&gt;0)*((UPPER(TRIM(CLEAN(SUBSTITUTE(rate_COO&amp;""," "," "))))="")+(UPPER(TRIM(CLEAN(SUBSTITUTE(rate_COO&amp;""," "," "))))=$E88)&gt;0)*((UPPER(TRIM(CLEAN(SUBSTITUTE(rate_USMCA&amp;""," "," "))))="")+(UPPER(TRIM(CLEAN(SUBSTITUTE(rate_USMCA&amp;""," "," "))))=IF(UPPER(TRIM(CLEAN(SUBSTITUTE(Items!F88&amp;""," "," "))))="Y","Y","N"))&gt;0)*((1+(UPPER(TRIM(CLEAN(SUBSTITUTE(rate_Group&amp;""," "," "))))&lt;&gt;"")+2*(UPPER(TRIM(CLEAN(SUBSTITUTE(rate_USMCA&amp;""," "," "))))&lt;&gt;"")+4*(UPPER(TRIM(CLEAN(SUBSTITUTE(rate_COO&amp;""," "," "))))&lt;&gt;""))*100+ROW(rate_Rate)-4))))</f>
        <v/>
      </c>
      <c r="AP88" s="13">
        <f>IF($AO88=0,0,SUMPRODUCT(ISNUMBER(rate_Rate)*((UPPER(TRIM(CLEAN(SUBSTITUTE(rate_Group&amp;""," "," "))))="")+(UPPER(TRIM(CLEAN(SUBSTITUTE(rate_Group&amp;""," "," "))))=$N88)&gt;0)*((UPPER(TRIM(CLEAN(SUBSTITUTE(rate_COO&amp;""," "," "))))="")+(UPPER(TRIM(CLEAN(SUBSTITUTE(rate_COO&amp;""," "," "))))=$E88)&gt;0)*((UPPER(TRIM(CLEAN(SUBSTITUTE(rate_USMCA&amp;""," "," "))))="")+(UPPER(TRIM(CLEAN(SUBSTITUTE(rate_USMCA&amp;""," "," "))))=IF(UPPER(TRIM(CLEAN(SUBSTITUTE(Items!F88&amp;""," "," "))))="Y","Y","N"))&gt;0)*((1+(UPPER(TRIM(CLEAN(SUBSTITUTE(rate_Group&amp;""," "," "))))&lt;&gt;"")+2*(UPPER(TRIM(CLEAN(SUBSTITUTE(rate_USMCA&amp;""," "," "))))&lt;&gt;"")+4*(UPPER(TRIM(CLEAN(SUBSTITUTE(rate_COO&amp;""," "," "))))&lt;&gt;""))=INT($AO88/100))))</f>
        <v/>
      </c>
      <c r="AQ88" s="13">
        <f>IF($A88="",0,IFERROR(MATCH($AL88,det_Key,0),0))</f>
        <v/>
      </c>
    </row>
    <row r="89">
      <c r="A89" s="10">
        <f>IF(TRIM(CLEAN(SUBSTITUTE(Items!A89&amp;""," "," ")))="","",TRIM(CLEAN(SUBSTITUTE(Items!A89&amp;""," "," "))))</f>
        <v/>
      </c>
      <c r="B89" s="10">
        <f>IF($A89="","",Items!B89&amp;"")</f>
        <v/>
      </c>
      <c r="C89" s="10">
        <f>IF($A89="","",SUBSTITUTE(SUBSTITUTE(SUBSTITUTE(SUBSTITUTE(CLEAN(Items!D89&amp;"")," ",""),".","")," ",""),"-",""))</f>
        <v/>
      </c>
      <c r="D89" s="10">
        <f>IF($A89="","",LEFT($C89,2))</f>
        <v/>
      </c>
      <c r="E89" s="10">
        <f>IF($A89="","",UPPER(TRIM(CLEAN(SUBSTITUTE(Items!E89&amp;""," "," ")))))</f>
        <v/>
      </c>
      <c r="F89" s="10">
        <f>IF($A89="","",IF(UPPER(TRIM(CLEAN(SUBSTITUTE(Items!C89&amp;""," "," "))))=UPPER(TRIM(CLEAN(SUBSTITUTE(act_Country&amp;""," "," ")))),"Y","N"))</f>
        <v/>
      </c>
      <c r="G89" s="10">
        <f>IF($A89="","",IF($AM89&gt;0,"Y","N"))</f>
        <v/>
      </c>
      <c r="H89" s="10">
        <f>IF($A89="","",IF(SUMPRODUCT((excl_HTS&lt;&gt;"")*(LEFT($C89,LEN(excl_HTS))=excl_HTS))&gt;0,"Y","N"))</f>
        <v/>
      </c>
      <c r="I89" s="10">
        <f>IF($A89="","",IF($E89="","N",IF(SUMPRODUCT(--(UPPER(TRIM(CLEAN(SUBSTITUTE(scope_COO&amp;""," "," "))))=$E89))&gt;0,"Y","N")))</f>
        <v/>
      </c>
      <c r="J89" s="10">
        <f>IF($A89="","",IF(AND(UPPER(TRIM(CLEAN(SUBSTITUTE(act_USMCAExempt&amp;""," "," "))))="Y",UPPER(TRIM(CLEAN(SUBSTITUTE(Items!F89&amp;""," "," "))))="Y"),"Y","N"))</f>
        <v/>
      </c>
      <c r="K89" s="10">
        <f>IF($A89="","",IF($AQ89=0,"",UPPER(TRIM(CLEAN(SUBSTITUTE(INDEX(det_Status,$AQ89)&amp;""," "," "))))))</f>
        <v/>
      </c>
      <c r="L89" s="10">
        <f>IF($A89="","",IF($F89="N","N",IF($K89="IN","Y",IF($K89="OUT","N",IF(AND($G89="Y",$H89="N",$I89="Y",$J89="N"),"Y","N")))))</f>
        <v/>
      </c>
      <c r="M89" s="10">
        <f>IF($A89="","",IF($F89="N","Out: different import country",IF($K89="IN","In: Research determination",IF($K89="OUT","Out: Research determination",IF($G89="N","Out: HTS not on scope list",IF($H89="Y","Out: HTS on exclusion list",IF($I89="N","Out: origin not on scope list",IF($J89="Y","Out: USMCA-qualifying, exempt","In: matches scope rules"))))))))</f>
        <v/>
      </c>
      <c r="N89" s="10">
        <f>IF(OR($A89="",$AM89=0),"",UPPER(TRIM(CLEAN(SUBSTITUTE(INDEX(scope_Group,MOD($AM89,1000))&amp;""," "," ")))))</f>
        <v/>
      </c>
      <c r="O89" s="10">
        <f>IF($L89&lt;&gt;"Y","",IF($AO89=0,"Default (B15)",UPPER(TRIM(CLEAN(SUBSTITUTE(INDEX(rate_ID,MOD($AO89,100))&amp;""," "," "))))))</f>
        <v/>
      </c>
      <c r="P89" s="10">
        <f>IF($L89&lt;&gt;"Y","",IF($AO89=0,IF(UPPER(TRIM(CLEAN(SUBSTITUTE(act_DefaultBase&amp;""," "," "))))="PART","PART","FULL"),IF(UPPER(TRIM(CLEAN(SUBSTITUTE(INDEX(rate_Base,MOD($AO89,100))&amp;""," "," "))))="PART","PART","FULL")))</f>
        <v/>
      </c>
      <c r="Q89" s="17">
        <f>IF($A89="","",N(Items!J89))</f>
        <v/>
      </c>
      <c r="R89" s="17">
        <f>IF($A89="","",IF($L89&lt;&gt;"Y",0,IF($AO89=0,N(act_Rate),N(INDEX(rate_Rate,MOD($AO89,100))))))</f>
        <v/>
      </c>
      <c r="S89" s="17">
        <f>IF($A89="","",IF($L89&lt;&gt;"Y",0,IF($AO89=0,IF(UPPER(TRIM(CLEAN(SUBSTITUTE(act_RateType&amp;""," "," "))))="REPLACE",N(act_PriorRate),0),IF(ISNUMBER(INDEX(rate_Prior,MOD($AO89,100))),INDEX(rate_Prior,MOD($AO89,100)),IF(UPPER(TRIM(CLEAN(SUBSTITUTE(act_RateType&amp;""," "," "))))="REPLACE",N(act_PriorRate),0)))))</f>
        <v/>
      </c>
      <c r="T89" s="17">
        <f>IF($A89="","",IF(AND($L89="Y",$P89="PART",ISNUMBER(Items!M89)),Items!M89,1))</f>
        <v/>
      </c>
      <c r="U89" s="17">
        <f>IF($A89="","",IF($L89&lt;&gt;"Y",0,IF($AQ89&gt;0,IF(ISNUMBER(INDEX(det_Displaced,$AQ89)),INDEX(det_Displaced,$AQ89),IF($AO89=0,0,N(INDEX(rate_Displaced,MOD($AO89,100))))),IF($AO89=0,0,N(INDEX(rate_Displaced,MOD($AO89,100)))))))</f>
        <v/>
      </c>
      <c r="V89" s="17">
        <f>IF($A89="","",IF($L89="Y",$Q89+$T89*($R89-$S89)-$U89,$Q89))</f>
        <v/>
      </c>
      <c r="W89" s="18">
        <f>IF($A89="","",N(Items!H89)*$Q89)</f>
        <v/>
      </c>
      <c r="X89" s="18">
        <f>IF($A89="","",N(Items!H89)*$V89)</f>
        <v/>
      </c>
      <c r="Y89" s="18">
        <f>IF($A89="","",$X89-$W89)</f>
        <v/>
      </c>
      <c r="Z89" s="18">
        <f>IF($A89="","",N(Items!K89)+$Y89)</f>
        <v/>
      </c>
      <c r="AA89" s="17">
        <f>IF($A89="","",IF(N(Items!L89)=0,"",(N(Items!L89)-N(Items!K89))/N(Items!L89)))</f>
        <v/>
      </c>
      <c r="AB89" s="17">
        <f>IF($A89="","",IF(N(Items!L89)=0,"",(N(Items!L89)-$Z89)/N(Items!L89)))</f>
        <v/>
      </c>
      <c r="AC89" s="17">
        <f>IF(OR($AA89="",$AB89=""),"",$AB89-$AA89)</f>
        <v/>
      </c>
      <c r="AD89" s="13">
        <f>IF($A89="","",N(Items!I89))</f>
        <v/>
      </c>
      <c r="AE89" s="19">
        <f>IF($A89="","",$Y89*$AD89)</f>
        <v/>
      </c>
      <c r="AF89" s="10">
        <f>IF($A89="","",IF(N(Items!L89)&gt;0,"Y","N"))</f>
        <v/>
      </c>
      <c r="AG89" s="19">
        <f>IF($A89="","",IF($AF89="Y",N(Items!L89)*$AD89,0))</f>
        <v/>
      </c>
      <c r="AH89" s="19">
        <f>IF($A89="","",IF($AF89="Y",(N(Items!L89)-N(Items!K89))*$AD89,0))</f>
        <v/>
      </c>
      <c r="AI89" s="19">
        <f>IF($A89="","",IF($AF89="Y",$AH89-$AE89,0))</f>
        <v/>
      </c>
      <c r="AJ89" s="10">
        <f>IF($A89="","",IF(COUNTIF($AL$5:$AL$254,$AL89)&gt;1,"CHECK: duplicate item and import country",IF(TRIM(CLEAN(SUBSTITUTE(Items!C89&amp;""," "," ")))="","CHECK: import country missing",IF(AND(UPPER(TRIM(CLEAN(SUBSTITUTE(Items!C89&amp;""," "," "))))&lt;&gt;"US",UPPER(TRIM(CLEAN(SUBSTITUTE(Items!C89&amp;""," "," "))))&lt;&gt;"CA",UPPER(TRIM(CLEAN(SUBSTITUTE(Items!C89&amp;""," "," "))))&lt;&gt;"MX"),"CHECK: import country must be US, CA or MX",IF(NOT(AND(LEN($C89)=10,IFERROR(TEXT(VALUE($C89),REPT("0",LEN($C89)))=$C89,FALSE))),"CHECK: HTS must be 10 digits",IF(LEN($E89)&lt;&gt;2,"CHECK: origin code missing or not 2 letters",IF(TRIM(CLEAN(SUBSTITUTE(Items!G89&amp;""," "," ")))="","CHECK: unit of measure missing",IF(OR(Items!H89="",Items!J89="",Items!K89=""),"CHECK: value, rate or cost missing",IF(OR(NOT(ISNUMBER(Items!H89)),NOT(ISNUMBER(Items!J89)),NOT(ISNUMBER(Items!K89)),AND(Items!I89&lt;&gt;"",NOT(ISNUMBER(Items!I89))),AND(Items!L89&lt;&gt;"",NOT(ISNUMBER(Items!L89))),AND(Items!M89&lt;&gt;"",NOT(ISNUMBER(Items!M89)))),"CHECK: text in a number column",IF(AND(ISNUMBER(Items!M89),OR(N(Items!M89)&lt;0,N(Items!M89)&gt;1)),"CHECK: dutiable share must be 0% to 100%",IF(AND(UPPER(TRIM(CLEAN(SUBSTITUTE(Items!F89&amp;""," "," "))))&lt;&gt;"",UPPER(TRIM(CLEAN(SUBSTITUTE(Items!F89&amp;""," "," "))))&lt;&gt;"Y",UPPER(TRIM(CLEAN(SUBSTITUTE(Items!F89&amp;""," "," "))))&lt;&gt;"N"),"CHECK: USMCA flag must be Y, N or blank",IF(AND(UPPER(TRIM(CLEAN(SUBSTITUTE(Items!F89&amp;""," "," "))))="Y",$E89&lt;&gt;"US",$E89&lt;&gt;"CA",$E89&lt;&gt;"MX"),"CHECK: USMCA flag on an origin other than US, CA or MX",IF(AND($L89="Y",$AO89=0,NOT(ISNUMBER(act_Rate))),"CHECK: in scope but no rate (add a rate line or B15)",IF(AND($L89="Y",UPPER(TRIM(CLEAN(SUBSTITUTE(act_RateType&amp;""," "," "))))="REPLACE",NOT(ISNUMBER(act_PriorRate)),IF($AO89=0,TRUE,NOT(ISNUMBER(INDEX(rate_Prior,MOD($AO89,100)))))),"CHECK: REPLACE but no earlier rate (B17 or the rate line's AD)",IF(AND($L89="Y",$AP89&gt;1),"CHECK: two rate lines match equally",IF(AND($L89="Y",$AN89&gt;1),"CHECK: HTS prefix listed twice on the scope list",IF(AND($L89="Y",$P89="PART",NOT(ISNUMBER(Items!M89))),"CHECK: dutiable share missing (PART base)",IF(AND($L89="Y",$P89="FULL",ISNUMBER(Items!M89),N(Items!M89)&lt;&gt;1),"CHECK: dutiable share entered, but the rate taxes the full value",IF(AND($L89="Y",$Q89+0.0000001&lt;$T89*$S89+$U89),"CHECK: current rate is below the duty being replaced or displaced",IF(AND($L89="Y",$AD89=0),"NOTE: in scope, no quantity",IF(AND($L89="Y",$AF89="N"),"NOTE: in scope, no sell price (left out of margin %)",IF(AND($L89="Y",N(Items!H89)&gt;N(Items!K89)),"NOTE: customs value above standard cost (check unit of measure)",IF(AND($L89="Y",$Q89&gt;1),"NOTE: current rate above 100% (check it was entered as a percentage)","OK")))))))))))))))))))))))</f>
        <v/>
      </c>
      <c r="AK89" s="20">
        <f>IF($A89="","",IF(AND($L89="Y",$AE89&lt;&gt;0),ABS($AE89)+ROW()/1000000000,""))</f>
        <v/>
      </c>
      <c r="AL89" s="10">
        <f>IF($A89="","",UPPER($A89)&amp;"/"&amp;UPPER(TRIM(CLEAN(SUBSTITUTE(Items!C89&amp;""," "," ")))))</f>
        <v/>
      </c>
      <c r="AM89" s="13">
        <f>IF($A89="",0,SUMPRODUCT(MAX((scope_HTS&lt;&gt;"")*(LEFT($C89,LEN(scope_HTS))=scope_HTS)*(LEN(scope_HTS)*1000+ROW(scope_HTS)-4))))</f>
        <v/>
      </c>
      <c r="AN89" s="13">
        <f>IF($AM89=0,0,SUMPRODUCT((scope_HTS&lt;&gt;"")*(LEFT($C89,LEN(scope_HTS))=scope_HTS)*(LEN(scope_HTS)=INT($AM89/1000))))</f>
        <v/>
      </c>
      <c r="AO89" s="13">
        <f>IF($L89&lt;&gt;"Y",0,SUMPRODUCT(MAX(ISNUMBER(rate_Rate)*((UPPER(TRIM(CLEAN(SUBSTITUTE(rate_Group&amp;""," "," "))))="")+(UPPER(TRIM(CLEAN(SUBSTITUTE(rate_Group&amp;""," "," "))))=$N89)&gt;0)*((UPPER(TRIM(CLEAN(SUBSTITUTE(rate_COO&amp;""," "," "))))="")+(UPPER(TRIM(CLEAN(SUBSTITUTE(rate_COO&amp;""," "," "))))=$E89)&gt;0)*((UPPER(TRIM(CLEAN(SUBSTITUTE(rate_USMCA&amp;""," "," "))))="")+(UPPER(TRIM(CLEAN(SUBSTITUTE(rate_USMCA&amp;""," "," "))))=IF(UPPER(TRIM(CLEAN(SUBSTITUTE(Items!F89&amp;""," "," "))))="Y","Y","N"))&gt;0)*((1+(UPPER(TRIM(CLEAN(SUBSTITUTE(rate_Group&amp;""," "," "))))&lt;&gt;"")+2*(UPPER(TRIM(CLEAN(SUBSTITUTE(rate_USMCA&amp;""," "," "))))&lt;&gt;"")+4*(UPPER(TRIM(CLEAN(SUBSTITUTE(rate_COO&amp;""," "," "))))&lt;&gt;""))*100+ROW(rate_Rate)-4))))</f>
        <v/>
      </c>
      <c r="AP89" s="13">
        <f>IF($AO89=0,0,SUMPRODUCT(ISNUMBER(rate_Rate)*((UPPER(TRIM(CLEAN(SUBSTITUTE(rate_Group&amp;""," "," "))))="")+(UPPER(TRIM(CLEAN(SUBSTITUTE(rate_Group&amp;""," "," "))))=$N89)&gt;0)*((UPPER(TRIM(CLEAN(SUBSTITUTE(rate_COO&amp;""," "," "))))="")+(UPPER(TRIM(CLEAN(SUBSTITUTE(rate_COO&amp;""," "," "))))=$E89)&gt;0)*((UPPER(TRIM(CLEAN(SUBSTITUTE(rate_USMCA&amp;""," "," "))))="")+(UPPER(TRIM(CLEAN(SUBSTITUTE(rate_USMCA&amp;""," "," "))))=IF(UPPER(TRIM(CLEAN(SUBSTITUTE(Items!F89&amp;""," "," "))))="Y","Y","N"))&gt;0)*((1+(UPPER(TRIM(CLEAN(SUBSTITUTE(rate_Group&amp;""," "," "))))&lt;&gt;"")+2*(UPPER(TRIM(CLEAN(SUBSTITUTE(rate_USMCA&amp;""," "," "))))&lt;&gt;"")+4*(UPPER(TRIM(CLEAN(SUBSTITUTE(rate_COO&amp;""," "," "))))&lt;&gt;""))=INT($AO89/100))))</f>
        <v/>
      </c>
      <c r="AQ89" s="13">
        <f>IF($A89="",0,IFERROR(MATCH($AL89,det_Key,0),0))</f>
        <v/>
      </c>
    </row>
    <row r="90">
      <c r="A90" s="10">
        <f>IF(TRIM(CLEAN(SUBSTITUTE(Items!A90&amp;""," "," ")))="","",TRIM(CLEAN(SUBSTITUTE(Items!A90&amp;""," "," "))))</f>
        <v/>
      </c>
      <c r="B90" s="10">
        <f>IF($A90="","",Items!B90&amp;"")</f>
        <v/>
      </c>
      <c r="C90" s="10">
        <f>IF($A90="","",SUBSTITUTE(SUBSTITUTE(SUBSTITUTE(SUBSTITUTE(CLEAN(Items!D90&amp;"")," ",""),".","")," ",""),"-",""))</f>
        <v/>
      </c>
      <c r="D90" s="10">
        <f>IF($A90="","",LEFT($C90,2))</f>
        <v/>
      </c>
      <c r="E90" s="10">
        <f>IF($A90="","",UPPER(TRIM(CLEAN(SUBSTITUTE(Items!E90&amp;""," "," ")))))</f>
        <v/>
      </c>
      <c r="F90" s="10">
        <f>IF($A90="","",IF(UPPER(TRIM(CLEAN(SUBSTITUTE(Items!C90&amp;""," "," "))))=UPPER(TRIM(CLEAN(SUBSTITUTE(act_Country&amp;""," "," ")))),"Y","N"))</f>
        <v/>
      </c>
      <c r="G90" s="10">
        <f>IF($A90="","",IF($AM90&gt;0,"Y","N"))</f>
        <v/>
      </c>
      <c r="H90" s="10">
        <f>IF($A90="","",IF(SUMPRODUCT((excl_HTS&lt;&gt;"")*(LEFT($C90,LEN(excl_HTS))=excl_HTS))&gt;0,"Y","N"))</f>
        <v/>
      </c>
      <c r="I90" s="10">
        <f>IF($A90="","",IF($E90="","N",IF(SUMPRODUCT(--(UPPER(TRIM(CLEAN(SUBSTITUTE(scope_COO&amp;""," "," "))))=$E90))&gt;0,"Y","N")))</f>
        <v/>
      </c>
      <c r="J90" s="10">
        <f>IF($A90="","",IF(AND(UPPER(TRIM(CLEAN(SUBSTITUTE(act_USMCAExempt&amp;""," "," "))))="Y",UPPER(TRIM(CLEAN(SUBSTITUTE(Items!F90&amp;""," "," "))))="Y"),"Y","N"))</f>
        <v/>
      </c>
      <c r="K90" s="10">
        <f>IF($A90="","",IF($AQ90=0,"",UPPER(TRIM(CLEAN(SUBSTITUTE(INDEX(det_Status,$AQ90)&amp;""," "," "))))))</f>
        <v/>
      </c>
      <c r="L90" s="10">
        <f>IF($A90="","",IF($F90="N","N",IF($K90="IN","Y",IF($K90="OUT","N",IF(AND($G90="Y",$H90="N",$I90="Y",$J90="N"),"Y","N")))))</f>
        <v/>
      </c>
      <c r="M90" s="10">
        <f>IF($A90="","",IF($F90="N","Out: different import country",IF($K90="IN","In: Research determination",IF($K90="OUT","Out: Research determination",IF($G90="N","Out: HTS not on scope list",IF($H90="Y","Out: HTS on exclusion list",IF($I90="N","Out: origin not on scope list",IF($J90="Y","Out: USMCA-qualifying, exempt","In: matches scope rules"))))))))</f>
        <v/>
      </c>
      <c r="N90" s="10">
        <f>IF(OR($A90="",$AM90=0),"",UPPER(TRIM(CLEAN(SUBSTITUTE(INDEX(scope_Group,MOD($AM90,1000))&amp;""," "," ")))))</f>
        <v/>
      </c>
      <c r="O90" s="10">
        <f>IF($L90&lt;&gt;"Y","",IF($AO90=0,"Default (B15)",UPPER(TRIM(CLEAN(SUBSTITUTE(INDEX(rate_ID,MOD($AO90,100))&amp;""," "," "))))))</f>
        <v/>
      </c>
      <c r="P90" s="10">
        <f>IF($L90&lt;&gt;"Y","",IF($AO90=0,IF(UPPER(TRIM(CLEAN(SUBSTITUTE(act_DefaultBase&amp;""," "," "))))="PART","PART","FULL"),IF(UPPER(TRIM(CLEAN(SUBSTITUTE(INDEX(rate_Base,MOD($AO90,100))&amp;""," "," "))))="PART","PART","FULL")))</f>
        <v/>
      </c>
      <c r="Q90" s="17">
        <f>IF($A90="","",N(Items!J90))</f>
        <v/>
      </c>
      <c r="R90" s="17">
        <f>IF($A90="","",IF($L90&lt;&gt;"Y",0,IF($AO90=0,N(act_Rate),N(INDEX(rate_Rate,MOD($AO90,100))))))</f>
        <v/>
      </c>
      <c r="S90" s="17">
        <f>IF($A90="","",IF($L90&lt;&gt;"Y",0,IF($AO90=0,IF(UPPER(TRIM(CLEAN(SUBSTITUTE(act_RateType&amp;""," "," "))))="REPLACE",N(act_PriorRate),0),IF(ISNUMBER(INDEX(rate_Prior,MOD($AO90,100))),INDEX(rate_Prior,MOD($AO90,100)),IF(UPPER(TRIM(CLEAN(SUBSTITUTE(act_RateType&amp;""," "," "))))="REPLACE",N(act_PriorRate),0)))))</f>
        <v/>
      </c>
      <c r="T90" s="17">
        <f>IF($A90="","",IF(AND($L90="Y",$P90="PART",ISNUMBER(Items!M90)),Items!M90,1))</f>
        <v/>
      </c>
      <c r="U90" s="17">
        <f>IF($A90="","",IF($L90&lt;&gt;"Y",0,IF($AQ90&gt;0,IF(ISNUMBER(INDEX(det_Displaced,$AQ90)),INDEX(det_Displaced,$AQ90),IF($AO90=0,0,N(INDEX(rate_Displaced,MOD($AO90,100))))),IF($AO90=0,0,N(INDEX(rate_Displaced,MOD($AO90,100)))))))</f>
        <v/>
      </c>
      <c r="V90" s="17">
        <f>IF($A90="","",IF($L90="Y",$Q90+$T90*($R90-$S90)-$U90,$Q90))</f>
        <v/>
      </c>
      <c r="W90" s="18">
        <f>IF($A90="","",N(Items!H90)*$Q90)</f>
        <v/>
      </c>
      <c r="X90" s="18">
        <f>IF($A90="","",N(Items!H90)*$V90)</f>
        <v/>
      </c>
      <c r="Y90" s="18">
        <f>IF($A90="","",$X90-$W90)</f>
        <v/>
      </c>
      <c r="Z90" s="18">
        <f>IF($A90="","",N(Items!K90)+$Y90)</f>
        <v/>
      </c>
      <c r="AA90" s="17">
        <f>IF($A90="","",IF(N(Items!L90)=0,"",(N(Items!L90)-N(Items!K90))/N(Items!L90)))</f>
        <v/>
      </c>
      <c r="AB90" s="17">
        <f>IF($A90="","",IF(N(Items!L90)=0,"",(N(Items!L90)-$Z90)/N(Items!L90)))</f>
        <v/>
      </c>
      <c r="AC90" s="17">
        <f>IF(OR($AA90="",$AB90=""),"",$AB90-$AA90)</f>
        <v/>
      </c>
      <c r="AD90" s="13">
        <f>IF($A90="","",N(Items!I90))</f>
        <v/>
      </c>
      <c r="AE90" s="19">
        <f>IF($A90="","",$Y90*$AD90)</f>
        <v/>
      </c>
      <c r="AF90" s="10">
        <f>IF($A90="","",IF(N(Items!L90)&gt;0,"Y","N"))</f>
        <v/>
      </c>
      <c r="AG90" s="19">
        <f>IF($A90="","",IF($AF90="Y",N(Items!L90)*$AD90,0))</f>
        <v/>
      </c>
      <c r="AH90" s="19">
        <f>IF($A90="","",IF($AF90="Y",(N(Items!L90)-N(Items!K90))*$AD90,0))</f>
        <v/>
      </c>
      <c r="AI90" s="19">
        <f>IF($A90="","",IF($AF90="Y",$AH90-$AE90,0))</f>
        <v/>
      </c>
      <c r="AJ90" s="10">
        <f>IF($A90="","",IF(COUNTIF($AL$5:$AL$254,$AL90)&gt;1,"CHECK: duplicate item and import country",IF(TRIM(CLEAN(SUBSTITUTE(Items!C90&amp;""," "," ")))="","CHECK: import country missing",IF(AND(UPPER(TRIM(CLEAN(SUBSTITUTE(Items!C90&amp;""," "," "))))&lt;&gt;"US",UPPER(TRIM(CLEAN(SUBSTITUTE(Items!C90&amp;""," "," "))))&lt;&gt;"CA",UPPER(TRIM(CLEAN(SUBSTITUTE(Items!C90&amp;""," "," "))))&lt;&gt;"MX"),"CHECK: import country must be US, CA or MX",IF(NOT(AND(LEN($C90)=10,IFERROR(TEXT(VALUE($C90),REPT("0",LEN($C90)))=$C90,FALSE))),"CHECK: HTS must be 10 digits",IF(LEN($E90)&lt;&gt;2,"CHECK: origin code missing or not 2 letters",IF(TRIM(CLEAN(SUBSTITUTE(Items!G90&amp;""," "," ")))="","CHECK: unit of measure missing",IF(OR(Items!H90="",Items!J90="",Items!K90=""),"CHECK: value, rate or cost missing",IF(OR(NOT(ISNUMBER(Items!H90)),NOT(ISNUMBER(Items!J90)),NOT(ISNUMBER(Items!K90)),AND(Items!I90&lt;&gt;"",NOT(ISNUMBER(Items!I90))),AND(Items!L90&lt;&gt;"",NOT(ISNUMBER(Items!L90))),AND(Items!M90&lt;&gt;"",NOT(ISNUMBER(Items!M90)))),"CHECK: text in a number column",IF(AND(ISNUMBER(Items!M90),OR(N(Items!M90)&lt;0,N(Items!M90)&gt;1)),"CHECK: dutiable share must be 0% to 100%",IF(AND(UPPER(TRIM(CLEAN(SUBSTITUTE(Items!F90&amp;""," "," "))))&lt;&gt;"",UPPER(TRIM(CLEAN(SUBSTITUTE(Items!F90&amp;""," "," "))))&lt;&gt;"Y",UPPER(TRIM(CLEAN(SUBSTITUTE(Items!F90&amp;""," "," "))))&lt;&gt;"N"),"CHECK: USMCA flag must be Y, N or blank",IF(AND(UPPER(TRIM(CLEAN(SUBSTITUTE(Items!F90&amp;""," "," "))))="Y",$E90&lt;&gt;"US",$E90&lt;&gt;"CA",$E90&lt;&gt;"MX"),"CHECK: USMCA flag on an origin other than US, CA or MX",IF(AND($L90="Y",$AO90=0,NOT(ISNUMBER(act_Rate))),"CHECK: in scope but no rate (add a rate line or B15)",IF(AND($L90="Y",UPPER(TRIM(CLEAN(SUBSTITUTE(act_RateType&amp;""," "," "))))="REPLACE",NOT(ISNUMBER(act_PriorRate)),IF($AO90=0,TRUE,NOT(ISNUMBER(INDEX(rate_Prior,MOD($AO90,100)))))),"CHECK: REPLACE but no earlier rate (B17 or the rate line's AD)",IF(AND($L90="Y",$AP90&gt;1),"CHECK: two rate lines match equally",IF(AND($L90="Y",$AN90&gt;1),"CHECK: HTS prefix listed twice on the scope list",IF(AND($L90="Y",$P90="PART",NOT(ISNUMBER(Items!M90))),"CHECK: dutiable share missing (PART base)",IF(AND($L90="Y",$P90="FULL",ISNUMBER(Items!M90),N(Items!M90)&lt;&gt;1),"CHECK: dutiable share entered, but the rate taxes the full value",IF(AND($L90="Y",$Q90+0.0000001&lt;$T90*$S90+$U90),"CHECK: current rate is below the duty being replaced or displaced",IF(AND($L90="Y",$AD90=0),"NOTE: in scope, no quantity",IF(AND($L90="Y",$AF90="N"),"NOTE: in scope, no sell price (left out of margin %)",IF(AND($L90="Y",N(Items!H90)&gt;N(Items!K90)),"NOTE: customs value above standard cost (check unit of measure)",IF(AND($L90="Y",$Q90&gt;1),"NOTE: current rate above 100% (check it was entered as a percentage)","OK")))))))))))))))))))))))</f>
        <v/>
      </c>
      <c r="AK90" s="20">
        <f>IF($A90="","",IF(AND($L90="Y",$AE90&lt;&gt;0),ABS($AE90)+ROW()/1000000000,""))</f>
        <v/>
      </c>
      <c r="AL90" s="10">
        <f>IF($A90="","",UPPER($A90)&amp;"/"&amp;UPPER(TRIM(CLEAN(SUBSTITUTE(Items!C90&amp;""," "," ")))))</f>
        <v/>
      </c>
      <c r="AM90" s="13">
        <f>IF($A90="",0,SUMPRODUCT(MAX((scope_HTS&lt;&gt;"")*(LEFT($C90,LEN(scope_HTS))=scope_HTS)*(LEN(scope_HTS)*1000+ROW(scope_HTS)-4))))</f>
        <v/>
      </c>
      <c r="AN90" s="13">
        <f>IF($AM90=0,0,SUMPRODUCT((scope_HTS&lt;&gt;"")*(LEFT($C90,LEN(scope_HTS))=scope_HTS)*(LEN(scope_HTS)=INT($AM90/1000))))</f>
        <v/>
      </c>
      <c r="AO90" s="13">
        <f>IF($L90&lt;&gt;"Y",0,SUMPRODUCT(MAX(ISNUMBER(rate_Rate)*((UPPER(TRIM(CLEAN(SUBSTITUTE(rate_Group&amp;""," "," "))))="")+(UPPER(TRIM(CLEAN(SUBSTITUTE(rate_Group&amp;""," "," "))))=$N90)&gt;0)*((UPPER(TRIM(CLEAN(SUBSTITUTE(rate_COO&amp;""," "," "))))="")+(UPPER(TRIM(CLEAN(SUBSTITUTE(rate_COO&amp;""," "," "))))=$E90)&gt;0)*((UPPER(TRIM(CLEAN(SUBSTITUTE(rate_USMCA&amp;""," "," "))))="")+(UPPER(TRIM(CLEAN(SUBSTITUTE(rate_USMCA&amp;""," "," "))))=IF(UPPER(TRIM(CLEAN(SUBSTITUTE(Items!F90&amp;""," "," "))))="Y","Y","N"))&gt;0)*((1+(UPPER(TRIM(CLEAN(SUBSTITUTE(rate_Group&amp;""," "," "))))&lt;&gt;"")+2*(UPPER(TRIM(CLEAN(SUBSTITUTE(rate_USMCA&amp;""," "," "))))&lt;&gt;"")+4*(UPPER(TRIM(CLEAN(SUBSTITUTE(rate_COO&amp;""," "," "))))&lt;&gt;""))*100+ROW(rate_Rate)-4))))</f>
        <v/>
      </c>
      <c r="AP90" s="13">
        <f>IF($AO90=0,0,SUMPRODUCT(ISNUMBER(rate_Rate)*((UPPER(TRIM(CLEAN(SUBSTITUTE(rate_Group&amp;""," "," "))))="")+(UPPER(TRIM(CLEAN(SUBSTITUTE(rate_Group&amp;""," "," "))))=$N90)&gt;0)*((UPPER(TRIM(CLEAN(SUBSTITUTE(rate_COO&amp;""," "," "))))="")+(UPPER(TRIM(CLEAN(SUBSTITUTE(rate_COO&amp;""," "," "))))=$E90)&gt;0)*((UPPER(TRIM(CLEAN(SUBSTITUTE(rate_USMCA&amp;""," "," "))))="")+(UPPER(TRIM(CLEAN(SUBSTITUTE(rate_USMCA&amp;""," "," "))))=IF(UPPER(TRIM(CLEAN(SUBSTITUTE(Items!F90&amp;""," "," "))))="Y","Y","N"))&gt;0)*((1+(UPPER(TRIM(CLEAN(SUBSTITUTE(rate_Group&amp;""," "," "))))&lt;&gt;"")+2*(UPPER(TRIM(CLEAN(SUBSTITUTE(rate_USMCA&amp;""," "," "))))&lt;&gt;"")+4*(UPPER(TRIM(CLEAN(SUBSTITUTE(rate_COO&amp;""," "," "))))&lt;&gt;""))=INT($AO90/100))))</f>
        <v/>
      </c>
      <c r="AQ90" s="13">
        <f>IF($A90="",0,IFERROR(MATCH($AL90,det_Key,0),0))</f>
        <v/>
      </c>
    </row>
    <row r="91">
      <c r="A91" s="10">
        <f>IF(TRIM(CLEAN(SUBSTITUTE(Items!A91&amp;""," "," ")))="","",TRIM(CLEAN(SUBSTITUTE(Items!A91&amp;""," "," "))))</f>
        <v/>
      </c>
      <c r="B91" s="10">
        <f>IF($A91="","",Items!B91&amp;"")</f>
        <v/>
      </c>
      <c r="C91" s="10">
        <f>IF($A91="","",SUBSTITUTE(SUBSTITUTE(SUBSTITUTE(SUBSTITUTE(CLEAN(Items!D91&amp;"")," ",""),".","")," ",""),"-",""))</f>
        <v/>
      </c>
      <c r="D91" s="10">
        <f>IF($A91="","",LEFT($C91,2))</f>
        <v/>
      </c>
      <c r="E91" s="10">
        <f>IF($A91="","",UPPER(TRIM(CLEAN(SUBSTITUTE(Items!E91&amp;""," "," ")))))</f>
        <v/>
      </c>
      <c r="F91" s="10">
        <f>IF($A91="","",IF(UPPER(TRIM(CLEAN(SUBSTITUTE(Items!C91&amp;""," "," "))))=UPPER(TRIM(CLEAN(SUBSTITUTE(act_Country&amp;""," "," ")))),"Y","N"))</f>
        <v/>
      </c>
      <c r="G91" s="10">
        <f>IF($A91="","",IF($AM91&gt;0,"Y","N"))</f>
        <v/>
      </c>
      <c r="H91" s="10">
        <f>IF($A91="","",IF(SUMPRODUCT((excl_HTS&lt;&gt;"")*(LEFT($C91,LEN(excl_HTS))=excl_HTS))&gt;0,"Y","N"))</f>
        <v/>
      </c>
      <c r="I91" s="10">
        <f>IF($A91="","",IF($E91="","N",IF(SUMPRODUCT(--(UPPER(TRIM(CLEAN(SUBSTITUTE(scope_COO&amp;""," "," "))))=$E91))&gt;0,"Y","N")))</f>
        <v/>
      </c>
      <c r="J91" s="10">
        <f>IF($A91="","",IF(AND(UPPER(TRIM(CLEAN(SUBSTITUTE(act_USMCAExempt&amp;""," "," "))))="Y",UPPER(TRIM(CLEAN(SUBSTITUTE(Items!F91&amp;""," "," "))))="Y"),"Y","N"))</f>
        <v/>
      </c>
      <c r="K91" s="10">
        <f>IF($A91="","",IF($AQ91=0,"",UPPER(TRIM(CLEAN(SUBSTITUTE(INDEX(det_Status,$AQ91)&amp;""," "," "))))))</f>
        <v/>
      </c>
      <c r="L91" s="10">
        <f>IF($A91="","",IF($F91="N","N",IF($K91="IN","Y",IF($K91="OUT","N",IF(AND($G91="Y",$H91="N",$I91="Y",$J91="N"),"Y","N")))))</f>
        <v/>
      </c>
      <c r="M91" s="10">
        <f>IF($A91="","",IF($F91="N","Out: different import country",IF($K91="IN","In: Research determination",IF($K91="OUT","Out: Research determination",IF($G91="N","Out: HTS not on scope list",IF($H91="Y","Out: HTS on exclusion list",IF($I91="N","Out: origin not on scope list",IF($J91="Y","Out: USMCA-qualifying, exempt","In: matches scope rules"))))))))</f>
        <v/>
      </c>
      <c r="N91" s="10">
        <f>IF(OR($A91="",$AM91=0),"",UPPER(TRIM(CLEAN(SUBSTITUTE(INDEX(scope_Group,MOD($AM91,1000))&amp;""," "," ")))))</f>
        <v/>
      </c>
      <c r="O91" s="10">
        <f>IF($L91&lt;&gt;"Y","",IF($AO91=0,"Default (B15)",UPPER(TRIM(CLEAN(SUBSTITUTE(INDEX(rate_ID,MOD($AO91,100))&amp;""," "," "))))))</f>
        <v/>
      </c>
      <c r="P91" s="10">
        <f>IF($L91&lt;&gt;"Y","",IF($AO91=0,IF(UPPER(TRIM(CLEAN(SUBSTITUTE(act_DefaultBase&amp;""," "," "))))="PART","PART","FULL"),IF(UPPER(TRIM(CLEAN(SUBSTITUTE(INDEX(rate_Base,MOD($AO91,100))&amp;""," "," "))))="PART","PART","FULL")))</f>
        <v/>
      </c>
      <c r="Q91" s="17">
        <f>IF($A91="","",N(Items!J91))</f>
        <v/>
      </c>
      <c r="R91" s="17">
        <f>IF($A91="","",IF($L91&lt;&gt;"Y",0,IF($AO91=0,N(act_Rate),N(INDEX(rate_Rate,MOD($AO91,100))))))</f>
        <v/>
      </c>
      <c r="S91" s="17">
        <f>IF($A91="","",IF($L91&lt;&gt;"Y",0,IF($AO91=0,IF(UPPER(TRIM(CLEAN(SUBSTITUTE(act_RateType&amp;""," "," "))))="REPLACE",N(act_PriorRate),0),IF(ISNUMBER(INDEX(rate_Prior,MOD($AO91,100))),INDEX(rate_Prior,MOD($AO91,100)),IF(UPPER(TRIM(CLEAN(SUBSTITUTE(act_RateType&amp;""," "," "))))="REPLACE",N(act_PriorRate),0)))))</f>
        <v/>
      </c>
      <c r="T91" s="17">
        <f>IF($A91="","",IF(AND($L91="Y",$P91="PART",ISNUMBER(Items!M91)),Items!M91,1))</f>
        <v/>
      </c>
      <c r="U91" s="17">
        <f>IF($A91="","",IF($L91&lt;&gt;"Y",0,IF($AQ91&gt;0,IF(ISNUMBER(INDEX(det_Displaced,$AQ91)),INDEX(det_Displaced,$AQ91),IF($AO91=0,0,N(INDEX(rate_Displaced,MOD($AO91,100))))),IF($AO91=0,0,N(INDEX(rate_Displaced,MOD($AO91,100)))))))</f>
        <v/>
      </c>
      <c r="V91" s="17">
        <f>IF($A91="","",IF($L91="Y",$Q91+$T91*($R91-$S91)-$U91,$Q91))</f>
        <v/>
      </c>
      <c r="W91" s="18">
        <f>IF($A91="","",N(Items!H91)*$Q91)</f>
        <v/>
      </c>
      <c r="X91" s="18">
        <f>IF($A91="","",N(Items!H91)*$V91)</f>
        <v/>
      </c>
      <c r="Y91" s="18">
        <f>IF($A91="","",$X91-$W91)</f>
        <v/>
      </c>
      <c r="Z91" s="18">
        <f>IF($A91="","",N(Items!K91)+$Y91)</f>
        <v/>
      </c>
      <c r="AA91" s="17">
        <f>IF($A91="","",IF(N(Items!L91)=0,"",(N(Items!L91)-N(Items!K91))/N(Items!L91)))</f>
        <v/>
      </c>
      <c r="AB91" s="17">
        <f>IF($A91="","",IF(N(Items!L91)=0,"",(N(Items!L91)-$Z91)/N(Items!L91)))</f>
        <v/>
      </c>
      <c r="AC91" s="17">
        <f>IF(OR($AA91="",$AB91=""),"",$AB91-$AA91)</f>
        <v/>
      </c>
      <c r="AD91" s="13">
        <f>IF($A91="","",N(Items!I91))</f>
        <v/>
      </c>
      <c r="AE91" s="19">
        <f>IF($A91="","",$Y91*$AD91)</f>
        <v/>
      </c>
      <c r="AF91" s="10">
        <f>IF($A91="","",IF(N(Items!L91)&gt;0,"Y","N"))</f>
        <v/>
      </c>
      <c r="AG91" s="19">
        <f>IF($A91="","",IF($AF91="Y",N(Items!L91)*$AD91,0))</f>
        <v/>
      </c>
      <c r="AH91" s="19">
        <f>IF($A91="","",IF($AF91="Y",(N(Items!L91)-N(Items!K91))*$AD91,0))</f>
        <v/>
      </c>
      <c r="AI91" s="19">
        <f>IF($A91="","",IF($AF91="Y",$AH91-$AE91,0))</f>
        <v/>
      </c>
      <c r="AJ91" s="10">
        <f>IF($A91="","",IF(COUNTIF($AL$5:$AL$254,$AL91)&gt;1,"CHECK: duplicate item and import country",IF(TRIM(CLEAN(SUBSTITUTE(Items!C91&amp;""," "," ")))="","CHECK: import country missing",IF(AND(UPPER(TRIM(CLEAN(SUBSTITUTE(Items!C91&amp;""," "," "))))&lt;&gt;"US",UPPER(TRIM(CLEAN(SUBSTITUTE(Items!C91&amp;""," "," "))))&lt;&gt;"CA",UPPER(TRIM(CLEAN(SUBSTITUTE(Items!C91&amp;""," "," "))))&lt;&gt;"MX"),"CHECK: import country must be US, CA or MX",IF(NOT(AND(LEN($C91)=10,IFERROR(TEXT(VALUE($C91),REPT("0",LEN($C91)))=$C91,FALSE))),"CHECK: HTS must be 10 digits",IF(LEN($E91)&lt;&gt;2,"CHECK: origin code missing or not 2 letters",IF(TRIM(CLEAN(SUBSTITUTE(Items!G91&amp;""," "," ")))="","CHECK: unit of measure missing",IF(OR(Items!H91="",Items!J91="",Items!K91=""),"CHECK: value, rate or cost missing",IF(OR(NOT(ISNUMBER(Items!H91)),NOT(ISNUMBER(Items!J91)),NOT(ISNUMBER(Items!K91)),AND(Items!I91&lt;&gt;"",NOT(ISNUMBER(Items!I91))),AND(Items!L91&lt;&gt;"",NOT(ISNUMBER(Items!L91))),AND(Items!M91&lt;&gt;"",NOT(ISNUMBER(Items!M91)))),"CHECK: text in a number column",IF(AND(ISNUMBER(Items!M91),OR(N(Items!M91)&lt;0,N(Items!M91)&gt;1)),"CHECK: dutiable share must be 0% to 100%",IF(AND(UPPER(TRIM(CLEAN(SUBSTITUTE(Items!F91&amp;""," "," "))))&lt;&gt;"",UPPER(TRIM(CLEAN(SUBSTITUTE(Items!F91&amp;""," "," "))))&lt;&gt;"Y",UPPER(TRIM(CLEAN(SUBSTITUTE(Items!F91&amp;""," "," "))))&lt;&gt;"N"),"CHECK: USMCA flag must be Y, N or blank",IF(AND(UPPER(TRIM(CLEAN(SUBSTITUTE(Items!F91&amp;""," "," "))))="Y",$E91&lt;&gt;"US",$E91&lt;&gt;"CA",$E91&lt;&gt;"MX"),"CHECK: USMCA flag on an origin other than US, CA or MX",IF(AND($L91="Y",$AO91=0,NOT(ISNUMBER(act_Rate))),"CHECK: in scope but no rate (add a rate line or B15)",IF(AND($L91="Y",UPPER(TRIM(CLEAN(SUBSTITUTE(act_RateType&amp;""," "," "))))="REPLACE",NOT(ISNUMBER(act_PriorRate)),IF($AO91=0,TRUE,NOT(ISNUMBER(INDEX(rate_Prior,MOD($AO91,100)))))),"CHECK: REPLACE but no earlier rate (B17 or the rate line's AD)",IF(AND($L91="Y",$AP91&gt;1),"CHECK: two rate lines match equally",IF(AND($L91="Y",$AN91&gt;1),"CHECK: HTS prefix listed twice on the scope list",IF(AND($L91="Y",$P91="PART",NOT(ISNUMBER(Items!M91))),"CHECK: dutiable share missing (PART base)",IF(AND($L91="Y",$P91="FULL",ISNUMBER(Items!M91),N(Items!M91)&lt;&gt;1),"CHECK: dutiable share entered, but the rate taxes the full value",IF(AND($L91="Y",$Q91+0.0000001&lt;$T91*$S91+$U91),"CHECK: current rate is below the duty being replaced or displaced",IF(AND($L91="Y",$AD91=0),"NOTE: in scope, no quantity",IF(AND($L91="Y",$AF91="N"),"NOTE: in scope, no sell price (left out of margin %)",IF(AND($L91="Y",N(Items!H91)&gt;N(Items!K91)),"NOTE: customs value above standard cost (check unit of measure)",IF(AND($L91="Y",$Q91&gt;1),"NOTE: current rate above 100% (check it was entered as a percentage)","OK")))))))))))))))))))))))</f>
        <v/>
      </c>
      <c r="AK91" s="20">
        <f>IF($A91="","",IF(AND($L91="Y",$AE91&lt;&gt;0),ABS($AE91)+ROW()/1000000000,""))</f>
        <v/>
      </c>
      <c r="AL91" s="10">
        <f>IF($A91="","",UPPER($A91)&amp;"/"&amp;UPPER(TRIM(CLEAN(SUBSTITUTE(Items!C91&amp;""," "," ")))))</f>
        <v/>
      </c>
      <c r="AM91" s="13">
        <f>IF($A91="",0,SUMPRODUCT(MAX((scope_HTS&lt;&gt;"")*(LEFT($C91,LEN(scope_HTS))=scope_HTS)*(LEN(scope_HTS)*1000+ROW(scope_HTS)-4))))</f>
        <v/>
      </c>
      <c r="AN91" s="13">
        <f>IF($AM91=0,0,SUMPRODUCT((scope_HTS&lt;&gt;"")*(LEFT($C91,LEN(scope_HTS))=scope_HTS)*(LEN(scope_HTS)=INT($AM91/1000))))</f>
        <v/>
      </c>
      <c r="AO91" s="13">
        <f>IF($L91&lt;&gt;"Y",0,SUMPRODUCT(MAX(ISNUMBER(rate_Rate)*((UPPER(TRIM(CLEAN(SUBSTITUTE(rate_Group&amp;""," "," "))))="")+(UPPER(TRIM(CLEAN(SUBSTITUTE(rate_Group&amp;""," "," "))))=$N91)&gt;0)*((UPPER(TRIM(CLEAN(SUBSTITUTE(rate_COO&amp;""," "," "))))="")+(UPPER(TRIM(CLEAN(SUBSTITUTE(rate_COO&amp;""," "," "))))=$E91)&gt;0)*((UPPER(TRIM(CLEAN(SUBSTITUTE(rate_USMCA&amp;""," "," "))))="")+(UPPER(TRIM(CLEAN(SUBSTITUTE(rate_USMCA&amp;""," "," "))))=IF(UPPER(TRIM(CLEAN(SUBSTITUTE(Items!F91&amp;""," "," "))))="Y","Y","N"))&gt;0)*((1+(UPPER(TRIM(CLEAN(SUBSTITUTE(rate_Group&amp;""," "," "))))&lt;&gt;"")+2*(UPPER(TRIM(CLEAN(SUBSTITUTE(rate_USMCA&amp;""," "," "))))&lt;&gt;"")+4*(UPPER(TRIM(CLEAN(SUBSTITUTE(rate_COO&amp;""," "," "))))&lt;&gt;""))*100+ROW(rate_Rate)-4))))</f>
        <v/>
      </c>
      <c r="AP91" s="13">
        <f>IF($AO91=0,0,SUMPRODUCT(ISNUMBER(rate_Rate)*((UPPER(TRIM(CLEAN(SUBSTITUTE(rate_Group&amp;""," "," "))))="")+(UPPER(TRIM(CLEAN(SUBSTITUTE(rate_Group&amp;""," "," "))))=$N91)&gt;0)*((UPPER(TRIM(CLEAN(SUBSTITUTE(rate_COO&amp;""," "," "))))="")+(UPPER(TRIM(CLEAN(SUBSTITUTE(rate_COO&amp;""," "," "))))=$E91)&gt;0)*((UPPER(TRIM(CLEAN(SUBSTITUTE(rate_USMCA&amp;""," "," "))))="")+(UPPER(TRIM(CLEAN(SUBSTITUTE(rate_USMCA&amp;""," "," "))))=IF(UPPER(TRIM(CLEAN(SUBSTITUTE(Items!F91&amp;""," "," "))))="Y","Y","N"))&gt;0)*((1+(UPPER(TRIM(CLEAN(SUBSTITUTE(rate_Group&amp;""," "," "))))&lt;&gt;"")+2*(UPPER(TRIM(CLEAN(SUBSTITUTE(rate_USMCA&amp;""," "," "))))&lt;&gt;"")+4*(UPPER(TRIM(CLEAN(SUBSTITUTE(rate_COO&amp;""," "," "))))&lt;&gt;""))=INT($AO91/100))))</f>
        <v/>
      </c>
      <c r="AQ91" s="13">
        <f>IF($A91="",0,IFERROR(MATCH($AL91,det_Key,0),0))</f>
        <v/>
      </c>
    </row>
    <row r="92">
      <c r="A92" s="10">
        <f>IF(TRIM(CLEAN(SUBSTITUTE(Items!A92&amp;""," "," ")))="","",TRIM(CLEAN(SUBSTITUTE(Items!A92&amp;""," "," "))))</f>
        <v/>
      </c>
      <c r="B92" s="10">
        <f>IF($A92="","",Items!B92&amp;"")</f>
        <v/>
      </c>
      <c r="C92" s="10">
        <f>IF($A92="","",SUBSTITUTE(SUBSTITUTE(SUBSTITUTE(SUBSTITUTE(CLEAN(Items!D92&amp;"")," ",""),".","")," ",""),"-",""))</f>
        <v/>
      </c>
      <c r="D92" s="10">
        <f>IF($A92="","",LEFT($C92,2))</f>
        <v/>
      </c>
      <c r="E92" s="10">
        <f>IF($A92="","",UPPER(TRIM(CLEAN(SUBSTITUTE(Items!E92&amp;""," "," ")))))</f>
        <v/>
      </c>
      <c r="F92" s="10">
        <f>IF($A92="","",IF(UPPER(TRIM(CLEAN(SUBSTITUTE(Items!C92&amp;""," "," "))))=UPPER(TRIM(CLEAN(SUBSTITUTE(act_Country&amp;""," "," ")))),"Y","N"))</f>
        <v/>
      </c>
      <c r="G92" s="10">
        <f>IF($A92="","",IF($AM92&gt;0,"Y","N"))</f>
        <v/>
      </c>
      <c r="H92" s="10">
        <f>IF($A92="","",IF(SUMPRODUCT((excl_HTS&lt;&gt;"")*(LEFT($C92,LEN(excl_HTS))=excl_HTS))&gt;0,"Y","N"))</f>
        <v/>
      </c>
      <c r="I92" s="10">
        <f>IF($A92="","",IF($E92="","N",IF(SUMPRODUCT(--(UPPER(TRIM(CLEAN(SUBSTITUTE(scope_COO&amp;""," "," "))))=$E92))&gt;0,"Y","N")))</f>
        <v/>
      </c>
      <c r="J92" s="10">
        <f>IF($A92="","",IF(AND(UPPER(TRIM(CLEAN(SUBSTITUTE(act_USMCAExempt&amp;""," "," "))))="Y",UPPER(TRIM(CLEAN(SUBSTITUTE(Items!F92&amp;""," "," "))))="Y"),"Y","N"))</f>
        <v/>
      </c>
      <c r="K92" s="10">
        <f>IF($A92="","",IF($AQ92=0,"",UPPER(TRIM(CLEAN(SUBSTITUTE(INDEX(det_Status,$AQ92)&amp;""," "," "))))))</f>
        <v/>
      </c>
      <c r="L92" s="10">
        <f>IF($A92="","",IF($F92="N","N",IF($K92="IN","Y",IF($K92="OUT","N",IF(AND($G92="Y",$H92="N",$I92="Y",$J92="N"),"Y","N")))))</f>
        <v/>
      </c>
      <c r="M92" s="10">
        <f>IF($A92="","",IF($F92="N","Out: different import country",IF($K92="IN","In: Research determination",IF($K92="OUT","Out: Research determination",IF($G92="N","Out: HTS not on scope list",IF($H92="Y","Out: HTS on exclusion list",IF($I92="N","Out: origin not on scope list",IF($J92="Y","Out: USMCA-qualifying, exempt","In: matches scope rules"))))))))</f>
        <v/>
      </c>
      <c r="N92" s="10">
        <f>IF(OR($A92="",$AM92=0),"",UPPER(TRIM(CLEAN(SUBSTITUTE(INDEX(scope_Group,MOD($AM92,1000))&amp;""," "," ")))))</f>
        <v/>
      </c>
      <c r="O92" s="10">
        <f>IF($L92&lt;&gt;"Y","",IF($AO92=0,"Default (B15)",UPPER(TRIM(CLEAN(SUBSTITUTE(INDEX(rate_ID,MOD($AO92,100))&amp;""," "," "))))))</f>
        <v/>
      </c>
      <c r="P92" s="10">
        <f>IF($L92&lt;&gt;"Y","",IF($AO92=0,IF(UPPER(TRIM(CLEAN(SUBSTITUTE(act_DefaultBase&amp;""," "," "))))="PART","PART","FULL"),IF(UPPER(TRIM(CLEAN(SUBSTITUTE(INDEX(rate_Base,MOD($AO92,100))&amp;""," "," "))))="PART","PART","FULL")))</f>
        <v/>
      </c>
      <c r="Q92" s="17">
        <f>IF($A92="","",N(Items!J92))</f>
        <v/>
      </c>
      <c r="R92" s="17">
        <f>IF($A92="","",IF($L92&lt;&gt;"Y",0,IF($AO92=0,N(act_Rate),N(INDEX(rate_Rate,MOD($AO92,100))))))</f>
        <v/>
      </c>
      <c r="S92" s="17">
        <f>IF($A92="","",IF($L92&lt;&gt;"Y",0,IF($AO92=0,IF(UPPER(TRIM(CLEAN(SUBSTITUTE(act_RateType&amp;""," "," "))))="REPLACE",N(act_PriorRate),0),IF(ISNUMBER(INDEX(rate_Prior,MOD($AO92,100))),INDEX(rate_Prior,MOD($AO92,100)),IF(UPPER(TRIM(CLEAN(SUBSTITUTE(act_RateType&amp;""," "," "))))="REPLACE",N(act_PriorRate),0)))))</f>
        <v/>
      </c>
      <c r="T92" s="17">
        <f>IF($A92="","",IF(AND($L92="Y",$P92="PART",ISNUMBER(Items!M92)),Items!M92,1))</f>
        <v/>
      </c>
      <c r="U92" s="17">
        <f>IF($A92="","",IF($L92&lt;&gt;"Y",0,IF($AQ92&gt;0,IF(ISNUMBER(INDEX(det_Displaced,$AQ92)),INDEX(det_Displaced,$AQ92),IF($AO92=0,0,N(INDEX(rate_Displaced,MOD($AO92,100))))),IF($AO92=0,0,N(INDEX(rate_Displaced,MOD($AO92,100)))))))</f>
        <v/>
      </c>
      <c r="V92" s="17">
        <f>IF($A92="","",IF($L92="Y",$Q92+$T92*($R92-$S92)-$U92,$Q92))</f>
        <v/>
      </c>
      <c r="W92" s="18">
        <f>IF($A92="","",N(Items!H92)*$Q92)</f>
        <v/>
      </c>
      <c r="X92" s="18">
        <f>IF($A92="","",N(Items!H92)*$V92)</f>
        <v/>
      </c>
      <c r="Y92" s="18">
        <f>IF($A92="","",$X92-$W92)</f>
        <v/>
      </c>
      <c r="Z92" s="18">
        <f>IF($A92="","",N(Items!K92)+$Y92)</f>
        <v/>
      </c>
      <c r="AA92" s="17">
        <f>IF($A92="","",IF(N(Items!L92)=0,"",(N(Items!L92)-N(Items!K92))/N(Items!L92)))</f>
        <v/>
      </c>
      <c r="AB92" s="17">
        <f>IF($A92="","",IF(N(Items!L92)=0,"",(N(Items!L92)-$Z92)/N(Items!L92)))</f>
        <v/>
      </c>
      <c r="AC92" s="17">
        <f>IF(OR($AA92="",$AB92=""),"",$AB92-$AA92)</f>
        <v/>
      </c>
      <c r="AD92" s="13">
        <f>IF($A92="","",N(Items!I92))</f>
        <v/>
      </c>
      <c r="AE92" s="19">
        <f>IF($A92="","",$Y92*$AD92)</f>
        <v/>
      </c>
      <c r="AF92" s="10">
        <f>IF($A92="","",IF(N(Items!L92)&gt;0,"Y","N"))</f>
        <v/>
      </c>
      <c r="AG92" s="19">
        <f>IF($A92="","",IF($AF92="Y",N(Items!L92)*$AD92,0))</f>
        <v/>
      </c>
      <c r="AH92" s="19">
        <f>IF($A92="","",IF($AF92="Y",(N(Items!L92)-N(Items!K92))*$AD92,0))</f>
        <v/>
      </c>
      <c r="AI92" s="19">
        <f>IF($A92="","",IF($AF92="Y",$AH92-$AE92,0))</f>
        <v/>
      </c>
      <c r="AJ92" s="10">
        <f>IF($A92="","",IF(COUNTIF($AL$5:$AL$254,$AL92)&gt;1,"CHECK: duplicate item and import country",IF(TRIM(CLEAN(SUBSTITUTE(Items!C92&amp;""," "," ")))="","CHECK: import country missing",IF(AND(UPPER(TRIM(CLEAN(SUBSTITUTE(Items!C92&amp;""," "," "))))&lt;&gt;"US",UPPER(TRIM(CLEAN(SUBSTITUTE(Items!C92&amp;""," "," "))))&lt;&gt;"CA",UPPER(TRIM(CLEAN(SUBSTITUTE(Items!C92&amp;""," "," "))))&lt;&gt;"MX"),"CHECK: import country must be US, CA or MX",IF(NOT(AND(LEN($C92)=10,IFERROR(TEXT(VALUE($C92),REPT("0",LEN($C92)))=$C92,FALSE))),"CHECK: HTS must be 10 digits",IF(LEN($E92)&lt;&gt;2,"CHECK: origin code missing or not 2 letters",IF(TRIM(CLEAN(SUBSTITUTE(Items!G92&amp;""," "," ")))="","CHECK: unit of measure missing",IF(OR(Items!H92="",Items!J92="",Items!K92=""),"CHECK: value, rate or cost missing",IF(OR(NOT(ISNUMBER(Items!H92)),NOT(ISNUMBER(Items!J92)),NOT(ISNUMBER(Items!K92)),AND(Items!I92&lt;&gt;"",NOT(ISNUMBER(Items!I92))),AND(Items!L92&lt;&gt;"",NOT(ISNUMBER(Items!L92))),AND(Items!M92&lt;&gt;"",NOT(ISNUMBER(Items!M92)))),"CHECK: text in a number column",IF(AND(ISNUMBER(Items!M92),OR(N(Items!M92)&lt;0,N(Items!M92)&gt;1)),"CHECK: dutiable share must be 0% to 100%",IF(AND(UPPER(TRIM(CLEAN(SUBSTITUTE(Items!F92&amp;""," "," "))))&lt;&gt;"",UPPER(TRIM(CLEAN(SUBSTITUTE(Items!F92&amp;""," "," "))))&lt;&gt;"Y",UPPER(TRIM(CLEAN(SUBSTITUTE(Items!F92&amp;""," "," "))))&lt;&gt;"N"),"CHECK: USMCA flag must be Y, N or blank",IF(AND(UPPER(TRIM(CLEAN(SUBSTITUTE(Items!F92&amp;""," "," "))))="Y",$E92&lt;&gt;"US",$E92&lt;&gt;"CA",$E92&lt;&gt;"MX"),"CHECK: USMCA flag on an origin other than US, CA or MX",IF(AND($L92="Y",$AO92=0,NOT(ISNUMBER(act_Rate))),"CHECK: in scope but no rate (add a rate line or B15)",IF(AND($L92="Y",UPPER(TRIM(CLEAN(SUBSTITUTE(act_RateType&amp;""," "," "))))="REPLACE",NOT(ISNUMBER(act_PriorRate)),IF($AO92=0,TRUE,NOT(ISNUMBER(INDEX(rate_Prior,MOD($AO92,100)))))),"CHECK: REPLACE but no earlier rate (B17 or the rate line's AD)",IF(AND($L92="Y",$AP92&gt;1),"CHECK: two rate lines match equally",IF(AND($L92="Y",$AN92&gt;1),"CHECK: HTS prefix listed twice on the scope list",IF(AND($L92="Y",$P92="PART",NOT(ISNUMBER(Items!M92))),"CHECK: dutiable share missing (PART base)",IF(AND($L92="Y",$P92="FULL",ISNUMBER(Items!M92),N(Items!M92)&lt;&gt;1),"CHECK: dutiable share entered, but the rate taxes the full value",IF(AND($L92="Y",$Q92+0.0000001&lt;$T92*$S92+$U92),"CHECK: current rate is below the duty being replaced or displaced",IF(AND($L92="Y",$AD92=0),"NOTE: in scope, no quantity",IF(AND($L92="Y",$AF92="N"),"NOTE: in scope, no sell price (left out of margin %)",IF(AND($L92="Y",N(Items!H92)&gt;N(Items!K92)),"NOTE: customs value above standard cost (check unit of measure)",IF(AND($L92="Y",$Q92&gt;1),"NOTE: current rate above 100% (check it was entered as a percentage)","OK")))))))))))))))))))))))</f>
        <v/>
      </c>
      <c r="AK92" s="20">
        <f>IF($A92="","",IF(AND($L92="Y",$AE92&lt;&gt;0),ABS($AE92)+ROW()/1000000000,""))</f>
        <v/>
      </c>
      <c r="AL92" s="10">
        <f>IF($A92="","",UPPER($A92)&amp;"/"&amp;UPPER(TRIM(CLEAN(SUBSTITUTE(Items!C92&amp;""," "," ")))))</f>
        <v/>
      </c>
      <c r="AM92" s="13">
        <f>IF($A92="",0,SUMPRODUCT(MAX((scope_HTS&lt;&gt;"")*(LEFT($C92,LEN(scope_HTS))=scope_HTS)*(LEN(scope_HTS)*1000+ROW(scope_HTS)-4))))</f>
        <v/>
      </c>
      <c r="AN92" s="13">
        <f>IF($AM92=0,0,SUMPRODUCT((scope_HTS&lt;&gt;"")*(LEFT($C92,LEN(scope_HTS))=scope_HTS)*(LEN(scope_HTS)=INT($AM92/1000))))</f>
        <v/>
      </c>
      <c r="AO92" s="13">
        <f>IF($L92&lt;&gt;"Y",0,SUMPRODUCT(MAX(ISNUMBER(rate_Rate)*((UPPER(TRIM(CLEAN(SUBSTITUTE(rate_Group&amp;""," "," "))))="")+(UPPER(TRIM(CLEAN(SUBSTITUTE(rate_Group&amp;""," "," "))))=$N92)&gt;0)*((UPPER(TRIM(CLEAN(SUBSTITUTE(rate_COO&amp;""," "," "))))="")+(UPPER(TRIM(CLEAN(SUBSTITUTE(rate_COO&amp;""," "," "))))=$E92)&gt;0)*((UPPER(TRIM(CLEAN(SUBSTITUTE(rate_USMCA&amp;""," "," "))))="")+(UPPER(TRIM(CLEAN(SUBSTITUTE(rate_USMCA&amp;""," "," "))))=IF(UPPER(TRIM(CLEAN(SUBSTITUTE(Items!F92&amp;""," "," "))))="Y","Y","N"))&gt;0)*((1+(UPPER(TRIM(CLEAN(SUBSTITUTE(rate_Group&amp;""," "," "))))&lt;&gt;"")+2*(UPPER(TRIM(CLEAN(SUBSTITUTE(rate_USMCA&amp;""," "," "))))&lt;&gt;"")+4*(UPPER(TRIM(CLEAN(SUBSTITUTE(rate_COO&amp;""," "," "))))&lt;&gt;""))*100+ROW(rate_Rate)-4))))</f>
        <v/>
      </c>
      <c r="AP92" s="13">
        <f>IF($AO92=0,0,SUMPRODUCT(ISNUMBER(rate_Rate)*((UPPER(TRIM(CLEAN(SUBSTITUTE(rate_Group&amp;""," "," "))))="")+(UPPER(TRIM(CLEAN(SUBSTITUTE(rate_Group&amp;""," "," "))))=$N92)&gt;0)*((UPPER(TRIM(CLEAN(SUBSTITUTE(rate_COO&amp;""," "," "))))="")+(UPPER(TRIM(CLEAN(SUBSTITUTE(rate_COO&amp;""," "," "))))=$E92)&gt;0)*((UPPER(TRIM(CLEAN(SUBSTITUTE(rate_USMCA&amp;""," "," "))))="")+(UPPER(TRIM(CLEAN(SUBSTITUTE(rate_USMCA&amp;""," "," "))))=IF(UPPER(TRIM(CLEAN(SUBSTITUTE(Items!F92&amp;""," "," "))))="Y","Y","N"))&gt;0)*((1+(UPPER(TRIM(CLEAN(SUBSTITUTE(rate_Group&amp;""," "," "))))&lt;&gt;"")+2*(UPPER(TRIM(CLEAN(SUBSTITUTE(rate_USMCA&amp;""," "," "))))&lt;&gt;"")+4*(UPPER(TRIM(CLEAN(SUBSTITUTE(rate_COO&amp;""," "," "))))&lt;&gt;""))=INT($AO92/100))))</f>
        <v/>
      </c>
      <c r="AQ92" s="13">
        <f>IF($A92="",0,IFERROR(MATCH($AL92,det_Key,0),0))</f>
        <v/>
      </c>
    </row>
    <row r="93">
      <c r="A93" s="10">
        <f>IF(TRIM(CLEAN(SUBSTITUTE(Items!A93&amp;""," "," ")))="","",TRIM(CLEAN(SUBSTITUTE(Items!A93&amp;""," "," "))))</f>
        <v/>
      </c>
      <c r="B93" s="10">
        <f>IF($A93="","",Items!B93&amp;"")</f>
        <v/>
      </c>
      <c r="C93" s="10">
        <f>IF($A93="","",SUBSTITUTE(SUBSTITUTE(SUBSTITUTE(SUBSTITUTE(CLEAN(Items!D93&amp;"")," ",""),".","")," ",""),"-",""))</f>
        <v/>
      </c>
      <c r="D93" s="10">
        <f>IF($A93="","",LEFT($C93,2))</f>
        <v/>
      </c>
      <c r="E93" s="10">
        <f>IF($A93="","",UPPER(TRIM(CLEAN(SUBSTITUTE(Items!E93&amp;""," "," ")))))</f>
        <v/>
      </c>
      <c r="F93" s="10">
        <f>IF($A93="","",IF(UPPER(TRIM(CLEAN(SUBSTITUTE(Items!C93&amp;""," "," "))))=UPPER(TRIM(CLEAN(SUBSTITUTE(act_Country&amp;""," "," ")))),"Y","N"))</f>
        <v/>
      </c>
      <c r="G93" s="10">
        <f>IF($A93="","",IF($AM93&gt;0,"Y","N"))</f>
        <v/>
      </c>
      <c r="H93" s="10">
        <f>IF($A93="","",IF(SUMPRODUCT((excl_HTS&lt;&gt;"")*(LEFT($C93,LEN(excl_HTS))=excl_HTS))&gt;0,"Y","N"))</f>
        <v/>
      </c>
      <c r="I93" s="10">
        <f>IF($A93="","",IF($E93="","N",IF(SUMPRODUCT(--(UPPER(TRIM(CLEAN(SUBSTITUTE(scope_COO&amp;""," "," "))))=$E93))&gt;0,"Y","N")))</f>
        <v/>
      </c>
      <c r="J93" s="10">
        <f>IF($A93="","",IF(AND(UPPER(TRIM(CLEAN(SUBSTITUTE(act_USMCAExempt&amp;""," "," "))))="Y",UPPER(TRIM(CLEAN(SUBSTITUTE(Items!F93&amp;""," "," "))))="Y"),"Y","N"))</f>
        <v/>
      </c>
      <c r="K93" s="10">
        <f>IF($A93="","",IF($AQ93=0,"",UPPER(TRIM(CLEAN(SUBSTITUTE(INDEX(det_Status,$AQ93)&amp;""," "," "))))))</f>
        <v/>
      </c>
      <c r="L93" s="10">
        <f>IF($A93="","",IF($F93="N","N",IF($K93="IN","Y",IF($K93="OUT","N",IF(AND($G93="Y",$H93="N",$I93="Y",$J93="N"),"Y","N")))))</f>
        <v/>
      </c>
      <c r="M93" s="10">
        <f>IF($A93="","",IF($F93="N","Out: different import country",IF($K93="IN","In: Research determination",IF($K93="OUT","Out: Research determination",IF($G93="N","Out: HTS not on scope list",IF($H93="Y","Out: HTS on exclusion list",IF($I93="N","Out: origin not on scope list",IF($J93="Y","Out: USMCA-qualifying, exempt","In: matches scope rules"))))))))</f>
        <v/>
      </c>
      <c r="N93" s="10">
        <f>IF(OR($A93="",$AM93=0),"",UPPER(TRIM(CLEAN(SUBSTITUTE(INDEX(scope_Group,MOD($AM93,1000))&amp;""," "," ")))))</f>
        <v/>
      </c>
      <c r="O93" s="10">
        <f>IF($L93&lt;&gt;"Y","",IF($AO93=0,"Default (B15)",UPPER(TRIM(CLEAN(SUBSTITUTE(INDEX(rate_ID,MOD($AO93,100))&amp;""," "," "))))))</f>
        <v/>
      </c>
      <c r="P93" s="10">
        <f>IF($L93&lt;&gt;"Y","",IF($AO93=0,IF(UPPER(TRIM(CLEAN(SUBSTITUTE(act_DefaultBase&amp;""," "," "))))="PART","PART","FULL"),IF(UPPER(TRIM(CLEAN(SUBSTITUTE(INDEX(rate_Base,MOD($AO93,100))&amp;""," "," "))))="PART","PART","FULL")))</f>
        <v/>
      </c>
      <c r="Q93" s="17">
        <f>IF($A93="","",N(Items!J93))</f>
        <v/>
      </c>
      <c r="R93" s="17">
        <f>IF($A93="","",IF($L93&lt;&gt;"Y",0,IF($AO93=0,N(act_Rate),N(INDEX(rate_Rate,MOD($AO93,100))))))</f>
        <v/>
      </c>
      <c r="S93" s="17">
        <f>IF($A93="","",IF($L93&lt;&gt;"Y",0,IF($AO93=0,IF(UPPER(TRIM(CLEAN(SUBSTITUTE(act_RateType&amp;""," "," "))))="REPLACE",N(act_PriorRate),0),IF(ISNUMBER(INDEX(rate_Prior,MOD($AO93,100))),INDEX(rate_Prior,MOD($AO93,100)),IF(UPPER(TRIM(CLEAN(SUBSTITUTE(act_RateType&amp;""," "," "))))="REPLACE",N(act_PriorRate),0)))))</f>
        <v/>
      </c>
      <c r="T93" s="17">
        <f>IF($A93="","",IF(AND($L93="Y",$P93="PART",ISNUMBER(Items!M93)),Items!M93,1))</f>
        <v/>
      </c>
      <c r="U93" s="17">
        <f>IF($A93="","",IF($L93&lt;&gt;"Y",0,IF($AQ93&gt;0,IF(ISNUMBER(INDEX(det_Displaced,$AQ93)),INDEX(det_Displaced,$AQ93),IF($AO93=0,0,N(INDEX(rate_Displaced,MOD($AO93,100))))),IF($AO93=0,0,N(INDEX(rate_Displaced,MOD($AO93,100)))))))</f>
        <v/>
      </c>
      <c r="V93" s="17">
        <f>IF($A93="","",IF($L93="Y",$Q93+$T93*($R93-$S93)-$U93,$Q93))</f>
        <v/>
      </c>
      <c r="W93" s="18">
        <f>IF($A93="","",N(Items!H93)*$Q93)</f>
        <v/>
      </c>
      <c r="X93" s="18">
        <f>IF($A93="","",N(Items!H93)*$V93)</f>
        <v/>
      </c>
      <c r="Y93" s="18">
        <f>IF($A93="","",$X93-$W93)</f>
        <v/>
      </c>
      <c r="Z93" s="18">
        <f>IF($A93="","",N(Items!K93)+$Y93)</f>
        <v/>
      </c>
      <c r="AA93" s="17">
        <f>IF($A93="","",IF(N(Items!L93)=0,"",(N(Items!L93)-N(Items!K93))/N(Items!L93)))</f>
        <v/>
      </c>
      <c r="AB93" s="17">
        <f>IF($A93="","",IF(N(Items!L93)=0,"",(N(Items!L93)-$Z93)/N(Items!L93)))</f>
        <v/>
      </c>
      <c r="AC93" s="17">
        <f>IF(OR($AA93="",$AB93=""),"",$AB93-$AA93)</f>
        <v/>
      </c>
      <c r="AD93" s="13">
        <f>IF($A93="","",N(Items!I93))</f>
        <v/>
      </c>
      <c r="AE93" s="19">
        <f>IF($A93="","",$Y93*$AD93)</f>
        <v/>
      </c>
      <c r="AF93" s="10">
        <f>IF($A93="","",IF(N(Items!L93)&gt;0,"Y","N"))</f>
        <v/>
      </c>
      <c r="AG93" s="19">
        <f>IF($A93="","",IF($AF93="Y",N(Items!L93)*$AD93,0))</f>
        <v/>
      </c>
      <c r="AH93" s="19">
        <f>IF($A93="","",IF($AF93="Y",(N(Items!L93)-N(Items!K93))*$AD93,0))</f>
        <v/>
      </c>
      <c r="AI93" s="19">
        <f>IF($A93="","",IF($AF93="Y",$AH93-$AE93,0))</f>
        <v/>
      </c>
      <c r="AJ93" s="10">
        <f>IF($A93="","",IF(COUNTIF($AL$5:$AL$254,$AL93)&gt;1,"CHECK: duplicate item and import country",IF(TRIM(CLEAN(SUBSTITUTE(Items!C93&amp;""," "," ")))="","CHECK: import country missing",IF(AND(UPPER(TRIM(CLEAN(SUBSTITUTE(Items!C93&amp;""," "," "))))&lt;&gt;"US",UPPER(TRIM(CLEAN(SUBSTITUTE(Items!C93&amp;""," "," "))))&lt;&gt;"CA",UPPER(TRIM(CLEAN(SUBSTITUTE(Items!C93&amp;""," "," "))))&lt;&gt;"MX"),"CHECK: import country must be US, CA or MX",IF(NOT(AND(LEN($C93)=10,IFERROR(TEXT(VALUE($C93),REPT("0",LEN($C93)))=$C93,FALSE))),"CHECK: HTS must be 10 digits",IF(LEN($E93)&lt;&gt;2,"CHECK: origin code missing or not 2 letters",IF(TRIM(CLEAN(SUBSTITUTE(Items!G93&amp;""," "," ")))="","CHECK: unit of measure missing",IF(OR(Items!H93="",Items!J93="",Items!K93=""),"CHECK: value, rate or cost missing",IF(OR(NOT(ISNUMBER(Items!H93)),NOT(ISNUMBER(Items!J93)),NOT(ISNUMBER(Items!K93)),AND(Items!I93&lt;&gt;"",NOT(ISNUMBER(Items!I93))),AND(Items!L93&lt;&gt;"",NOT(ISNUMBER(Items!L93))),AND(Items!M93&lt;&gt;"",NOT(ISNUMBER(Items!M93)))),"CHECK: text in a number column",IF(AND(ISNUMBER(Items!M93),OR(N(Items!M93)&lt;0,N(Items!M93)&gt;1)),"CHECK: dutiable share must be 0% to 100%",IF(AND(UPPER(TRIM(CLEAN(SUBSTITUTE(Items!F93&amp;""," "," "))))&lt;&gt;"",UPPER(TRIM(CLEAN(SUBSTITUTE(Items!F93&amp;""," "," "))))&lt;&gt;"Y",UPPER(TRIM(CLEAN(SUBSTITUTE(Items!F93&amp;""," "," "))))&lt;&gt;"N"),"CHECK: USMCA flag must be Y, N or blank",IF(AND(UPPER(TRIM(CLEAN(SUBSTITUTE(Items!F93&amp;""," "," "))))="Y",$E93&lt;&gt;"US",$E93&lt;&gt;"CA",$E93&lt;&gt;"MX"),"CHECK: USMCA flag on an origin other than US, CA or MX",IF(AND($L93="Y",$AO93=0,NOT(ISNUMBER(act_Rate))),"CHECK: in scope but no rate (add a rate line or B15)",IF(AND($L93="Y",UPPER(TRIM(CLEAN(SUBSTITUTE(act_RateType&amp;""," "," "))))="REPLACE",NOT(ISNUMBER(act_PriorRate)),IF($AO93=0,TRUE,NOT(ISNUMBER(INDEX(rate_Prior,MOD($AO93,100)))))),"CHECK: REPLACE but no earlier rate (B17 or the rate line's AD)",IF(AND($L93="Y",$AP93&gt;1),"CHECK: two rate lines match equally",IF(AND($L93="Y",$AN93&gt;1),"CHECK: HTS prefix listed twice on the scope list",IF(AND($L93="Y",$P93="PART",NOT(ISNUMBER(Items!M93))),"CHECK: dutiable share missing (PART base)",IF(AND($L93="Y",$P93="FULL",ISNUMBER(Items!M93),N(Items!M93)&lt;&gt;1),"CHECK: dutiable share entered, but the rate taxes the full value",IF(AND($L93="Y",$Q93+0.0000001&lt;$T93*$S93+$U93),"CHECK: current rate is below the duty being replaced or displaced",IF(AND($L93="Y",$AD93=0),"NOTE: in scope, no quantity",IF(AND($L93="Y",$AF93="N"),"NOTE: in scope, no sell price (left out of margin %)",IF(AND($L93="Y",N(Items!H93)&gt;N(Items!K93)),"NOTE: customs value above standard cost (check unit of measure)",IF(AND($L93="Y",$Q93&gt;1),"NOTE: current rate above 100% (check it was entered as a percentage)","OK")))))))))))))))))))))))</f>
        <v/>
      </c>
      <c r="AK93" s="20">
        <f>IF($A93="","",IF(AND($L93="Y",$AE93&lt;&gt;0),ABS($AE93)+ROW()/1000000000,""))</f>
        <v/>
      </c>
      <c r="AL93" s="10">
        <f>IF($A93="","",UPPER($A93)&amp;"/"&amp;UPPER(TRIM(CLEAN(SUBSTITUTE(Items!C93&amp;""," "," ")))))</f>
        <v/>
      </c>
      <c r="AM93" s="13">
        <f>IF($A93="",0,SUMPRODUCT(MAX((scope_HTS&lt;&gt;"")*(LEFT($C93,LEN(scope_HTS))=scope_HTS)*(LEN(scope_HTS)*1000+ROW(scope_HTS)-4))))</f>
        <v/>
      </c>
      <c r="AN93" s="13">
        <f>IF($AM93=0,0,SUMPRODUCT((scope_HTS&lt;&gt;"")*(LEFT($C93,LEN(scope_HTS))=scope_HTS)*(LEN(scope_HTS)=INT($AM93/1000))))</f>
        <v/>
      </c>
      <c r="AO93" s="13">
        <f>IF($L93&lt;&gt;"Y",0,SUMPRODUCT(MAX(ISNUMBER(rate_Rate)*((UPPER(TRIM(CLEAN(SUBSTITUTE(rate_Group&amp;""," "," "))))="")+(UPPER(TRIM(CLEAN(SUBSTITUTE(rate_Group&amp;""," "," "))))=$N93)&gt;0)*((UPPER(TRIM(CLEAN(SUBSTITUTE(rate_COO&amp;""," "," "))))="")+(UPPER(TRIM(CLEAN(SUBSTITUTE(rate_COO&amp;""," "," "))))=$E93)&gt;0)*((UPPER(TRIM(CLEAN(SUBSTITUTE(rate_USMCA&amp;""," "," "))))="")+(UPPER(TRIM(CLEAN(SUBSTITUTE(rate_USMCA&amp;""," "," "))))=IF(UPPER(TRIM(CLEAN(SUBSTITUTE(Items!F93&amp;""," "," "))))="Y","Y","N"))&gt;0)*((1+(UPPER(TRIM(CLEAN(SUBSTITUTE(rate_Group&amp;""," "," "))))&lt;&gt;"")+2*(UPPER(TRIM(CLEAN(SUBSTITUTE(rate_USMCA&amp;""," "," "))))&lt;&gt;"")+4*(UPPER(TRIM(CLEAN(SUBSTITUTE(rate_COO&amp;""," "," "))))&lt;&gt;""))*100+ROW(rate_Rate)-4))))</f>
        <v/>
      </c>
      <c r="AP93" s="13">
        <f>IF($AO93=0,0,SUMPRODUCT(ISNUMBER(rate_Rate)*((UPPER(TRIM(CLEAN(SUBSTITUTE(rate_Group&amp;""," "," "))))="")+(UPPER(TRIM(CLEAN(SUBSTITUTE(rate_Group&amp;""," "," "))))=$N93)&gt;0)*((UPPER(TRIM(CLEAN(SUBSTITUTE(rate_COO&amp;""," "," "))))="")+(UPPER(TRIM(CLEAN(SUBSTITUTE(rate_COO&amp;""," "," "))))=$E93)&gt;0)*((UPPER(TRIM(CLEAN(SUBSTITUTE(rate_USMCA&amp;""," "," "))))="")+(UPPER(TRIM(CLEAN(SUBSTITUTE(rate_USMCA&amp;""," "," "))))=IF(UPPER(TRIM(CLEAN(SUBSTITUTE(Items!F93&amp;""," "," "))))="Y","Y","N"))&gt;0)*((1+(UPPER(TRIM(CLEAN(SUBSTITUTE(rate_Group&amp;""," "," "))))&lt;&gt;"")+2*(UPPER(TRIM(CLEAN(SUBSTITUTE(rate_USMCA&amp;""," "," "))))&lt;&gt;"")+4*(UPPER(TRIM(CLEAN(SUBSTITUTE(rate_COO&amp;""," "," "))))&lt;&gt;""))=INT($AO93/100))))</f>
        <v/>
      </c>
      <c r="AQ93" s="13">
        <f>IF($A93="",0,IFERROR(MATCH($AL93,det_Key,0),0))</f>
        <v/>
      </c>
    </row>
    <row r="94">
      <c r="A94" s="10">
        <f>IF(TRIM(CLEAN(SUBSTITUTE(Items!A94&amp;""," "," ")))="","",TRIM(CLEAN(SUBSTITUTE(Items!A94&amp;""," "," "))))</f>
        <v/>
      </c>
      <c r="B94" s="10">
        <f>IF($A94="","",Items!B94&amp;"")</f>
        <v/>
      </c>
      <c r="C94" s="10">
        <f>IF($A94="","",SUBSTITUTE(SUBSTITUTE(SUBSTITUTE(SUBSTITUTE(CLEAN(Items!D94&amp;"")," ",""),".","")," ",""),"-",""))</f>
        <v/>
      </c>
      <c r="D94" s="10">
        <f>IF($A94="","",LEFT($C94,2))</f>
        <v/>
      </c>
      <c r="E94" s="10">
        <f>IF($A94="","",UPPER(TRIM(CLEAN(SUBSTITUTE(Items!E94&amp;""," "," ")))))</f>
        <v/>
      </c>
      <c r="F94" s="10">
        <f>IF($A94="","",IF(UPPER(TRIM(CLEAN(SUBSTITUTE(Items!C94&amp;""," "," "))))=UPPER(TRIM(CLEAN(SUBSTITUTE(act_Country&amp;""," "," ")))),"Y","N"))</f>
        <v/>
      </c>
      <c r="G94" s="10">
        <f>IF($A94="","",IF($AM94&gt;0,"Y","N"))</f>
        <v/>
      </c>
      <c r="H94" s="10">
        <f>IF($A94="","",IF(SUMPRODUCT((excl_HTS&lt;&gt;"")*(LEFT($C94,LEN(excl_HTS))=excl_HTS))&gt;0,"Y","N"))</f>
        <v/>
      </c>
      <c r="I94" s="10">
        <f>IF($A94="","",IF($E94="","N",IF(SUMPRODUCT(--(UPPER(TRIM(CLEAN(SUBSTITUTE(scope_COO&amp;""," "," "))))=$E94))&gt;0,"Y","N")))</f>
        <v/>
      </c>
      <c r="J94" s="10">
        <f>IF($A94="","",IF(AND(UPPER(TRIM(CLEAN(SUBSTITUTE(act_USMCAExempt&amp;""," "," "))))="Y",UPPER(TRIM(CLEAN(SUBSTITUTE(Items!F94&amp;""," "," "))))="Y"),"Y","N"))</f>
        <v/>
      </c>
      <c r="K94" s="10">
        <f>IF($A94="","",IF($AQ94=0,"",UPPER(TRIM(CLEAN(SUBSTITUTE(INDEX(det_Status,$AQ94)&amp;""," "," "))))))</f>
        <v/>
      </c>
      <c r="L94" s="10">
        <f>IF($A94="","",IF($F94="N","N",IF($K94="IN","Y",IF($K94="OUT","N",IF(AND($G94="Y",$H94="N",$I94="Y",$J94="N"),"Y","N")))))</f>
        <v/>
      </c>
      <c r="M94" s="10">
        <f>IF($A94="","",IF($F94="N","Out: different import country",IF($K94="IN","In: Research determination",IF($K94="OUT","Out: Research determination",IF($G94="N","Out: HTS not on scope list",IF($H94="Y","Out: HTS on exclusion list",IF($I94="N","Out: origin not on scope list",IF($J94="Y","Out: USMCA-qualifying, exempt","In: matches scope rules"))))))))</f>
        <v/>
      </c>
      <c r="N94" s="10">
        <f>IF(OR($A94="",$AM94=0),"",UPPER(TRIM(CLEAN(SUBSTITUTE(INDEX(scope_Group,MOD($AM94,1000))&amp;""," "," ")))))</f>
        <v/>
      </c>
      <c r="O94" s="10">
        <f>IF($L94&lt;&gt;"Y","",IF($AO94=0,"Default (B15)",UPPER(TRIM(CLEAN(SUBSTITUTE(INDEX(rate_ID,MOD($AO94,100))&amp;""," "," "))))))</f>
        <v/>
      </c>
      <c r="P94" s="10">
        <f>IF($L94&lt;&gt;"Y","",IF($AO94=0,IF(UPPER(TRIM(CLEAN(SUBSTITUTE(act_DefaultBase&amp;""," "," "))))="PART","PART","FULL"),IF(UPPER(TRIM(CLEAN(SUBSTITUTE(INDEX(rate_Base,MOD($AO94,100))&amp;""," "," "))))="PART","PART","FULL")))</f>
        <v/>
      </c>
      <c r="Q94" s="17">
        <f>IF($A94="","",N(Items!J94))</f>
        <v/>
      </c>
      <c r="R94" s="17">
        <f>IF($A94="","",IF($L94&lt;&gt;"Y",0,IF($AO94=0,N(act_Rate),N(INDEX(rate_Rate,MOD($AO94,100))))))</f>
        <v/>
      </c>
      <c r="S94" s="17">
        <f>IF($A94="","",IF($L94&lt;&gt;"Y",0,IF($AO94=0,IF(UPPER(TRIM(CLEAN(SUBSTITUTE(act_RateType&amp;""," "," "))))="REPLACE",N(act_PriorRate),0),IF(ISNUMBER(INDEX(rate_Prior,MOD($AO94,100))),INDEX(rate_Prior,MOD($AO94,100)),IF(UPPER(TRIM(CLEAN(SUBSTITUTE(act_RateType&amp;""," "," "))))="REPLACE",N(act_PriorRate),0)))))</f>
        <v/>
      </c>
      <c r="T94" s="17">
        <f>IF($A94="","",IF(AND($L94="Y",$P94="PART",ISNUMBER(Items!M94)),Items!M94,1))</f>
        <v/>
      </c>
      <c r="U94" s="17">
        <f>IF($A94="","",IF($L94&lt;&gt;"Y",0,IF($AQ94&gt;0,IF(ISNUMBER(INDEX(det_Displaced,$AQ94)),INDEX(det_Displaced,$AQ94),IF($AO94=0,0,N(INDEX(rate_Displaced,MOD($AO94,100))))),IF($AO94=0,0,N(INDEX(rate_Displaced,MOD($AO94,100)))))))</f>
        <v/>
      </c>
      <c r="V94" s="17">
        <f>IF($A94="","",IF($L94="Y",$Q94+$T94*($R94-$S94)-$U94,$Q94))</f>
        <v/>
      </c>
      <c r="W94" s="18">
        <f>IF($A94="","",N(Items!H94)*$Q94)</f>
        <v/>
      </c>
      <c r="X94" s="18">
        <f>IF($A94="","",N(Items!H94)*$V94)</f>
        <v/>
      </c>
      <c r="Y94" s="18">
        <f>IF($A94="","",$X94-$W94)</f>
        <v/>
      </c>
      <c r="Z94" s="18">
        <f>IF($A94="","",N(Items!K94)+$Y94)</f>
        <v/>
      </c>
      <c r="AA94" s="17">
        <f>IF($A94="","",IF(N(Items!L94)=0,"",(N(Items!L94)-N(Items!K94))/N(Items!L94)))</f>
        <v/>
      </c>
      <c r="AB94" s="17">
        <f>IF($A94="","",IF(N(Items!L94)=0,"",(N(Items!L94)-$Z94)/N(Items!L94)))</f>
        <v/>
      </c>
      <c r="AC94" s="17">
        <f>IF(OR($AA94="",$AB94=""),"",$AB94-$AA94)</f>
        <v/>
      </c>
      <c r="AD94" s="13">
        <f>IF($A94="","",N(Items!I94))</f>
        <v/>
      </c>
      <c r="AE94" s="19">
        <f>IF($A94="","",$Y94*$AD94)</f>
        <v/>
      </c>
      <c r="AF94" s="10">
        <f>IF($A94="","",IF(N(Items!L94)&gt;0,"Y","N"))</f>
        <v/>
      </c>
      <c r="AG94" s="19">
        <f>IF($A94="","",IF($AF94="Y",N(Items!L94)*$AD94,0))</f>
        <v/>
      </c>
      <c r="AH94" s="19">
        <f>IF($A94="","",IF($AF94="Y",(N(Items!L94)-N(Items!K94))*$AD94,0))</f>
        <v/>
      </c>
      <c r="AI94" s="19">
        <f>IF($A94="","",IF($AF94="Y",$AH94-$AE94,0))</f>
        <v/>
      </c>
      <c r="AJ94" s="10">
        <f>IF($A94="","",IF(COUNTIF($AL$5:$AL$254,$AL94)&gt;1,"CHECK: duplicate item and import country",IF(TRIM(CLEAN(SUBSTITUTE(Items!C94&amp;""," "," ")))="","CHECK: import country missing",IF(AND(UPPER(TRIM(CLEAN(SUBSTITUTE(Items!C94&amp;""," "," "))))&lt;&gt;"US",UPPER(TRIM(CLEAN(SUBSTITUTE(Items!C94&amp;""," "," "))))&lt;&gt;"CA",UPPER(TRIM(CLEAN(SUBSTITUTE(Items!C94&amp;""," "," "))))&lt;&gt;"MX"),"CHECK: import country must be US, CA or MX",IF(NOT(AND(LEN($C94)=10,IFERROR(TEXT(VALUE($C94),REPT("0",LEN($C94)))=$C94,FALSE))),"CHECK: HTS must be 10 digits",IF(LEN($E94)&lt;&gt;2,"CHECK: origin code missing or not 2 letters",IF(TRIM(CLEAN(SUBSTITUTE(Items!G94&amp;""," "," ")))="","CHECK: unit of measure missing",IF(OR(Items!H94="",Items!J94="",Items!K94=""),"CHECK: value, rate or cost missing",IF(OR(NOT(ISNUMBER(Items!H94)),NOT(ISNUMBER(Items!J94)),NOT(ISNUMBER(Items!K94)),AND(Items!I94&lt;&gt;"",NOT(ISNUMBER(Items!I94))),AND(Items!L94&lt;&gt;"",NOT(ISNUMBER(Items!L94))),AND(Items!M94&lt;&gt;"",NOT(ISNUMBER(Items!M94)))),"CHECK: text in a number column",IF(AND(ISNUMBER(Items!M94),OR(N(Items!M94)&lt;0,N(Items!M94)&gt;1)),"CHECK: dutiable share must be 0% to 100%",IF(AND(UPPER(TRIM(CLEAN(SUBSTITUTE(Items!F94&amp;""," "," "))))&lt;&gt;"",UPPER(TRIM(CLEAN(SUBSTITUTE(Items!F94&amp;""," "," "))))&lt;&gt;"Y",UPPER(TRIM(CLEAN(SUBSTITUTE(Items!F94&amp;""," "," "))))&lt;&gt;"N"),"CHECK: USMCA flag must be Y, N or blank",IF(AND(UPPER(TRIM(CLEAN(SUBSTITUTE(Items!F94&amp;""," "," "))))="Y",$E94&lt;&gt;"US",$E94&lt;&gt;"CA",$E94&lt;&gt;"MX"),"CHECK: USMCA flag on an origin other than US, CA or MX",IF(AND($L94="Y",$AO94=0,NOT(ISNUMBER(act_Rate))),"CHECK: in scope but no rate (add a rate line or B15)",IF(AND($L94="Y",UPPER(TRIM(CLEAN(SUBSTITUTE(act_RateType&amp;""," "," "))))="REPLACE",NOT(ISNUMBER(act_PriorRate)),IF($AO94=0,TRUE,NOT(ISNUMBER(INDEX(rate_Prior,MOD($AO94,100)))))),"CHECK: REPLACE but no earlier rate (B17 or the rate line's AD)",IF(AND($L94="Y",$AP94&gt;1),"CHECK: two rate lines match equally",IF(AND($L94="Y",$AN94&gt;1),"CHECK: HTS prefix listed twice on the scope list",IF(AND($L94="Y",$P94="PART",NOT(ISNUMBER(Items!M94))),"CHECK: dutiable share missing (PART base)",IF(AND($L94="Y",$P94="FULL",ISNUMBER(Items!M94),N(Items!M94)&lt;&gt;1),"CHECK: dutiable share entered, but the rate taxes the full value",IF(AND($L94="Y",$Q94+0.0000001&lt;$T94*$S94+$U94),"CHECK: current rate is below the duty being replaced or displaced",IF(AND($L94="Y",$AD94=0),"NOTE: in scope, no quantity",IF(AND($L94="Y",$AF94="N"),"NOTE: in scope, no sell price (left out of margin %)",IF(AND($L94="Y",N(Items!H94)&gt;N(Items!K94)),"NOTE: customs value above standard cost (check unit of measure)",IF(AND($L94="Y",$Q94&gt;1),"NOTE: current rate above 100% (check it was entered as a percentage)","OK")))))))))))))))))))))))</f>
        <v/>
      </c>
      <c r="AK94" s="20">
        <f>IF($A94="","",IF(AND($L94="Y",$AE94&lt;&gt;0),ABS($AE94)+ROW()/1000000000,""))</f>
        <v/>
      </c>
      <c r="AL94" s="10">
        <f>IF($A94="","",UPPER($A94)&amp;"/"&amp;UPPER(TRIM(CLEAN(SUBSTITUTE(Items!C94&amp;""," "," ")))))</f>
        <v/>
      </c>
      <c r="AM94" s="13">
        <f>IF($A94="",0,SUMPRODUCT(MAX((scope_HTS&lt;&gt;"")*(LEFT($C94,LEN(scope_HTS))=scope_HTS)*(LEN(scope_HTS)*1000+ROW(scope_HTS)-4))))</f>
        <v/>
      </c>
      <c r="AN94" s="13">
        <f>IF($AM94=0,0,SUMPRODUCT((scope_HTS&lt;&gt;"")*(LEFT($C94,LEN(scope_HTS))=scope_HTS)*(LEN(scope_HTS)=INT($AM94/1000))))</f>
        <v/>
      </c>
      <c r="AO94" s="13">
        <f>IF($L94&lt;&gt;"Y",0,SUMPRODUCT(MAX(ISNUMBER(rate_Rate)*((UPPER(TRIM(CLEAN(SUBSTITUTE(rate_Group&amp;""," "," "))))="")+(UPPER(TRIM(CLEAN(SUBSTITUTE(rate_Group&amp;""," "," "))))=$N94)&gt;0)*((UPPER(TRIM(CLEAN(SUBSTITUTE(rate_COO&amp;""," "," "))))="")+(UPPER(TRIM(CLEAN(SUBSTITUTE(rate_COO&amp;""," "," "))))=$E94)&gt;0)*((UPPER(TRIM(CLEAN(SUBSTITUTE(rate_USMCA&amp;""," "," "))))="")+(UPPER(TRIM(CLEAN(SUBSTITUTE(rate_USMCA&amp;""," "," "))))=IF(UPPER(TRIM(CLEAN(SUBSTITUTE(Items!F94&amp;""," "," "))))="Y","Y","N"))&gt;0)*((1+(UPPER(TRIM(CLEAN(SUBSTITUTE(rate_Group&amp;""," "," "))))&lt;&gt;"")+2*(UPPER(TRIM(CLEAN(SUBSTITUTE(rate_USMCA&amp;""," "," "))))&lt;&gt;"")+4*(UPPER(TRIM(CLEAN(SUBSTITUTE(rate_COO&amp;""," "," "))))&lt;&gt;""))*100+ROW(rate_Rate)-4))))</f>
        <v/>
      </c>
      <c r="AP94" s="13">
        <f>IF($AO94=0,0,SUMPRODUCT(ISNUMBER(rate_Rate)*((UPPER(TRIM(CLEAN(SUBSTITUTE(rate_Group&amp;""," "," "))))="")+(UPPER(TRIM(CLEAN(SUBSTITUTE(rate_Group&amp;""," "," "))))=$N94)&gt;0)*((UPPER(TRIM(CLEAN(SUBSTITUTE(rate_COO&amp;""," "," "))))="")+(UPPER(TRIM(CLEAN(SUBSTITUTE(rate_COO&amp;""," "," "))))=$E94)&gt;0)*((UPPER(TRIM(CLEAN(SUBSTITUTE(rate_USMCA&amp;""," "," "))))="")+(UPPER(TRIM(CLEAN(SUBSTITUTE(rate_USMCA&amp;""," "," "))))=IF(UPPER(TRIM(CLEAN(SUBSTITUTE(Items!F94&amp;""," "," "))))="Y","Y","N"))&gt;0)*((1+(UPPER(TRIM(CLEAN(SUBSTITUTE(rate_Group&amp;""," "," "))))&lt;&gt;"")+2*(UPPER(TRIM(CLEAN(SUBSTITUTE(rate_USMCA&amp;""," "," "))))&lt;&gt;"")+4*(UPPER(TRIM(CLEAN(SUBSTITUTE(rate_COO&amp;""," "," "))))&lt;&gt;""))=INT($AO94/100))))</f>
        <v/>
      </c>
      <c r="AQ94" s="13">
        <f>IF($A94="",0,IFERROR(MATCH($AL94,det_Key,0),0))</f>
        <v/>
      </c>
    </row>
    <row r="95">
      <c r="A95" s="10">
        <f>IF(TRIM(CLEAN(SUBSTITUTE(Items!A95&amp;""," "," ")))="","",TRIM(CLEAN(SUBSTITUTE(Items!A95&amp;""," "," "))))</f>
        <v/>
      </c>
      <c r="B95" s="10">
        <f>IF($A95="","",Items!B95&amp;"")</f>
        <v/>
      </c>
      <c r="C95" s="10">
        <f>IF($A95="","",SUBSTITUTE(SUBSTITUTE(SUBSTITUTE(SUBSTITUTE(CLEAN(Items!D95&amp;"")," ",""),".","")," ",""),"-",""))</f>
        <v/>
      </c>
      <c r="D95" s="10">
        <f>IF($A95="","",LEFT($C95,2))</f>
        <v/>
      </c>
      <c r="E95" s="10">
        <f>IF($A95="","",UPPER(TRIM(CLEAN(SUBSTITUTE(Items!E95&amp;""," "," ")))))</f>
        <v/>
      </c>
      <c r="F95" s="10">
        <f>IF($A95="","",IF(UPPER(TRIM(CLEAN(SUBSTITUTE(Items!C95&amp;""," "," "))))=UPPER(TRIM(CLEAN(SUBSTITUTE(act_Country&amp;""," "," ")))),"Y","N"))</f>
        <v/>
      </c>
      <c r="G95" s="10">
        <f>IF($A95="","",IF($AM95&gt;0,"Y","N"))</f>
        <v/>
      </c>
      <c r="H95" s="10">
        <f>IF($A95="","",IF(SUMPRODUCT((excl_HTS&lt;&gt;"")*(LEFT($C95,LEN(excl_HTS))=excl_HTS))&gt;0,"Y","N"))</f>
        <v/>
      </c>
      <c r="I95" s="10">
        <f>IF($A95="","",IF($E95="","N",IF(SUMPRODUCT(--(UPPER(TRIM(CLEAN(SUBSTITUTE(scope_COO&amp;""," "," "))))=$E95))&gt;0,"Y","N")))</f>
        <v/>
      </c>
      <c r="J95" s="10">
        <f>IF($A95="","",IF(AND(UPPER(TRIM(CLEAN(SUBSTITUTE(act_USMCAExempt&amp;""," "," "))))="Y",UPPER(TRIM(CLEAN(SUBSTITUTE(Items!F95&amp;""," "," "))))="Y"),"Y","N"))</f>
        <v/>
      </c>
      <c r="K95" s="10">
        <f>IF($A95="","",IF($AQ95=0,"",UPPER(TRIM(CLEAN(SUBSTITUTE(INDEX(det_Status,$AQ95)&amp;""," "," "))))))</f>
        <v/>
      </c>
      <c r="L95" s="10">
        <f>IF($A95="","",IF($F95="N","N",IF($K95="IN","Y",IF($K95="OUT","N",IF(AND($G95="Y",$H95="N",$I95="Y",$J95="N"),"Y","N")))))</f>
        <v/>
      </c>
      <c r="M95" s="10">
        <f>IF($A95="","",IF($F95="N","Out: different import country",IF($K95="IN","In: Research determination",IF($K95="OUT","Out: Research determination",IF($G95="N","Out: HTS not on scope list",IF($H95="Y","Out: HTS on exclusion list",IF($I95="N","Out: origin not on scope list",IF($J95="Y","Out: USMCA-qualifying, exempt","In: matches scope rules"))))))))</f>
        <v/>
      </c>
      <c r="N95" s="10">
        <f>IF(OR($A95="",$AM95=0),"",UPPER(TRIM(CLEAN(SUBSTITUTE(INDEX(scope_Group,MOD($AM95,1000))&amp;""," "," ")))))</f>
        <v/>
      </c>
      <c r="O95" s="10">
        <f>IF($L95&lt;&gt;"Y","",IF($AO95=0,"Default (B15)",UPPER(TRIM(CLEAN(SUBSTITUTE(INDEX(rate_ID,MOD($AO95,100))&amp;""," "," "))))))</f>
        <v/>
      </c>
      <c r="P95" s="10">
        <f>IF($L95&lt;&gt;"Y","",IF($AO95=0,IF(UPPER(TRIM(CLEAN(SUBSTITUTE(act_DefaultBase&amp;""," "," "))))="PART","PART","FULL"),IF(UPPER(TRIM(CLEAN(SUBSTITUTE(INDEX(rate_Base,MOD($AO95,100))&amp;""," "," "))))="PART","PART","FULL")))</f>
        <v/>
      </c>
      <c r="Q95" s="17">
        <f>IF($A95="","",N(Items!J95))</f>
        <v/>
      </c>
      <c r="R95" s="17">
        <f>IF($A95="","",IF($L95&lt;&gt;"Y",0,IF($AO95=0,N(act_Rate),N(INDEX(rate_Rate,MOD($AO95,100))))))</f>
        <v/>
      </c>
      <c r="S95" s="17">
        <f>IF($A95="","",IF($L95&lt;&gt;"Y",0,IF($AO95=0,IF(UPPER(TRIM(CLEAN(SUBSTITUTE(act_RateType&amp;""," "," "))))="REPLACE",N(act_PriorRate),0),IF(ISNUMBER(INDEX(rate_Prior,MOD($AO95,100))),INDEX(rate_Prior,MOD($AO95,100)),IF(UPPER(TRIM(CLEAN(SUBSTITUTE(act_RateType&amp;""," "," "))))="REPLACE",N(act_PriorRate),0)))))</f>
        <v/>
      </c>
      <c r="T95" s="17">
        <f>IF($A95="","",IF(AND($L95="Y",$P95="PART",ISNUMBER(Items!M95)),Items!M95,1))</f>
        <v/>
      </c>
      <c r="U95" s="17">
        <f>IF($A95="","",IF($L95&lt;&gt;"Y",0,IF($AQ95&gt;0,IF(ISNUMBER(INDEX(det_Displaced,$AQ95)),INDEX(det_Displaced,$AQ95),IF($AO95=0,0,N(INDEX(rate_Displaced,MOD($AO95,100))))),IF($AO95=0,0,N(INDEX(rate_Displaced,MOD($AO95,100)))))))</f>
        <v/>
      </c>
      <c r="V95" s="17">
        <f>IF($A95="","",IF($L95="Y",$Q95+$T95*($R95-$S95)-$U95,$Q95))</f>
        <v/>
      </c>
      <c r="W95" s="18">
        <f>IF($A95="","",N(Items!H95)*$Q95)</f>
        <v/>
      </c>
      <c r="X95" s="18">
        <f>IF($A95="","",N(Items!H95)*$V95)</f>
        <v/>
      </c>
      <c r="Y95" s="18">
        <f>IF($A95="","",$X95-$W95)</f>
        <v/>
      </c>
      <c r="Z95" s="18">
        <f>IF($A95="","",N(Items!K95)+$Y95)</f>
        <v/>
      </c>
      <c r="AA95" s="17">
        <f>IF($A95="","",IF(N(Items!L95)=0,"",(N(Items!L95)-N(Items!K95))/N(Items!L95)))</f>
        <v/>
      </c>
      <c r="AB95" s="17">
        <f>IF($A95="","",IF(N(Items!L95)=0,"",(N(Items!L95)-$Z95)/N(Items!L95)))</f>
        <v/>
      </c>
      <c r="AC95" s="17">
        <f>IF(OR($AA95="",$AB95=""),"",$AB95-$AA95)</f>
        <v/>
      </c>
      <c r="AD95" s="13">
        <f>IF($A95="","",N(Items!I95))</f>
        <v/>
      </c>
      <c r="AE95" s="19">
        <f>IF($A95="","",$Y95*$AD95)</f>
        <v/>
      </c>
      <c r="AF95" s="10">
        <f>IF($A95="","",IF(N(Items!L95)&gt;0,"Y","N"))</f>
        <v/>
      </c>
      <c r="AG95" s="19">
        <f>IF($A95="","",IF($AF95="Y",N(Items!L95)*$AD95,0))</f>
        <v/>
      </c>
      <c r="AH95" s="19">
        <f>IF($A95="","",IF($AF95="Y",(N(Items!L95)-N(Items!K95))*$AD95,0))</f>
        <v/>
      </c>
      <c r="AI95" s="19">
        <f>IF($A95="","",IF($AF95="Y",$AH95-$AE95,0))</f>
        <v/>
      </c>
      <c r="AJ95" s="10">
        <f>IF($A95="","",IF(COUNTIF($AL$5:$AL$254,$AL95)&gt;1,"CHECK: duplicate item and import country",IF(TRIM(CLEAN(SUBSTITUTE(Items!C95&amp;""," "," ")))="","CHECK: import country missing",IF(AND(UPPER(TRIM(CLEAN(SUBSTITUTE(Items!C95&amp;""," "," "))))&lt;&gt;"US",UPPER(TRIM(CLEAN(SUBSTITUTE(Items!C95&amp;""," "," "))))&lt;&gt;"CA",UPPER(TRIM(CLEAN(SUBSTITUTE(Items!C95&amp;""," "," "))))&lt;&gt;"MX"),"CHECK: import country must be US, CA or MX",IF(NOT(AND(LEN($C95)=10,IFERROR(TEXT(VALUE($C95),REPT("0",LEN($C95)))=$C95,FALSE))),"CHECK: HTS must be 10 digits",IF(LEN($E95)&lt;&gt;2,"CHECK: origin code missing or not 2 letters",IF(TRIM(CLEAN(SUBSTITUTE(Items!G95&amp;""," "," ")))="","CHECK: unit of measure missing",IF(OR(Items!H95="",Items!J95="",Items!K95=""),"CHECK: value, rate or cost missing",IF(OR(NOT(ISNUMBER(Items!H95)),NOT(ISNUMBER(Items!J95)),NOT(ISNUMBER(Items!K95)),AND(Items!I95&lt;&gt;"",NOT(ISNUMBER(Items!I95))),AND(Items!L95&lt;&gt;"",NOT(ISNUMBER(Items!L95))),AND(Items!M95&lt;&gt;"",NOT(ISNUMBER(Items!M95)))),"CHECK: text in a number column",IF(AND(ISNUMBER(Items!M95),OR(N(Items!M95)&lt;0,N(Items!M95)&gt;1)),"CHECK: dutiable share must be 0% to 100%",IF(AND(UPPER(TRIM(CLEAN(SUBSTITUTE(Items!F95&amp;""," "," "))))&lt;&gt;"",UPPER(TRIM(CLEAN(SUBSTITUTE(Items!F95&amp;""," "," "))))&lt;&gt;"Y",UPPER(TRIM(CLEAN(SUBSTITUTE(Items!F95&amp;""," "," "))))&lt;&gt;"N"),"CHECK: USMCA flag must be Y, N or blank",IF(AND(UPPER(TRIM(CLEAN(SUBSTITUTE(Items!F95&amp;""," "," "))))="Y",$E95&lt;&gt;"US",$E95&lt;&gt;"CA",$E95&lt;&gt;"MX"),"CHECK: USMCA flag on an origin other than US, CA or MX",IF(AND($L95="Y",$AO95=0,NOT(ISNUMBER(act_Rate))),"CHECK: in scope but no rate (add a rate line or B15)",IF(AND($L95="Y",UPPER(TRIM(CLEAN(SUBSTITUTE(act_RateType&amp;""," "," "))))="REPLACE",NOT(ISNUMBER(act_PriorRate)),IF($AO95=0,TRUE,NOT(ISNUMBER(INDEX(rate_Prior,MOD($AO95,100)))))),"CHECK: REPLACE but no earlier rate (B17 or the rate line's AD)",IF(AND($L95="Y",$AP95&gt;1),"CHECK: two rate lines match equally",IF(AND($L95="Y",$AN95&gt;1),"CHECK: HTS prefix listed twice on the scope list",IF(AND($L95="Y",$P95="PART",NOT(ISNUMBER(Items!M95))),"CHECK: dutiable share missing (PART base)",IF(AND($L95="Y",$P95="FULL",ISNUMBER(Items!M95),N(Items!M95)&lt;&gt;1),"CHECK: dutiable share entered, but the rate taxes the full value",IF(AND($L95="Y",$Q95+0.0000001&lt;$T95*$S95+$U95),"CHECK: current rate is below the duty being replaced or displaced",IF(AND($L95="Y",$AD95=0),"NOTE: in scope, no quantity",IF(AND($L95="Y",$AF95="N"),"NOTE: in scope, no sell price (left out of margin %)",IF(AND($L95="Y",N(Items!H95)&gt;N(Items!K95)),"NOTE: customs value above standard cost (check unit of measure)",IF(AND($L95="Y",$Q95&gt;1),"NOTE: current rate above 100% (check it was entered as a percentage)","OK")))))))))))))))))))))))</f>
        <v/>
      </c>
      <c r="AK95" s="20">
        <f>IF($A95="","",IF(AND($L95="Y",$AE95&lt;&gt;0),ABS($AE95)+ROW()/1000000000,""))</f>
        <v/>
      </c>
      <c r="AL95" s="10">
        <f>IF($A95="","",UPPER($A95)&amp;"/"&amp;UPPER(TRIM(CLEAN(SUBSTITUTE(Items!C95&amp;""," "," ")))))</f>
        <v/>
      </c>
      <c r="AM95" s="13">
        <f>IF($A95="",0,SUMPRODUCT(MAX((scope_HTS&lt;&gt;"")*(LEFT($C95,LEN(scope_HTS))=scope_HTS)*(LEN(scope_HTS)*1000+ROW(scope_HTS)-4))))</f>
        <v/>
      </c>
      <c r="AN95" s="13">
        <f>IF($AM95=0,0,SUMPRODUCT((scope_HTS&lt;&gt;"")*(LEFT($C95,LEN(scope_HTS))=scope_HTS)*(LEN(scope_HTS)=INT($AM95/1000))))</f>
        <v/>
      </c>
      <c r="AO95" s="13">
        <f>IF($L95&lt;&gt;"Y",0,SUMPRODUCT(MAX(ISNUMBER(rate_Rate)*((UPPER(TRIM(CLEAN(SUBSTITUTE(rate_Group&amp;""," "," "))))="")+(UPPER(TRIM(CLEAN(SUBSTITUTE(rate_Group&amp;""," "," "))))=$N95)&gt;0)*((UPPER(TRIM(CLEAN(SUBSTITUTE(rate_COO&amp;""," "," "))))="")+(UPPER(TRIM(CLEAN(SUBSTITUTE(rate_COO&amp;""," "," "))))=$E95)&gt;0)*((UPPER(TRIM(CLEAN(SUBSTITUTE(rate_USMCA&amp;""," "," "))))="")+(UPPER(TRIM(CLEAN(SUBSTITUTE(rate_USMCA&amp;""," "," "))))=IF(UPPER(TRIM(CLEAN(SUBSTITUTE(Items!F95&amp;""," "," "))))="Y","Y","N"))&gt;0)*((1+(UPPER(TRIM(CLEAN(SUBSTITUTE(rate_Group&amp;""," "," "))))&lt;&gt;"")+2*(UPPER(TRIM(CLEAN(SUBSTITUTE(rate_USMCA&amp;""," "," "))))&lt;&gt;"")+4*(UPPER(TRIM(CLEAN(SUBSTITUTE(rate_COO&amp;""," "," "))))&lt;&gt;""))*100+ROW(rate_Rate)-4))))</f>
        <v/>
      </c>
      <c r="AP95" s="13">
        <f>IF($AO95=0,0,SUMPRODUCT(ISNUMBER(rate_Rate)*((UPPER(TRIM(CLEAN(SUBSTITUTE(rate_Group&amp;""," "," "))))="")+(UPPER(TRIM(CLEAN(SUBSTITUTE(rate_Group&amp;""," "," "))))=$N95)&gt;0)*((UPPER(TRIM(CLEAN(SUBSTITUTE(rate_COO&amp;""," "," "))))="")+(UPPER(TRIM(CLEAN(SUBSTITUTE(rate_COO&amp;""," "," "))))=$E95)&gt;0)*((UPPER(TRIM(CLEAN(SUBSTITUTE(rate_USMCA&amp;""," "," "))))="")+(UPPER(TRIM(CLEAN(SUBSTITUTE(rate_USMCA&amp;""," "," "))))=IF(UPPER(TRIM(CLEAN(SUBSTITUTE(Items!F95&amp;""," "," "))))="Y","Y","N"))&gt;0)*((1+(UPPER(TRIM(CLEAN(SUBSTITUTE(rate_Group&amp;""," "," "))))&lt;&gt;"")+2*(UPPER(TRIM(CLEAN(SUBSTITUTE(rate_USMCA&amp;""," "," "))))&lt;&gt;"")+4*(UPPER(TRIM(CLEAN(SUBSTITUTE(rate_COO&amp;""," "," "))))&lt;&gt;""))=INT($AO95/100))))</f>
        <v/>
      </c>
      <c r="AQ95" s="13">
        <f>IF($A95="",0,IFERROR(MATCH($AL95,det_Key,0),0))</f>
        <v/>
      </c>
    </row>
    <row r="96">
      <c r="A96" s="10">
        <f>IF(TRIM(CLEAN(SUBSTITUTE(Items!A96&amp;""," "," ")))="","",TRIM(CLEAN(SUBSTITUTE(Items!A96&amp;""," "," "))))</f>
        <v/>
      </c>
      <c r="B96" s="10">
        <f>IF($A96="","",Items!B96&amp;"")</f>
        <v/>
      </c>
      <c r="C96" s="10">
        <f>IF($A96="","",SUBSTITUTE(SUBSTITUTE(SUBSTITUTE(SUBSTITUTE(CLEAN(Items!D96&amp;"")," ",""),".","")," ",""),"-",""))</f>
        <v/>
      </c>
      <c r="D96" s="10">
        <f>IF($A96="","",LEFT($C96,2))</f>
        <v/>
      </c>
      <c r="E96" s="10">
        <f>IF($A96="","",UPPER(TRIM(CLEAN(SUBSTITUTE(Items!E96&amp;""," "," ")))))</f>
        <v/>
      </c>
      <c r="F96" s="10">
        <f>IF($A96="","",IF(UPPER(TRIM(CLEAN(SUBSTITUTE(Items!C96&amp;""," "," "))))=UPPER(TRIM(CLEAN(SUBSTITUTE(act_Country&amp;""," "," ")))),"Y","N"))</f>
        <v/>
      </c>
      <c r="G96" s="10">
        <f>IF($A96="","",IF($AM96&gt;0,"Y","N"))</f>
        <v/>
      </c>
      <c r="H96" s="10">
        <f>IF($A96="","",IF(SUMPRODUCT((excl_HTS&lt;&gt;"")*(LEFT($C96,LEN(excl_HTS))=excl_HTS))&gt;0,"Y","N"))</f>
        <v/>
      </c>
      <c r="I96" s="10">
        <f>IF($A96="","",IF($E96="","N",IF(SUMPRODUCT(--(UPPER(TRIM(CLEAN(SUBSTITUTE(scope_COO&amp;""," "," "))))=$E96))&gt;0,"Y","N")))</f>
        <v/>
      </c>
      <c r="J96" s="10">
        <f>IF($A96="","",IF(AND(UPPER(TRIM(CLEAN(SUBSTITUTE(act_USMCAExempt&amp;""," "," "))))="Y",UPPER(TRIM(CLEAN(SUBSTITUTE(Items!F96&amp;""," "," "))))="Y"),"Y","N"))</f>
        <v/>
      </c>
      <c r="K96" s="10">
        <f>IF($A96="","",IF($AQ96=0,"",UPPER(TRIM(CLEAN(SUBSTITUTE(INDEX(det_Status,$AQ96)&amp;""," "," "))))))</f>
        <v/>
      </c>
      <c r="L96" s="10">
        <f>IF($A96="","",IF($F96="N","N",IF($K96="IN","Y",IF($K96="OUT","N",IF(AND($G96="Y",$H96="N",$I96="Y",$J96="N"),"Y","N")))))</f>
        <v/>
      </c>
      <c r="M96" s="10">
        <f>IF($A96="","",IF($F96="N","Out: different import country",IF($K96="IN","In: Research determination",IF($K96="OUT","Out: Research determination",IF($G96="N","Out: HTS not on scope list",IF($H96="Y","Out: HTS on exclusion list",IF($I96="N","Out: origin not on scope list",IF($J96="Y","Out: USMCA-qualifying, exempt","In: matches scope rules"))))))))</f>
        <v/>
      </c>
      <c r="N96" s="10">
        <f>IF(OR($A96="",$AM96=0),"",UPPER(TRIM(CLEAN(SUBSTITUTE(INDEX(scope_Group,MOD($AM96,1000))&amp;""," "," ")))))</f>
        <v/>
      </c>
      <c r="O96" s="10">
        <f>IF($L96&lt;&gt;"Y","",IF($AO96=0,"Default (B15)",UPPER(TRIM(CLEAN(SUBSTITUTE(INDEX(rate_ID,MOD($AO96,100))&amp;""," "," "))))))</f>
        <v/>
      </c>
      <c r="P96" s="10">
        <f>IF($L96&lt;&gt;"Y","",IF($AO96=0,IF(UPPER(TRIM(CLEAN(SUBSTITUTE(act_DefaultBase&amp;""," "," "))))="PART","PART","FULL"),IF(UPPER(TRIM(CLEAN(SUBSTITUTE(INDEX(rate_Base,MOD($AO96,100))&amp;""," "," "))))="PART","PART","FULL")))</f>
        <v/>
      </c>
      <c r="Q96" s="17">
        <f>IF($A96="","",N(Items!J96))</f>
        <v/>
      </c>
      <c r="R96" s="17">
        <f>IF($A96="","",IF($L96&lt;&gt;"Y",0,IF($AO96=0,N(act_Rate),N(INDEX(rate_Rate,MOD($AO96,100))))))</f>
        <v/>
      </c>
      <c r="S96" s="17">
        <f>IF($A96="","",IF($L96&lt;&gt;"Y",0,IF($AO96=0,IF(UPPER(TRIM(CLEAN(SUBSTITUTE(act_RateType&amp;""," "," "))))="REPLACE",N(act_PriorRate),0),IF(ISNUMBER(INDEX(rate_Prior,MOD($AO96,100))),INDEX(rate_Prior,MOD($AO96,100)),IF(UPPER(TRIM(CLEAN(SUBSTITUTE(act_RateType&amp;""," "," "))))="REPLACE",N(act_PriorRate),0)))))</f>
        <v/>
      </c>
      <c r="T96" s="17">
        <f>IF($A96="","",IF(AND($L96="Y",$P96="PART",ISNUMBER(Items!M96)),Items!M96,1))</f>
        <v/>
      </c>
      <c r="U96" s="17">
        <f>IF($A96="","",IF($L96&lt;&gt;"Y",0,IF($AQ96&gt;0,IF(ISNUMBER(INDEX(det_Displaced,$AQ96)),INDEX(det_Displaced,$AQ96),IF($AO96=0,0,N(INDEX(rate_Displaced,MOD($AO96,100))))),IF($AO96=0,0,N(INDEX(rate_Displaced,MOD($AO96,100)))))))</f>
        <v/>
      </c>
      <c r="V96" s="17">
        <f>IF($A96="","",IF($L96="Y",$Q96+$T96*($R96-$S96)-$U96,$Q96))</f>
        <v/>
      </c>
      <c r="W96" s="18">
        <f>IF($A96="","",N(Items!H96)*$Q96)</f>
        <v/>
      </c>
      <c r="X96" s="18">
        <f>IF($A96="","",N(Items!H96)*$V96)</f>
        <v/>
      </c>
      <c r="Y96" s="18">
        <f>IF($A96="","",$X96-$W96)</f>
        <v/>
      </c>
      <c r="Z96" s="18">
        <f>IF($A96="","",N(Items!K96)+$Y96)</f>
        <v/>
      </c>
      <c r="AA96" s="17">
        <f>IF($A96="","",IF(N(Items!L96)=0,"",(N(Items!L96)-N(Items!K96))/N(Items!L96)))</f>
        <v/>
      </c>
      <c r="AB96" s="17">
        <f>IF($A96="","",IF(N(Items!L96)=0,"",(N(Items!L96)-$Z96)/N(Items!L96)))</f>
        <v/>
      </c>
      <c r="AC96" s="17">
        <f>IF(OR($AA96="",$AB96=""),"",$AB96-$AA96)</f>
        <v/>
      </c>
      <c r="AD96" s="13">
        <f>IF($A96="","",N(Items!I96))</f>
        <v/>
      </c>
      <c r="AE96" s="19">
        <f>IF($A96="","",$Y96*$AD96)</f>
        <v/>
      </c>
      <c r="AF96" s="10">
        <f>IF($A96="","",IF(N(Items!L96)&gt;0,"Y","N"))</f>
        <v/>
      </c>
      <c r="AG96" s="19">
        <f>IF($A96="","",IF($AF96="Y",N(Items!L96)*$AD96,0))</f>
        <v/>
      </c>
      <c r="AH96" s="19">
        <f>IF($A96="","",IF($AF96="Y",(N(Items!L96)-N(Items!K96))*$AD96,0))</f>
        <v/>
      </c>
      <c r="AI96" s="19">
        <f>IF($A96="","",IF($AF96="Y",$AH96-$AE96,0))</f>
        <v/>
      </c>
      <c r="AJ96" s="10">
        <f>IF($A96="","",IF(COUNTIF($AL$5:$AL$254,$AL96)&gt;1,"CHECK: duplicate item and import country",IF(TRIM(CLEAN(SUBSTITUTE(Items!C96&amp;""," "," ")))="","CHECK: import country missing",IF(AND(UPPER(TRIM(CLEAN(SUBSTITUTE(Items!C96&amp;""," "," "))))&lt;&gt;"US",UPPER(TRIM(CLEAN(SUBSTITUTE(Items!C96&amp;""," "," "))))&lt;&gt;"CA",UPPER(TRIM(CLEAN(SUBSTITUTE(Items!C96&amp;""," "," "))))&lt;&gt;"MX"),"CHECK: import country must be US, CA or MX",IF(NOT(AND(LEN($C96)=10,IFERROR(TEXT(VALUE($C96),REPT("0",LEN($C96)))=$C96,FALSE))),"CHECK: HTS must be 10 digits",IF(LEN($E96)&lt;&gt;2,"CHECK: origin code missing or not 2 letters",IF(TRIM(CLEAN(SUBSTITUTE(Items!G96&amp;""," "," ")))="","CHECK: unit of measure missing",IF(OR(Items!H96="",Items!J96="",Items!K96=""),"CHECK: value, rate or cost missing",IF(OR(NOT(ISNUMBER(Items!H96)),NOT(ISNUMBER(Items!J96)),NOT(ISNUMBER(Items!K96)),AND(Items!I96&lt;&gt;"",NOT(ISNUMBER(Items!I96))),AND(Items!L96&lt;&gt;"",NOT(ISNUMBER(Items!L96))),AND(Items!M96&lt;&gt;"",NOT(ISNUMBER(Items!M96)))),"CHECK: text in a number column",IF(AND(ISNUMBER(Items!M96),OR(N(Items!M96)&lt;0,N(Items!M96)&gt;1)),"CHECK: dutiable share must be 0% to 100%",IF(AND(UPPER(TRIM(CLEAN(SUBSTITUTE(Items!F96&amp;""," "," "))))&lt;&gt;"",UPPER(TRIM(CLEAN(SUBSTITUTE(Items!F96&amp;""," "," "))))&lt;&gt;"Y",UPPER(TRIM(CLEAN(SUBSTITUTE(Items!F96&amp;""," "," "))))&lt;&gt;"N"),"CHECK: USMCA flag must be Y, N or blank",IF(AND(UPPER(TRIM(CLEAN(SUBSTITUTE(Items!F96&amp;""," "," "))))="Y",$E96&lt;&gt;"US",$E96&lt;&gt;"CA",$E96&lt;&gt;"MX"),"CHECK: USMCA flag on an origin other than US, CA or MX",IF(AND($L96="Y",$AO96=0,NOT(ISNUMBER(act_Rate))),"CHECK: in scope but no rate (add a rate line or B15)",IF(AND($L96="Y",UPPER(TRIM(CLEAN(SUBSTITUTE(act_RateType&amp;""," "," "))))="REPLACE",NOT(ISNUMBER(act_PriorRate)),IF($AO96=0,TRUE,NOT(ISNUMBER(INDEX(rate_Prior,MOD($AO96,100)))))),"CHECK: REPLACE but no earlier rate (B17 or the rate line's AD)",IF(AND($L96="Y",$AP96&gt;1),"CHECK: two rate lines match equally",IF(AND($L96="Y",$AN96&gt;1),"CHECK: HTS prefix listed twice on the scope list",IF(AND($L96="Y",$P96="PART",NOT(ISNUMBER(Items!M96))),"CHECK: dutiable share missing (PART base)",IF(AND($L96="Y",$P96="FULL",ISNUMBER(Items!M96),N(Items!M96)&lt;&gt;1),"CHECK: dutiable share entered, but the rate taxes the full value",IF(AND($L96="Y",$Q96+0.0000001&lt;$T96*$S96+$U96),"CHECK: current rate is below the duty being replaced or displaced",IF(AND($L96="Y",$AD96=0),"NOTE: in scope, no quantity",IF(AND($L96="Y",$AF96="N"),"NOTE: in scope, no sell price (left out of margin %)",IF(AND($L96="Y",N(Items!H96)&gt;N(Items!K96)),"NOTE: customs value above standard cost (check unit of measure)",IF(AND($L96="Y",$Q96&gt;1),"NOTE: current rate above 100% (check it was entered as a percentage)","OK")))))))))))))))))))))))</f>
        <v/>
      </c>
      <c r="AK96" s="20">
        <f>IF($A96="","",IF(AND($L96="Y",$AE96&lt;&gt;0),ABS($AE96)+ROW()/1000000000,""))</f>
        <v/>
      </c>
      <c r="AL96" s="10">
        <f>IF($A96="","",UPPER($A96)&amp;"/"&amp;UPPER(TRIM(CLEAN(SUBSTITUTE(Items!C96&amp;""," "," ")))))</f>
        <v/>
      </c>
      <c r="AM96" s="13">
        <f>IF($A96="",0,SUMPRODUCT(MAX((scope_HTS&lt;&gt;"")*(LEFT($C96,LEN(scope_HTS))=scope_HTS)*(LEN(scope_HTS)*1000+ROW(scope_HTS)-4))))</f>
        <v/>
      </c>
      <c r="AN96" s="13">
        <f>IF($AM96=0,0,SUMPRODUCT((scope_HTS&lt;&gt;"")*(LEFT($C96,LEN(scope_HTS))=scope_HTS)*(LEN(scope_HTS)=INT($AM96/1000))))</f>
        <v/>
      </c>
      <c r="AO96" s="13">
        <f>IF($L96&lt;&gt;"Y",0,SUMPRODUCT(MAX(ISNUMBER(rate_Rate)*((UPPER(TRIM(CLEAN(SUBSTITUTE(rate_Group&amp;""," "," "))))="")+(UPPER(TRIM(CLEAN(SUBSTITUTE(rate_Group&amp;""," "," "))))=$N96)&gt;0)*((UPPER(TRIM(CLEAN(SUBSTITUTE(rate_COO&amp;""," "," "))))="")+(UPPER(TRIM(CLEAN(SUBSTITUTE(rate_COO&amp;""," "," "))))=$E96)&gt;0)*((UPPER(TRIM(CLEAN(SUBSTITUTE(rate_USMCA&amp;""," "," "))))="")+(UPPER(TRIM(CLEAN(SUBSTITUTE(rate_USMCA&amp;""," "," "))))=IF(UPPER(TRIM(CLEAN(SUBSTITUTE(Items!F96&amp;""," "," "))))="Y","Y","N"))&gt;0)*((1+(UPPER(TRIM(CLEAN(SUBSTITUTE(rate_Group&amp;""," "," "))))&lt;&gt;"")+2*(UPPER(TRIM(CLEAN(SUBSTITUTE(rate_USMCA&amp;""," "," "))))&lt;&gt;"")+4*(UPPER(TRIM(CLEAN(SUBSTITUTE(rate_COO&amp;""," "," "))))&lt;&gt;""))*100+ROW(rate_Rate)-4))))</f>
        <v/>
      </c>
      <c r="AP96" s="13">
        <f>IF($AO96=0,0,SUMPRODUCT(ISNUMBER(rate_Rate)*((UPPER(TRIM(CLEAN(SUBSTITUTE(rate_Group&amp;""," "," "))))="")+(UPPER(TRIM(CLEAN(SUBSTITUTE(rate_Group&amp;""," "," "))))=$N96)&gt;0)*((UPPER(TRIM(CLEAN(SUBSTITUTE(rate_COO&amp;""," "," "))))="")+(UPPER(TRIM(CLEAN(SUBSTITUTE(rate_COO&amp;""," "," "))))=$E96)&gt;0)*((UPPER(TRIM(CLEAN(SUBSTITUTE(rate_USMCA&amp;""," "," "))))="")+(UPPER(TRIM(CLEAN(SUBSTITUTE(rate_USMCA&amp;""," "," "))))=IF(UPPER(TRIM(CLEAN(SUBSTITUTE(Items!F96&amp;""," "," "))))="Y","Y","N"))&gt;0)*((1+(UPPER(TRIM(CLEAN(SUBSTITUTE(rate_Group&amp;""," "," "))))&lt;&gt;"")+2*(UPPER(TRIM(CLEAN(SUBSTITUTE(rate_USMCA&amp;""," "," "))))&lt;&gt;"")+4*(UPPER(TRIM(CLEAN(SUBSTITUTE(rate_COO&amp;""," "," "))))&lt;&gt;""))=INT($AO96/100))))</f>
        <v/>
      </c>
      <c r="AQ96" s="13">
        <f>IF($A96="",0,IFERROR(MATCH($AL96,det_Key,0),0))</f>
        <v/>
      </c>
    </row>
    <row r="97">
      <c r="A97" s="10">
        <f>IF(TRIM(CLEAN(SUBSTITUTE(Items!A97&amp;""," "," ")))="","",TRIM(CLEAN(SUBSTITUTE(Items!A97&amp;""," "," "))))</f>
        <v/>
      </c>
      <c r="B97" s="10">
        <f>IF($A97="","",Items!B97&amp;"")</f>
        <v/>
      </c>
      <c r="C97" s="10">
        <f>IF($A97="","",SUBSTITUTE(SUBSTITUTE(SUBSTITUTE(SUBSTITUTE(CLEAN(Items!D97&amp;"")," ",""),".","")," ",""),"-",""))</f>
        <v/>
      </c>
      <c r="D97" s="10">
        <f>IF($A97="","",LEFT($C97,2))</f>
        <v/>
      </c>
      <c r="E97" s="10">
        <f>IF($A97="","",UPPER(TRIM(CLEAN(SUBSTITUTE(Items!E97&amp;""," "," ")))))</f>
        <v/>
      </c>
      <c r="F97" s="10">
        <f>IF($A97="","",IF(UPPER(TRIM(CLEAN(SUBSTITUTE(Items!C97&amp;""," "," "))))=UPPER(TRIM(CLEAN(SUBSTITUTE(act_Country&amp;""," "," ")))),"Y","N"))</f>
        <v/>
      </c>
      <c r="G97" s="10">
        <f>IF($A97="","",IF($AM97&gt;0,"Y","N"))</f>
        <v/>
      </c>
      <c r="H97" s="10">
        <f>IF($A97="","",IF(SUMPRODUCT((excl_HTS&lt;&gt;"")*(LEFT($C97,LEN(excl_HTS))=excl_HTS))&gt;0,"Y","N"))</f>
        <v/>
      </c>
      <c r="I97" s="10">
        <f>IF($A97="","",IF($E97="","N",IF(SUMPRODUCT(--(UPPER(TRIM(CLEAN(SUBSTITUTE(scope_COO&amp;""," "," "))))=$E97))&gt;0,"Y","N")))</f>
        <v/>
      </c>
      <c r="J97" s="10">
        <f>IF($A97="","",IF(AND(UPPER(TRIM(CLEAN(SUBSTITUTE(act_USMCAExempt&amp;""," "," "))))="Y",UPPER(TRIM(CLEAN(SUBSTITUTE(Items!F97&amp;""," "," "))))="Y"),"Y","N"))</f>
        <v/>
      </c>
      <c r="K97" s="10">
        <f>IF($A97="","",IF($AQ97=0,"",UPPER(TRIM(CLEAN(SUBSTITUTE(INDEX(det_Status,$AQ97)&amp;""," "," "))))))</f>
        <v/>
      </c>
      <c r="L97" s="10">
        <f>IF($A97="","",IF($F97="N","N",IF($K97="IN","Y",IF($K97="OUT","N",IF(AND($G97="Y",$H97="N",$I97="Y",$J97="N"),"Y","N")))))</f>
        <v/>
      </c>
      <c r="M97" s="10">
        <f>IF($A97="","",IF($F97="N","Out: different import country",IF($K97="IN","In: Research determination",IF($K97="OUT","Out: Research determination",IF($G97="N","Out: HTS not on scope list",IF($H97="Y","Out: HTS on exclusion list",IF($I97="N","Out: origin not on scope list",IF($J97="Y","Out: USMCA-qualifying, exempt","In: matches scope rules"))))))))</f>
        <v/>
      </c>
      <c r="N97" s="10">
        <f>IF(OR($A97="",$AM97=0),"",UPPER(TRIM(CLEAN(SUBSTITUTE(INDEX(scope_Group,MOD($AM97,1000))&amp;""," "," ")))))</f>
        <v/>
      </c>
      <c r="O97" s="10">
        <f>IF($L97&lt;&gt;"Y","",IF($AO97=0,"Default (B15)",UPPER(TRIM(CLEAN(SUBSTITUTE(INDEX(rate_ID,MOD($AO97,100))&amp;""," "," "))))))</f>
        <v/>
      </c>
      <c r="P97" s="10">
        <f>IF($L97&lt;&gt;"Y","",IF($AO97=0,IF(UPPER(TRIM(CLEAN(SUBSTITUTE(act_DefaultBase&amp;""," "," "))))="PART","PART","FULL"),IF(UPPER(TRIM(CLEAN(SUBSTITUTE(INDEX(rate_Base,MOD($AO97,100))&amp;""," "," "))))="PART","PART","FULL")))</f>
        <v/>
      </c>
      <c r="Q97" s="17">
        <f>IF($A97="","",N(Items!J97))</f>
        <v/>
      </c>
      <c r="R97" s="17">
        <f>IF($A97="","",IF($L97&lt;&gt;"Y",0,IF($AO97=0,N(act_Rate),N(INDEX(rate_Rate,MOD($AO97,100))))))</f>
        <v/>
      </c>
      <c r="S97" s="17">
        <f>IF($A97="","",IF($L97&lt;&gt;"Y",0,IF($AO97=0,IF(UPPER(TRIM(CLEAN(SUBSTITUTE(act_RateType&amp;""," "," "))))="REPLACE",N(act_PriorRate),0),IF(ISNUMBER(INDEX(rate_Prior,MOD($AO97,100))),INDEX(rate_Prior,MOD($AO97,100)),IF(UPPER(TRIM(CLEAN(SUBSTITUTE(act_RateType&amp;""," "," "))))="REPLACE",N(act_PriorRate),0)))))</f>
        <v/>
      </c>
      <c r="T97" s="17">
        <f>IF($A97="","",IF(AND($L97="Y",$P97="PART",ISNUMBER(Items!M97)),Items!M97,1))</f>
        <v/>
      </c>
      <c r="U97" s="17">
        <f>IF($A97="","",IF($L97&lt;&gt;"Y",0,IF($AQ97&gt;0,IF(ISNUMBER(INDEX(det_Displaced,$AQ97)),INDEX(det_Displaced,$AQ97),IF($AO97=0,0,N(INDEX(rate_Displaced,MOD($AO97,100))))),IF($AO97=0,0,N(INDEX(rate_Displaced,MOD($AO97,100)))))))</f>
        <v/>
      </c>
      <c r="V97" s="17">
        <f>IF($A97="","",IF($L97="Y",$Q97+$T97*($R97-$S97)-$U97,$Q97))</f>
        <v/>
      </c>
      <c r="W97" s="18">
        <f>IF($A97="","",N(Items!H97)*$Q97)</f>
        <v/>
      </c>
      <c r="X97" s="18">
        <f>IF($A97="","",N(Items!H97)*$V97)</f>
        <v/>
      </c>
      <c r="Y97" s="18">
        <f>IF($A97="","",$X97-$W97)</f>
        <v/>
      </c>
      <c r="Z97" s="18">
        <f>IF($A97="","",N(Items!K97)+$Y97)</f>
        <v/>
      </c>
      <c r="AA97" s="17">
        <f>IF($A97="","",IF(N(Items!L97)=0,"",(N(Items!L97)-N(Items!K97))/N(Items!L97)))</f>
        <v/>
      </c>
      <c r="AB97" s="17">
        <f>IF($A97="","",IF(N(Items!L97)=0,"",(N(Items!L97)-$Z97)/N(Items!L97)))</f>
        <v/>
      </c>
      <c r="AC97" s="17">
        <f>IF(OR($AA97="",$AB97=""),"",$AB97-$AA97)</f>
        <v/>
      </c>
      <c r="AD97" s="13">
        <f>IF($A97="","",N(Items!I97))</f>
        <v/>
      </c>
      <c r="AE97" s="19">
        <f>IF($A97="","",$Y97*$AD97)</f>
        <v/>
      </c>
      <c r="AF97" s="10">
        <f>IF($A97="","",IF(N(Items!L97)&gt;0,"Y","N"))</f>
        <v/>
      </c>
      <c r="AG97" s="19">
        <f>IF($A97="","",IF($AF97="Y",N(Items!L97)*$AD97,0))</f>
        <v/>
      </c>
      <c r="AH97" s="19">
        <f>IF($A97="","",IF($AF97="Y",(N(Items!L97)-N(Items!K97))*$AD97,0))</f>
        <v/>
      </c>
      <c r="AI97" s="19">
        <f>IF($A97="","",IF($AF97="Y",$AH97-$AE97,0))</f>
        <v/>
      </c>
      <c r="AJ97" s="10">
        <f>IF($A97="","",IF(COUNTIF($AL$5:$AL$254,$AL97)&gt;1,"CHECK: duplicate item and import country",IF(TRIM(CLEAN(SUBSTITUTE(Items!C97&amp;""," "," ")))="","CHECK: import country missing",IF(AND(UPPER(TRIM(CLEAN(SUBSTITUTE(Items!C97&amp;""," "," "))))&lt;&gt;"US",UPPER(TRIM(CLEAN(SUBSTITUTE(Items!C97&amp;""," "," "))))&lt;&gt;"CA",UPPER(TRIM(CLEAN(SUBSTITUTE(Items!C97&amp;""," "," "))))&lt;&gt;"MX"),"CHECK: import country must be US, CA or MX",IF(NOT(AND(LEN($C97)=10,IFERROR(TEXT(VALUE($C97),REPT("0",LEN($C97)))=$C97,FALSE))),"CHECK: HTS must be 10 digits",IF(LEN($E97)&lt;&gt;2,"CHECK: origin code missing or not 2 letters",IF(TRIM(CLEAN(SUBSTITUTE(Items!G97&amp;""," "," ")))="","CHECK: unit of measure missing",IF(OR(Items!H97="",Items!J97="",Items!K97=""),"CHECK: value, rate or cost missing",IF(OR(NOT(ISNUMBER(Items!H97)),NOT(ISNUMBER(Items!J97)),NOT(ISNUMBER(Items!K97)),AND(Items!I97&lt;&gt;"",NOT(ISNUMBER(Items!I97))),AND(Items!L97&lt;&gt;"",NOT(ISNUMBER(Items!L97))),AND(Items!M97&lt;&gt;"",NOT(ISNUMBER(Items!M97)))),"CHECK: text in a number column",IF(AND(ISNUMBER(Items!M97),OR(N(Items!M97)&lt;0,N(Items!M97)&gt;1)),"CHECK: dutiable share must be 0% to 100%",IF(AND(UPPER(TRIM(CLEAN(SUBSTITUTE(Items!F97&amp;""," "," "))))&lt;&gt;"",UPPER(TRIM(CLEAN(SUBSTITUTE(Items!F97&amp;""," "," "))))&lt;&gt;"Y",UPPER(TRIM(CLEAN(SUBSTITUTE(Items!F97&amp;""," "," "))))&lt;&gt;"N"),"CHECK: USMCA flag must be Y, N or blank",IF(AND(UPPER(TRIM(CLEAN(SUBSTITUTE(Items!F97&amp;""," "," "))))="Y",$E97&lt;&gt;"US",$E97&lt;&gt;"CA",$E97&lt;&gt;"MX"),"CHECK: USMCA flag on an origin other than US, CA or MX",IF(AND($L97="Y",$AO97=0,NOT(ISNUMBER(act_Rate))),"CHECK: in scope but no rate (add a rate line or B15)",IF(AND($L97="Y",UPPER(TRIM(CLEAN(SUBSTITUTE(act_RateType&amp;""," "," "))))="REPLACE",NOT(ISNUMBER(act_PriorRate)),IF($AO97=0,TRUE,NOT(ISNUMBER(INDEX(rate_Prior,MOD($AO97,100)))))),"CHECK: REPLACE but no earlier rate (B17 or the rate line's AD)",IF(AND($L97="Y",$AP97&gt;1),"CHECK: two rate lines match equally",IF(AND($L97="Y",$AN97&gt;1),"CHECK: HTS prefix listed twice on the scope list",IF(AND($L97="Y",$P97="PART",NOT(ISNUMBER(Items!M97))),"CHECK: dutiable share missing (PART base)",IF(AND($L97="Y",$P97="FULL",ISNUMBER(Items!M97),N(Items!M97)&lt;&gt;1),"CHECK: dutiable share entered, but the rate taxes the full value",IF(AND($L97="Y",$Q97+0.0000001&lt;$T97*$S97+$U97),"CHECK: current rate is below the duty being replaced or displaced",IF(AND($L97="Y",$AD97=0),"NOTE: in scope, no quantity",IF(AND($L97="Y",$AF97="N"),"NOTE: in scope, no sell price (left out of margin %)",IF(AND($L97="Y",N(Items!H97)&gt;N(Items!K97)),"NOTE: customs value above standard cost (check unit of measure)",IF(AND($L97="Y",$Q97&gt;1),"NOTE: current rate above 100% (check it was entered as a percentage)","OK")))))))))))))))))))))))</f>
        <v/>
      </c>
      <c r="AK97" s="20">
        <f>IF($A97="","",IF(AND($L97="Y",$AE97&lt;&gt;0),ABS($AE97)+ROW()/1000000000,""))</f>
        <v/>
      </c>
      <c r="AL97" s="10">
        <f>IF($A97="","",UPPER($A97)&amp;"/"&amp;UPPER(TRIM(CLEAN(SUBSTITUTE(Items!C97&amp;""," "," ")))))</f>
        <v/>
      </c>
      <c r="AM97" s="13">
        <f>IF($A97="",0,SUMPRODUCT(MAX((scope_HTS&lt;&gt;"")*(LEFT($C97,LEN(scope_HTS))=scope_HTS)*(LEN(scope_HTS)*1000+ROW(scope_HTS)-4))))</f>
        <v/>
      </c>
      <c r="AN97" s="13">
        <f>IF($AM97=0,0,SUMPRODUCT((scope_HTS&lt;&gt;"")*(LEFT($C97,LEN(scope_HTS))=scope_HTS)*(LEN(scope_HTS)=INT($AM97/1000))))</f>
        <v/>
      </c>
      <c r="AO97" s="13">
        <f>IF($L97&lt;&gt;"Y",0,SUMPRODUCT(MAX(ISNUMBER(rate_Rate)*((UPPER(TRIM(CLEAN(SUBSTITUTE(rate_Group&amp;""," "," "))))="")+(UPPER(TRIM(CLEAN(SUBSTITUTE(rate_Group&amp;""," "," "))))=$N97)&gt;0)*((UPPER(TRIM(CLEAN(SUBSTITUTE(rate_COO&amp;""," "," "))))="")+(UPPER(TRIM(CLEAN(SUBSTITUTE(rate_COO&amp;""," "," "))))=$E97)&gt;0)*((UPPER(TRIM(CLEAN(SUBSTITUTE(rate_USMCA&amp;""," "," "))))="")+(UPPER(TRIM(CLEAN(SUBSTITUTE(rate_USMCA&amp;""," "," "))))=IF(UPPER(TRIM(CLEAN(SUBSTITUTE(Items!F97&amp;""," "," "))))="Y","Y","N"))&gt;0)*((1+(UPPER(TRIM(CLEAN(SUBSTITUTE(rate_Group&amp;""," "," "))))&lt;&gt;"")+2*(UPPER(TRIM(CLEAN(SUBSTITUTE(rate_USMCA&amp;""," "," "))))&lt;&gt;"")+4*(UPPER(TRIM(CLEAN(SUBSTITUTE(rate_COO&amp;""," "," "))))&lt;&gt;""))*100+ROW(rate_Rate)-4))))</f>
        <v/>
      </c>
      <c r="AP97" s="13">
        <f>IF($AO97=0,0,SUMPRODUCT(ISNUMBER(rate_Rate)*((UPPER(TRIM(CLEAN(SUBSTITUTE(rate_Group&amp;""," "," "))))="")+(UPPER(TRIM(CLEAN(SUBSTITUTE(rate_Group&amp;""," "," "))))=$N97)&gt;0)*((UPPER(TRIM(CLEAN(SUBSTITUTE(rate_COO&amp;""," "," "))))="")+(UPPER(TRIM(CLEAN(SUBSTITUTE(rate_COO&amp;""," "," "))))=$E97)&gt;0)*((UPPER(TRIM(CLEAN(SUBSTITUTE(rate_USMCA&amp;""," "," "))))="")+(UPPER(TRIM(CLEAN(SUBSTITUTE(rate_USMCA&amp;""," "," "))))=IF(UPPER(TRIM(CLEAN(SUBSTITUTE(Items!F97&amp;""," "," "))))="Y","Y","N"))&gt;0)*((1+(UPPER(TRIM(CLEAN(SUBSTITUTE(rate_Group&amp;""," "," "))))&lt;&gt;"")+2*(UPPER(TRIM(CLEAN(SUBSTITUTE(rate_USMCA&amp;""," "," "))))&lt;&gt;"")+4*(UPPER(TRIM(CLEAN(SUBSTITUTE(rate_COO&amp;""," "," "))))&lt;&gt;""))=INT($AO97/100))))</f>
        <v/>
      </c>
      <c r="AQ97" s="13">
        <f>IF($A97="",0,IFERROR(MATCH($AL97,det_Key,0),0))</f>
        <v/>
      </c>
    </row>
    <row r="98">
      <c r="A98" s="10">
        <f>IF(TRIM(CLEAN(SUBSTITUTE(Items!A98&amp;""," "," ")))="","",TRIM(CLEAN(SUBSTITUTE(Items!A98&amp;""," "," "))))</f>
        <v/>
      </c>
      <c r="B98" s="10">
        <f>IF($A98="","",Items!B98&amp;"")</f>
        <v/>
      </c>
      <c r="C98" s="10">
        <f>IF($A98="","",SUBSTITUTE(SUBSTITUTE(SUBSTITUTE(SUBSTITUTE(CLEAN(Items!D98&amp;"")," ",""),".","")," ",""),"-",""))</f>
        <v/>
      </c>
      <c r="D98" s="10">
        <f>IF($A98="","",LEFT($C98,2))</f>
        <v/>
      </c>
      <c r="E98" s="10">
        <f>IF($A98="","",UPPER(TRIM(CLEAN(SUBSTITUTE(Items!E98&amp;""," "," ")))))</f>
        <v/>
      </c>
      <c r="F98" s="10">
        <f>IF($A98="","",IF(UPPER(TRIM(CLEAN(SUBSTITUTE(Items!C98&amp;""," "," "))))=UPPER(TRIM(CLEAN(SUBSTITUTE(act_Country&amp;""," "," ")))),"Y","N"))</f>
        <v/>
      </c>
      <c r="G98" s="10">
        <f>IF($A98="","",IF($AM98&gt;0,"Y","N"))</f>
        <v/>
      </c>
      <c r="H98" s="10">
        <f>IF($A98="","",IF(SUMPRODUCT((excl_HTS&lt;&gt;"")*(LEFT($C98,LEN(excl_HTS))=excl_HTS))&gt;0,"Y","N"))</f>
        <v/>
      </c>
      <c r="I98" s="10">
        <f>IF($A98="","",IF($E98="","N",IF(SUMPRODUCT(--(UPPER(TRIM(CLEAN(SUBSTITUTE(scope_COO&amp;""," "," "))))=$E98))&gt;0,"Y","N")))</f>
        <v/>
      </c>
      <c r="J98" s="10">
        <f>IF($A98="","",IF(AND(UPPER(TRIM(CLEAN(SUBSTITUTE(act_USMCAExempt&amp;""," "," "))))="Y",UPPER(TRIM(CLEAN(SUBSTITUTE(Items!F98&amp;""," "," "))))="Y"),"Y","N"))</f>
        <v/>
      </c>
      <c r="K98" s="10">
        <f>IF($A98="","",IF($AQ98=0,"",UPPER(TRIM(CLEAN(SUBSTITUTE(INDEX(det_Status,$AQ98)&amp;""," "," "))))))</f>
        <v/>
      </c>
      <c r="L98" s="10">
        <f>IF($A98="","",IF($F98="N","N",IF($K98="IN","Y",IF($K98="OUT","N",IF(AND($G98="Y",$H98="N",$I98="Y",$J98="N"),"Y","N")))))</f>
        <v/>
      </c>
      <c r="M98" s="10">
        <f>IF($A98="","",IF($F98="N","Out: different import country",IF($K98="IN","In: Research determination",IF($K98="OUT","Out: Research determination",IF($G98="N","Out: HTS not on scope list",IF($H98="Y","Out: HTS on exclusion list",IF($I98="N","Out: origin not on scope list",IF($J98="Y","Out: USMCA-qualifying, exempt","In: matches scope rules"))))))))</f>
        <v/>
      </c>
      <c r="N98" s="10">
        <f>IF(OR($A98="",$AM98=0),"",UPPER(TRIM(CLEAN(SUBSTITUTE(INDEX(scope_Group,MOD($AM98,1000))&amp;""," "," ")))))</f>
        <v/>
      </c>
      <c r="O98" s="10">
        <f>IF($L98&lt;&gt;"Y","",IF($AO98=0,"Default (B15)",UPPER(TRIM(CLEAN(SUBSTITUTE(INDEX(rate_ID,MOD($AO98,100))&amp;""," "," "))))))</f>
        <v/>
      </c>
      <c r="P98" s="10">
        <f>IF($L98&lt;&gt;"Y","",IF($AO98=0,IF(UPPER(TRIM(CLEAN(SUBSTITUTE(act_DefaultBase&amp;""," "," "))))="PART","PART","FULL"),IF(UPPER(TRIM(CLEAN(SUBSTITUTE(INDEX(rate_Base,MOD($AO98,100))&amp;""," "," "))))="PART","PART","FULL")))</f>
        <v/>
      </c>
      <c r="Q98" s="17">
        <f>IF($A98="","",N(Items!J98))</f>
        <v/>
      </c>
      <c r="R98" s="17">
        <f>IF($A98="","",IF($L98&lt;&gt;"Y",0,IF($AO98=0,N(act_Rate),N(INDEX(rate_Rate,MOD($AO98,100))))))</f>
        <v/>
      </c>
      <c r="S98" s="17">
        <f>IF($A98="","",IF($L98&lt;&gt;"Y",0,IF($AO98=0,IF(UPPER(TRIM(CLEAN(SUBSTITUTE(act_RateType&amp;""," "," "))))="REPLACE",N(act_PriorRate),0),IF(ISNUMBER(INDEX(rate_Prior,MOD($AO98,100))),INDEX(rate_Prior,MOD($AO98,100)),IF(UPPER(TRIM(CLEAN(SUBSTITUTE(act_RateType&amp;""," "," "))))="REPLACE",N(act_PriorRate),0)))))</f>
        <v/>
      </c>
      <c r="T98" s="17">
        <f>IF($A98="","",IF(AND($L98="Y",$P98="PART",ISNUMBER(Items!M98)),Items!M98,1))</f>
        <v/>
      </c>
      <c r="U98" s="17">
        <f>IF($A98="","",IF($L98&lt;&gt;"Y",0,IF($AQ98&gt;0,IF(ISNUMBER(INDEX(det_Displaced,$AQ98)),INDEX(det_Displaced,$AQ98),IF($AO98=0,0,N(INDEX(rate_Displaced,MOD($AO98,100))))),IF($AO98=0,0,N(INDEX(rate_Displaced,MOD($AO98,100)))))))</f>
        <v/>
      </c>
      <c r="V98" s="17">
        <f>IF($A98="","",IF($L98="Y",$Q98+$T98*($R98-$S98)-$U98,$Q98))</f>
        <v/>
      </c>
      <c r="W98" s="18">
        <f>IF($A98="","",N(Items!H98)*$Q98)</f>
        <v/>
      </c>
      <c r="X98" s="18">
        <f>IF($A98="","",N(Items!H98)*$V98)</f>
        <v/>
      </c>
      <c r="Y98" s="18">
        <f>IF($A98="","",$X98-$W98)</f>
        <v/>
      </c>
      <c r="Z98" s="18">
        <f>IF($A98="","",N(Items!K98)+$Y98)</f>
        <v/>
      </c>
      <c r="AA98" s="17">
        <f>IF($A98="","",IF(N(Items!L98)=0,"",(N(Items!L98)-N(Items!K98))/N(Items!L98)))</f>
        <v/>
      </c>
      <c r="AB98" s="17">
        <f>IF($A98="","",IF(N(Items!L98)=0,"",(N(Items!L98)-$Z98)/N(Items!L98)))</f>
        <v/>
      </c>
      <c r="AC98" s="17">
        <f>IF(OR($AA98="",$AB98=""),"",$AB98-$AA98)</f>
        <v/>
      </c>
      <c r="AD98" s="13">
        <f>IF($A98="","",N(Items!I98))</f>
        <v/>
      </c>
      <c r="AE98" s="19">
        <f>IF($A98="","",$Y98*$AD98)</f>
        <v/>
      </c>
      <c r="AF98" s="10">
        <f>IF($A98="","",IF(N(Items!L98)&gt;0,"Y","N"))</f>
        <v/>
      </c>
      <c r="AG98" s="19">
        <f>IF($A98="","",IF($AF98="Y",N(Items!L98)*$AD98,0))</f>
        <v/>
      </c>
      <c r="AH98" s="19">
        <f>IF($A98="","",IF($AF98="Y",(N(Items!L98)-N(Items!K98))*$AD98,0))</f>
        <v/>
      </c>
      <c r="AI98" s="19">
        <f>IF($A98="","",IF($AF98="Y",$AH98-$AE98,0))</f>
        <v/>
      </c>
      <c r="AJ98" s="10">
        <f>IF($A98="","",IF(COUNTIF($AL$5:$AL$254,$AL98)&gt;1,"CHECK: duplicate item and import country",IF(TRIM(CLEAN(SUBSTITUTE(Items!C98&amp;""," "," ")))="","CHECK: import country missing",IF(AND(UPPER(TRIM(CLEAN(SUBSTITUTE(Items!C98&amp;""," "," "))))&lt;&gt;"US",UPPER(TRIM(CLEAN(SUBSTITUTE(Items!C98&amp;""," "," "))))&lt;&gt;"CA",UPPER(TRIM(CLEAN(SUBSTITUTE(Items!C98&amp;""," "," "))))&lt;&gt;"MX"),"CHECK: import country must be US, CA or MX",IF(NOT(AND(LEN($C98)=10,IFERROR(TEXT(VALUE($C98),REPT("0",LEN($C98)))=$C98,FALSE))),"CHECK: HTS must be 10 digits",IF(LEN($E98)&lt;&gt;2,"CHECK: origin code missing or not 2 letters",IF(TRIM(CLEAN(SUBSTITUTE(Items!G98&amp;""," "," ")))="","CHECK: unit of measure missing",IF(OR(Items!H98="",Items!J98="",Items!K98=""),"CHECK: value, rate or cost missing",IF(OR(NOT(ISNUMBER(Items!H98)),NOT(ISNUMBER(Items!J98)),NOT(ISNUMBER(Items!K98)),AND(Items!I98&lt;&gt;"",NOT(ISNUMBER(Items!I98))),AND(Items!L98&lt;&gt;"",NOT(ISNUMBER(Items!L98))),AND(Items!M98&lt;&gt;"",NOT(ISNUMBER(Items!M98)))),"CHECK: text in a number column",IF(AND(ISNUMBER(Items!M98),OR(N(Items!M98)&lt;0,N(Items!M98)&gt;1)),"CHECK: dutiable share must be 0% to 100%",IF(AND(UPPER(TRIM(CLEAN(SUBSTITUTE(Items!F98&amp;""," "," "))))&lt;&gt;"",UPPER(TRIM(CLEAN(SUBSTITUTE(Items!F98&amp;""," "," "))))&lt;&gt;"Y",UPPER(TRIM(CLEAN(SUBSTITUTE(Items!F98&amp;""," "," "))))&lt;&gt;"N"),"CHECK: USMCA flag must be Y, N or blank",IF(AND(UPPER(TRIM(CLEAN(SUBSTITUTE(Items!F98&amp;""," "," "))))="Y",$E98&lt;&gt;"US",$E98&lt;&gt;"CA",$E98&lt;&gt;"MX"),"CHECK: USMCA flag on an origin other than US, CA or MX",IF(AND($L98="Y",$AO98=0,NOT(ISNUMBER(act_Rate))),"CHECK: in scope but no rate (add a rate line or B15)",IF(AND($L98="Y",UPPER(TRIM(CLEAN(SUBSTITUTE(act_RateType&amp;""," "," "))))="REPLACE",NOT(ISNUMBER(act_PriorRate)),IF($AO98=0,TRUE,NOT(ISNUMBER(INDEX(rate_Prior,MOD($AO98,100)))))),"CHECK: REPLACE but no earlier rate (B17 or the rate line's AD)",IF(AND($L98="Y",$AP98&gt;1),"CHECK: two rate lines match equally",IF(AND($L98="Y",$AN98&gt;1),"CHECK: HTS prefix listed twice on the scope list",IF(AND($L98="Y",$P98="PART",NOT(ISNUMBER(Items!M98))),"CHECK: dutiable share missing (PART base)",IF(AND($L98="Y",$P98="FULL",ISNUMBER(Items!M98),N(Items!M98)&lt;&gt;1),"CHECK: dutiable share entered, but the rate taxes the full value",IF(AND($L98="Y",$Q98+0.0000001&lt;$T98*$S98+$U98),"CHECK: current rate is below the duty being replaced or displaced",IF(AND($L98="Y",$AD98=0),"NOTE: in scope, no quantity",IF(AND($L98="Y",$AF98="N"),"NOTE: in scope, no sell price (left out of margin %)",IF(AND($L98="Y",N(Items!H98)&gt;N(Items!K98)),"NOTE: customs value above standard cost (check unit of measure)",IF(AND($L98="Y",$Q98&gt;1),"NOTE: current rate above 100% (check it was entered as a percentage)","OK")))))))))))))))))))))))</f>
        <v/>
      </c>
      <c r="AK98" s="20">
        <f>IF($A98="","",IF(AND($L98="Y",$AE98&lt;&gt;0),ABS($AE98)+ROW()/1000000000,""))</f>
        <v/>
      </c>
      <c r="AL98" s="10">
        <f>IF($A98="","",UPPER($A98)&amp;"/"&amp;UPPER(TRIM(CLEAN(SUBSTITUTE(Items!C98&amp;""," "," ")))))</f>
        <v/>
      </c>
      <c r="AM98" s="13">
        <f>IF($A98="",0,SUMPRODUCT(MAX((scope_HTS&lt;&gt;"")*(LEFT($C98,LEN(scope_HTS))=scope_HTS)*(LEN(scope_HTS)*1000+ROW(scope_HTS)-4))))</f>
        <v/>
      </c>
      <c r="AN98" s="13">
        <f>IF($AM98=0,0,SUMPRODUCT((scope_HTS&lt;&gt;"")*(LEFT($C98,LEN(scope_HTS))=scope_HTS)*(LEN(scope_HTS)=INT($AM98/1000))))</f>
        <v/>
      </c>
      <c r="AO98" s="13">
        <f>IF($L98&lt;&gt;"Y",0,SUMPRODUCT(MAX(ISNUMBER(rate_Rate)*((UPPER(TRIM(CLEAN(SUBSTITUTE(rate_Group&amp;""," "," "))))="")+(UPPER(TRIM(CLEAN(SUBSTITUTE(rate_Group&amp;""," "," "))))=$N98)&gt;0)*((UPPER(TRIM(CLEAN(SUBSTITUTE(rate_COO&amp;""," "," "))))="")+(UPPER(TRIM(CLEAN(SUBSTITUTE(rate_COO&amp;""," "," "))))=$E98)&gt;0)*((UPPER(TRIM(CLEAN(SUBSTITUTE(rate_USMCA&amp;""," "," "))))="")+(UPPER(TRIM(CLEAN(SUBSTITUTE(rate_USMCA&amp;""," "," "))))=IF(UPPER(TRIM(CLEAN(SUBSTITUTE(Items!F98&amp;""," "," "))))="Y","Y","N"))&gt;0)*((1+(UPPER(TRIM(CLEAN(SUBSTITUTE(rate_Group&amp;""," "," "))))&lt;&gt;"")+2*(UPPER(TRIM(CLEAN(SUBSTITUTE(rate_USMCA&amp;""," "," "))))&lt;&gt;"")+4*(UPPER(TRIM(CLEAN(SUBSTITUTE(rate_COO&amp;""," "," "))))&lt;&gt;""))*100+ROW(rate_Rate)-4))))</f>
        <v/>
      </c>
      <c r="AP98" s="13">
        <f>IF($AO98=0,0,SUMPRODUCT(ISNUMBER(rate_Rate)*((UPPER(TRIM(CLEAN(SUBSTITUTE(rate_Group&amp;""," "," "))))="")+(UPPER(TRIM(CLEAN(SUBSTITUTE(rate_Group&amp;""," "," "))))=$N98)&gt;0)*((UPPER(TRIM(CLEAN(SUBSTITUTE(rate_COO&amp;""," "," "))))="")+(UPPER(TRIM(CLEAN(SUBSTITUTE(rate_COO&amp;""," "," "))))=$E98)&gt;0)*((UPPER(TRIM(CLEAN(SUBSTITUTE(rate_USMCA&amp;""," "," "))))="")+(UPPER(TRIM(CLEAN(SUBSTITUTE(rate_USMCA&amp;""," "," "))))=IF(UPPER(TRIM(CLEAN(SUBSTITUTE(Items!F98&amp;""," "," "))))="Y","Y","N"))&gt;0)*((1+(UPPER(TRIM(CLEAN(SUBSTITUTE(rate_Group&amp;""," "," "))))&lt;&gt;"")+2*(UPPER(TRIM(CLEAN(SUBSTITUTE(rate_USMCA&amp;""," "," "))))&lt;&gt;"")+4*(UPPER(TRIM(CLEAN(SUBSTITUTE(rate_COO&amp;""," "," "))))&lt;&gt;""))=INT($AO98/100))))</f>
        <v/>
      </c>
      <c r="AQ98" s="13">
        <f>IF($A98="",0,IFERROR(MATCH($AL98,det_Key,0),0))</f>
        <v/>
      </c>
    </row>
    <row r="99">
      <c r="A99" s="10">
        <f>IF(TRIM(CLEAN(SUBSTITUTE(Items!A99&amp;""," "," ")))="","",TRIM(CLEAN(SUBSTITUTE(Items!A99&amp;""," "," "))))</f>
        <v/>
      </c>
      <c r="B99" s="10">
        <f>IF($A99="","",Items!B99&amp;"")</f>
        <v/>
      </c>
      <c r="C99" s="10">
        <f>IF($A99="","",SUBSTITUTE(SUBSTITUTE(SUBSTITUTE(SUBSTITUTE(CLEAN(Items!D99&amp;"")," ",""),".","")," ",""),"-",""))</f>
        <v/>
      </c>
      <c r="D99" s="10">
        <f>IF($A99="","",LEFT($C99,2))</f>
        <v/>
      </c>
      <c r="E99" s="10">
        <f>IF($A99="","",UPPER(TRIM(CLEAN(SUBSTITUTE(Items!E99&amp;""," "," ")))))</f>
        <v/>
      </c>
      <c r="F99" s="10">
        <f>IF($A99="","",IF(UPPER(TRIM(CLEAN(SUBSTITUTE(Items!C99&amp;""," "," "))))=UPPER(TRIM(CLEAN(SUBSTITUTE(act_Country&amp;""," "," ")))),"Y","N"))</f>
        <v/>
      </c>
      <c r="G99" s="10">
        <f>IF($A99="","",IF($AM99&gt;0,"Y","N"))</f>
        <v/>
      </c>
      <c r="H99" s="10">
        <f>IF($A99="","",IF(SUMPRODUCT((excl_HTS&lt;&gt;"")*(LEFT($C99,LEN(excl_HTS))=excl_HTS))&gt;0,"Y","N"))</f>
        <v/>
      </c>
      <c r="I99" s="10">
        <f>IF($A99="","",IF($E99="","N",IF(SUMPRODUCT(--(UPPER(TRIM(CLEAN(SUBSTITUTE(scope_COO&amp;""," "," "))))=$E99))&gt;0,"Y","N")))</f>
        <v/>
      </c>
      <c r="J99" s="10">
        <f>IF($A99="","",IF(AND(UPPER(TRIM(CLEAN(SUBSTITUTE(act_USMCAExempt&amp;""," "," "))))="Y",UPPER(TRIM(CLEAN(SUBSTITUTE(Items!F99&amp;""," "," "))))="Y"),"Y","N"))</f>
        <v/>
      </c>
      <c r="K99" s="10">
        <f>IF($A99="","",IF($AQ99=0,"",UPPER(TRIM(CLEAN(SUBSTITUTE(INDEX(det_Status,$AQ99)&amp;""," "," "))))))</f>
        <v/>
      </c>
      <c r="L99" s="10">
        <f>IF($A99="","",IF($F99="N","N",IF($K99="IN","Y",IF($K99="OUT","N",IF(AND($G99="Y",$H99="N",$I99="Y",$J99="N"),"Y","N")))))</f>
        <v/>
      </c>
      <c r="M99" s="10">
        <f>IF($A99="","",IF($F99="N","Out: different import country",IF($K99="IN","In: Research determination",IF($K99="OUT","Out: Research determination",IF($G99="N","Out: HTS not on scope list",IF($H99="Y","Out: HTS on exclusion list",IF($I99="N","Out: origin not on scope list",IF($J99="Y","Out: USMCA-qualifying, exempt","In: matches scope rules"))))))))</f>
        <v/>
      </c>
      <c r="N99" s="10">
        <f>IF(OR($A99="",$AM99=0),"",UPPER(TRIM(CLEAN(SUBSTITUTE(INDEX(scope_Group,MOD($AM99,1000))&amp;""," "," ")))))</f>
        <v/>
      </c>
      <c r="O99" s="10">
        <f>IF($L99&lt;&gt;"Y","",IF($AO99=0,"Default (B15)",UPPER(TRIM(CLEAN(SUBSTITUTE(INDEX(rate_ID,MOD($AO99,100))&amp;""," "," "))))))</f>
        <v/>
      </c>
      <c r="P99" s="10">
        <f>IF($L99&lt;&gt;"Y","",IF($AO99=0,IF(UPPER(TRIM(CLEAN(SUBSTITUTE(act_DefaultBase&amp;""," "," "))))="PART","PART","FULL"),IF(UPPER(TRIM(CLEAN(SUBSTITUTE(INDEX(rate_Base,MOD($AO99,100))&amp;""," "," "))))="PART","PART","FULL")))</f>
        <v/>
      </c>
      <c r="Q99" s="17">
        <f>IF($A99="","",N(Items!J99))</f>
        <v/>
      </c>
      <c r="R99" s="17">
        <f>IF($A99="","",IF($L99&lt;&gt;"Y",0,IF($AO99=0,N(act_Rate),N(INDEX(rate_Rate,MOD($AO99,100))))))</f>
        <v/>
      </c>
      <c r="S99" s="17">
        <f>IF($A99="","",IF($L99&lt;&gt;"Y",0,IF($AO99=0,IF(UPPER(TRIM(CLEAN(SUBSTITUTE(act_RateType&amp;""," "," "))))="REPLACE",N(act_PriorRate),0),IF(ISNUMBER(INDEX(rate_Prior,MOD($AO99,100))),INDEX(rate_Prior,MOD($AO99,100)),IF(UPPER(TRIM(CLEAN(SUBSTITUTE(act_RateType&amp;""," "," "))))="REPLACE",N(act_PriorRate),0)))))</f>
        <v/>
      </c>
      <c r="T99" s="17">
        <f>IF($A99="","",IF(AND($L99="Y",$P99="PART",ISNUMBER(Items!M99)),Items!M99,1))</f>
        <v/>
      </c>
      <c r="U99" s="17">
        <f>IF($A99="","",IF($L99&lt;&gt;"Y",0,IF($AQ99&gt;0,IF(ISNUMBER(INDEX(det_Displaced,$AQ99)),INDEX(det_Displaced,$AQ99),IF($AO99=0,0,N(INDEX(rate_Displaced,MOD($AO99,100))))),IF($AO99=0,0,N(INDEX(rate_Displaced,MOD($AO99,100)))))))</f>
        <v/>
      </c>
      <c r="V99" s="17">
        <f>IF($A99="","",IF($L99="Y",$Q99+$T99*($R99-$S99)-$U99,$Q99))</f>
        <v/>
      </c>
      <c r="W99" s="18">
        <f>IF($A99="","",N(Items!H99)*$Q99)</f>
        <v/>
      </c>
      <c r="X99" s="18">
        <f>IF($A99="","",N(Items!H99)*$V99)</f>
        <v/>
      </c>
      <c r="Y99" s="18">
        <f>IF($A99="","",$X99-$W99)</f>
        <v/>
      </c>
      <c r="Z99" s="18">
        <f>IF($A99="","",N(Items!K99)+$Y99)</f>
        <v/>
      </c>
      <c r="AA99" s="17">
        <f>IF($A99="","",IF(N(Items!L99)=0,"",(N(Items!L99)-N(Items!K99))/N(Items!L99)))</f>
        <v/>
      </c>
      <c r="AB99" s="17">
        <f>IF($A99="","",IF(N(Items!L99)=0,"",(N(Items!L99)-$Z99)/N(Items!L99)))</f>
        <v/>
      </c>
      <c r="AC99" s="17">
        <f>IF(OR($AA99="",$AB99=""),"",$AB99-$AA99)</f>
        <v/>
      </c>
      <c r="AD99" s="13">
        <f>IF($A99="","",N(Items!I99))</f>
        <v/>
      </c>
      <c r="AE99" s="19">
        <f>IF($A99="","",$Y99*$AD99)</f>
        <v/>
      </c>
      <c r="AF99" s="10">
        <f>IF($A99="","",IF(N(Items!L99)&gt;0,"Y","N"))</f>
        <v/>
      </c>
      <c r="AG99" s="19">
        <f>IF($A99="","",IF($AF99="Y",N(Items!L99)*$AD99,0))</f>
        <v/>
      </c>
      <c r="AH99" s="19">
        <f>IF($A99="","",IF($AF99="Y",(N(Items!L99)-N(Items!K99))*$AD99,0))</f>
        <v/>
      </c>
      <c r="AI99" s="19">
        <f>IF($A99="","",IF($AF99="Y",$AH99-$AE99,0))</f>
        <v/>
      </c>
      <c r="AJ99" s="10">
        <f>IF($A99="","",IF(COUNTIF($AL$5:$AL$254,$AL99)&gt;1,"CHECK: duplicate item and import country",IF(TRIM(CLEAN(SUBSTITUTE(Items!C99&amp;""," "," ")))="","CHECK: import country missing",IF(AND(UPPER(TRIM(CLEAN(SUBSTITUTE(Items!C99&amp;""," "," "))))&lt;&gt;"US",UPPER(TRIM(CLEAN(SUBSTITUTE(Items!C99&amp;""," "," "))))&lt;&gt;"CA",UPPER(TRIM(CLEAN(SUBSTITUTE(Items!C99&amp;""," "," "))))&lt;&gt;"MX"),"CHECK: import country must be US, CA or MX",IF(NOT(AND(LEN($C99)=10,IFERROR(TEXT(VALUE($C99),REPT("0",LEN($C99)))=$C99,FALSE))),"CHECK: HTS must be 10 digits",IF(LEN($E99)&lt;&gt;2,"CHECK: origin code missing or not 2 letters",IF(TRIM(CLEAN(SUBSTITUTE(Items!G99&amp;""," "," ")))="","CHECK: unit of measure missing",IF(OR(Items!H99="",Items!J99="",Items!K99=""),"CHECK: value, rate or cost missing",IF(OR(NOT(ISNUMBER(Items!H99)),NOT(ISNUMBER(Items!J99)),NOT(ISNUMBER(Items!K99)),AND(Items!I99&lt;&gt;"",NOT(ISNUMBER(Items!I99))),AND(Items!L99&lt;&gt;"",NOT(ISNUMBER(Items!L99))),AND(Items!M99&lt;&gt;"",NOT(ISNUMBER(Items!M99)))),"CHECK: text in a number column",IF(AND(ISNUMBER(Items!M99),OR(N(Items!M99)&lt;0,N(Items!M99)&gt;1)),"CHECK: dutiable share must be 0% to 100%",IF(AND(UPPER(TRIM(CLEAN(SUBSTITUTE(Items!F99&amp;""," "," "))))&lt;&gt;"",UPPER(TRIM(CLEAN(SUBSTITUTE(Items!F99&amp;""," "," "))))&lt;&gt;"Y",UPPER(TRIM(CLEAN(SUBSTITUTE(Items!F99&amp;""," "," "))))&lt;&gt;"N"),"CHECK: USMCA flag must be Y, N or blank",IF(AND(UPPER(TRIM(CLEAN(SUBSTITUTE(Items!F99&amp;""," "," "))))="Y",$E99&lt;&gt;"US",$E99&lt;&gt;"CA",$E99&lt;&gt;"MX"),"CHECK: USMCA flag on an origin other than US, CA or MX",IF(AND($L99="Y",$AO99=0,NOT(ISNUMBER(act_Rate))),"CHECK: in scope but no rate (add a rate line or B15)",IF(AND($L99="Y",UPPER(TRIM(CLEAN(SUBSTITUTE(act_RateType&amp;""," "," "))))="REPLACE",NOT(ISNUMBER(act_PriorRate)),IF($AO99=0,TRUE,NOT(ISNUMBER(INDEX(rate_Prior,MOD($AO99,100)))))),"CHECK: REPLACE but no earlier rate (B17 or the rate line's AD)",IF(AND($L99="Y",$AP99&gt;1),"CHECK: two rate lines match equally",IF(AND($L99="Y",$AN99&gt;1),"CHECK: HTS prefix listed twice on the scope list",IF(AND($L99="Y",$P99="PART",NOT(ISNUMBER(Items!M99))),"CHECK: dutiable share missing (PART base)",IF(AND($L99="Y",$P99="FULL",ISNUMBER(Items!M99),N(Items!M99)&lt;&gt;1),"CHECK: dutiable share entered, but the rate taxes the full value",IF(AND($L99="Y",$Q99+0.0000001&lt;$T99*$S99+$U99),"CHECK: current rate is below the duty being replaced or displaced",IF(AND($L99="Y",$AD99=0),"NOTE: in scope, no quantity",IF(AND($L99="Y",$AF99="N"),"NOTE: in scope, no sell price (left out of margin %)",IF(AND($L99="Y",N(Items!H99)&gt;N(Items!K99)),"NOTE: customs value above standard cost (check unit of measure)",IF(AND($L99="Y",$Q99&gt;1),"NOTE: current rate above 100% (check it was entered as a percentage)","OK")))))))))))))))))))))))</f>
        <v/>
      </c>
      <c r="AK99" s="20">
        <f>IF($A99="","",IF(AND($L99="Y",$AE99&lt;&gt;0),ABS($AE99)+ROW()/1000000000,""))</f>
        <v/>
      </c>
      <c r="AL99" s="10">
        <f>IF($A99="","",UPPER($A99)&amp;"/"&amp;UPPER(TRIM(CLEAN(SUBSTITUTE(Items!C99&amp;""," "," ")))))</f>
        <v/>
      </c>
      <c r="AM99" s="13">
        <f>IF($A99="",0,SUMPRODUCT(MAX((scope_HTS&lt;&gt;"")*(LEFT($C99,LEN(scope_HTS))=scope_HTS)*(LEN(scope_HTS)*1000+ROW(scope_HTS)-4))))</f>
        <v/>
      </c>
      <c r="AN99" s="13">
        <f>IF($AM99=0,0,SUMPRODUCT((scope_HTS&lt;&gt;"")*(LEFT($C99,LEN(scope_HTS))=scope_HTS)*(LEN(scope_HTS)=INT($AM99/1000))))</f>
        <v/>
      </c>
      <c r="AO99" s="13">
        <f>IF($L99&lt;&gt;"Y",0,SUMPRODUCT(MAX(ISNUMBER(rate_Rate)*((UPPER(TRIM(CLEAN(SUBSTITUTE(rate_Group&amp;""," "," "))))="")+(UPPER(TRIM(CLEAN(SUBSTITUTE(rate_Group&amp;""," "," "))))=$N99)&gt;0)*((UPPER(TRIM(CLEAN(SUBSTITUTE(rate_COO&amp;""," "," "))))="")+(UPPER(TRIM(CLEAN(SUBSTITUTE(rate_COO&amp;""," "," "))))=$E99)&gt;0)*((UPPER(TRIM(CLEAN(SUBSTITUTE(rate_USMCA&amp;""," "," "))))="")+(UPPER(TRIM(CLEAN(SUBSTITUTE(rate_USMCA&amp;""," "," "))))=IF(UPPER(TRIM(CLEAN(SUBSTITUTE(Items!F99&amp;""," "," "))))="Y","Y","N"))&gt;0)*((1+(UPPER(TRIM(CLEAN(SUBSTITUTE(rate_Group&amp;""," "," "))))&lt;&gt;"")+2*(UPPER(TRIM(CLEAN(SUBSTITUTE(rate_USMCA&amp;""," "," "))))&lt;&gt;"")+4*(UPPER(TRIM(CLEAN(SUBSTITUTE(rate_COO&amp;""," "," "))))&lt;&gt;""))*100+ROW(rate_Rate)-4))))</f>
        <v/>
      </c>
      <c r="AP99" s="13">
        <f>IF($AO99=0,0,SUMPRODUCT(ISNUMBER(rate_Rate)*((UPPER(TRIM(CLEAN(SUBSTITUTE(rate_Group&amp;""," "," "))))="")+(UPPER(TRIM(CLEAN(SUBSTITUTE(rate_Group&amp;""," "," "))))=$N99)&gt;0)*((UPPER(TRIM(CLEAN(SUBSTITUTE(rate_COO&amp;""," "," "))))="")+(UPPER(TRIM(CLEAN(SUBSTITUTE(rate_COO&amp;""," "," "))))=$E99)&gt;0)*((UPPER(TRIM(CLEAN(SUBSTITUTE(rate_USMCA&amp;""," "," "))))="")+(UPPER(TRIM(CLEAN(SUBSTITUTE(rate_USMCA&amp;""," "," "))))=IF(UPPER(TRIM(CLEAN(SUBSTITUTE(Items!F99&amp;""," "," "))))="Y","Y","N"))&gt;0)*((1+(UPPER(TRIM(CLEAN(SUBSTITUTE(rate_Group&amp;""," "," "))))&lt;&gt;"")+2*(UPPER(TRIM(CLEAN(SUBSTITUTE(rate_USMCA&amp;""," "," "))))&lt;&gt;"")+4*(UPPER(TRIM(CLEAN(SUBSTITUTE(rate_COO&amp;""," "," "))))&lt;&gt;""))=INT($AO99/100))))</f>
        <v/>
      </c>
      <c r="AQ99" s="13">
        <f>IF($A99="",0,IFERROR(MATCH($AL99,det_Key,0),0))</f>
        <v/>
      </c>
    </row>
    <row r="100">
      <c r="A100" s="10">
        <f>IF(TRIM(CLEAN(SUBSTITUTE(Items!A100&amp;""," "," ")))="","",TRIM(CLEAN(SUBSTITUTE(Items!A100&amp;""," "," "))))</f>
        <v/>
      </c>
      <c r="B100" s="10">
        <f>IF($A100="","",Items!B100&amp;"")</f>
        <v/>
      </c>
      <c r="C100" s="10">
        <f>IF($A100="","",SUBSTITUTE(SUBSTITUTE(SUBSTITUTE(SUBSTITUTE(CLEAN(Items!D100&amp;"")," ",""),".","")," ",""),"-",""))</f>
        <v/>
      </c>
      <c r="D100" s="10">
        <f>IF($A100="","",LEFT($C100,2))</f>
        <v/>
      </c>
      <c r="E100" s="10">
        <f>IF($A100="","",UPPER(TRIM(CLEAN(SUBSTITUTE(Items!E100&amp;""," "," ")))))</f>
        <v/>
      </c>
      <c r="F100" s="10">
        <f>IF($A100="","",IF(UPPER(TRIM(CLEAN(SUBSTITUTE(Items!C100&amp;""," "," "))))=UPPER(TRIM(CLEAN(SUBSTITUTE(act_Country&amp;""," "," ")))),"Y","N"))</f>
        <v/>
      </c>
      <c r="G100" s="10">
        <f>IF($A100="","",IF($AM100&gt;0,"Y","N"))</f>
        <v/>
      </c>
      <c r="H100" s="10">
        <f>IF($A100="","",IF(SUMPRODUCT((excl_HTS&lt;&gt;"")*(LEFT($C100,LEN(excl_HTS))=excl_HTS))&gt;0,"Y","N"))</f>
        <v/>
      </c>
      <c r="I100" s="10">
        <f>IF($A100="","",IF($E100="","N",IF(SUMPRODUCT(--(UPPER(TRIM(CLEAN(SUBSTITUTE(scope_COO&amp;""," "," "))))=$E100))&gt;0,"Y","N")))</f>
        <v/>
      </c>
      <c r="J100" s="10">
        <f>IF($A100="","",IF(AND(UPPER(TRIM(CLEAN(SUBSTITUTE(act_USMCAExempt&amp;""," "," "))))="Y",UPPER(TRIM(CLEAN(SUBSTITUTE(Items!F100&amp;""," "," "))))="Y"),"Y","N"))</f>
        <v/>
      </c>
      <c r="K100" s="10">
        <f>IF($A100="","",IF($AQ100=0,"",UPPER(TRIM(CLEAN(SUBSTITUTE(INDEX(det_Status,$AQ100)&amp;""," "," "))))))</f>
        <v/>
      </c>
      <c r="L100" s="10">
        <f>IF($A100="","",IF($F100="N","N",IF($K100="IN","Y",IF($K100="OUT","N",IF(AND($G100="Y",$H100="N",$I100="Y",$J100="N"),"Y","N")))))</f>
        <v/>
      </c>
      <c r="M100" s="10">
        <f>IF($A100="","",IF($F100="N","Out: different import country",IF($K100="IN","In: Research determination",IF($K100="OUT","Out: Research determination",IF($G100="N","Out: HTS not on scope list",IF($H100="Y","Out: HTS on exclusion list",IF($I100="N","Out: origin not on scope list",IF($J100="Y","Out: USMCA-qualifying, exempt","In: matches scope rules"))))))))</f>
        <v/>
      </c>
      <c r="N100" s="10">
        <f>IF(OR($A100="",$AM100=0),"",UPPER(TRIM(CLEAN(SUBSTITUTE(INDEX(scope_Group,MOD($AM100,1000))&amp;""," "," ")))))</f>
        <v/>
      </c>
      <c r="O100" s="10">
        <f>IF($L100&lt;&gt;"Y","",IF($AO100=0,"Default (B15)",UPPER(TRIM(CLEAN(SUBSTITUTE(INDEX(rate_ID,MOD($AO100,100))&amp;""," "," "))))))</f>
        <v/>
      </c>
      <c r="P100" s="10">
        <f>IF($L100&lt;&gt;"Y","",IF($AO100=0,IF(UPPER(TRIM(CLEAN(SUBSTITUTE(act_DefaultBase&amp;""," "," "))))="PART","PART","FULL"),IF(UPPER(TRIM(CLEAN(SUBSTITUTE(INDEX(rate_Base,MOD($AO100,100))&amp;""," "," "))))="PART","PART","FULL")))</f>
        <v/>
      </c>
      <c r="Q100" s="17">
        <f>IF($A100="","",N(Items!J100))</f>
        <v/>
      </c>
      <c r="R100" s="17">
        <f>IF($A100="","",IF($L100&lt;&gt;"Y",0,IF($AO100=0,N(act_Rate),N(INDEX(rate_Rate,MOD($AO100,100))))))</f>
        <v/>
      </c>
      <c r="S100" s="17">
        <f>IF($A100="","",IF($L100&lt;&gt;"Y",0,IF($AO100=0,IF(UPPER(TRIM(CLEAN(SUBSTITUTE(act_RateType&amp;""," "," "))))="REPLACE",N(act_PriorRate),0),IF(ISNUMBER(INDEX(rate_Prior,MOD($AO100,100))),INDEX(rate_Prior,MOD($AO100,100)),IF(UPPER(TRIM(CLEAN(SUBSTITUTE(act_RateType&amp;""," "," "))))="REPLACE",N(act_PriorRate),0)))))</f>
        <v/>
      </c>
      <c r="T100" s="17">
        <f>IF($A100="","",IF(AND($L100="Y",$P100="PART",ISNUMBER(Items!M100)),Items!M100,1))</f>
        <v/>
      </c>
      <c r="U100" s="17">
        <f>IF($A100="","",IF($L100&lt;&gt;"Y",0,IF($AQ100&gt;0,IF(ISNUMBER(INDEX(det_Displaced,$AQ100)),INDEX(det_Displaced,$AQ100),IF($AO100=0,0,N(INDEX(rate_Displaced,MOD($AO100,100))))),IF($AO100=0,0,N(INDEX(rate_Displaced,MOD($AO100,100)))))))</f>
        <v/>
      </c>
      <c r="V100" s="17">
        <f>IF($A100="","",IF($L100="Y",$Q100+$T100*($R100-$S100)-$U100,$Q100))</f>
        <v/>
      </c>
      <c r="W100" s="18">
        <f>IF($A100="","",N(Items!H100)*$Q100)</f>
        <v/>
      </c>
      <c r="X100" s="18">
        <f>IF($A100="","",N(Items!H100)*$V100)</f>
        <v/>
      </c>
      <c r="Y100" s="18">
        <f>IF($A100="","",$X100-$W100)</f>
        <v/>
      </c>
      <c r="Z100" s="18">
        <f>IF($A100="","",N(Items!K100)+$Y100)</f>
        <v/>
      </c>
      <c r="AA100" s="17">
        <f>IF($A100="","",IF(N(Items!L100)=0,"",(N(Items!L100)-N(Items!K100))/N(Items!L100)))</f>
        <v/>
      </c>
      <c r="AB100" s="17">
        <f>IF($A100="","",IF(N(Items!L100)=0,"",(N(Items!L100)-$Z100)/N(Items!L100)))</f>
        <v/>
      </c>
      <c r="AC100" s="17">
        <f>IF(OR($AA100="",$AB100=""),"",$AB100-$AA100)</f>
        <v/>
      </c>
      <c r="AD100" s="13">
        <f>IF($A100="","",N(Items!I100))</f>
        <v/>
      </c>
      <c r="AE100" s="19">
        <f>IF($A100="","",$Y100*$AD100)</f>
        <v/>
      </c>
      <c r="AF100" s="10">
        <f>IF($A100="","",IF(N(Items!L100)&gt;0,"Y","N"))</f>
        <v/>
      </c>
      <c r="AG100" s="19">
        <f>IF($A100="","",IF($AF100="Y",N(Items!L100)*$AD100,0))</f>
        <v/>
      </c>
      <c r="AH100" s="19">
        <f>IF($A100="","",IF($AF100="Y",(N(Items!L100)-N(Items!K100))*$AD100,0))</f>
        <v/>
      </c>
      <c r="AI100" s="19">
        <f>IF($A100="","",IF($AF100="Y",$AH100-$AE100,0))</f>
        <v/>
      </c>
      <c r="AJ100" s="10">
        <f>IF($A100="","",IF(COUNTIF($AL$5:$AL$254,$AL100)&gt;1,"CHECK: duplicate item and import country",IF(TRIM(CLEAN(SUBSTITUTE(Items!C100&amp;""," "," ")))="","CHECK: import country missing",IF(AND(UPPER(TRIM(CLEAN(SUBSTITUTE(Items!C100&amp;""," "," "))))&lt;&gt;"US",UPPER(TRIM(CLEAN(SUBSTITUTE(Items!C100&amp;""," "," "))))&lt;&gt;"CA",UPPER(TRIM(CLEAN(SUBSTITUTE(Items!C100&amp;""," "," "))))&lt;&gt;"MX"),"CHECK: import country must be US, CA or MX",IF(NOT(AND(LEN($C100)=10,IFERROR(TEXT(VALUE($C100),REPT("0",LEN($C100)))=$C100,FALSE))),"CHECK: HTS must be 10 digits",IF(LEN($E100)&lt;&gt;2,"CHECK: origin code missing or not 2 letters",IF(TRIM(CLEAN(SUBSTITUTE(Items!G100&amp;""," "," ")))="","CHECK: unit of measure missing",IF(OR(Items!H100="",Items!J100="",Items!K100=""),"CHECK: value, rate or cost missing",IF(OR(NOT(ISNUMBER(Items!H100)),NOT(ISNUMBER(Items!J100)),NOT(ISNUMBER(Items!K100)),AND(Items!I100&lt;&gt;"",NOT(ISNUMBER(Items!I100))),AND(Items!L100&lt;&gt;"",NOT(ISNUMBER(Items!L100))),AND(Items!M100&lt;&gt;"",NOT(ISNUMBER(Items!M100)))),"CHECK: text in a number column",IF(AND(ISNUMBER(Items!M100),OR(N(Items!M100)&lt;0,N(Items!M100)&gt;1)),"CHECK: dutiable share must be 0% to 100%",IF(AND(UPPER(TRIM(CLEAN(SUBSTITUTE(Items!F100&amp;""," "," "))))&lt;&gt;"",UPPER(TRIM(CLEAN(SUBSTITUTE(Items!F100&amp;""," "," "))))&lt;&gt;"Y",UPPER(TRIM(CLEAN(SUBSTITUTE(Items!F100&amp;""," "," "))))&lt;&gt;"N"),"CHECK: USMCA flag must be Y, N or blank",IF(AND(UPPER(TRIM(CLEAN(SUBSTITUTE(Items!F100&amp;""," "," "))))="Y",$E100&lt;&gt;"US",$E100&lt;&gt;"CA",$E100&lt;&gt;"MX"),"CHECK: USMCA flag on an origin other than US, CA or MX",IF(AND($L100="Y",$AO100=0,NOT(ISNUMBER(act_Rate))),"CHECK: in scope but no rate (add a rate line or B15)",IF(AND($L100="Y",UPPER(TRIM(CLEAN(SUBSTITUTE(act_RateType&amp;""," "," "))))="REPLACE",NOT(ISNUMBER(act_PriorRate)),IF($AO100=0,TRUE,NOT(ISNUMBER(INDEX(rate_Prior,MOD($AO100,100)))))),"CHECK: REPLACE but no earlier rate (B17 or the rate line's AD)",IF(AND($L100="Y",$AP100&gt;1),"CHECK: two rate lines match equally",IF(AND($L100="Y",$AN100&gt;1),"CHECK: HTS prefix listed twice on the scope list",IF(AND($L100="Y",$P100="PART",NOT(ISNUMBER(Items!M100))),"CHECK: dutiable share missing (PART base)",IF(AND($L100="Y",$P100="FULL",ISNUMBER(Items!M100),N(Items!M100)&lt;&gt;1),"CHECK: dutiable share entered, but the rate taxes the full value",IF(AND($L100="Y",$Q100+0.0000001&lt;$T100*$S100+$U100),"CHECK: current rate is below the duty being replaced or displaced",IF(AND($L100="Y",$AD100=0),"NOTE: in scope, no quantity",IF(AND($L100="Y",$AF100="N"),"NOTE: in scope, no sell price (left out of margin %)",IF(AND($L100="Y",N(Items!H100)&gt;N(Items!K100)),"NOTE: customs value above standard cost (check unit of measure)",IF(AND($L100="Y",$Q100&gt;1),"NOTE: current rate above 100% (check it was entered as a percentage)","OK")))))))))))))))))))))))</f>
        <v/>
      </c>
      <c r="AK100" s="20">
        <f>IF($A100="","",IF(AND($L100="Y",$AE100&lt;&gt;0),ABS($AE100)+ROW()/1000000000,""))</f>
        <v/>
      </c>
      <c r="AL100" s="10">
        <f>IF($A100="","",UPPER($A100)&amp;"/"&amp;UPPER(TRIM(CLEAN(SUBSTITUTE(Items!C100&amp;""," "," ")))))</f>
        <v/>
      </c>
      <c r="AM100" s="13">
        <f>IF($A100="",0,SUMPRODUCT(MAX((scope_HTS&lt;&gt;"")*(LEFT($C100,LEN(scope_HTS))=scope_HTS)*(LEN(scope_HTS)*1000+ROW(scope_HTS)-4))))</f>
        <v/>
      </c>
      <c r="AN100" s="13">
        <f>IF($AM100=0,0,SUMPRODUCT((scope_HTS&lt;&gt;"")*(LEFT($C100,LEN(scope_HTS))=scope_HTS)*(LEN(scope_HTS)=INT($AM100/1000))))</f>
        <v/>
      </c>
      <c r="AO100" s="13">
        <f>IF($L100&lt;&gt;"Y",0,SUMPRODUCT(MAX(ISNUMBER(rate_Rate)*((UPPER(TRIM(CLEAN(SUBSTITUTE(rate_Group&amp;""," "," "))))="")+(UPPER(TRIM(CLEAN(SUBSTITUTE(rate_Group&amp;""," "," "))))=$N100)&gt;0)*((UPPER(TRIM(CLEAN(SUBSTITUTE(rate_COO&amp;""," "," "))))="")+(UPPER(TRIM(CLEAN(SUBSTITUTE(rate_COO&amp;""," "," "))))=$E100)&gt;0)*((UPPER(TRIM(CLEAN(SUBSTITUTE(rate_USMCA&amp;""," "," "))))="")+(UPPER(TRIM(CLEAN(SUBSTITUTE(rate_USMCA&amp;""," "," "))))=IF(UPPER(TRIM(CLEAN(SUBSTITUTE(Items!F100&amp;""," "," "))))="Y","Y","N"))&gt;0)*((1+(UPPER(TRIM(CLEAN(SUBSTITUTE(rate_Group&amp;""," "," "))))&lt;&gt;"")+2*(UPPER(TRIM(CLEAN(SUBSTITUTE(rate_USMCA&amp;""," "," "))))&lt;&gt;"")+4*(UPPER(TRIM(CLEAN(SUBSTITUTE(rate_COO&amp;""," "," "))))&lt;&gt;""))*100+ROW(rate_Rate)-4))))</f>
        <v/>
      </c>
      <c r="AP100" s="13">
        <f>IF($AO100=0,0,SUMPRODUCT(ISNUMBER(rate_Rate)*((UPPER(TRIM(CLEAN(SUBSTITUTE(rate_Group&amp;""," "," "))))="")+(UPPER(TRIM(CLEAN(SUBSTITUTE(rate_Group&amp;""," "," "))))=$N100)&gt;0)*((UPPER(TRIM(CLEAN(SUBSTITUTE(rate_COO&amp;""," "," "))))="")+(UPPER(TRIM(CLEAN(SUBSTITUTE(rate_COO&amp;""," "," "))))=$E100)&gt;0)*((UPPER(TRIM(CLEAN(SUBSTITUTE(rate_USMCA&amp;""," "," "))))="")+(UPPER(TRIM(CLEAN(SUBSTITUTE(rate_USMCA&amp;""," "," "))))=IF(UPPER(TRIM(CLEAN(SUBSTITUTE(Items!F100&amp;""," "," "))))="Y","Y","N"))&gt;0)*((1+(UPPER(TRIM(CLEAN(SUBSTITUTE(rate_Group&amp;""," "," "))))&lt;&gt;"")+2*(UPPER(TRIM(CLEAN(SUBSTITUTE(rate_USMCA&amp;""," "," "))))&lt;&gt;"")+4*(UPPER(TRIM(CLEAN(SUBSTITUTE(rate_COO&amp;""," "," "))))&lt;&gt;""))=INT($AO100/100))))</f>
        <v/>
      </c>
      <c r="AQ100" s="13">
        <f>IF($A100="",0,IFERROR(MATCH($AL100,det_Key,0),0))</f>
        <v/>
      </c>
    </row>
    <row r="101">
      <c r="A101" s="10">
        <f>IF(TRIM(CLEAN(SUBSTITUTE(Items!A101&amp;""," "," ")))="","",TRIM(CLEAN(SUBSTITUTE(Items!A101&amp;""," "," "))))</f>
        <v/>
      </c>
      <c r="B101" s="10">
        <f>IF($A101="","",Items!B101&amp;"")</f>
        <v/>
      </c>
      <c r="C101" s="10">
        <f>IF($A101="","",SUBSTITUTE(SUBSTITUTE(SUBSTITUTE(SUBSTITUTE(CLEAN(Items!D101&amp;"")," ",""),".","")," ",""),"-",""))</f>
        <v/>
      </c>
      <c r="D101" s="10">
        <f>IF($A101="","",LEFT($C101,2))</f>
        <v/>
      </c>
      <c r="E101" s="10">
        <f>IF($A101="","",UPPER(TRIM(CLEAN(SUBSTITUTE(Items!E101&amp;""," "," ")))))</f>
        <v/>
      </c>
      <c r="F101" s="10">
        <f>IF($A101="","",IF(UPPER(TRIM(CLEAN(SUBSTITUTE(Items!C101&amp;""," "," "))))=UPPER(TRIM(CLEAN(SUBSTITUTE(act_Country&amp;""," "," ")))),"Y","N"))</f>
        <v/>
      </c>
      <c r="G101" s="10">
        <f>IF($A101="","",IF($AM101&gt;0,"Y","N"))</f>
        <v/>
      </c>
      <c r="H101" s="10">
        <f>IF($A101="","",IF(SUMPRODUCT((excl_HTS&lt;&gt;"")*(LEFT($C101,LEN(excl_HTS))=excl_HTS))&gt;0,"Y","N"))</f>
        <v/>
      </c>
      <c r="I101" s="10">
        <f>IF($A101="","",IF($E101="","N",IF(SUMPRODUCT(--(UPPER(TRIM(CLEAN(SUBSTITUTE(scope_COO&amp;""," "," "))))=$E101))&gt;0,"Y","N")))</f>
        <v/>
      </c>
      <c r="J101" s="10">
        <f>IF($A101="","",IF(AND(UPPER(TRIM(CLEAN(SUBSTITUTE(act_USMCAExempt&amp;""," "," "))))="Y",UPPER(TRIM(CLEAN(SUBSTITUTE(Items!F101&amp;""," "," "))))="Y"),"Y","N"))</f>
        <v/>
      </c>
      <c r="K101" s="10">
        <f>IF($A101="","",IF($AQ101=0,"",UPPER(TRIM(CLEAN(SUBSTITUTE(INDEX(det_Status,$AQ101)&amp;""," "," "))))))</f>
        <v/>
      </c>
      <c r="L101" s="10">
        <f>IF($A101="","",IF($F101="N","N",IF($K101="IN","Y",IF($K101="OUT","N",IF(AND($G101="Y",$H101="N",$I101="Y",$J101="N"),"Y","N")))))</f>
        <v/>
      </c>
      <c r="M101" s="10">
        <f>IF($A101="","",IF($F101="N","Out: different import country",IF($K101="IN","In: Research determination",IF($K101="OUT","Out: Research determination",IF($G101="N","Out: HTS not on scope list",IF($H101="Y","Out: HTS on exclusion list",IF($I101="N","Out: origin not on scope list",IF($J101="Y","Out: USMCA-qualifying, exempt","In: matches scope rules"))))))))</f>
        <v/>
      </c>
      <c r="N101" s="10">
        <f>IF(OR($A101="",$AM101=0),"",UPPER(TRIM(CLEAN(SUBSTITUTE(INDEX(scope_Group,MOD($AM101,1000))&amp;""," "," ")))))</f>
        <v/>
      </c>
      <c r="O101" s="10">
        <f>IF($L101&lt;&gt;"Y","",IF($AO101=0,"Default (B15)",UPPER(TRIM(CLEAN(SUBSTITUTE(INDEX(rate_ID,MOD($AO101,100))&amp;""," "," "))))))</f>
        <v/>
      </c>
      <c r="P101" s="10">
        <f>IF($L101&lt;&gt;"Y","",IF($AO101=0,IF(UPPER(TRIM(CLEAN(SUBSTITUTE(act_DefaultBase&amp;""," "," "))))="PART","PART","FULL"),IF(UPPER(TRIM(CLEAN(SUBSTITUTE(INDEX(rate_Base,MOD($AO101,100))&amp;""," "," "))))="PART","PART","FULL")))</f>
        <v/>
      </c>
      <c r="Q101" s="17">
        <f>IF($A101="","",N(Items!J101))</f>
        <v/>
      </c>
      <c r="R101" s="17">
        <f>IF($A101="","",IF($L101&lt;&gt;"Y",0,IF($AO101=0,N(act_Rate),N(INDEX(rate_Rate,MOD($AO101,100))))))</f>
        <v/>
      </c>
      <c r="S101" s="17">
        <f>IF($A101="","",IF($L101&lt;&gt;"Y",0,IF($AO101=0,IF(UPPER(TRIM(CLEAN(SUBSTITUTE(act_RateType&amp;""," "," "))))="REPLACE",N(act_PriorRate),0),IF(ISNUMBER(INDEX(rate_Prior,MOD($AO101,100))),INDEX(rate_Prior,MOD($AO101,100)),IF(UPPER(TRIM(CLEAN(SUBSTITUTE(act_RateType&amp;""," "," "))))="REPLACE",N(act_PriorRate),0)))))</f>
        <v/>
      </c>
      <c r="T101" s="17">
        <f>IF($A101="","",IF(AND($L101="Y",$P101="PART",ISNUMBER(Items!M101)),Items!M101,1))</f>
        <v/>
      </c>
      <c r="U101" s="17">
        <f>IF($A101="","",IF($L101&lt;&gt;"Y",0,IF($AQ101&gt;0,IF(ISNUMBER(INDEX(det_Displaced,$AQ101)),INDEX(det_Displaced,$AQ101),IF($AO101=0,0,N(INDEX(rate_Displaced,MOD($AO101,100))))),IF($AO101=0,0,N(INDEX(rate_Displaced,MOD($AO101,100)))))))</f>
        <v/>
      </c>
      <c r="V101" s="17">
        <f>IF($A101="","",IF($L101="Y",$Q101+$T101*($R101-$S101)-$U101,$Q101))</f>
        <v/>
      </c>
      <c r="W101" s="18">
        <f>IF($A101="","",N(Items!H101)*$Q101)</f>
        <v/>
      </c>
      <c r="X101" s="18">
        <f>IF($A101="","",N(Items!H101)*$V101)</f>
        <v/>
      </c>
      <c r="Y101" s="18">
        <f>IF($A101="","",$X101-$W101)</f>
        <v/>
      </c>
      <c r="Z101" s="18">
        <f>IF($A101="","",N(Items!K101)+$Y101)</f>
        <v/>
      </c>
      <c r="AA101" s="17">
        <f>IF($A101="","",IF(N(Items!L101)=0,"",(N(Items!L101)-N(Items!K101))/N(Items!L101)))</f>
        <v/>
      </c>
      <c r="AB101" s="17">
        <f>IF($A101="","",IF(N(Items!L101)=0,"",(N(Items!L101)-$Z101)/N(Items!L101)))</f>
        <v/>
      </c>
      <c r="AC101" s="17">
        <f>IF(OR($AA101="",$AB101=""),"",$AB101-$AA101)</f>
        <v/>
      </c>
      <c r="AD101" s="13">
        <f>IF($A101="","",N(Items!I101))</f>
        <v/>
      </c>
      <c r="AE101" s="19">
        <f>IF($A101="","",$Y101*$AD101)</f>
        <v/>
      </c>
      <c r="AF101" s="10">
        <f>IF($A101="","",IF(N(Items!L101)&gt;0,"Y","N"))</f>
        <v/>
      </c>
      <c r="AG101" s="19">
        <f>IF($A101="","",IF($AF101="Y",N(Items!L101)*$AD101,0))</f>
        <v/>
      </c>
      <c r="AH101" s="19">
        <f>IF($A101="","",IF($AF101="Y",(N(Items!L101)-N(Items!K101))*$AD101,0))</f>
        <v/>
      </c>
      <c r="AI101" s="19">
        <f>IF($A101="","",IF($AF101="Y",$AH101-$AE101,0))</f>
        <v/>
      </c>
      <c r="AJ101" s="10">
        <f>IF($A101="","",IF(COUNTIF($AL$5:$AL$254,$AL101)&gt;1,"CHECK: duplicate item and import country",IF(TRIM(CLEAN(SUBSTITUTE(Items!C101&amp;""," "," ")))="","CHECK: import country missing",IF(AND(UPPER(TRIM(CLEAN(SUBSTITUTE(Items!C101&amp;""," "," "))))&lt;&gt;"US",UPPER(TRIM(CLEAN(SUBSTITUTE(Items!C101&amp;""," "," "))))&lt;&gt;"CA",UPPER(TRIM(CLEAN(SUBSTITUTE(Items!C101&amp;""," "," "))))&lt;&gt;"MX"),"CHECK: import country must be US, CA or MX",IF(NOT(AND(LEN($C101)=10,IFERROR(TEXT(VALUE($C101),REPT("0",LEN($C101)))=$C101,FALSE))),"CHECK: HTS must be 10 digits",IF(LEN($E101)&lt;&gt;2,"CHECK: origin code missing or not 2 letters",IF(TRIM(CLEAN(SUBSTITUTE(Items!G101&amp;""," "," ")))="","CHECK: unit of measure missing",IF(OR(Items!H101="",Items!J101="",Items!K101=""),"CHECK: value, rate or cost missing",IF(OR(NOT(ISNUMBER(Items!H101)),NOT(ISNUMBER(Items!J101)),NOT(ISNUMBER(Items!K101)),AND(Items!I101&lt;&gt;"",NOT(ISNUMBER(Items!I101))),AND(Items!L101&lt;&gt;"",NOT(ISNUMBER(Items!L101))),AND(Items!M101&lt;&gt;"",NOT(ISNUMBER(Items!M101)))),"CHECK: text in a number column",IF(AND(ISNUMBER(Items!M101),OR(N(Items!M101)&lt;0,N(Items!M101)&gt;1)),"CHECK: dutiable share must be 0% to 100%",IF(AND(UPPER(TRIM(CLEAN(SUBSTITUTE(Items!F101&amp;""," "," "))))&lt;&gt;"",UPPER(TRIM(CLEAN(SUBSTITUTE(Items!F101&amp;""," "," "))))&lt;&gt;"Y",UPPER(TRIM(CLEAN(SUBSTITUTE(Items!F101&amp;""," "," "))))&lt;&gt;"N"),"CHECK: USMCA flag must be Y, N or blank",IF(AND(UPPER(TRIM(CLEAN(SUBSTITUTE(Items!F101&amp;""," "," "))))="Y",$E101&lt;&gt;"US",$E101&lt;&gt;"CA",$E101&lt;&gt;"MX"),"CHECK: USMCA flag on an origin other than US, CA or MX",IF(AND($L101="Y",$AO101=0,NOT(ISNUMBER(act_Rate))),"CHECK: in scope but no rate (add a rate line or B15)",IF(AND($L101="Y",UPPER(TRIM(CLEAN(SUBSTITUTE(act_RateType&amp;""," "," "))))="REPLACE",NOT(ISNUMBER(act_PriorRate)),IF($AO101=0,TRUE,NOT(ISNUMBER(INDEX(rate_Prior,MOD($AO101,100)))))),"CHECK: REPLACE but no earlier rate (B17 or the rate line's AD)",IF(AND($L101="Y",$AP101&gt;1),"CHECK: two rate lines match equally",IF(AND($L101="Y",$AN101&gt;1),"CHECK: HTS prefix listed twice on the scope list",IF(AND($L101="Y",$P101="PART",NOT(ISNUMBER(Items!M101))),"CHECK: dutiable share missing (PART base)",IF(AND($L101="Y",$P101="FULL",ISNUMBER(Items!M101),N(Items!M101)&lt;&gt;1),"CHECK: dutiable share entered, but the rate taxes the full value",IF(AND($L101="Y",$Q101+0.0000001&lt;$T101*$S101+$U101),"CHECK: current rate is below the duty being replaced or displaced",IF(AND($L101="Y",$AD101=0),"NOTE: in scope, no quantity",IF(AND($L101="Y",$AF101="N"),"NOTE: in scope, no sell price (left out of margin %)",IF(AND($L101="Y",N(Items!H101)&gt;N(Items!K101)),"NOTE: customs value above standard cost (check unit of measure)",IF(AND($L101="Y",$Q101&gt;1),"NOTE: current rate above 100% (check it was entered as a percentage)","OK")))))))))))))))))))))))</f>
        <v/>
      </c>
      <c r="AK101" s="20">
        <f>IF($A101="","",IF(AND($L101="Y",$AE101&lt;&gt;0),ABS($AE101)+ROW()/1000000000,""))</f>
        <v/>
      </c>
      <c r="AL101" s="10">
        <f>IF($A101="","",UPPER($A101)&amp;"/"&amp;UPPER(TRIM(CLEAN(SUBSTITUTE(Items!C101&amp;""," "," ")))))</f>
        <v/>
      </c>
      <c r="AM101" s="13">
        <f>IF($A101="",0,SUMPRODUCT(MAX((scope_HTS&lt;&gt;"")*(LEFT($C101,LEN(scope_HTS))=scope_HTS)*(LEN(scope_HTS)*1000+ROW(scope_HTS)-4))))</f>
        <v/>
      </c>
      <c r="AN101" s="13">
        <f>IF($AM101=0,0,SUMPRODUCT((scope_HTS&lt;&gt;"")*(LEFT($C101,LEN(scope_HTS))=scope_HTS)*(LEN(scope_HTS)=INT($AM101/1000))))</f>
        <v/>
      </c>
      <c r="AO101" s="13">
        <f>IF($L101&lt;&gt;"Y",0,SUMPRODUCT(MAX(ISNUMBER(rate_Rate)*((UPPER(TRIM(CLEAN(SUBSTITUTE(rate_Group&amp;""," "," "))))="")+(UPPER(TRIM(CLEAN(SUBSTITUTE(rate_Group&amp;""," "," "))))=$N101)&gt;0)*((UPPER(TRIM(CLEAN(SUBSTITUTE(rate_COO&amp;""," "," "))))="")+(UPPER(TRIM(CLEAN(SUBSTITUTE(rate_COO&amp;""," "," "))))=$E101)&gt;0)*((UPPER(TRIM(CLEAN(SUBSTITUTE(rate_USMCA&amp;""," "," "))))="")+(UPPER(TRIM(CLEAN(SUBSTITUTE(rate_USMCA&amp;""," "," "))))=IF(UPPER(TRIM(CLEAN(SUBSTITUTE(Items!F101&amp;""," "," "))))="Y","Y","N"))&gt;0)*((1+(UPPER(TRIM(CLEAN(SUBSTITUTE(rate_Group&amp;""," "," "))))&lt;&gt;"")+2*(UPPER(TRIM(CLEAN(SUBSTITUTE(rate_USMCA&amp;""," "," "))))&lt;&gt;"")+4*(UPPER(TRIM(CLEAN(SUBSTITUTE(rate_COO&amp;""," "," "))))&lt;&gt;""))*100+ROW(rate_Rate)-4))))</f>
        <v/>
      </c>
      <c r="AP101" s="13">
        <f>IF($AO101=0,0,SUMPRODUCT(ISNUMBER(rate_Rate)*((UPPER(TRIM(CLEAN(SUBSTITUTE(rate_Group&amp;""," "," "))))="")+(UPPER(TRIM(CLEAN(SUBSTITUTE(rate_Group&amp;""," "," "))))=$N101)&gt;0)*((UPPER(TRIM(CLEAN(SUBSTITUTE(rate_COO&amp;""," "," "))))="")+(UPPER(TRIM(CLEAN(SUBSTITUTE(rate_COO&amp;""," "," "))))=$E101)&gt;0)*((UPPER(TRIM(CLEAN(SUBSTITUTE(rate_USMCA&amp;""," "," "))))="")+(UPPER(TRIM(CLEAN(SUBSTITUTE(rate_USMCA&amp;""," "," "))))=IF(UPPER(TRIM(CLEAN(SUBSTITUTE(Items!F101&amp;""," "," "))))="Y","Y","N"))&gt;0)*((1+(UPPER(TRIM(CLEAN(SUBSTITUTE(rate_Group&amp;""," "," "))))&lt;&gt;"")+2*(UPPER(TRIM(CLEAN(SUBSTITUTE(rate_USMCA&amp;""," "," "))))&lt;&gt;"")+4*(UPPER(TRIM(CLEAN(SUBSTITUTE(rate_COO&amp;""," "," "))))&lt;&gt;""))=INT($AO101/100))))</f>
        <v/>
      </c>
      <c r="AQ101" s="13">
        <f>IF($A101="",0,IFERROR(MATCH($AL101,det_Key,0),0))</f>
        <v/>
      </c>
    </row>
    <row r="102">
      <c r="A102" s="10">
        <f>IF(TRIM(CLEAN(SUBSTITUTE(Items!A102&amp;""," "," ")))="","",TRIM(CLEAN(SUBSTITUTE(Items!A102&amp;""," "," "))))</f>
        <v/>
      </c>
      <c r="B102" s="10">
        <f>IF($A102="","",Items!B102&amp;"")</f>
        <v/>
      </c>
      <c r="C102" s="10">
        <f>IF($A102="","",SUBSTITUTE(SUBSTITUTE(SUBSTITUTE(SUBSTITUTE(CLEAN(Items!D102&amp;"")," ",""),".","")," ",""),"-",""))</f>
        <v/>
      </c>
      <c r="D102" s="10">
        <f>IF($A102="","",LEFT($C102,2))</f>
        <v/>
      </c>
      <c r="E102" s="10">
        <f>IF($A102="","",UPPER(TRIM(CLEAN(SUBSTITUTE(Items!E102&amp;""," "," ")))))</f>
        <v/>
      </c>
      <c r="F102" s="10">
        <f>IF($A102="","",IF(UPPER(TRIM(CLEAN(SUBSTITUTE(Items!C102&amp;""," "," "))))=UPPER(TRIM(CLEAN(SUBSTITUTE(act_Country&amp;""," "," ")))),"Y","N"))</f>
        <v/>
      </c>
      <c r="G102" s="10">
        <f>IF($A102="","",IF($AM102&gt;0,"Y","N"))</f>
        <v/>
      </c>
      <c r="H102" s="10">
        <f>IF($A102="","",IF(SUMPRODUCT((excl_HTS&lt;&gt;"")*(LEFT($C102,LEN(excl_HTS))=excl_HTS))&gt;0,"Y","N"))</f>
        <v/>
      </c>
      <c r="I102" s="10">
        <f>IF($A102="","",IF($E102="","N",IF(SUMPRODUCT(--(UPPER(TRIM(CLEAN(SUBSTITUTE(scope_COO&amp;""," "," "))))=$E102))&gt;0,"Y","N")))</f>
        <v/>
      </c>
      <c r="J102" s="10">
        <f>IF($A102="","",IF(AND(UPPER(TRIM(CLEAN(SUBSTITUTE(act_USMCAExempt&amp;""," "," "))))="Y",UPPER(TRIM(CLEAN(SUBSTITUTE(Items!F102&amp;""," "," "))))="Y"),"Y","N"))</f>
        <v/>
      </c>
      <c r="K102" s="10">
        <f>IF($A102="","",IF($AQ102=0,"",UPPER(TRIM(CLEAN(SUBSTITUTE(INDEX(det_Status,$AQ102)&amp;""," "," "))))))</f>
        <v/>
      </c>
      <c r="L102" s="10">
        <f>IF($A102="","",IF($F102="N","N",IF($K102="IN","Y",IF($K102="OUT","N",IF(AND($G102="Y",$H102="N",$I102="Y",$J102="N"),"Y","N")))))</f>
        <v/>
      </c>
      <c r="M102" s="10">
        <f>IF($A102="","",IF($F102="N","Out: different import country",IF($K102="IN","In: Research determination",IF($K102="OUT","Out: Research determination",IF($G102="N","Out: HTS not on scope list",IF($H102="Y","Out: HTS on exclusion list",IF($I102="N","Out: origin not on scope list",IF($J102="Y","Out: USMCA-qualifying, exempt","In: matches scope rules"))))))))</f>
        <v/>
      </c>
      <c r="N102" s="10">
        <f>IF(OR($A102="",$AM102=0),"",UPPER(TRIM(CLEAN(SUBSTITUTE(INDEX(scope_Group,MOD($AM102,1000))&amp;""," "," ")))))</f>
        <v/>
      </c>
      <c r="O102" s="10">
        <f>IF($L102&lt;&gt;"Y","",IF($AO102=0,"Default (B15)",UPPER(TRIM(CLEAN(SUBSTITUTE(INDEX(rate_ID,MOD($AO102,100))&amp;""," "," "))))))</f>
        <v/>
      </c>
      <c r="P102" s="10">
        <f>IF($L102&lt;&gt;"Y","",IF($AO102=0,IF(UPPER(TRIM(CLEAN(SUBSTITUTE(act_DefaultBase&amp;""," "," "))))="PART","PART","FULL"),IF(UPPER(TRIM(CLEAN(SUBSTITUTE(INDEX(rate_Base,MOD($AO102,100))&amp;""," "," "))))="PART","PART","FULL")))</f>
        <v/>
      </c>
      <c r="Q102" s="17">
        <f>IF($A102="","",N(Items!J102))</f>
        <v/>
      </c>
      <c r="R102" s="17">
        <f>IF($A102="","",IF($L102&lt;&gt;"Y",0,IF($AO102=0,N(act_Rate),N(INDEX(rate_Rate,MOD($AO102,100))))))</f>
        <v/>
      </c>
      <c r="S102" s="17">
        <f>IF($A102="","",IF($L102&lt;&gt;"Y",0,IF($AO102=0,IF(UPPER(TRIM(CLEAN(SUBSTITUTE(act_RateType&amp;""," "," "))))="REPLACE",N(act_PriorRate),0),IF(ISNUMBER(INDEX(rate_Prior,MOD($AO102,100))),INDEX(rate_Prior,MOD($AO102,100)),IF(UPPER(TRIM(CLEAN(SUBSTITUTE(act_RateType&amp;""," "," "))))="REPLACE",N(act_PriorRate),0)))))</f>
        <v/>
      </c>
      <c r="T102" s="17">
        <f>IF($A102="","",IF(AND($L102="Y",$P102="PART",ISNUMBER(Items!M102)),Items!M102,1))</f>
        <v/>
      </c>
      <c r="U102" s="17">
        <f>IF($A102="","",IF($L102&lt;&gt;"Y",0,IF($AQ102&gt;0,IF(ISNUMBER(INDEX(det_Displaced,$AQ102)),INDEX(det_Displaced,$AQ102),IF($AO102=0,0,N(INDEX(rate_Displaced,MOD($AO102,100))))),IF($AO102=0,0,N(INDEX(rate_Displaced,MOD($AO102,100)))))))</f>
        <v/>
      </c>
      <c r="V102" s="17">
        <f>IF($A102="","",IF($L102="Y",$Q102+$T102*($R102-$S102)-$U102,$Q102))</f>
        <v/>
      </c>
      <c r="W102" s="18">
        <f>IF($A102="","",N(Items!H102)*$Q102)</f>
        <v/>
      </c>
      <c r="X102" s="18">
        <f>IF($A102="","",N(Items!H102)*$V102)</f>
        <v/>
      </c>
      <c r="Y102" s="18">
        <f>IF($A102="","",$X102-$W102)</f>
        <v/>
      </c>
      <c r="Z102" s="18">
        <f>IF($A102="","",N(Items!K102)+$Y102)</f>
        <v/>
      </c>
      <c r="AA102" s="17">
        <f>IF($A102="","",IF(N(Items!L102)=0,"",(N(Items!L102)-N(Items!K102))/N(Items!L102)))</f>
        <v/>
      </c>
      <c r="AB102" s="17">
        <f>IF($A102="","",IF(N(Items!L102)=0,"",(N(Items!L102)-$Z102)/N(Items!L102)))</f>
        <v/>
      </c>
      <c r="AC102" s="17">
        <f>IF(OR($AA102="",$AB102=""),"",$AB102-$AA102)</f>
        <v/>
      </c>
      <c r="AD102" s="13">
        <f>IF($A102="","",N(Items!I102))</f>
        <v/>
      </c>
      <c r="AE102" s="19">
        <f>IF($A102="","",$Y102*$AD102)</f>
        <v/>
      </c>
      <c r="AF102" s="10">
        <f>IF($A102="","",IF(N(Items!L102)&gt;0,"Y","N"))</f>
        <v/>
      </c>
      <c r="AG102" s="19">
        <f>IF($A102="","",IF($AF102="Y",N(Items!L102)*$AD102,0))</f>
        <v/>
      </c>
      <c r="AH102" s="19">
        <f>IF($A102="","",IF($AF102="Y",(N(Items!L102)-N(Items!K102))*$AD102,0))</f>
        <v/>
      </c>
      <c r="AI102" s="19">
        <f>IF($A102="","",IF($AF102="Y",$AH102-$AE102,0))</f>
        <v/>
      </c>
      <c r="AJ102" s="10">
        <f>IF($A102="","",IF(COUNTIF($AL$5:$AL$254,$AL102)&gt;1,"CHECK: duplicate item and import country",IF(TRIM(CLEAN(SUBSTITUTE(Items!C102&amp;""," "," ")))="","CHECK: import country missing",IF(AND(UPPER(TRIM(CLEAN(SUBSTITUTE(Items!C102&amp;""," "," "))))&lt;&gt;"US",UPPER(TRIM(CLEAN(SUBSTITUTE(Items!C102&amp;""," "," "))))&lt;&gt;"CA",UPPER(TRIM(CLEAN(SUBSTITUTE(Items!C102&amp;""," "," "))))&lt;&gt;"MX"),"CHECK: import country must be US, CA or MX",IF(NOT(AND(LEN($C102)=10,IFERROR(TEXT(VALUE($C102),REPT("0",LEN($C102)))=$C102,FALSE))),"CHECK: HTS must be 10 digits",IF(LEN($E102)&lt;&gt;2,"CHECK: origin code missing or not 2 letters",IF(TRIM(CLEAN(SUBSTITUTE(Items!G102&amp;""," "," ")))="","CHECK: unit of measure missing",IF(OR(Items!H102="",Items!J102="",Items!K102=""),"CHECK: value, rate or cost missing",IF(OR(NOT(ISNUMBER(Items!H102)),NOT(ISNUMBER(Items!J102)),NOT(ISNUMBER(Items!K102)),AND(Items!I102&lt;&gt;"",NOT(ISNUMBER(Items!I102))),AND(Items!L102&lt;&gt;"",NOT(ISNUMBER(Items!L102))),AND(Items!M102&lt;&gt;"",NOT(ISNUMBER(Items!M102)))),"CHECK: text in a number column",IF(AND(ISNUMBER(Items!M102),OR(N(Items!M102)&lt;0,N(Items!M102)&gt;1)),"CHECK: dutiable share must be 0% to 100%",IF(AND(UPPER(TRIM(CLEAN(SUBSTITUTE(Items!F102&amp;""," "," "))))&lt;&gt;"",UPPER(TRIM(CLEAN(SUBSTITUTE(Items!F102&amp;""," "," "))))&lt;&gt;"Y",UPPER(TRIM(CLEAN(SUBSTITUTE(Items!F102&amp;""," "," "))))&lt;&gt;"N"),"CHECK: USMCA flag must be Y, N or blank",IF(AND(UPPER(TRIM(CLEAN(SUBSTITUTE(Items!F102&amp;""," "," "))))="Y",$E102&lt;&gt;"US",$E102&lt;&gt;"CA",$E102&lt;&gt;"MX"),"CHECK: USMCA flag on an origin other than US, CA or MX",IF(AND($L102="Y",$AO102=0,NOT(ISNUMBER(act_Rate))),"CHECK: in scope but no rate (add a rate line or B15)",IF(AND($L102="Y",UPPER(TRIM(CLEAN(SUBSTITUTE(act_RateType&amp;""," "," "))))="REPLACE",NOT(ISNUMBER(act_PriorRate)),IF($AO102=0,TRUE,NOT(ISNUMBER(INDEX(rate_Prior,MOD($AO102,100)))))),"CHECK: REPLACE but no earlier rate (B17 or the rate line's AD)",IF(AND($L102="Y",$AP102&gt;1),"CHECK: two rate lines match equally",IF(AND($L102="Y",$AN102&gt;1),"CHECK: HTS prefix listed twice on the scope list",IF(AND($L102="Y",$P102="PART",NOT(ISNUMBER(Items!M102))),"CHECK: dutiable share missing (PART base)",IF(AND($L102="Y",$P102="FULL",ISNUMBER(Items!M102),N(Items!M102)&lt;&gt;1),"CHECK: dutiable share entered, but the rate taxes the full value",IF(AND($L102="Y",$Q102+0.0000001&lt;$T102*$S102+$U102),"CHECK: current rate is below the duty being replaced or displaced",IF(AND($L102="Y",$AD102=0),"NOTE: in scope, no quantity",IF(AND($L102="Y",$AF102="N"),"NOTE: in scope, no sell price (left out of margin %)",IF(AND($L102="Y",N(Items!H102)&gt;N(Items!K102)),"NOTE: customs value above standard cost (check unit of measure)",IF(AND($L102="Y",$Q102&gt;1),"NOTE: current rate above 100% (check it was entered as a percentage)","OK")))))))))))))))))))))))</f>
        <v/>
      </c>
      <c r="AK102" s="20">
        <f>IF($A102="","",IF(AND($L102="Y",$AE102&lt;&gt;0),ABS($AE102)+ROW()/1000000000,""))</f>
        <v/>
      </c>
      <c r="AL102" s="10">
        <f>IF($A102="","",UPPER($A102)&amp;"/"&amp;UPPER(TRIM(CLEAN(SUBSTITUTE(Items!C102&amp;""," "," ")))))</f>
        <v/>
      </c>
      <c r="AM102" s="13">
        <f>IF($A102="",0,SUMPRODUCT(MAX((scope_HTS&lt;&gt;"")*(LEFT($C102,LEN(scope_HTS))=scope_HTS)*(LEN(scope_HTS)*1000+ROW(scope_HTS)-4))))</f>
        <v/>
      </c>
      <c r="AN102" s="13">
        <f>IF($AM102=0,0,SUMPRODUCT((scope_HTS&lt;&gt;"")*(LEFT($C102,LEN(scope_HTS))=scope_HTS)*(LEN(scope_HTS)=INT($AM102/1000))))</f>
        <v/>
      </c>
      <c r="AO102" s="13">
        <f>IF($L102&lt;&gt;"Y",0,SUMPRODUCT(MAX(ISNUMBER(rate_Rate)*((UPPER(TRIM(CLEAN(SUBSTITUTE(rate_Group&amp;""," "," "))))="")+(UPPER(TRIM(CLEAN(SUBSTITUTE(rate_Group&amp;""," "," "))))=$N102)&gt;0)*((UPPER(TRIM(CLEAN(SUBSTITUTE(rate_COO&amp;""," "," "))))="")+(UPPER(TRIM(CLEAN(SUBSTITUTE(rate_COO&amp;""," "," "))))=$E102)&gt;0)*((UPPER(TRIM(CLEAN(SUBSTITUTE(rate_USMCA&amp;""," "," "))))="")+(UPPER(TRIM(CLEAN(SUBSTITUTE(rate_USMCA&amp;""," "," "))))=IF(UPPER(TRIM(CLEAN(SUBSTITUTE(Items!F102&amp;""," "," "))))="Y","Y","N"))&gt;0)*((1+(UPPER(TRIM(CLEAN(SUBSTITUTE(rate_Group&amp;""," "," "))))&lt;&gt;"")+2*(UPPER(TRIM(CLEAN(SUBSTITUTE(rate_USMCA&amp;""," "," "))))&lt;&gt;"")+4*(UPPER(TRIM(CLEAN(SUBSTITUTE(rate_COO&amp;""," "," "))))&lt;&gt;""))*100+ROW(rate_Rate)-4))))</f>
        <v/>
      </c>
      <c r="AP102" s="13">
        <f>IF($AO102=0,0,SUMPRODUCT(ISNUMBER(rate_Rate)*((UPPER(TRIM(CLEAN(SUBSTITUTE(rate_Group&amp;""," "," "))))="")+(UPPER(TRIM(CLEAN(SUBSTITUTE(rate_Group&amp;""," "," "))))=$N102)&gt;0)*((UPPER(TRIM(CLEAN(SUBSTITUTE(rate_COO&amp;""," "," "))))="")+(UPPER(TRIM(CLEAN(SUBSTITUTE(rate_COO&amp;""," "," "))))=$E102)&gt;0)*((UPPER(TRIM(CLEAN(SUBSTITUTE(rate_USMCA&amp;""," "," "))))="")+(UPPER(TRIM(CLEAN(SUBSTITUTE(rate_USMCA&amp;""," "," "))))=IF(UPPER(TRIM(CLEAN(SUBSTITUTE(Items!F102&amp;""," "," "))))="Y","Y","N"))&gt;0)*((1+(UPPER(TRIM(CLEAN(SUBSTITUTE(rate_Group&amp;""," "," "))))&lt;&gt;"")+2*(UPPER(TRIM(CLEAN(SUBSTITUTE(rate_USMCA&amp;""," "," "))))&lt;&gt;"")+4*(UPPER(TRIM(CLEAN(SUBSTITUTE(rate_COO&amp;""," "," "))))&lt;&gt;""))=INT($AO102/100))))</f>
        <v/>
      </c>
      <c r="AQ102" s="13">
        <f>IF($A102="",0,IFERROR(MATCH($AL102,det_Key,0),0))</f>
        <v/>
      </c>
    </row>
    <row r="103">
      <c r="A103" s="10">
        <f>IF(TRIM(CLEAN(SUBSTITUTE(Items!A103&amp;""," "," ")))="","",TRIM(CLEAN(SUBSTITUTE(Items!A103&amp;""," "," "))))</f>
        <v/>
      </c>
      <c r="B103" s="10">
        <f>IF($A103="","",Items!B103&amp;"")</f>
        <v/>
      </c>
      <c r="C103" s="10">
        <f>IF($A103="","",SUBSTITUTE(SUBSTITUTE(SUBSTITUTE(SUBSTITUTE(CLEAN(Items!D103&amp;"")," ",""),".","")," ",""),"-",""))</f>
        <v/>
      </c>
      <c r="D103" s="10">
        <f>IF($A103="","",LEFT($C103,2))</f>
        <v/>
      </c>
      <c r="E103" s="10">
        <f>IF($A103="","",UPPER(TRIM(CLEAN(SUBSTITUTE(Items!E103&amp;""," "," ")))))</f>
        <v/>
      </c>
      <c r="F103" s="10">
        <f>IF($A103="","",IF(UPPER(TRIM(CLEAN(SUBSTITUTE(Items!C103&amp;""," "," "))))=UPPER(TRIM(CLEAN(SUBSTITUTE(act_Country&amp;""," "," ")))),"Y","N"))</f>
        <v/>
      </c>
      <c r="G103" s="10">
        <f>IF($A103="","",IF($AM103&gt;0,"Y","N"))</f>
        <v/>
      </c>
      <c r="H103" s="10">
        <f>IF($A103="","",IF(SUMPRODUCT((excl_HTS&lt;&gt;"")*(LEFT($C103,LEN(excl_HTS))=excl_HTS))&gt;0,"Y","N"))</f>
        <v/>
      </c>
      <c r="I103" s="10">
        <f>IF($A103="","",IF($E103="","N",IF(SUMPRODUCT(--(UPPER(TRIM(CLEAN(SUBSTITUTE(scope_COO&amp;""," "," "))))=$E103))&gt;0,"Y","N")))</f>
        <v/>
      </c>
      <c r="J103" s="10">
        <f>IF($A103="","",IF(AND(UPPER(TRIM(CLEAN(SUBSTITUTE(act_USMCAExempt&amp;""," "," "))))="Y",UPPER(TRIM(CLEAN(SUBSTITUTE(Items!F103&amp;""," "," "))))="Y"),"Y","N"))</f>
        <v/>
      </c>
      <c r="K103" s="10">
        <f>IF($A103="","",IF($AQ103=0,"",UPPER(TRIM(CLEAN(SUBSTITUTE(INDEX(det_Status,$AQ103)&amp;""," "," "))))))</f>
        <v/>
      </c>
      <c r="L103" s="10">
        <f>IF($A103="","",IF($F103="N","N",IF($K103="IN","Y",IF($K103="OUT","N",IF(AND($G103="Y",$H103="N",$I103="Y",$J103="N"),"Y","N")))))</f>
        <v/>
      </c>
      <c r="M103" s="10">
        <f>IF($A103="","",IF($F103="N","Out: different import country",IF($K103="IN","In: Research determination",IF($K103="OUT","Out: Research determination",IF($G103="N","Out: HTS not on scope list",IF($H103="Y","Out: HTS on exclusion list",IF($I103="N","Out: origin not on scope list",IF($J103="Y","Out: USMCA-qualifying, exempt","In: matches scope rules"))))))))</f>
        <v/>
      </c>
      <c r="N103" s="10">
        <f>IF(OR($A103="",$AM103=0),"",UPPER(TRIM(CLEAN(SUBSTITUTE(INDEX(scope_Group,MOD($AM103,1000))&amp;""," "," ")))))</f>
        <v/>
      </c>
      <c r="O103" s="10">
        <f>IF($L103&lt;&gt;"Y","",IF($AO103=0,"Default (B15)",UPPER(TRIM(CLEAN(SUBSTITUTE(INDEX(rate_ID,MOD($AO103,100))&amp;""," "," "))))))</f>
        <v/>
      </c>
      <c r="P103" s="10">
        <f>IF($L103&lt;&gt;"Y","",IF($AO103=0,IF(UPPER(TRIM(CLEAN(SUBSTITUTE(act_DefaultBase&amp;""," "," "))))="PART","PART","FULL"),IF(UPPER(TRIM(CLEAN(SUBSTITUTE(INDEX(rate_Base,MOD($AO103,100))&amp;""," "," "))))="PART","PART","FULL")))</f>
        <v/>
      </c>
      <c r="Q103" s="17">
        <f>IF($A103="","",N(Items!J103))</f>
        <v/>
      </c>
      <c r="R103" s="17">
        <f>IF($A103="","",IF($L103&lt;&gt;"Y",0,IF($AO103=0,N(act_Rate),N(INDEX(rate_Rate,MOD($AO103,100))))))</f>
        <v/>
      </c>
      <c r="S103" s="17">
        <f>IF($A103="","",IF($L103&lt;&gt;"Y",0,IF($AO103=0,IF(UPPER(TRIM(CLEAN(SUBSTITUTE(act_RateType&amp;""," "," "))))="REPLACE",N(act_PriorRate),0),IF(ISNUMBER(INDEX(rate_Prior,MOD($AO103,100))),INDEX(rate_Prior,MOD($AO103,100)),IF(UPPER(TRIM(CLEAN(SUBSTITUTE(act_RateType&amp;""," "," "))))="REPLACE",N(act_PriorRate),0)))))</f>
        <v/>
      </c>
      <c r="T103" s="17">
        <f>IF($A103="","",IF(AND($L103="Y",$P103="PART",ISNUMBER(Items!M103)),Items!M103,1))</f>
        <v/>
      </c>
      <c r="U103" s="17">
        <f>IF($A103="","",IF($L103&lt;&gt;"Y",0,IF($AQ103&gt;0,IF(ISNUMBER(INDEX(det_Displaced,$AQ103)),INDEX(det_Displaced,$AQ103),IF($AO103=0,0,N(INDEX(rate_Displaced,MOD($AO103,100))))),IF($AO103=0,0,N(INDEX(rate_Displaced,MOD($AO103,100)))))))</f>
        <v/>
      </c>
      <c r="V103" s="17">
        <f>IF($A103="","",IF($L103="Y",$Q103+$T103*($R103-$S103)-$U103,$Q103))</f>
        <v/>
      </c>
      <c r="W103" s="18">
        <f>IF($A103="","",N(Items!H103)*$Q103)</f>
        <v/>
      </c>
      <c r="X103" s="18">
        <f>IF($A103="","",N(Items!H103)*$V103)</f>
        <v/>
      </c>
      <c r="Y103" s="18">
        <f>IF($A103="","",$X103-$W103)</f>
        <v/>
      </c>
      <c r="Z103" s="18">
        <f>IF($A103="","",N(Items!K103)+$Y103)</f>
        <v/>
      </c>
      <c r="AA103" s="17">
        <f>IF($A103="","",IF(N(Items!L103)=0,"",(N(Items!L103)-N(Items!K103))/N(Items!L103)))</f>
        <v/>
      </c>
      <c r="AB103" s="17">
        <f>IF($A103="","",IF(N(Items!L103)=0,"",(N(Items!L103)-$Z103)/N(Items!L103)))</f>
        <v/>
      </c>
      <c r="AC103" s="17">
        <f>IF(OR($AA103="",$AB103=""),"",$AB103-$AA103)</f>
        <v/>
      </c>
      <c r="AD103" s="13">
        <f>IF($A103="","",N(Items!I103))</f>
        <v/>
      </c>
      <c r="AE103" s="19">
        <f>IF($A103="","",$Y103*$AD103)</f>
        <v/>
      </c>
      <c r="AF103" s="10">
        <f>IF($A103="","",IF(N(Items!L103)&gt;0,"Y","N"))</f>
        <v/>
      </c>
      <c r="AG103" s="19">
        <f>IF($A103="","",IF($AF103="Y",N(Items!L103)*$AD103,0))</f>
        <v/>
      </c>
      <c r="AH103" s="19">
        <f>IF($A103="","",IF($AF103="Y",(N(Items!L103)-N(Items!K103))*$AD103,0))</f>
        <v/>
      </c>
      <c r="AI103" s="19">
        <f>IF($A103="","",IF($AF103="Y",$AH103-$AE103,0))</f>
        <v/>
      </c>
      <c r="AJ103" s="10">
        <f>IF($A103="","",IF(COUNTIF($AL$5:$AL$254,$AL103)&gt;1,"CHECK: duplicate item and import country",IF(TRIM(CLEAN(SUBSTITUTE(Items!C103&amp;""," "," ")))="","CHECK: import country missing",IF(AND(UPPER(TRIM(CLEAN(SUBSTITUTE(Items!C103&amp;""," "," "))))&lt;&gt;"US",UPPER(TRIM(CLEAN(SUBSTITUTE(Items!C103&amp;""," "," "))))&lt;&gt;"CA",UPPER(TRIM(CLEAN(SUBSTITUTE(Items!C103&amp;""," "," "))))&lt;&gt;"MX"),"CHECK: import country must be US, CA or MX",IF(NOT(AND(LEN($C103)=10,IFERROR(TEXT(VALUE($C103),REPT("0",LEN($C103)))=$C103,FALSE))),"CHECK: HTS must be 10 digits",IF(LEN($E103)&lt;&gt;2,"CHECK: origin code missing or not 2 letters",IF(TRIM(CLEAN(SUBSTITUTE(Items!G103&amp;""," "," ")))="","CHECK: unit of measure missing",IF(OR(Items!H103="",Items!J103="",Items!K103=""),"CHECK: value, rate or cost missing",IF(OR(NOT(ISNUMBER(Items!H103)),NOT(ISNUMBER(Items!J103)),NOT(ISNUMBER(Items!K103)),AND(Items!I103&lt;&gt;"",NOT(ISNUMBER(Items!I103))),AND(Items!L103&lt;&gt;"",NOT(ISNUMBER(Items!L103))),AND(Items!M103&lt;&gt;"",NOT(ISNUMBER(Items!M103)))),"CHECK: text in a number column",IF(AND(ISNUMBER(Items!M103),OR(N(Items!M103)&lt;0,N(Items!M103)&gt;1)),"CHECK: dutiable share must be 0% to 100%",IF(AND(UPPER(TRIM(CLEAN(SUBSTITUTE(Items!F103&amp;""," "," "))))&lt;&gt;"",UPPER(TRIM(CLEAN(SUBSTITUTE(Items!F103&amp;""," "," "))))&lt;&gt;"Y",UPPER(TRIM(CLEAN(SUBSTITUTE(Items!F103&amp;""," "," "))))&lt;&gt;"N"),"CHECK: USMCA flag must be Y, N or blank",IF(AND(UPPER(TRIM(CLEAN(SUBSTITUTE(Items!F103&amp;""," "," "))))="Y",$E103&lt;&gt;"US",$E103&lt;&gt;"CA",$E103&lt;&gt;"MX"),"CHECK: USMCA flag on an origin other than US, CA or MX",IF(AND($L103="Y",$AO103=0,NOT(ISNUMBER(act_Rate))),"CHECK: in scope but no rate (add a rate line or B15)",IF(AND($L103="Y",UPPER(TRIM(CLEAN(SUBSTITUTE(act_RateType&amp;""," "," "))))="REPLACE",NOT(ISNUMBER(act_PriorRate)),IF($AO103=0,TRUE,NOT(ISNUMBER(INDEX(rate_Prior,MOD($AO103,100)))))),"CHECK: REPLACE but no earlier rate (B17 or the rate line's AD)",IF(AND($L103="Y",$AP103&gt;1),"CHECK: two rate lines match equally",IF(AND($L103="Y",$AN103&gt;1),"CHECK: HTS prefix listed twice on the scope list",IF(AND($L103="Y",$P103="PART",NOT(ISNUMBER(Items!M103))),"CHECK: dutiable share missing (PART base)",IF(AND($L103="Y",$P103="FULL",ISNUMBER(Items!M103),N(Items!M103)&lt;&gt;1),"CHECK: dutiable share entered, but the rate taxes the full value",IF(AND($L103="Y",$Q103+0.0000001&lt;$T103*$S103+$U103),"CHECK: current rate is below the duty being replaced or displaced",IF(AND($L103="Y",$AD103=0),"NOTE: in scope, no quantity",IF(AND($L103="Y",$AF103="N"),"NOTE: in scope, no sell price (left out of margin %)",IF(AND($L103="Y",N(Items!H103)&gt;N(Items!K103)),"NOTE: customs value above standard cost (check unit of measure)",IF(AND($L103="Y",$Q103&gt;1),"NOTE: current rate above 100% (check it was entered as a percentage)","OK")))))))))))))))))))))))</f>
        <v/>
      </c>
      <c r="AK103" s="20">
        <f>IF($A103="","",IF(AND($L103="Y",$AE103&lt;&gt;0),ABS($AE103)+ROW()/1000000000,""))</f>
        <v/>
      </c>
      <c r="AL103" s="10">
        <f>IF($A103="","",UPPER($A103)&amp;"/"&amp;UPPER(TRIM(CLEAN(SUBSTITUTE(Items!C103&amp;""," "," ")))))</f>
        <v/>
      </c>
      <c r="AM103" s="13">
        <f>IF($A103="",0,SUMPRODUCT(MAX((scope_HTS&lt;&gt;"")*(LEFT($C103,LEN(scope_HTS))=scope_HTS)*(LEN(scope_HTS)*1000+ROW(scope_HTS)-4))))</f>
        <v/>
      </c>
      <c r="AN103" s="13">
        <f>IF($AM103=0,0,SUMPRODUCT((scope_HTS&lt;&gt;"")*(LEFT($C103,LEN(scope_HTS))=scope_HTS)*(LEN(scope_HTS)=INT($AM103/1000))))</f>
        <v/>
      </c>
      <c r="AO103" s="13">
        <f>IF($L103&lt;&gt;"Y",0,SUMPRODUCT(MAX(ISNUMBER(rate_Rate)*((UPPER(TRIM(CLEAN(SUBSTITUTE(rate_Group&amp;""," "," "))))="")+(UPPER(TRIM(CLEAN(SUBSTITUTE(rate_Group&amp;""," "," "))))=$N103)&gt;0)*((UPPER(TRIM(CLEAN(SUBSTITUTE(rate_COO&amp;""," "," "))))="")+(UPPER(TRIM(CLEAN(SUBSTITUTE(rate_COO&amp;""," "," "))))=$E103)&gt;0)*((UPPER(TRIM(CLEAN(SUBSTITUTE(rate_USMCA&amp;""," "," "))))="")+(UPPER(TRIM(CLEAN(SUBSTITUTE(rate_USMCA&amp;""," "," "))))=IF(UPPER(TRIM(CLEAN(SUBSTITUTE(Items!F103&amp;""," "," "))))="Y","Y","N"))&gt;0)*((1+(UPPER(TRIM(CLEAN(SUBSTITUTE(rate_Group&amp;""," "," "))))&lt;&gt;"")+2*(UPPER(TRIM(CLEAN(SUBSTITUTE(rate_USMCA&amp;""," "," "))))&lt;&gt;"")+4*(UPPER(TRIM(CLEAN(SUBSTITUTE(rate_COO&amp;""," "," "))))&lt;&gt;""))*100+ROW(rate_Rate)-4))))</f>
        <v/>
      </c>
      <c r="AP103" s="13">
        <f>IF($AO103=0,0,SUMPRODUCT(ISNUMBER(rate_Rate)*((UPPER(TRIM(CLEAN(SUBSTITUTE(rate_Group&amp;""," "," "))))="")+(UPPER(TRIM(CLEAN(SUBSTITUTE(rate_Group&amp;""," "," "))))=$N103)&gt;0)*((UPPER(TRIM(CLEAN(SUBSTITUTE(rate_COO&amp;""," "," "))))="")+(UPPER(TRIM(CLEAN(SUBSTITUTE(rate_COO&amp;""," "," "))))=$E103)&gt;0)*((UPPER(TRIM(CLEAN(SUBSTITUTE(rate_USMCA&amp;""," "," "))))="")+(UPPER(TRIM(CLEAN(SUBSTITUTE(rate_USMCA&amp;""," "," "))))=IF(UPPER(TRIM(CLEAN(SUBSTITUTE(Items!F103&amp;""," "," "))))="Y","Y","N"))&gt;0)*((1+(UPPER(TRIM(CLEAN(SUBSTITUTE(rate_Group&amp;""," "," "))))&lt;&gt;"")+2*(UPPER(TRIM(CLEAN(SUBSTITUTE(rate_USMCA&amp;""," "," "))))&lt;&gt;"")+4*(UPPER(TRIM(CLEAN(SUBSTITUTE(rate_COO&amp;""," "," "))))&lt;&gt;""))=INT($AO103/100))))</f>
        <v/>
      </c>
      <c r="AQ103" s="13">
        <f>IF($A103="",0,IFERROR(MATCH($AL103,det_Key,0),0))</f>
        <v/>
      </c>
    </row>
    <row r="104">
      <c r="A104" s="10">
        <f>IF(TRIM(CLEAN(SUBSTITUTE(Items!A104&amp;""," "," ")))="","",TRIM(CLEAN(SUBSTITUTE(Items!A104&amp;""," "," "))))</f>
        <v/>
      </c>
      <c r="B104" s="10">
        <f>IF($A104="","",Items!B104&amp;"")</f>
        <v/>
      </c>
      <c r="C104" s="10">
        <f>IF($A104="","",SUBSTITUTE(SUBSTITUTE(SUBSTITUTE(SUBSTITUTE(CLEAN(Items!D104&amp;"")," ",""),".","")," ",""),"-",""))</f>
        <v/>
      </c>
      <c r="D104" s="10">
        <f>IF($A104="","",LEFT($C104,2))</f>
        <v/>
      </c>
      <c r="E104" s="10">
        <f>IF($A104="","",UPPER(TRIM(CLEAN(SUBSTITUTE(Items!E104&amp;""," "," ")))))</f>
        <v/>
      </c>
      <c r="F104" s="10">
        <f>IF($A104="","",IF(UPPER(TRIM(CLEAN(SUBSTITUTE(Items!C104&amp;""," "," "))))=UPPER(TRIM(CLEAN(SUBSTITUTE(act_Country&amp;""," "," ")))),"Y","N"))</f>
        <v/>
      </c>
      <c r="G104" s="10">
        <f>IF($A104="","",IF($AM104&gt;0,"Y","N"))</f>
        <v/>
      </c>
      <c r="H104" s="10">
        <f>IF($A104="","",IF(SUMPRODUCT((excl_HTS&lt;&gt;"")*(LEFT($C104,LEN(excl_HTS))=excl_HTS))&gt;0,"Y","N"))</f>
        <v/>
      </c>
      <c r="I104" s="10">
        <f>IF($A104="","",IF($E104="","N",IF(SUMPRODUCT(--(UPPER(TRIM(CLEAN(SUBSTITUTE(scope_COO&amp;""," "," "))))=$E104))&gt;0,"Y","N")))</f>
        <v/>
      </c>
      <c r="J104" s="10">
        <f>IF($A104="","",IF(AND(UPPER(TRIM(CLEAN(SUBSTITUTE(act_USMCAExempt&amp;""," "," "))))="Y",UPPER(TRIM(CLEAN(SUBSTITUTE(Items!F104&amp;""," "," "))))="Y"),"Y","N"))</f>
        <v/>
      </c>
      <c r="K104" s="10">
        <f>IF($A104="","",IF($AQ104=0,"",UPPER(TRIM(CLEAN(SUBSTITUTE(INDEX(det_Status,$AQ104)&amp;""," "," "))))))</f>
        <v/>
      </c>
      <c r="L104" s="10">
        <f>IF($A104="","",IF($F104="N","N",IF($K104="IN","Y",IF($K104="OUT","N",IF(AND($G104="Y",$H104="N",$I104="Y",$J104="N"),"Y","N")))))</f>
        <v/>
      </c>
      <c r="M104" s="10">
        <f>IF($A104="","",IF($F104="N","Out: different import country",IF($K104="IN","In: Research determination",IF($K104="OUT","Out: Research determination",IF($G104="N","Out: HTS not on scope list",IF($H104="Y","Out: HTS on exclusion list",IF($I104="N","Out: origin not on scope list",IF($J104="Y","Out: USMCA-qualifying, exempt","In: matches scope rules"))))))))</f>
        <v/>
      </c>
      <c r="N104" s="10">
        <f>IF(OR($A104="",$AM104=0),"",UPPER(TRIM(CLEAN(SUBSTITUTE(INDEX(scope_Group,MOD($AM104,1000))&amp;""," "," ")))))</f>
        <v/>
      </c>
      <c r="O104" s="10">
        <f>IF($L104&lt;&gt;"Y","",IF($AO104=0,"Default (B15)",UPPER(TRIM(CLEAN(SUBSTITUTE(INDEX(rate_ID,MOD($AO104,100))&amp;""," "," "))))))</f>
        <v/>
      </c>
      <c r="P104" s="10">
        <f>IF($L104&lt;&gt;"Y","",IF($AO104=0,IF(UPPER(TRIM(CLEAN(SUBSTITUTE(act_DefaultBase&amp;""," "," "))))="PART","PART","FULL"),IF(UPPER(TRIM(CLEAN(SUBSTITUTE(INDEX(rate_Base,MOD($AO104,100))&amp;""," "," "))))="PART","PART","FULL")))</f>
        <v/>
      </c>
      <c r="Q104" s="17">
        <f>IF($A104="","",N(Items!J104))</f>
        <v/>
      </c>
      <c r="R104" s="17">
        <f>IF($A104="","",IF($L104&lt;&gt;"Y",0,IF($AO104=0,N(act_Rate),N(INDEX(rate_Rate,MOD($AO104,100))))))</f>
        <v/>
      </c>
      <c r="S104" s="17">
        <f>IF($A104="","",IF($L104&lt;&gt;"Y",0,IF($AO104=0,IF(UPPER(TRIM(CLEAN(SUBSTITUTE(act_RateType&amp;""," "," "))))="REPLACE",N(act_PriorRate),0),IF(ISNUMBER(INDEX(rate_Prior,MOD($AO104,100))),INDEX(rate_Prior,MOD($AO104,100)),IF(UPPER(TRIM(CLEAN(SUBSTITUTE(act_RateType&amp;""," "," "))))="REPLACE",N(act_PriorRate),0)))))</f>
        <v/>
      </c>
      <c r="T104" s="17">
        <f>IF($A104="","",IF(AND($L104="Y",$P104="PART",ISNUMBER(Items!M104)),Items!M104,1))</f>
        <v/>
      </c>
      <c r="U104" s="17">
        <f>IF($A104="","",IF($L104&lt;&gt;"Y",0,IF($AQ104&gt;0,IF(ISNUMBER(INDEX(det_Displaced,$AQ104)),INDEX(det_Displaced,$AQ104),IF($AO104=0,0,N(INDEX(rate_Displaced,MOD($AO104,100))))),IF($AO104=0,0,N(INDEX(rate_Displaced,MOD($AO104,100)))))))</f>
        <v/>
      </c>
      <c r="V104" s="17">
        <f>IF($A104="","",IF($L104="Y",$Q104+$T104*($R104-$S104)-$U104,$Q104))</f>
        <v/>
      </c>
      <c r="W104" s="18">
        <f>IF($A104="","",N(Items!H104)*$Q104)</f>
        <v/>
      </c>
      <c r="X104" s="18">
        <f>IF($A104="","",N(Items!H104)*$V104)</f>
        <v/>
      </c>
      <c r="Y104" s="18">
        <f>IF($A104="","",$X104-$W104)</f>
        <v/>
      </c>
      <c r="Z104" s="18">
        <f>IF($A104="","",N(Items!K104)+$Y104)</f>
        <v/>
      </c>
      <c r="AA104" s="17">
        <f>IF($A104="","",IF(N(Items!L104)=0,"",(N(Items!L104)-N(Items!K104))/N(Items!L104)))</f>
        <v/>
      </c>
      <c r="AB104" s="17">
        <f>IF($A104="","",IF(N(Items!L104)=0,"",(N(Items!L104)-$Z104)/N(Items!L104)))</f>
        <v/>
      </c>
      <c r="AC104" s="17">
        <f>IF(OR($AA104="",$AB104=""),"",$AB104-$AA104)</f>
        <v/>
      </c>
      <c r="AD104" s="13">
        <f>IF($A104="","",N(Items!I104))</f>
        <v/>
      </c>
      <c r="AE104" s="19">
        <f>IF($A104="","",$Y104*$AD104)</f>
        <v/>
      </c>
      <c r="AF104" s="10">
        <f>IF($A104="","",IF(N(Items!L104)&gt;0,"Y","N"))</f>
        <v/>
      </c>
      <c r="AG104" s="19">
        <f>IF($A104="","",IF($AF104="Y",N(Items!L104)*$AD104,0))</f>
        <v/>
      </c>
      <c r="AH104" s="19">
        <f>IF($A104="","",IF($AF104="Y",(N(Items!L104)-N(Items!K104))*$AD104,0))</f>
        <v/>
      </c>
      <c r="AI104" s="19">
        <f>IF($A104="","",IF($AF104="Y",$AH104-$AE104,0))</f>
        <v/>
      </c>
      <c r="AJ104" s="10">
        <f>IF($A104="","",IF(COUNTIF($AL$5:$AL$254,$AL104)&gt;1,"CHECK: duplicate item and import country",IF(TRIM(CLEAN(SUBSTITUTE(Items!C104&amp;""," "," ")))="","CHECK: import country missing",IF(AND(UPPER(TRIM(CLEAN(SUBSTITUTE(Items!C104&amp;""," "," "))))&lt;&gt;"US",UPPER(TRIM(CLEAN(SUBSTITUTE(Items!C104&amp;""," "," "))))&lt;&gt;"CA",UPPER(TRIM(CLEAN(SUBSTITUTE(Items!C104&amp;""," "," "))))&lt;&gt;"MX"),"CHECK: import country must be US, CA or MX",IF(NOT(AND(LEN($C104)=10,IFERROR(TEXT(VALUE($C104),REPT("0",LEN($C104)))=$C104,FALSE))),"CHECK: HTS must be 10 digits",IF(LEN($E104)&lt;&gt;2,"CHECK: origin code missing or not 2 letters",IF(TRIM(CLEAN(SUBSTITUTE(Items!G104&amp;""," "," ")))="","CHECK: unit of measure missing",IF(OR(Items!H104="",Items!J104="",Items!K104=""),"CHECK: value, rate or cost missing",IF(OR(NOT(ISNUMBER(Items!H104)),NOT(ISNUMBER(Items!J104)),NOT(ISNUMBER(Items!K104)),AND(Items!I104&lt;&gt;"",NOT(ISNUMBER(Items!I104))),AND(Items!L104&lt;&gt;"",NOT(ISNUMBER(Items!L104))),AND(Items!M104&lt;&gt;"",NOT(ISNUMBER(Items!M104)))),"CHECK: text in a number column",IF(AND(ISNUMBER(Items!M104),OR(N(Items!M104)&lt;0,N(Items!M104)&gt;1)),"CHECK: dutiable share must be 0% to 100%",IF(AND(UPPER(TRIM(CLEAN(SUBSTITUTE(Items!F104&amp;""," "," "))))&lt;&gt;"",UPPER(TRIM(CLEAN(SUBSTITUTE(Items!F104&amp;""," "," "))))&lt;&gt;"Y",UPPER(TRIM(CLEAN(SUBSTITUTE(Items!F104&amp;""," "," "))))&lt;&gt;"N"),"CHECK: USMCA flag must be Y, N or blank",IF(AND(UPPER(TRIM(CLEAN(SUBSTITUTE(Items!F104&amp;""," "," "))))="Y",$E104&lt;&gt;"US",$E104&lt;&gt;"CA",$E104&lt;&gt;"MX"),"CHECK: USMCA flag on an origin other than US, CA or MX",IF(AND($L104="Y",$AO104=0,NOT(ISNUMBER(act_Rate))),"CHECK: in scope but no rate (add a rate line or B15)",IF(AND($L104="Y",UPPER(TRIM(CLEAN(SUBSTITUTE(act_RateType&amp;""," "," "))))="REPLACE",NOT(ISNUMBER(act_PriorRate)),IF($AO104=0,TRUE,NOT(ISNUMBER(INDEX(rate_Prior,MOD($AO104,100)))))),"CHECK: REPLACE but no earlier rate (B17 or the rate line's AD)",IF(AND($L104="Y",$AP104&gt;1),"CHECK: two rate lines match equally",IF(AND($L104="Y",$AN104&gt;1),"CHECK: HTS prefix listed twice on the scope list",IF(AND($L104="Y",$P104="PART",NOT(ISNUMBER(Items!M104))),"CHECK: dutiable share missing (PART base)",IF(AND($L104="Y",$P104="FULL",ISNUMBER(Items!M104),N(Items!M104)&lt;&gt;1),"CHECK: dutiable share entered, but the rate taxes the full value",IF(AND($L104="Y",$Q104+0.0000001&lt;$T104*$S104+$U104),"CHECK: current rate is below the duty being replaced or displaced",IF(AND($L104="Y",$AD104=0),"NOTE: in scope, no quantity",IF(AND($L104="Y",$AF104="N"),"NOTE: in scope, no sell price (left out of margin %)",IF(AND($L104="Y",N(Items!H104)&gt;N(Items!K104)),"NOTE: customs value above standard cost (check unit of measure)",IF(AND($L104="Y",$Q104&gt;1),"NOTE: current rate above 100% (check it was entered as a percentage)","OK")))))))))))))))))))))))</f>
        <v/>
      </c>
      <c r="AK104" s="20">
        <f>IF($A104="","",IF(AND($L104="Y",$AE104&lt;&gt;0),ABS($AE104)+ROW()/1000000000,""))</f>
        <v/>
      </c>
      <c r="AL104" s="10">
        <f>IF($A104="","",UPPER($A104)&amp;"/"&amp;UPPER(TRIM(CLEAN(SUBSTITUTE(Items!C104&amp;""," "," ")))))</f>
        <v/>
      </c>
      <c r="AM104" s="13">
        <f>IF($A104="",0,SUMPRODUCT(MAX((scope_HTS&lt;&gt;"")*(LEFT($C104,LEN(scope_HTS))=scope_HTS)*(LEN(scope_HTS)*1000+ROW(scope_HTS)-4))))</f>
        <v/>
      </c>
      <c r="AN104" s="13">
        <f>IF($AM104=0,0,SUMPRODUCT((scope_HTS&lt;&gt;"")*(LEFT($C104,LEN(scope_HTS))=scope_HTS)*(LEN(scope_HTS)=INT($AM104/1000))))</f>
        <v/>
      </c>
      <c r="AO104" s="13">
        <f>IF($L104&lt;&gt;"Y",0,SUMPRODUCT(MAX(ISNUMBER(rate_Rate)*((UPPER(TRIM(CLEAN(SUBSTITUTE(rate_Group&amp;""," "," "))))="")+(UPPER(TRIM(CLEAN(SUBSTITUTE(rate_Group&amp;""," "," "))))=$N104)&gt;0)*((UPPER(TRIM(CLEAN(SUBSTITUTE(rate_COO&amp;""," "," "))))="")+(UPPER(TRIM(CLEAN(SUBSTITUTE(rate_COO&amp;""," "," "))))=$E104)&gt;0)*((UPPER(TRIM(CLEAN(SUBSTITUTE(rate_USMCA&amp;""," "," "))))="")+(UPPER(TRIM(CLEAN(SUBSTITUTE(rate_USMCA&amp;""," "," "))))=IF(UPPER(TRIM(CLEAN(SUBSTITUTE(Items!F104&amp;""," "," "))))="Y","Y","N"))&gt;0)*((1+(UPPER(TRIM(CLEAN(SUBSTITUTE(rate_Group&amp;""," "," "))))&lt;&gt;"")+2*(UPPER(TRIM(CLEAN(SUBSTITUTE(rate_USMCA&amp;""," "," "))))&lt;&gt;"")+4*(UPPER(TRIM(CLEAN(SUBSTITUTE(rate_COO&amp;""," "," "))))&lt;&gt;""))*100+ROW(rate_Rate)-4))))</f>
        <v/>
      </c>
      <c r="AP104" s="13">
        <f>IF($AO104=0,0,SUMPRODUCT(ISNUMBER(rate_Rate)*((UPPER(TRIM(CLEAN(SUBSTITUTE(rate_Group&amp;""," "," "))))="")+(UPPER(TRIM(CLEAN(SUBSTITUTE(rate_Group&amp;""," "," "))))=$N104)&gt;0)*((UPPER(TRIM(CLEAN(SUBSTITUTE(rate_COO&amp;""," "," "))))="")+(UPPER(TRIM(CLEAN(SUBSTITUTE(rate_COO&amp;""," "," "))))=$E104)&gt;0)*((UPPER(TRIM(CLEAN(SUBSTITUTE(rate_USMCA&amp;""," "," "))))="")+(UPPER(TRIM(CLEAN(SUBSTITUTE(rate_USMCA&amp;""," "," "))))=IF(UPPER(TRIM(CLEAN(SUBSTITUTE(Items!F104&amp;""," "," "))))="Y","Y","N"))&gt;0)*((1+(UPPER(TRIM(CLEAN(SUBSTITUTE(rate_Group&amp;""," "," "))))&lt;&gt;"")+2*(UPPER(TRIM(CLEAN(SUBSTITUTE(rate_USMCA&amp;""," "," "))))&lt;&gt;"")+4*(UPPER(TRIM(CLEAN(SUBSTITUTE(rate_COO&amp;""," "," "))))&lt;&gt;""))=INT($AO104/100))))</f>
        <v/>
      </c>
      <c r="AQ104" s="13">
        <f>IF($A104="",0,IFERROR(MATCH($AL104,det_Key,0),0))</f>
        <v/>
      </c>
    </row>
    <row r="105">
      <c r="A105" s="10">
        <f>IF(TRIM(CLEAN(SUBSTITUTE(Items!A105&amp;""," "," ")))="","",TRIM(CLEAN(SUBSTITUTE(Items!A105&amp;""," "," "))))</f>
        <v/>
      </c>
      <c r="B105" s="10">
        <f>IF($A105="","",Items!B105&amp;"")</f>
        <v/>
      </c>
      <c r="C105" s="10">
        <f>IF($A105="","",SUBSTITUTE(SUBSTITUTE(SUBSTITUTE(SUBSTITUTE(CLEAN(Items!D105&amp;"")," ",""),".","")," ",""),"-",""))</f>
        <v/>
      </c>
      <c r="D105" s="10">
        <f>IF($A105="","",LEFT($C105,2))</f>
        <v/>
      </c>
      <c r="E105" s="10">
        <f>IF($A105="","",UPPER(TRIM(CLEAN(SUBSTITUTE(Items!E105&amp;""," "," ")))))</f>
        <v/>
      </c>
      <c r="F105" s="10">
        <f>IF($A105="","",IF(UPPER(TRIM(CLEAN(SUBSTITUTE(Items!C105&amp;""," "," "))))=UPPER(TRIM(CLEAN(SUBSTITUTE(act_Country&amp;""," "," ")))),"Y","N"))</f>
        <v/>
      </c>
      <c r="G105" s="10">
        <f>IF($A105="","",IF($AM105&gt;0,"Y","N"))</f>
        <v/>
      </c>
      <c r="H105" s="10">
        <f>IF($A105="","",IF(SUMPRODUCT((excl_HTS&lt;&gt;"")*(LEFT($C105,LEN(excl_HTS))=excl_HTS))&gt;0,"Y","N"))</f>
        <v/>
      </c>
      <c r="I105" s="10">
        <f>IF($A105="","",IF($E105="","N",IF(SUMPRODUCT(--(UPPER(TRIM(CLEAN(SUBSTITUTE(scope_COO&amp;""," "," "))))=$E105))&gt;0,"Y","N")))</f>
        <v/>
      </c>
      <c r="J105" s="10">
        <f>IF($A105="","",IF(AND(UPPER(TRIM(CLEAN(SUBSTITUTE(act_USMCAExempt&amp;""," "," "))))="Y",UPPER(TRIM(CLEAN(SUBSTITUTE(Items!F105&amp;""," "," "))))="Y"),"Y","N"))</f>
        <v/>
      </c>
      <c r="K105" s="10">
        <f>IF($A105="","",IF($AQ105=0,"",UPPER(TRIM(CLEAN(SUBSTITUTE(INDEX(det_Status,$AQ105)&amp;""," "," "))))))</f>
        <v/>
      </c>
      <c r="L105" s="10">
        <f>IF($A105="","",IF($F105="N","N",IF($K105="IN","Y",IF($K105="OUT","N",IF(AND($G105="Y",$H105="N",$I105="Y",$J105="N"),"Y","N")))))</f>
        <v/>
      </c>
      <c r="M105" s="10">
        <f>IF($A105="","",IF($F105="N","Out: different import country",IF($K105="IN","In: Research determination",IF($K105="OUT","Out: Research determination",IF($G105="N","Out: HTS not on scope list",IF($H105="Y","Out: HTS on exclusion list",IF($I105="N","Out: origin not on scope list",IF($J105="Y","Out: USMCA-qualifying, exempt","In: matches scope rules"))))))))</f>
        <v/>
      </c>
      <c r="N105" s="10">
        <f>IF(OR($A105="",$AM105=0),"",UPPER(TRIM(CLEAN(SUBSTITUTE(INDEX(scope_Group,MOD($AM105,1000))&amp;""," "," ")))))</f>
        <v/>
      </c>
      <c r="O105" s="10">
        <f>IF($L105&lt;&gt;"Y","",IF($AO105=0,"Default (B15)",UPPER(TRIM(CLEAN(SUBSTITUTE(INDEX(rate_ID,MOD($AO105,100))&amp;""," "," "))))))</f>
        <v/>
      </c>
      <c r="P105" s="10">
        <f>IF($L105&lt;&gt;"Y","",IF($AO105=0,IF(UPPER(TRIM(CLEAN(SUBSTITUTE(act_DefaultBase&amp;""," "," "))))="PART","PART","FULL"),IF(UPPER(TRIM(CLEAN(SUBSTITUTE(INDEX(rate_Base,MOD($AO105,100))&amp;""," "," "))))="PART","PART","FULL")))</f>
        <v/>
      </c>
      <c r="Q105" s="17">
        <f>IF($A105="","",N(Items!J105))</f>
        <v/>
      </c>
      <c r="R105" s="17">
        <f>IF($A105="","",IF($L105&lt;&gt;"Y",0,IF($AO105=0,N(act_Rate),N(INDEX(rate_Rate,MOD($AO105,100))))))</f>
        <v/>
      </c>
      <c r="S105" s="17">
        <f>IF($A105="","",IF($L105&lt;&gt;"Y",0,IF($AO105=0,IF(UPPER(TRIM(CLEAN(SUBSTITUTE(act_RateType&amp;""," "," "))))="REPLACE",N(act_PriorRate),0),IF(ISNUMBER(INDEX(rate_Prior,MOD($AO105,100))),INDEX(rate_Prior,MOD($AO105,100)),IF(UPPER(TRIM(CLEAN(SUBSTITUTE(act_RateType&amp;""," "," "))))="REPLACE",N(act_PriorRate),0)))))</f>
        <v/>
      </c>
      <c r="T105" s="17">
        <f>IF($A105="","",IF(AND($L105="Y",$P105="PART",ISNUMBER(Items!M105)),Items!M105,1))</f>
        <v/>
      </c>
      <c r="U105" s="17">
        <f>IF($A105="","",IF($L105&lt;&gt;"Y",0,IF($AQ105&gt;0,IF(ISNUMBER(INDEX(det_Displaced,$AQ105)),INDEX(det_Displaced,$AQ105),IF($AO105=0,0,N(INDEX(rate_Displaced,MOD($AO105,100))))),IF($AO105=0,0,N(INDEX(rate_Displaced,MOD($AO105,100)))))))</f>
        <v/>
      </c>
      <c r="V105" s="17">
        <f>IF($A105="","",IF($L105="Y",$Q105+$T105*($R105-$S105)-$U105,$Q105))</f>
        <v/>
      </c>
      <c r="W105" s="18">
        <f>IF($A105="","",N(Items!H105)*$Q105)</f>
        <v/>
      </c>
      <c r="X105" s="18">
        <f>IF($A105="","",N(Items!H105)*$V105)</f>
        <v/>
      </c>
      <c r="Y105" s="18">
        <f>IF($A105="","",$X105-$W105)</f>
        <v/>
      </c>
      <c r="Z105" s="18">
        <f>IF($A105="","",N(Items!K105)+$Y105)</f>
        <v/>
      </c>
      <c r="AA105" s="17">
        <f>IF($A105="","",IF(N(Items!L105)=0,"",(N(Items!L105)-N(Items!K105))/N(Items!L105)))</f>
        <v/>
      </c>
      <c r="AB105" s="17">
        <f>IF($A105="","",IF(N(Items!L105)=0,"",(N(Items!L105)-$Z105)/N(Items!L105)))</f>
        <v/>
      </c>
      <c r="AC105" s="17">
        <f>IF(OR($AA105="",$AB105=""),"",$AB105-$AA105)</f>
        <v/>
      </c>
      <c r="AD105" s="13">
        <f>IF($A105="","",N(Items!I105))</f>
        <v/>
      </c>
      <c r="AE105" s="19">
        <f>IF($A105="","",$Y105*$AD105)</f>
        <v/>
      </c>
      <c r="AF105" s="10">
        <f>IF($A105="","",IF(N(Items!L105)&gt;0,"Y","N"))</f>
        <v/>
      </c>
      <c r="AG105" s="19">
        <f>IF($A105="","",IF($AF105="Y",N(Items!L105)*$AD105,0))</f>
        <v/>
      </c>
      <c r="AH105" s="19">
        <f>IF($A105="","",IF($AF105="Y",(N(Items!L105)-N(Items!K105))*$AD105,0))</f>
        <v/>
      </c>
      <c r="AI105" s="19">
        <f>IF($A105="","",IF($AF105="Y",$AH105-$AE105,0))</f>
        <v/>
      </c>
      <c r="AJ105" s="10">
        <f>IF($A105="","",IF(COUNTIF($AL$5:$AL$254,$AL105)&gt;1,"CHECK: duplicate item and import country",IF(TRIM(CLEAN(SUBSTITUTE(Items!C105&amp;""," "," ")))="","CHECK: import country missing",IF(AND(UPPER(TRIM(CLEAN(SUBSTITUTE(Items!C105&amp;""," "," "))))&lt;&gt;"US",UPPER(TRIM(CLEAN(SUBSTITUTE(Items!C105&amp;""," "," "))))&lt;&gt;"CA",UPPER(TRIM(CLEAN(SUBSTITUTE(Items!C105&amp;""," "," "))))&lt;&gt;"MX"),"CHECK: import country must be US, CA or MX",IF(NOT(AND(LEN($C105)=10,IFERROR(TEXT(VALUE($C105),REPT("0",LEN($C105)))=$C105,FALSE))),"CHECK: HTS must be 10 digits",IF(LEN($E105)&lt;&gt;2,"CHECK: origin code missing or not 2 letters",IF(TRIM(CLEAN(SUBSTITUTE(Items!G105&amp;""," "," ")))="","CHECK: unit of measure missing",IF(OR(Items!H105="",Items!J105="",Items!K105=""),"CHECK: value, rate or cost missing",IF(OR(NOT(ISNUMBER(Items!H105)),NOT(ISNUMBER(Items!J105)),NOT(ISNUMBER(Items!K105)),AND(Items!I105&lt;&gt;"",NOT(ISNUMBER(Items!I105))),AND(Items!L105&lt;&gt;"",NOT(ISNUMBER(Items!L105))),AND(Items!M105&lt;&gt;"",NOT(ISNUMBER(Items!M105)))),"CHECK: text in a number column",IF(AND(ISNUMBER(Items!M105),OR(N(Items!M105)&lt;0,N(Items!M105)&gt;1)),"CHECK: dutiable share must be 0% to 100%",IF(AND(UPPER(TRIM(CLEAN(SUBSTITUTE(Items!F105&amp;""," "," "))))&lt;&gt;"",UPPER(TRIM(CLEAN(SUBSTITUTE(Items!F105&amp;""," "," "))))&lt;&gt;"Y",UPPER(TRIM(CLEAN(SUBSTITUTE(Items!F105&amp;""," "," "))))&lt;&gt;"N"),"CHECK: USMCA flag must be Y, N or blank",IF(AND(UPPER(TRIM(CLEAN(SUBSTITUTE(Items!F105&amp;""," "," "))))="Y",$E105&lt;&gt;"US",$E105&lt;&gt;"CA",$E105&lt;&gt;"MX"),"CHECK: USMCA flag on an origin other than US, CA or MX",IF(AND($L105="Y",$AO105=0,NOT(ISNUMBER(act_Rate))),"CHECK: in scope but no rate (add a rate line or B15)",IF(AND($L105="Y",UPPER(TRIM(CLEAN(SUBSTITUTE(act_RateType&amp;""," "," "))))="REPLACE",NOT(ISNUMBER(act_PriorRate)),IF($AO105=0,TRUE,NOT(ISNUMBER(INDEX(rate_Prior,MOD($AO105,100)))))),"CHECK: REPLACE but no earlier rate (B17 or the rate line's AD)",IF(AND($L105="Y",$AP105&gt;1),"CHECK: two rate lines match equally",IF(AND($L105="Y",$AN105&gt;1),"CHECK: HTS prefix listed twice on the scope list",IF(AND($L105="Y",$P105="PART",NOT(ISNUMBER(Items!M105))),"CHECK: dutiable share missing (PART base)",IF(AND($L105="Y",$P105="FULL",ISNUMBER(Items!M105),N(Items!M105)&lt;&gt;1),"CHECK: dutiable share entered, but the rate taxes the full value",IF(AND($L105="Y",$Q105+0.0000001&lt;$T105*$S105+$U105),"CHECK: current rate is below the duty being replaced or displaced",IF(AND($L105="Y",$AD105=0),"NOTE: in scope, no quantity",IF(AND($L105="Y",$AF105="N"),"NOTE: in scope, no sell price (left out of margin %)",IF(AND($L105="Y",N(Items!H105)&gt;N(Items!K105)),"NOTE: customs value above standard cost (check unit of measure)",IF(AND($L105="Y",$Q105&gt;1),"NOTE: current rate above 100% (check it was entered as a percentage)","OK")))))))))))))))))))))))</f>
        <v/>
      </c>
      <c r="AK105" s="20">
        <f>IF($A105="","",IF(AND($L105="Y",$AE105&lt;&gt;0),ABS($AE105)+ROW()/1000000000,""))</f>
        <v/>
      </c>
      <c r="AL105" s="10">
        <f>IF($A105="","",UPPER($A105)&amp;"/"&amp;UPPER(TRIM(CLEAN(SUBSTITUTE(Items!C105&amp;""," "," ")))))</f>
        <v/>
      </c>
      <c r="AM105" s="13">
        <f>IF($A105="",0,SUMPRODUCT(MAX((scope_HTS&lt;&gt;"")*(LEFT($C105,LEN(scope_HTS))=scope_HTS)*(LEN(scope_HTS)*1000+ROW(scope_HTS)-4))))</f>
        <v/>
      </c>
      <c r="AN105" s="13">
        <f>IF($AM105=0,0,SUMPRODUCT((scope_HTS&lt;&gt;"")*(LEFT($C105,LEN(scope_HTS))=scope_HTS)*(LEN(scope_HTS)=INT($AM105/1000))))</f>
        <v/>
      </c>
      <c r="AO105" s="13">
        <f>IF($L105&lt;&gt;"Y",0,SUMPRODUCT(MAX(ISNUMBER(rate_Rate)*((UPPER(TRIM(CLEAN(SUBSTITUTE(rate_Group&amp;""," "," "))))="")+(UPPER(TRIM(CLEAN(SUBSTITUTE(rate_Group&amp;""," "," "))))=$N105)&gt;0)*((UPPER(TRIM(CLEAN(SUBSTITUTE(rate_COO&amp;""," "," "))))="")+(UPPER(TRIM(CLEAN(SUBSTITUTE(rate_COO&amp;""," "," "))))=$E105)&gt;0)*((UPPER(TRIM(CLEAN(SUBSTITUTE(rate_USMCA&amp;""," "," "))))="")+(UPPER(TRIM(CLEAN(SUBSTITUTE(rate_USMCA&amp;""," "," "))))=IF(UPPER(TRIM(CLEAN(SUBSTITUTE(Items!F105&amp;""," "," "))))="Y","Y","N"))&gt;0)*((1+(UPPER(TRIM(CLEAN(SUBSTITUTE(rate_Group&amp;""," "," "))))&lt;&gt;"")+2*(UPPER(TRIM(CLEAN(SUBSTITUTE(rate_USMCA&amp;""," "," "))))&lt;&gt;"")+4*(UPPER(TRIM(CLEAN(SUBSTITUTE(rate_COO&amp;""," "," "))))&lt;&gt;""))*100+ROW(rate_Rate)-4))))</f>
        <v/>
      </c>
      <c r="AP105" s="13">
        <f>IF($AO105=0,0,SUMPRODUCT(ISNUMBER(rate_Rate)*((UPPER(TRIM(CLEAN(SUBSTITUTE(rate_Group&amp;""," "," "))))="")+(UPPER(TRIM(CLEAN(SUBSTITUTE(rate_Group&amp;""," "," "))))=$N105)&gt;0)*((UPPER(TRIM(CLEAN(SUBSTITUTE(rate_COO&amp;""," "," "))))="")+(UPPER(TRIM(CLEAN(SUBSTITUTE(rate_COO&amp;""," "," "))))=$E105)&gt;0)*((UPPER(TRIM(CLEAN(SUBSTITUTE(rate_USMCA&amp;""," "," "))))="")+(UPPER(TRIM(CLEAN(SUBSTITUTE(rate_USMCA&amp;""," "," "))))=IF(UPPER(TRIM(CLEAN(SUBSTITUTE(Items!F105&amp;""," "," "))))="Y","Y","N"))&gt;0)*((1+(UPPER(TRIM(CLEAN(SUBSTITUTE(rate_Group&amp;""," "," "))))&lt;&gt;"")+2*(UPPER(TRIM(CLEAN(SUBSTITUTE(rate_USMCA&amp;""," "," "))))&lt;&gt;"")+4*(UPPER(TRIM(CLEAN(SUBSTITUTE(rate_COO&amp;""," "," "))))&lt;&gt;""))=INT($AO105/100))))</f>
        <v/>
      </c>
      <c r="AQ105" s="13">
        <f>IF($A105="",0,IFERROR(MATCH($AL105,det_Key,0),0))</f>
        <v/>
      </c>
    </row>
    <row r="106">
      <c r="A106" s="10">
        <f>IF(TRIM(CLEAN(SUBSTITUTE(Items!A106&amp;""," "," ")))="","",TRIM(CLEAN(SUBSTITUTE(Items!A106&amp;""," "," "))))</f>
        <v/>
      </c>
      <c r="B106" s="10">
        <f>IF($A106="","",Items!B106&amp;"")</f>
        <v/>
      </c>
      <c r="C106" s="10">
        <f>IF($A106="","",SUBSTITUTE(SUBSTITUTE(SUBSTITUTE(SUBSTITUTE(CLEAN(Items!D106&amp;"")," ",""),".","")," ",""),"-",""))</f>
        <v/>
      </c>
      <c r="D106" s="10">
        <f>IF($A106="","",LEFT($C106,2))</f>
        <v/>
      </c>
      <c r="E106" s="10">
        <f>IF($A106="","",UPPER(TRIM(CLEAN(SUBSTITUTE(Items!E106&amp;""," "," ")))))</f>
        <v/>
      </c>
      <c r="F106" s="10">
        <f>IF($A106="","",IF(UPPER(TRIM(CLEAN(SUBSTITUTE(Items!C106&amp;""," "," "))))=UPPER(TRIM(CLEAN(SUBSTITUTE(act_Country&amp;""," "," ")))),"Y","N"))</f>
        <v/>
      </c>
      <c r="G106" s="10">
        <f>IF($A106="","",IF($AM106&gt;0,"Y","N"))</f>
        <v/>
      </c>
      <c r="H106" s="10">
        <f>IF($A106="","",IF(SUMPRODUCT((excl_HTS&lt;&gt;"")*(LEFT($C106,LEN(excl_HTS))=excl_HTS))&gt;0,"Y","N"))</f>
        <v/>
      </c>
      <c r="I106" s="10">
        <f>IF($A106="","",IF($E106="","N",IF(SUMPRODUCT(--(UPPER(TRIM(CLEAN(SUBSTITUTE(scope_COO&amp;""," "," "))))=$E106))&gt;0,"Y","N")))</f>
        <v/>
      </c>
      <c r="J106" s="10">
        <f>IF($A106="","",IF(AND(UPPER(TRIM(CLEAN(SUBSTITUTE(act_USMCAExempt&amp;""," "," "))))="Y",UPPER(TRIM(CLEAN(SUBSTITUTE(Items!F106&amp;""," "," "))))="Y"),"Y","N"))</f>
        <v/>
      </c>
      <c r="K106" s="10">
        <f>IF($A106="","",IF($AQ106=0,"",UPPER(TRIM(CLEAN(SUBSTITUTE(INDEX(det_Status,$AQ106)&amp;""," "," "))))))</f>
        <v/>
      </c>
      <c r="L106" s="10">
        <f>IF($A106="","",IF($F106="N","N",IF($K106="IN","Y",IF($K106="OUT","N",IF(AND($G106="Y",$H106="N",$I106="Y",$J106="N"),"Y","N")))))</f>
        <v/>
      </c>
      <c r="M106" s="10">
        <f>IF($A106="","",IF($F106="N","Out: different import country",IF($K106="IN","In: Research determination",IF($K106="OUT","Out: Research determination",IF($G106="N","Out: HTS not on scope list",IF($H106="Y","Out: HTS on exclusion list",IF($I106="N","Out: origin not on scope list",IF($J106="Y","Out: USMCA-qualifying, exempt","In: matches scope rules"))))))))</f>
        <v/>
      </c>
      <c r="N106" s="10">
        <f>IF(OR($A106="",$AM106=0),"",UPPER(TRIM(CLEAN(SUBSTITUTE(INDEX(scope_Group,MOD($AM106,1000))&amp;""," "," ")))))</f>
        <v/>
      </c>
      <c r="O106" s="10">
        <f>IF($L106&lt;&gt;"Y","",IF($AO106=0,"Default (B15)",UPPER(TRIM(CLEAN(SUBSTITUTE(INDEX(rate_ID,MOD($AO106,100))&amp;""," "," "))))))</f>
        <v/>
      </c>
      <c r="P106" s="10">
        <f>IF($L106&lt;&gt;"Y","",IF($AO106=0,IF(UPPER(TRIM(CLEAN(SUBSTITUTE(act_DefaultBase&amp;""," "," "))))="PART","PART","FULL"),IF(UPPER(TRIM(CLEAN(SUBSTITUTE(INDEX(rate_Base,MOD($AO106,100))&amp;""," "," "))))="PART","PART","FULL")))</f>
        <v/>
      </c>
      <c r="Q106" s="17">
        <f>IF($A106="","",N(Items!J106))</f>
        <v/>
      </c>
      <c r="R106" s="17">
        <f>IF($A106="","",IF($L106&lt;&gt;"Y",0,IF($AO106=0,N(act_Rate),N(INDEX(rate_Rate,MOD($AO106,100))))))</f>
        <v/>
      </c>
      <c r="S106" s="17">
        <f>IF($A106="","",IF($L106&lt;&gt;"Y",0,IF($AO106=0,IF(UPPER(TRIM(CLEAN(SUBSTITUTE(act_RateType&amp;""," "," "))))="REPLACE",N(act_PriorRate),0),IF(ISNUMBER(INDEX(rate_Prior,MOD($AO106,100))),INDEX(rate_Prior,MOD($AO106,100)),IF(UPPER(TRIM(CLEAN(SUBSTITUTE(act_RateType&amp;""," "," "))))="REPLACE",N(act_PriorRate),0)))))</f>
        <v/>
      </c>
      <c r="T106" s="17">
        <f>IF($A106="","",IF(AND($L106="Y",$P106="PART",ISNUMBER(Items!M106)),Items!M106,1))</f>
        <v/>
      </c>
      <c r="U106" s="17">
        <f>IF($A106="","",IF($L106&lt;&gt;"Y",0,IF($AQ106&gt;0,IF(ISNUMBER(INDEX(det_Displaced,$AQ106)),INDEX(det_Displaced,$AQ106),IF($AO106=0,0,N(INDEX(rate_Displaced,MOD($AO106,100))))),IF($AO106=0,0,N(INDEX(rate_Displaced,MOD($AO106,100)))))))</f>
        <v/>
      </c>
      <c r="V106" s="17">
        <f>IF($A106="","",IF($L106="Y",$Q106+$T106*($R106-$S106)-$U106,$Q106))</f>
        <v/>
      </c>
      <c r="W106" s="18">
        <f>IF($A106="","",N(Items!H106)*$Q106)</f>
        <v/>
      </c>
      <c r="X106" s="18">
        <f>IF($A106="","",N(Items!H106)*$V106)</f>
        <v/>
      </c>
      <c r="Y106" s="18">
        <f>IF($A106="","",$X106-$W106)</f>
        <v/>
      </c>
      <c r="Z106" s="18">
        <f>IF($A106="","",N(Items!K106)+$Y106)</f>
        <v/>
      </c>
      <c r="AA106" s="17">
        <f>IF($A106="","",IF(N(Items!L106)=0,"",(N(Items!L106)-N(Items!K106))/N(Items!L106)))</f>
        <v/>
      </c>
      <c r="AB106" s="17">
        <f>IF($A106="","",IF(N(Items!L106)=0,"",(N(Items!L106)-$Z106)/N(Items!L106)))</f>
        <v/>
      </c>
      <c r="AC106" s="17">
        <f>IF(OR($AA106="",$AB106=""),"",$AB106-$AA106)</f>
        <v/>
      </c>
      <c r="AD106" s="13">
        <f>IF($A106="","",N(Items!I106))</f>
        <v/>
      </c>
      <c r="AE106" s="19">
        <f>IF($A106="","",$Y106*$AD106)</f>
        <v/>
      </c>
      <c r="AF106" s="10">
        <f>IF($A106="","",IF(N(Items!L106)&gt;0,"Y","N"))</f>
        <v/>
      </c>
      <c r="AG106" s="19">
        <f>IF($A106="","",IF($AF106="Y",N(Items!L106)*$AD106,0))</f>
        <v/>
      </c>
      <c r="AH106" s="19">
        <f>IF($A106="","",IF($AF106="Y",(N(Items!L106)-N(Items!K106))*$AD106,0))</f>
        <v/>
      </c>
      <c r="AI106" s="19">
        <f>IF($A106="","",IF($AF106="Y",$AH106-$AE106,0))</f>
        <v/>
      </c>
      <c r="AJ106" s="10">
        <f>IF($A106="","",IF(COUNTIF($AL$5:$AL$254,$AL106)&gt;1,"CHECK: duplicate item and import country",IF(TRIM(CLEAN(SUBSTITUTE(Items!C106&amp;""," "," ")))="","CHECK: import country missing",IF(AND(UPPER(TRIM(CLEAN(SUBSTITUTE(Items!C106&amp;""," "," "))))&lt;&gt;"US",UPPER(TRIM(CLEAN(SUBSTITUTE(Items!C106&amp;""," "," "))))&lt;&gt;"CA",UPPER(TRIM(CLEAN(SUBSTITUTE(Items!C106&amp;""," "," "))))&lt;&gt;"MX"),"CHECK: import country must be US, CA or MX",IF(NOT(AND(LEN($C106)=10,IFERROR(TEXT(VALUE($C106),REPT("0",LEN($C106)))=$C106,FALSE))),"CHECK: HTS must be 10 digits",IF(LEN($E106)&lt;&gt;2,"CHECK: origin code missing or not 2 letters",IF(TRIM(CLEAN(SUBSTITUTE(Items!G106&amp;""," "," ")))="","CHECK: unit of measure missing",IF(OR(Items!H106="",Items!J106="",Items!K106=""),"CHECK: value, rate or cost missing",IF(OR(NOT(ISNUMBER(Items!H106)),NOT(ISNUMBER(Items!J106)),NOT(ISNUMBER(Items!K106)),AND(Items!I106&lt;&gt;"",NOT(ISNUMBER(Items!I106))),AND(Items!L106&lt;&gt;"",NOT(ISNUMBER(Items!L106))),AND(Items!M106&lt;&gt;"",NOT(ISNUMBER(Items!M106)))),"CHECK: text in a number column",IF(AND(ISNUMBER(Items!M106),OR(N(Items!M106)&lt;0,N(Items!M106)&gt;1)),"CHECK: dutiable share must be 0% to 100%",IF(AND(UPPER(TRIM(CLEAN(SUBSTITUTE(Items!F106&amp;""," "," "))))&lt;&gt;"",UPPER(TRIM(CLEAN(SUBSTITUTE(Items!F106&amp;""," "," "))))&lt;&gt;"Y",UPPER(TRIM(CLEAN(SUBSTITUTE(Items!F106&amp;""," "," "))))&lt;&gt;"N"),"CHECK: USMCA flag must be Y, N or blank",IF(AND(UPPER(TRIM(CLEAN(SUBSTITUTE(Items!F106&amp;""," "," "))))="Y",$E106&lt;&gt;"US",$E106&lt;&gt;"CA",$E106&lt;&gt;"MX"),"CHECK: USMCA flag on an origin other than US, CA or MX",IF(AND($L106="Y",$AO106=0,NOT(ISNUMBER(act_Rate))),"CHECK: in scope but no rate (add a rate line or B15)",IF(AND($L106="Y",UPPER(TRIM(CLEAN(SUBSTITUTE(act_RateType&amp;""," "," "))))="REPLACE",NOT(ISNUMBER(act_PriorRate)),IF($AO106=0,TRUE,NOT(ISNUMBER(INDEX(rate_Prior,MOD($AO106,100)))))),"CHECK: REPLACE but no earlier rate (B17 or the rate line's AD)",IF(AND($L106="Y",$AP106&gt;1),"CHECK: two rate lines match equally",IF(AND($L106="Y",$AN106&gt;1),"CHECK: HTS prefix listed twice on the scope list",IF(AND($L106="Y",$P106="PART",NOT(ISNUMBER(Items!M106))),"CHECK: dutiable share missing (PART base)",IF(AND($L106="Y",$P106="FULL",ISNUMBER(Items!M106),N(Items!M106)&lt;&gt;1),"CHECK: dutiable share entered, but the rate taxes the full value",IF(AND($L106="Y",$Q106+0.0000001&lt;$T106*$S106+$U106),"CHECK: current rate is below the duty being replaced or displaced",IF(AND($L106="Y",$AD106=0),"NOTE: in scope, no quantity",IF(AND($L106="Y",$AF106="N"),"NOTE: in scope, no sell price (left out of margin %)",IF(AND($L106="Y",N(Items!H106)&gt;N(Items!K106)),"NOTE: customs value above standard cost (check unit of measure)",IF(AND($L106="Y",$Q106&gt;1),"NOTE: current rate above 100% (check it was entered as a percentage)","OK")))))))))))))))))))))))</f>
        <v/>
      </c>
      <c r="AK106" s="20">
        <f>IF($A106="","",IF(AND($L106="Y",$AE106&lt;&gt;0),ABS($AE106)+ROW()/1000000000,""))</f>
        <v/>
      </c>
      <c r="AL106" s="10">
        <f>IF($A106="","",UPPER($A106)&amp;"/"&amp;UPPER(TRIM(CLEAN(SUBSTITUTE(Items!C106&amp;""," "," ")))))</f>
        <v/>
      </c>
      <c r="AM106" s="13">
        <f>IF($A106="",0,SUMPRODUCT(MAX((scope_HTS&lt;&gt;"")*(LEFT($C106,LEN(scope_HTS))=scope_HTS)*(LEN(scope_HTS)*1000+ROW(scope_HTS)-4))))</f>
        <v/>
      </c>
      <c r="AN106" s="13">
        <f>IF($AM106=0,0,SUMPRODUCT((scope_HTS&lt;&gt;"")*(LEFT($C106,LEN(scope_HTS))=scope_HTS)*(LEN(scope_HTS)=INT($AM106/1000))))</f>
        <v/>
      </c>
      <c r="AO106" s="13">
        <f>IF($L106&lt;&gt;"Y",0,SUMPRODUCT(MAX(ISNUMBER(rate_Rate)*((UPPER(TRIM(CLEAN(SUBSTITUTE(rate_Group&amp;""," "," "))))="")+(UPPER(TRIM(CLEAN(SUBSTITUTE(rate_Group&amp;""," "," "))))=$N106)&gt;0)*((UPPER(TRIM(CLEAN(SUBSTITUTE(rate_COO&amp;""," "," "))))="")+(UPPER(TRIM(CLEAN(SUBSTITUTE(rate_COO&amp;""," "," "))))=$E106)&gt;0)*((UPPER(TRIM(CLEAN(SUBSTITUTE(rate_USMCA&amp;""," "," "))))="")+(UPPER(TRIM(CLEAN(SUBSTITUTE(rate_USMCA&amp;""," "," "))))=IF(UPPER(TRIM(CLEAN(SUBSTITUTE(Items!F106&amp;""," "," "))))="Y","Y","N"))&gt;0)*((1+(UPPER(TRIM(CLEAN(SUBSTITUTE(rate_Group&amp;""," "," "))))&lt;&gt;"")+2*(UPPER(TRIM(CLEAN(SUBSTITUTE(rate_USMCA&amp;""," "," "))))&lt;&gt;"")+4*(UPPER(TRIM(CLEAN(SUBSTITUTE(rate_COO&amp;""," "," "))))&lt;&gt;""))*100+ROW(rate_Rate)-4))))</f>
        <v/>
      </c>
      <c r="AP106" s="13">
        <f>IF($AO106=0,0,SUMPRODUCT(ISNUMBER(rate_Rate)*((UPPER(TRIM(CLEAN(SUBSTITUTE(rate_Group&amp;""," "," "))))="")+(UPPER(TRIM(CLEAN(SUBSTITUTE(rate_Group&amp;""," "," "))))=$N106)&gt;0)*((UPPER(TRIM(CLEAN(SUBSTITUTE(rate_COO&amp;""," "," "))))="")+(UPPER(TRIM(CLEAN(SUBSTITUTE(rate_COO&amp;""," "," "))))=$E106)&gt;0)*((UPPER(TRIM(CLEAN(SUBSTITUTE(rate_USMCA&amp;""," "," "))))="")+(UPPER(TRIM(CLEAN(SUBSTITUTE(rate_USMCA&amp;""," "," "))))=IF(UPPER(TRIM(CLEAN(SUBSTITUTE(Items!F106&amp;""," "," "))))="Y","Y","N"))&gt;0)*((1+(UPPER(TRIM(CLEAN(SUBSTITUTE(rate_Group&amp;""," "," "))))&lt;&gt;"")+2*(UPPER(TRIM(CLEAN(SUBSTITUTE(rate_USMCA&amp;""," "," "))))&lt;&gt;"")+4*(UPPER(TRIM(CLEAN(SUBSTITUTE(rate_COO&amp;""," "," "))))&lt;&gt;""))=INT($AO106/100))))</f>
        <v/>
      </c>
      <c r="AQ106" s="13">
        <f>IF($A106="",0,IFERROR(MATCH($AL106,det_Key,0),0))</f>
        <v/>
      </c>
    </row>
    <row r="107">
      <c r="A107" s="10">
        <f>IF(TRIM(CLEAN(SUBSTITUTE(Items!A107&amp;""," "," ")))="","",TRIM(CLEAN(SUBSTITUTE(Items!A107&amp;""," "," "))))</f>
        <v/>
      </c>
      <c r="B107" s="10">
        <f>IF($A107="","",Items!B107&amp;"")</f>
        <v/>
      </c>
      <c r="C107" s="10">
        <f>IF($A107="","",SUBSTITUTE(SUBSTITUTE(SUBSTITUTE(SUBSTITUTE(CLEAN(Items!D107&amp;"")," ",""),".","")," ",""),"-",""))</f>
        <v/>
      </c>
      <c r="D107" s="10">
        <f>IF($A107="","",LEFT($C107,2))</f>
        <v/>
      </c>
      <c r="E107" s="10">
        <f>IF($A107="","",UPPER(TRIM(CLEAN(SUBSTITUTE(Items!E107&amp;""," "," ")))))</f>
        <v/>
      </c>
      <c r="F107" s="10">
        <f>IF($A107="","",IF(UPPER(TRIM(CLEAN(SUBSTITUTE(Items!C107&amp;""," "," "))))=UPPER(TRIM(CLEAN(SUBSTITUTE(act_Country&amp;""," "," ")))),"Y","N"))</f>
        <v/>
      </c>
      <c r="G107" s="10">
        <f>IF($A107="","",IF($AM107&gt;0,"Y","N"))</f>
        <v/>
      </c>
      <c r="H107" s="10">
        <f>IF($A107="","",IF(SUMPRODUCT((excl_HTS&lt;&gt;"")*(LEFT($C107,LEN(excl_HTS))=excl_HTS))&gt;0,"Y","N"))</f>
        <v/>
      </c>
      <c r="I107" s="10">
        <f>IF($A107="","",IF($E107="","N",IF(SUMPRODUCT(--(UPPER(TRIM(CLEAN(SUBSTITUTE(scope_COO&amp;""," "," "))))=$E107))&gt;0,"Y","N")))</f>
        <v/>
      </c>
      <c r="J107" s="10">
        <f>IF($A107="","",IF(AND(UPPER(TRIM(CLEAN(SUBSTITUTE(act_USMCAExempt&amp;""," "," "))))="Y",UPPER(TRIM(CLEAN(SUBSTITUTE(Items!F107&amp;""," "," "))))="Y"),"Y","N"))</f>
        <v/>
      </c>
      <c r="K107" s="10">
        <f>IF($A107="","",IF($AQ107=0,"",UPPER(TRIM(CLEAN(SUBSTITUTE(INDEX(det_Status,$AQ107)&amp;""," "," "))))))</f>
        <v/>
      </c>
      <c r="L107" s="10">
        <f>IF($A107="","",IF($F107="N","N",IF($K107="IN","Y",IF($K107="OUT","N",IF(AND($G107="Y",$H107="N",$I107="Y",$J107="N"),"Y","N")))))</f>
        <v/>
      </c>
      <c r="M107" s="10">
        <f>IF($A107="","",IF($F107="N","Out: different import country",IF($K107="IN","In: Research determination",IF($K107="OUT","Out: Research determination",IF($G107="N","Out: HTS not on scope list",IF($H107="Y","Out: HTS on exclusion list",IF($I107="N","Out: origin not on scope list",IF($J107="Y","Out: USMCA-qualifying, exempt","In: matches scope rules"))))))))</f>
        <v/>
      </c>
      <c r="N107" s="10">
        <f>IF(OR($A107="",$AM107=0),"",UPPER(TRIM(CLEAN(SUBSTITUTE(INDEX(scope_Group,MOD($AM107,1000))&amp;""," "," ")))))</f>
        <v/>
      </c>
      <c r="O107" s="10">
        <f>IF($L107&lt;&gt;"Y","",IF($AO107=0,"Default (B15)",UPPER(TRIM(CLEAN(SUBSTITUTE(INDEX(rate_ID,MOD($AO107,100))&amp;""," "," "))))))</f>
        <v/>
      </c>
      <c r="P107" s="10">
        <f>IF($L107&lt;&gt;"Y","",IF($AO107=0,IF(UPPER(TRIM(CLEAN(SUBSTITUTE(act_DefaultBase&amp;""," "," "))))="PART","PART","FULL"),IF(UPPER(TRIM(CLEAN(SUBSTITUTE(INDEX(rate_Base,MOD($AO107,100))&amp;""," "," "))))="PART","PART","FULL")))</f>
        <v/>
      </c>
      <c r="Q107" s="17">
        <f>IF($A107="","",N(Items!J107))</f>
        <v/>
      </c>
      <c r="R107" s="17">
        <f>IF($A107="","",IF($L107&lt;&gt;"Y",0,IF($AO107=0,N(act_Rate),N(INDEX(rate_Rate,MOD($AO107,100))))))</f>
        <v/>
      </c>
      <c r="S107" s="17">
        <f>IF($A107="","",IF($L107&lt;&gt;"Y",0,IF($AO107=0,IF(UPPER(TRIM(CLEAN(SUBSTITUTE(act_RateType&amp;""," "," "))))="REPLACE",N(act_PriorRate),0),IF(ISNUMBER(INDEX(rate_Prior,MOD($AO107,100))),INDEX(rate_Prior,MOD($AO107,100)),IF(UPPER(TRIM(CLEAN(SUBSTITUTE(act_RateType&amp;""," "," "))))="REPLACE",N(act_PriorRate),0)))))</f>
        <v/>
      </c>
      <c r="T107" s="17">
        <f>IF($A107="","",IF(AND($L107="Y",$P107="PART",ISNUMBER(Items!M107)),Items!M107,1))</f>
        <v/>
      </c>
      <c r="U107" s="17">
        <f>IF($A107="","",IF($L107&lt;&gt;"Y",0,IF($AQ107&gt;0,IF(ISNUMBER(INDEX(det_Displaced,$AQ107)),INDEX(det_Displaced,$AQ107),IF($AO107=0,0,N(INDEX(rate_Displaced,MOD($AO107,100))))),IF($AO107=0,0,N(INDEX(rate_Displaced,MOD($AO107,100)))))))</f>
        <v/>
      </c>
      <c r="V107" s="17">
        <f>IF($A107="","",IF($L107="Y",$Q107+$T107*($R107-$S107)-$U107,$Q107))</f>
        <v/>
      </c>
      <c r="W107" s="18">
        <f>IF($A107="","",N(Items!H107)*$Q107)</f>
        <v/>
      </c>
      <c r="X107" s="18">
        <f>IF($A107="","",N(Items!H107)*$V107)</f>
        <v/>
      </c>
      <c r="Y107" s="18">
        <f>IF($A107="","",$X107-$W107)</f>
        <v/>
      </c>
      <c r="Z107" s="18">
        <f>IF($A107="","",N(Items!K107)+$Y107)</f>
        <v/>
      </c>
      <c r="AA107" s="17">
        <f>IF($A107="","",IF(N(Items!L107)=0,"",(N(Items!L107)-N(Items!K107))/N(Items!L107)))</f>
        <v/>
      </c>
      <c r="AB107" s="17">
        <f>IF($A107="","",IF(N(Items!L107)=0,"",(N(Items!L107)-$Z107)/N(Items!L107)))</f>
        <v/>
      </c>
      <c r="AC107" s="17">
        <f>IF(OR($AA107="",$AB107=""),"",$AB107-$AA107)</f>
        <v/>
      </c>
      <c r="AD107" s="13">
        <f>IF($A107="","",N(Items!I107))</f>
        <v/>
      </c>
      <c r="AE107" s="19">
        <f>IF($A107="","",$Y107*$AD107)</f>
        <v/>
      </c>
      <c r="AF107" s="10">
        <f>IF($A107="","",IF(N(Items!L107)&gt;0,"Y","N"))</f>
        <v/>
      </c>
      <c r="AG107" s="19">
        <f>IF($A107="","",IF($AF107="Y",N(Items!L107)*$AD107,0))</f>
        <v/>
      </c>
      <c r="AH107" s="19">
        <f>IF($A107="","",IF($AF107="Y",(N(Items!L107)-N(Items!K107))*$AD107,0))</f>
        <v/>
      </c>
      <c r="AI107" s="19">
        <f>IF($A107="","",IF($AF107="Y",$AH107-$AE107,0))</f>
        <v/>
      </c>
      <c r="AJ107" s="10">
        <f>IF($A107="","",IF(COUNTIF($AL$5:$AL$254,$AL107)&gt;1,"CHECK: duplicate item and import country",IF(TRIM(CLEAN(SUBSTITUTE(Items!C107&amp;""," "," ")))="","CHECK: import country missing",IF(AND(UPPER(TRIM(CLEAN(SUBSTITUTE(Items!C107&amp;""," "," "))))&lt;&gt;"US",UPPER(TRIM(CLEAN(SUBSTITUTE(Items!C107&amp;""," "," "))))&lt;&gt;"CA",UPPER(TRIM(CLEAN(SUBSTITUTE(Items!C107&amp;""," "," "))))&lt;&gt;"MX"),"CHECK: import country must be US, CA or MX",IF(NOT(AND(LEN($C107)=10,IFERROR(TEXT(VALUE($C107),REPT("0",LEN($C107)))=$C107,FALSE))),"CHECK: HTS must be 10 digits",IF(LEN($E107)&lt;&gt;2,"CHECK: origin code missing or not 2 letters",IF(TRIM(CLEAN(SUBSTITUTE(Items!G107&amp;""," "," ")))="","CHECK: unit of measure missing",IF(OR(Items!H107="",Items!J107="",Items!K107=""),"CHECK: value, rate or cost missing",IF(OR(NOT(ISNUMBER(Items!H107)),NOT(ISNUMBER(Items!J107)),NOT(ISNUMBER(Items!K107)),AND(Items!I107&lt;&gt;"",NOT(ISNUMBER(Items!I107))),AND(Items!L107&lt;&gt;"",NOT(ISNUMBER(Items!L107))),AND(Items!M107&lt;&gt;"",NOT(ISNUMBER(Items!M107)))),"CHECK: text in a number column",IF(AND(ISNUMBER(Items!M107),OR(N(Items!M107)&lt;0,N(Items!M107)&gt;1)),"CHECK: dutiable share must be 0% to 100%",IF(AND(UPPER(TRIM(CLEAN(SUBSTITUTE(Items!F107&amp;""," "," "))))&lt;&gt;"",UPPER(TRIM(CLEAN(SUBSTITUTE(Items!F107&amp;""," "," "))))&lt;&gt;"Y",UPPER(TRIM(CLEAN(SUBSTITUTE(Items!F107&amp;""," "," "))))&lt;&gt;"N"),"CHECK: USMCA flag must be Y, N or blank",IF(AND(UPPER(TRIM(CLEAN(SUBSTITUTE(Items!F107&amp;""," "," "))))="Y",$E107&lt;&gt;"US",$E107&lt;&gt;"CA",$E107&lt;&gt;"MX"),"CHECK: USMCA flag on an origin other than US, CA or MX",IF(AND($L107="Y",$AO107=0,NOT(ISNUMBER(act_Rate))),"CHECK: in scope but no rate (add a rate line or B15)",IF(AND($L107="Y",UPPER(TRIM(CLEAN(SUBSTITUTE(act_RateType&amp;""," "," "))))="REPLACE",NOT(ISNUMBER(act_PriorRate)),IF($AO107=0,TRUE,NOT(ISNUMBER(INDEX(rate_Prior,MOD($AO107,100)))))),"CHECK: REPLACE but no earlier rate (B17 or the rate line's AD)",IF(AND($L107="Y",$AP107&gt;1),"CHECK: two rate lines match equally",IF(AND($L107="Y",$AN107&gt;1),"CHECK: HTS prefix listed twice on the scope list",IF(AND($L107="Y",$P107="PART",NOT(ISNUMBER(Items!M107))),"CHECK: dutiable share missing (PART base)",IF(AND($L107="Y",$P107="FULL",ISNUMBER(Items!M107),N(Items!M107)&lt;&gt;1),"CHECK: dutiable share entered, but the rate taxes the full value",IF(AND($L107="Y",$Q107+0.0000001&lt;$T107*$S107+$U107),"CHECK: current rate is below the duty being replaced or displaced",IF(AND($L107="Y",$AD107=0),"NOTE: in scope, no quantity",IF(AND($L107="Y",$AF107="N"),"NOTE: in scope, no sell price (left out of margin %)",IF(AND($L107="Y",N(Items!H107)&gt;N(Items!K107)),"NOTE: customs value above standard cost (check unit of measure)",IF(AND($L107="Y",$Q107&gt;1),"NOTE: current rate above 100% (check it was entered as a percentage)","OK")))))))))))))))))))))))</f>
        <v/>
      </c>
      <c r="AK107" s="20">
        <f>IF($A107="","",IF(AND($L107="Y",$AE107&lt;&gt;0),ABS($AE107)+ROW()/1000000000,""))</f>
        <v/>
      </c>
      <c r="AL107" s="10">
        <f>IF($A107="","",UPPER($A107)&amp;"/"&amp;UPPER(TRIM(CLEAN(SUBSTITUTE(Items!C107&amp;""," "," ")))))</f>
        <v/>
      </c>
      <c r="AM107" s="13">
        <f>IF($A107="",0,SUMPRODUCT(MAX((scope_HTS&lt;&gt;"")*(LEFT($C107,LEN(scope_HTS))=scope_HTS)*(LEN(scope_HTS)*1000+ROW(scope_HTS)-4))))</f>
        <v/>
      </c>
      <c r="AN107" s="13">
        <f>IF($AM107=0,0,SUMPRODUCT((scope_HTS&lt;&gt;"")*(LEFT($C107,LEN(scope_HTS))=scope_HTS)*(LEN(scope_HTS)=INT($AM107/1000))))</f>
        <v/>
      </c>
      <c r="AO107" s="13">
        <f>IF($L107&lt;&gt;"Y",0,SUMPRODUCT(MAX(ISNUMBER(rate_Rate)*((UPPER(TRIM(CLEAN(SUBSTITUTE(rate_Group&amp;""," "," "))))="")+(UPPER(TRIM(CLEAN(SUBSTITUTE(rate_Group&amp;""," "," "))))=$N107)&gt;0)*((UPPER(TRIM(CLEAN(SUBSTITUTE(rate_COO&amp;""," "," "))))="")+(UPPER(TRIM(CLEAN(SUBSTITUTE(rate_COO&amp;""," "," "))))=$E107)&gt;0)*((UPPER(TRIM(CLEAN(SUBSTITUTE(rate_USMCA&amp;""," "," "))))="")+(UPPER(TRIM(CLEAN(SUBSTITUTE(rate_USMCA&amp;""," "," "))))=IF(UPPER(TRIM(CLEAN(SUBSTITUTE(Items!F107&amp;""," "," "))))="Y","Y","N"))&gt;0)*((1+(UPPER(TRIM(CLEAN(SUBSTITUTE(rate_Group&amp;""," "," "))))&lt;&gt;"")+2*(UPPER(TRIM(CLEAN(SUBSTITUTE(rate_USMCA&amp;""," "," "))))&lt;&gt;"")+4*(UPPER(TRIM(CLEAN(SUBSTITUTE(rate_COO&amp;""," "," "))))&lt;&gt;""))*100+ROW(rate_Rate)-4))))</f>
        <v/>
      </c>
      <c r="AP107" s="13">
        <f>IF($AO107=0,0,SUMPRODUCT(ISNUMBER(rate_Rate)*((UPPER(TRIM(CLEAN(SUBSTITUTE(rate_Group&amp;""," "," "))))="")+(UPPER(TRIM(CLEAN(SUBSTITUTE(rate_Group&amp;""," "," "))))=$N107)&gt;0)*((UPPER(TRIM(CLEAN(SUBSTITUTE(rate_COO&amp;""," "," "))))="")+(UPPER(TRIM(CLEAN(SUBSTITUTE(rate_COO&amp;""," "," "))))=$E107)&gt;0)*((UPPER(TRIM(CLEAN(SUBSTITUTE(rate_USMCA&amp;""," "," "))))="")+(UPPER(TRIM(CLEAN(SUBSTITUTE(rate_USMCA&amp;""," "," "))))=IF(UPPER(TRIM(CLEAN(SUBSTITUTE(Items!F107&amp;""," "," "))))="Y","Y","N"))&gt;0)*((1+(UPPER(TRIM(CLEAN(SUBSTITUTE(rate_Group&amp;""," "," "))))&lt;&gt;"")+2*(UPPER(TRIM(CLEAN(SUBSTITUTE(rate_USMCA&amp;""," "," "))))&lt;&gt;"")+4*(UPPER(TRIM(CLEAN(SUBSTITUTE(rate_COO&amp;""," "," "))))&lt;&gt;""))=INT($AO107/100))))</f>
        <v/>
      </c>
      <c r="AQ107" s="13">
        <f>IF($A107="",0,IFERROR(MATCH($AL107,det_Key,0),0))</f>
        <v/>
      </c>
    </row>
    <row r="108">
      <c r="A108" s="10">
        <f>IF(TRIM(CLEAN(SUBSTITUTE(Items!A108&amp;""," "," ")))="","",TRIM(CLEAN(SUBSTITUTE(Items!A108&amp;""," "," "))))</f>
        <v/>
      </c>
      <c r="B108" s="10">
        <f>IF($A108="","",Items!B108&amp;"")</f>
        <v/>
      </c>
      <c r="C108" s="10">
        <f>IF($A108="","",SUBSTITUTE(SUBSTITUTE(SUBSTITUTE(SUBSTITUTE(CLEAN(Items!D108&amp;"")," ",""),".","")," ",""),"-",""))</f>
        <v/>
      </c>
      <c r="D108" s="10">
        <f>IF($A108="","",LEFT($C108,2))</f>
        <v/>
      </c>
      <c r="E108" s="10">
        <f>IF($A108="","",UPPER(TRIM(CLEAN(SUBSTITUTE(Items!E108&amp;""," "," ")))))</f>
        <v/>
      </c>
      <c r="F108" s="10">
        <f>IF($A108="","",IF(UPPER(TRIM(CLEAN(SUBSTITUTE(Items!C108&amp;""," "," "))))=UPPER(TRIM(CLEAN(SUBSTITUTE(act_Country&amp;""," "," ")))),"Y","N"))</f>
        <v/>
      </c>
      <c r="G108" s="10">
        <f>IF($A108="","",IF($AM108&gt;0,"Y","N"))</f>
        <v/>
      </c>
      <c r="H108" s="10">
        <f>IF($A108="","",IF(SUMPRODUCT((excl_HTS&lt;&gt;"")*(LEFT($C108,LEN(excl_HTS))=excl_HTS))&gt;0,"Y","N"))</f>
        <v/>
      </c>
      <c r="I108" s="10">
        <f>IF($A108="","",IF($E108="","N",IF(SUMPRODUCT(--(UPPER(TRIM(CLEAN(SUBSTITUTE(scope_COO&amp;""," "," "))))=$E108))&gt;0,"Y","N")))</f>
        <v/>
      </c>
      <c r="J108" s="10">
        <f>IF($A108="","",IF(AND(UPPER(TRIM(CLEAN(SUBSTITUTE(act_USMCAExempt&amp;""," "," "))))="Y",UPPER(TRIM(CLEAN(SUBSTITUTE(Items!F108&amp;""," "," "))))="Y"),"Y","N"))</f>
        <v/>
      </c>
      <c r="K108" s="10">
        <f>IF($A108="","",IF($AQ108=0,"",UPPER(TRIM(CLEAN(SUBSTITUTE(INDEX(det_Status,$AQ108)&amp;""," "," "))))))</f>
        <v/>
      </c>
      <c r="L108" s="10">
        <f>IF($A108="","",IF($F108="N","N",IF($K108="IN","Y",IF($K108="OUT","N",IF(AND($G108="Y",$H108="N",$I108="Y",$J108="N"),"Y","N")))))</f>
        <v/>
      </c>
      <c r="M108" s="10">
        <f>IF($A108="","",IF($F108="N","Out: different import country",IF($K108="IN","In: Research determination",IF($K108="OUT","Out: Research determination",IF($G108="N","Out: HTS not on scope list",IF($H108="Y","Out: HTS on exclusion list",IF($I108="N","Out: origin not on scope list",IF($J108="Y","Out: USMCA-qualifying, exempt","In: matches scope rules"))))))))</f>
        <v/>
      </c>
      <c r="N108" s="10">
        <f>IF(OR($A108="",$AM108=0),"",UPPER(TRIM(CLEAN(SUBSTITUTE(INDEX(scope_Group,MOD($AM108,1000))&amp;""," "," ")))))</f>
        <v/>
      </c>
      <c r="O108" s="10">
        <f>IF($L108&lt;&gt;"Y","",IF($AO108=0,"Default (B15)",UPPER(TRIM(CLEAN(SUBSTITUTE(INDEX(rate_ID,MOD($AO108,100))&amp;""," "," "))))))</f>
        <v/>
      </c>
      <c r="P108" s="10">
        <f>IF($L108&lt;&gt;"Y","",IF($AO108=0,IF(UPPER(TRIM(CLEAN(SUBSTITUTE(act_DefaultBase&amp;""," "," "))))="PART","PART","FULL"),IF(UPPER(TRIM(CLEAN(SUBSTITUTE(INDEX(rate_Base,MOD($AO108,100))&amp;""," "," "))))="PART","PART","FULL")))</f>
        <v/>
      </c>
      <c r="Q108" s="17">
        <f>IF($A108="","",N(Items!J108))</f>
        <v/>
      </c>
      <c r="R108" s="17">
        <f>IF($A108="","",IF($L108&lt;&gt;"Y",0,IF($AO108=0,N(act_Rate),N(INDEX(rate_Rate,MOD($AO108,100))))))</f>
        <v/>
      </c>
      <c r="S108" s="17">
        <f>IF($A108="","",IF($L108&lt;&gt;"Y",0,IF($AO108=0,IF(UPPER(TRIM(CLEAN(SUBSTITUTE(act_RateType&amp;""," "," "))))="REPLACE",N(act_PriorRate),0),IF(ISNUMBER(INDEX(rate_Prior,MOD($AO108,100))),INDEX(rate_Prior,MOD($AO108,100)),IF(UPPER(TRIM(CLEAN(SUBSTITUTE(act_RateType&amp;""," "," "))))="REPLACE",N(act_PriorRate),0)))))</f>
        <v/>
      </c>
      <c r="T108" s="17">
        <f>IF($A108="","",IF(AND($L108="Y",$P108="PART",ISNUMBER(Items!M108)),Items!M108,1))</f>
        <v/>
      </c>
      <c r="U108" s="17">
        <f>IF($A108="","",IF($L108&lt;&gt;"Y",0,IF($AQ108&gt;0,IF(ISNUMBER(INDEX(det_Displaced,$AQ108)),INDEX(det_Displaced,$AQ108),IF($AO108=0,0,N(INDEX(rate_Displaced,MOD($AO108,100))))),IF($AO108=0,0,N(INDEX(rate_Displaced,MOD($AO108,100)))))))</f>
        <v/>
      </c>
      <c r="V108" s="17">
        <f>IF($A108="","",IF($L108="Y",$Q108+$T108*($R108-$S108)-$U108,$Q108))</f>
        <v/>
      </c>
      <c r="W108" s="18">
        <f>IF($A108="","",N(Items!H108)*$Q108)</f>
        <v/>
      </c>
      <c r="X108" s="18">
        <f>IF($A108="","",N(Items!H108)*$V108)</f>
        <v/>
      </c>
      <c r="Y108" s="18">
        <f>IF($A108="","",$X108-$W108)</f>
        <v/>
      </c>
      <c r="Z108" s="18">
        <f>IF($A108="","",N(Items!K108)+$Y108)</f>
        <v/>
      </c>
      <c r="AA108" s="17">
        <f>IF($A108="","",IF(N(Items!L108)=0,"",(N(Items!L108)-N(Items!K108))/N(Items!L108)))</f>
        <v/>
      </c>
      <c r="AB108" s="17">
        <f>IF($A108="","",IF(N(Items!L108)=0,"",(N(Items!L108)-$Z108)/N(Items!L108)))</f>
        <v/>
      </c>
      <c r="AC108" s="17">
        <f>IF(OR($AA108="",$AB108=""),"",$AB108-$AA108)</f>
        <v/>
      </c>
      <c r="AD108" s="13">
        <f>IF($A108="","",N(Items!I108))</f>
        <v/>
      </c>
      <c r="AE108" s="19">
        <f>IF($A108="","",$Y108*$AD108)</f>
        <v/>
      </c>
      <c r="AF108" s="10">
        <f>IF($A108="","",IF(N(Items!L108)&gt;0,"Y","N"))</f>
        <v/>
      </c>
      <c r="AG108" s="19">
        <f>IF($A108="","",IF($AF108="Y",N(Items!L108)*$AD108,0))</f>
        <v/>
      </c>
      <c r="AH108" s="19">
        <f>IF($A108="","",IF($AF108="Y",(N(Items!L108)-N(Items!K108))*$AD108,0))</f>
        <v/>
      </c>
      <c r="AI108" s="19">
        <f>IF($A108="","",IF($AF108="Y",$AH108-$AE108,0))</f>
        <v/>
      </c>
      <c r="AJ108" s="10">
        <f>IF($A108="","",IF(COUNTIF($AL$5:$AL$254,$AL108)&gt;1,"CHECK: duplicate item and import country",IF(TRIM(CLEAN(SUBSTITUTE(Items!C108&amp;""," "," ")))="","CHECK: import country missing",IF(AND(UPPER(TRIM(CLEAN(SUBSTITUTE(Items!C108&amp;""," "," "))))&lt;&gt;"US",UPPER(TRIM(CLEAN(SUBSTITUTE(Items!C108&amp;""," "," "))))&lt;&gt;"CA",UPPER(TRIM(CLEAN(SUBSTITUTE(Items!C108&amp;""," "," "))))&lt;&gt;"MX"),"CHECK: import country must be US, CA or MX",IF(NOT(AND(LEN($C108)=10,IFERROR(TEXT(VALUE($C108),REPT("0",LEN($C108)))=$C108,FALSE))),"CHECK: HTS must be 10 digits",IF(LEN($E108)&lt;&gt;2,"CHECK: origin code missing or not 2 letters",IF(TRIM(CLEAN(SUBSTITUTE(Items!G108&amp;""," "," ")))="","CHECK: unit of measure missing",IF(OR(Items!H108="",Items!J108="",Items!K108=""),"CHECK: value, rate or cost missing",IF(OR(NOT(ISNUMBER(Items!H108)),NOT(ISNUMBER(Items!J108)),NOT(ISNUMBER(Items!K108)),AND(Items!I108&lt;&gt;"",NOT(ISNUMBER(Items!I108))),AND(Items!L108&lt;&gt;"",NOT(ISNUMBER(Items!L108))),AND(Items!M108&lt;&gt;"",NOT(ISNUMBER(Items!M108)))),"CHECK: text in a number column",IF(AND(ISNUMBER(Items!M108),OR(N(Items!M108)&lt;0,N(Items!M108)&gt;1)),"CHECK: dutiable share must be 0% to 100%",IF(AND(UPPER(TRIM(CLEAN(SUBSTITUTE(Items!F108&amp;""," "," "))))&lt;&gt;"",UPPER(TRIM(CLEAN(SUBSTITUTE(Items!F108&amp;""," "," "))))&lt;&gt;"Y",UPPER(TRIM(CLEAN(SUBSTITUTE(Items!F108&amp;""," "," "))))&lt;&gt;"N"),"CHECK: USMCA flag must be Y, N or blank",IF(AND(UPPER(TRIM(CLEAN(SUBSTITUTE(Items!F108&amp;""," "," "))))="Y",$E108&lt;&gt;"US",$E108&lt;&gt;"CA",$E108&lt;&gt;"MX"),"CHECK: USMCA flag on an origin other than US, CA or MX",IF(AND($L108="Y",$AO108=0,NOT(ISNUMBER(act_Rate))),"CHECK: in scope but no rate (add a rate line or B15)",IF(AND($L108="Y",UPPER(TRIM(CLEAN(SUBSTITUTE(act_RateType&amp;""," "," "))))="REPLACE",NOT(ISNUMBER(act_PriorRate)),IF($AO108=0,TRUE,NOT(ISNUMBER(INDEX(rate_Prior,MOD($AO108,100)))))),"CHECK: REPLACE but no earlier rate (B17 or the rate line's AD)",IF(AND($L108="Y",$AP108&gt;1),"CHECK: two rate lines match equally",IF(AND($L108="Y",$AN108&gt;1),"CHECK: HTS prefix listed twice on the scope list",IF(AND($L108="Y",$P108="PART",NOT(ISNUMBER(Items!M108))),"CHECK: dutiable share missing (PART base)",IF(AND($L108="Y",$P108="FULL",ISNUMBER(Items!M108),N(Items!M108)&lt;&gt;1),"CHECK: dutiable share entered, but the rate taxes the full value",IF(AND($L108="Y",$Q108+0.0000001&lt;$T108*$S108+$U108),"CHECK: current rate is below the duty being replaced or displaced",IF(AND($L108="Y",$AD108=0),"NOTE: in scope, no quantity",IF(AND($L108="Y",$AF108="N"),"NOTE: in scope, no sell price (left out of margin %)",IF(AND($L108="Y",N(Items!H108)&gt;N(Items!K108)),"NOTE: customs value above standard cost (check unit of measure)",IF(AND($L108="Y",$Q108&gt;1),"NOTE: current rate above 100% (check it was entered as a percentage)","OK")))))))))))))))))))))))</f>
        <v/>
      </c>
      <c r="AK108" s="20">
        <f>IF($A108="","",IF(AND($L108="Y",$AE108&lt;&gt;0),ABS($AE108)+ROW()/1000000000,""))</f>
        <v/>
      </c>
      <c r="AL108" s="10">
        <f>IF($A108="","",UPPER($A108)&amp;"/"&amp;UPPER(TRIM(CLEAN(SUBSTITUTE(Items!C108&amp;""," "," ")))))</f>
        <v/>
      </c>
      <c r="AM108" s="13">
        <f>IF($A108="",0,SUMPRODUCT(MAX((scope_HTS&lt;&gt;"")*(LEFT($C108,LEN(scope_HTS))=scope_HTS)*(LEN(scope_HTS)*1000+ROW(scope_HTS)-4))))</f>
        <v/>
      </c>
      <c r="AN108" s="13">
        <f>IF($AM108=0,0,SUMPRODUCT((scope_HTS&lt;&gt;"")*(LEFT($C108,LEN(scope_HTS))=scope_HTS)*(LEN(scope_HTS)=INT($AM108/1000))))</f>
        <v/>
      </c>
      <c r="AO108" s="13">
        <f>IF($L108&lt;&gt;"Y",0,SUMPRODUCT(MAX(ISNUMBER(rate_Rate)*((UPPER(TRIM(CLEAN(SUBSTITUTE(rate_Group&amp;""," "," "))))="")+(UPPER(TRIM(CLEAN(SUBSTITUTE(rate_Group&amp;""," "," "))))=$N108)&gt;0)*((UPPER(TRIM(CLEAN(SUBSTITUTE(rate_COO&amp;""," "," "))))="")+(UPPER(TRIM(CLEAN(SUBSTITUTE(rate_COO&amp;""," "," "))))=$E108)&gt;0)*((UPPER(TRIM(CLEAN(SUBSTITUTE(rate_USMCA&amp;""," "," "))))="")+(UPPER(TRIM(CLEAN(SUBSTITUTE(rate_USMCA&amp;""," "," "))))=IF(UPPER(TRIM(CLEAN(SUBSTITUTE(Items!F108&amp;""," "," "))))="Y","Y","N"))&gt;0)*((1+(UPPER(TRIM(CLEAN(SUBSTITUTE(rate_Group&amp;""," "," "))))&lt;&gt;"")+2*(UPPER(TRIM(CLEAN(SUBSTITUTE(rate_USMCA&amp;""," "," "))))&lt;&gt;"")+4*(UPPER(TRIM(CLEAN(SUBSTITUTE(rate_COO&amp;""," "," "))))&lt;&gt;""))*100+ROW(rate_Rate)-4))))</f>
        <v/>
      </c>
      <c r="AP108" s="13">
        <f>IF($AO108=0,0,SUMPRODUCT(ISNUMBER(rate_Rate)*((UPPER(TRIM(CLEAN(SUBSTITUTE(rate_Group&amp;""," "," "))))="")+(UPPER(TRIM(CLEAN(SUBSTITUTE(rate_Group&amp;""," "," "))))=$N108)&gt;0)*((UPPER(TRIM(CLEAN(SUBSTITUTE(rate_COO&amp;""," "," "))))="")+(UPPER(TRIM(CLEAN(SUBSTITUTE(rate_COO&amp;""," "," "))))=$E108)&gt;0)*((UPPER(TRIM(CLEAN(SUBSTITUTE(rate_USMCA&amp;""," "," "))))="")+(UPPER(TRIM(CLEAN(SUBSTITUTE(rate_USMCA&amp;""," "," "))))=IF(UPPER(TRIM(CLEAN(SUBSTITUTE(Items!F108&amp;""," "," "))))="Y","Y","N"))&gt;0)*((1+(UPPER(TRIM(CLEAN(SUBSTITUTE(rate_Group&amp;""," "," "))))&lt;&gt;"")+2*(UPPER(TRIM(CLEAN(SUBSTITUTE(rate_USMCA&amp;""," "," "))))&lt;&gt;"")+4*(UPPER(TRIM(CLEAN(SUBSTITUTE(rate_COO&amp;""," "," "))))&lt;&gt;""))=INT($AO108/100))))</f>
        <v/>
      </c>
      <c r="AQ108" s="13">
        <f>IF($A108="",0,IFERROR(MATCH($AL108,det_Key,0),0))</f>
        <v/>
      </c>
    </row>
    <row r="109">
      <c r="A109" s="10">
        <f>IF(TRIM(CLEAN(SUBSTITUTE(Items!A109&amp;""," "," ")))="","",TRIM(CLEAN(SUBSTITUTE(Items!A109&amp;""," "," "))))</f>
        <v/>
      </c>
      <c r="B109" s="10">
        <f>IF($A109="","",Items!B109&amp;"")</f>
        <v/>
      </c>
      <c r="C109" s="10">
        <f>IF($A109="","",SUBSTITUTE(SUBSTITUTE(SUBSTITUTE(SUBSTITUTE(CLEAN(Items!D109&amp;"")," ",""),".","")," ",""),"-",""))</f>
        <v/>
      </c>
      <c r="D109" s="10">
        <f>IF($A109="","",LEFT($C109,2))</f>
        <v/>
      </c>
      <c r="E109" s="10">
        <f>IF($A109="","",UPPER(TRIM(CLEAN(SUBSTITUTE(Items!E109&amp;""," "," ")))))</f>
        <v/>
      </c>
      <c r="F109" s="10">
        <f>IF($A109="","",IF(UPPER(TRIM(CLEAN(SUBSTITUTE(Items!C109&amp;""," "," "))))=UPPER(TRIM(CLEAN(SUBSTITUTE(act_Country&amp;""," "," ")))),"Y","N"))</f>
        <v/>
      </c>
      <c r="G109" s="10">
        <f>IF($A109="","",IF($AM109&gt;0,"Y","N"))</f>
        <v/>
      </c>
      <c r="H109" s="10">
        <f>IF($A109="","",IF(SUMPRODUCT((excl_HTS&lt;&gt;"")*(LEFT($C109,LEN(excl_HTS))=excl_HTS))&gt;0,"Y","N"))</f>
        <v/>
      </c>
      <c r="I109" s="10">
        <f>IF($A109="","",IF($E109="","N",IF(SUMPRODUCT(--(UPPER(TRIM(CLEAN(SUBSTITUTE(scope_COO&amp;""," "," "))))=$E109))&gt;0,"Y","N")))</f>
        <v/>
      </c>
      <c r="J109" s="10">
        <f>IF($A109="","",IF(AND(UPPER(TRIM(CLEAN(SUBSTITUTE(act_USMCAExempt&amp;""," "," "))))="Y",UPPER(TRIM(CLEAN(SUBSTITUTE(Items!F109&amp;""," "," "))))="Y"),"Y","N"))</f>
        <v/>
      </c>
      <c r="K109" s="10">
        <f>IF($A109="","",IF($AQ109=0,"",UPPER(TRIM(CLEAN(SUBSTITUTE(INDEX(det_Status,$AQ109)&amp;""," "," "))))))</f>
        <v/>
      </c>
      <c r="L109" s="10">
        <f>IF($A109="","",IF($F109="N","N",IF($K109="IN","Y",IF($K109="OUT","N",IF(AND($G109="Y",$H109="N",$I109="Y",$J109="N"),"Y","N")))))</f>
        <v/>
      </c>
      <c r="M109" s="10">
        <f>IF($A109="","",IF($F109="N","Out: different import country",IF($K109="IN","In: Research determination",IF($K109="OUT","Out: Research determination",IF($G109="N","Out: HTS not on scope list",IF($H109="Y","Out: HTS on exclusion list",IF($I109="N","Out: origin not on scope list",IF($J109="Y","Out: USMCA-qualifying, exempt","In: matches scope rules"))))))))</f>
        <v/>
      </c>
      <c r="N109" s="10">
        <f>IF(OR($A109="",$AM109=0),"",UPPER(TRIM(CLEAN(SUBSTITUTE(INDEX(scope_Group,MOD($AM109,1000))&amp;""," "," ")))))</f>
        <v/>
      </c>
      <c r="O109" s="10">
        <f>IF($L109&lt;&gt;"Y","",IF($AO109=0,"Default (B15)",UPPER(TRIM(CLEAN(SUBSTITUTE(INDEX(rate_ID,MOD($AO109,100))&amp;""," "," "))))))</f>
        <v/>
      </c>
      <c r="P109" s="10">
        <f>IF($L109&lt;&gt;"Y","",IF($AO109=0,IF(UPPER(TRIM(CLEAN(SUBSTITUTE(act_DefaultBase&amp;""," "," "))))="PART","PART","FULL"),IF(UPPER(TRIM(CLEAN(SUBSTITUTE(INDEX(rate_Base,MOD($AO109,100))&amp;""," "," "))))="PART","PART","FULL")))</f>
        <v/>
      </c>
      <c r="Q109" s="17">
        <f>IF($A109="","",N(Items!J109))</f>
        <v/>
      </c>
      <c r="R109" s="17">
        <f>IF($A109="","",IF($L109&lt;&gt;"Y",0,IF($AO109=0,N(act_Rate),N(INDEX(rate_Rate,MOD($AO109,100))))))</f>
        <v/>
      </c>
      <c r="S109" s="17">
        <f>IF($A109="","",IF($L109&lt;&gt;"Y",0,IF($AO109=0,IF(UPPER(TRIM(CLEAN(SUBSTITUTE(act_RateType&amp;""," "," "))))="REPLACE",N(act_PriorRate),0),IF(ISNUMBER(INDEX(rate_Prior,MOD($AO109,100))),INDEX(rate_Prior,MOD($AO109,100)),IF(UPPER(TRIM(CLEAN(SUBSTITUTE(act_RateType&amp;""," "," "))))="REPLACE",N(act_PriorRate),0)))))</f>
        <v/>
      </c>
      <c r="T109" s="17">
        <f>IF($A109="","",IF(AND($L109="Y",$P109="PART",ISNUMBER(Items!M109)),Items!M109,1))</f>
        <v/>
      </c>
      <c r="U109" s="17">
        <f>IF($A109="","",IF($L109&lt;&gt;"Y",0,IF($AQ109&gt;0,IF(ISNUMBER(INDEX(det_Displaced,$AQ109)),INDEX(det_Displaced,$AQ109),IF($AO109=0,0,N(INDEX(rate_Displaced,MOD($AO109,100))))),IF($AO109=0,0,N(INDEX(rate_Displaced,MOD($AO109,100)))))))</f>
        <v/>
      </c>
      <c r="V109" s="17">
        <f>IF($A109="","",IF($L109="Y",$Q109+$T109*($R109-$S109)-$U109,$Q109))</f>
        <v/>
      </c>
      <c r="W109" s="18">
        <f>IF($A109="","",N(Items!H109)*$Q109)</f>
        <v/>
      </c>
      <c r="X109" s="18">
        <f>IF($A109="","",N(Items!H109)*$V109)</f>
        <v/>
      </c>
      <c r="Y109" s="18">
        <f>IF($A109="","",$X109-$W109)</f>
        <v/>
      </c>
      <c r="Z109" s="18">
        <f>IF($A109="","",N(Items!K109)+$Y109)</f>
        <v/>
      </c>
      <c r="AA109" s="17">
        <f>IF($A109="","",IF(N(Items!L109)=0,"",(N(Items!L109)-N(Items!K109))/N(Items!L109)))</f>
        <v/>
      </c>
      <c r="AB109" s="17">
        <f>IF($A109="","",IF(N(Items!L109)=0,"",(N(Items!L109)-$Z109)/N(Items!L109)))</f>
        <v/>
      </c>
      <c r="AC109" s="17">
        <f>IF(OR($AA109="",$AB109=""),"",$AB109-$AA109)</f>
        <v/>
      </c>
      <c r="AD109" s="13">
        <f>IF($A109="","",N(Items!I109))</f>
        <v/>
      </c>
      <c r="AE109" s="19">
        <f>IF($A109="","",$Y109*$AD109)</f>
        <v/>
      </c>
      <c r="AF109" s="10">
        <f>IF($A109="","",IF(N(Items!L109)&gt;0,"Y","N"))</f>
        <v/>
      </c>
      <c r="AG109" s="19">
        <f>IF($A109="","",IF($AF109="Y",N(Items!L109)*$AD109,0))</f>
        <v/>
      </c>
      <c r="AH109" s="19">
        <f>IF($A109="","",IF($AF109="Y",(N(Items!L109)-N(Items!K109))*$AD109,0))</f>
        <v/>
      </c>
      <c r="AI109" s="19">
        <f>IF($A109="","",IF($AF109="Y",$AH109-$AE109,0))</f>
        <v/>
      </c>
      <c r="AJ109" s="10">
        <f>IF($A109="","",IF(COUNTIF($AL$5:$AL$254,$AL109)&gt;1,"CHECK: duplicate item and import country",IF(TRIM(CLEAN(SUBSTITUTE(Items!C109&amp;""," "," ")))="","CHECK: import country missing",IF(AND(UPPER(TRIM(CLEAN(SUBSTITUTE(Items!C109&amp;""," "," "))))&lt;&gt;"US",UPPER(TRIM(CLEAN(SUBSTITUTE(Items!C109&amp;""," "," "))))&lt;&gt;"CA",UPPER(TRIM(CLEAN(SUBSTITUTE(Items!C109&amp;""," "," "))))&lt;&gt;"MX"),"CHECK: import country must be US, CA or MX",IF(NOT(AND(LEN($C109)=10,IFERROR(TEXT(VALUE($C109),REPT("0",LEN($C109)))=$C109,FALSE))),"CHECK: HTS must be 10 digits",IF(LEN($E109)&lt;&gt;2,"CHECK: origin code missing or not 2 letters",IF(TRIM(CLEAN(SUBSTITUTE(Items!G109&amp;""," "," ")))="","CHECK: unit of measure missing",IF(OR(Items!H109="",Items!J109="",Items!K109=""),"CHECK: value, rate or cost missing",IF(OR(NOT(ISNUMBER(Items!H109)),NOT(ISNUMBER(Items!J109)),NOT(ISNUMBER(Items!K109)),AND(Items!I109&lt;&gt;"",NOT(ISNUMBER(Items!I109))),AND(Items!L109&lt;&gt;"",NOT(ISNUMBER(Items!L109))),AND(Items!M109&lt;&gt;"",NOT(ISNUMBER(Items!M109)))),"CHECK: text in a number column",IF(AND(ISNUMBER(Items!M109),OR(N(Items!M109)&lt;0,N(Items!M109)&gt;1)),"CHECK: dutiable share must be 0% to 100%",IF(AND(UPPER(TRIM(CLEAN(SUBSTITUTE(Items!F109&amp;""," "," "))))&lt;&gt;"",UPPER(TRIM(CLEAN(SUBSTITUTE(Items!F109&amp;""," "," "))))&lt;&gt;"Y",UPPER(TRIM(CLEAN(SUBSTITUTE(Items!F109&amp;""," "," "))))&lt;&gt;"N"),"CHECK: USMCA flag must be Y, N or blank",IF(AND(UPPER(TRIM(CLEAN(SUBSTITUTE(Items!F109&amp;""," "," "))))="Y",$E109&lt;&gt;"US",$E109&lt;&gt;"CA",$E109&lt;&gt;"MX"),"CHECK: USMCA flag on an origin other than US, CA or MX",IF(AND($L109="Y",$AO109=0,NOT(ISNUMBER(act_Rate))),"CHECK: in scope but no rate (add a rate line or B15)",IF(AND($L109="Y",UPPER(TRIM(CLEAN(SUBSTITUTE(act_RateType&amp;""," "," "))))="REPLACE",NOT(ISNUMBER(act_PriorRate)),IF($AO109=0,TRUE,NOT(ISNUMBER(INDEX(rate_Prior,MOD($AO109,100)))))),"CHECK: REPLACE but no earlier rate (B17 or the rate line's AD)",IF(AND($L109="Y",$AP109&gt;1),"CHECK: two rate lines match equally",IF(AND($L109="Y",$AN109&gt;1),"CHECK: HTS prefix listed twice on the scope list",IF(AND($L109="Y",$P109="PART",NOT(ISNUMBER(Items!M109))),"CHECK: dutiable share missing (PART base)",IF(AND($L109="Y",$P109="FULL",ISNUMBER(Items!M109),N(Items!M109)&lt;&gt;1),"CHECK: dutiable share entered, but the rate taxes the full value",IF(AND($L109="Y",$Q109+0.0000001&lt;$T109*$S109+$U109),"CHECK: current rate is below the duty being replaced or displaced",IF(AND($L109="Y",$AD109=0),"NOTE: in scope, no quantity",IF(AND($L109="Y",$AF109="N"),"NOTE: in scope, no sell price (left out of margin %)",IF(AND($L109="Y",N(Items!H109)&gt;N(Items!K109)),"NOTE: customs value above standard cost (check unit of measure)",IF(AND($L109="Y",$Q109&gt;1),"NOTE: current rate above 100% (check it was entered as a percentage)","OK")))))))))))))))))))))))</f>
        <v/>
      </c>
      <c r="AK109" s="20">
        <f>IF($A109="","",IF(AND($L109="Y",$AE109&lt;&gt;0),ABS($AE109)+ROW()/1000000000,""))</f>
        <v/>
      </c>
      <c r="AL109" s="10">
        <f>IF($A109="","",UPPER($A109)&amp;"/"&amp;UPPER(TRIM(CLEAN(SUBSTITUTE(Items!C109&amp;""," "," ")))))</f>
        <v/>
      </c>
      <c r="AM109" s="13">
        <f>IF($A109="",0,SUMPRODUCT(MAX((scope_HTS&lt;&gt;"")*(LEFT($C109,LEN(scope_HTS))=scope_HTS)*(LEN(scope_HTS)*1000+ROW(scope_HTS)-4))))</f>
        <v/>
      </c>
      <c r="AN109" s="13">
        <f>IF($AM109=0,0,SUMPRODUCT((scope_HTS&lt;&gt;"")*(LEFT($C109,LEN(scope_HTS))=scope_HTS)*(LEN(scope_HTS)=INT($AM109/1000))))</f>
        <v/>
      </c>
      <c r="AO109" s="13">
        <f>IF($L109&lt;&gt;"Y",0,SUMPRODUCT(MAX(ISNUMBER(rate_Rate)*((UPPER(TRIM(CLEAN(SUBSTITUTE(rate_Group&amp;""," "," "))))="")+(UPPER(TRIM(CLEAN(SUBSTITUTE(rate_Group&amp;""," "," "))))=$N109)&gt;0)*((UPPER(TRIM(CLEAN(SUBSTITUTE(rate_COO&amp;""," "," "))))="")+(UPPER(TRIM(CLEAN(SUBSTITUTE(rate_COO&amp;""," "," "))))=$E109)&gt;0)*((UPPER(TRIM(CLEAN(SUBSTITUTE(rate_USMCA&amp;""," "," "))))="")+(UPPER(TRIM(CLEAN(SUBSTITUTE(rate_USMCA&amp;""," "," "))))=IF(UPPER(TRIM(CLEAN(SUBSTITUTE(Items!F109&amp;""," "," "))))="Y","Y","N"))&gt;0)*((1+(UPPER(TRIM(CLEAN(SUBSTITUTE(rate_Group&amp;""," "," "))))&lt;&gt;"")+2*(UPPER(TRIM(CLEAN(SUBSTITUTE(rate_USMCA&amp;""," "," "))))&lt;&gt;"")+4*(UPPER(TRIM(CLEAN(SUBSTITUTE(rate_COO&amp;""," "," "))))&lt;&gt;""))*100+ROW(rate_Rate)-4))))</f>
        <v/>
      </c>
      <c r="AP109" s="13">
        <f>IF($AO109=0,0,SUMPRODUCT(ISNUMBER(rate_Rate)*((UPPER(TRIM(CLEAN(SUBSTITUTE(rate_Group&amp;""," "," "))))="")+(UPPER(TRIM(CLEAN(SUBSTITUTE(rate_Group&amp;""," "," "))))=$N109)&gt;0)*((UPPER(TRIM(CLEAN(SUBSTITUTE(rate_COO&amp;""," "," "))))="")+(UPPER(TRIM(CLEAN(SUBSTITUTE(rate_COO&amp;""," "," "))))=$E109)&gt;0)*((UPPER(TRIM(CLEAN(SUBSTITUTE(rate_USMCA&amp;""," "," "))))="")+(UPPER(TRIM(CLEAN(SUBSTITUTE(rate_USMCA&amp;""," "," "))))=IF(UPPER(TRIM(CLEAN(SUBSTITUTE(Items!F109&amp;""," "," "))))="Y","Y","N"))&gt;0)*((1+(UPPER(TRIM(CLEAN(SUBSTITUTE(rate_Group&amp;""," "," "))))&lt;&gt;"")+2*(UPPER(TRIM(CLEAN(SUBSTITUTE(rate_USMCA&amp;""," "," "))))&lt;&gt;"")+4*(UPPER(TRIM(CLEAN(SUBSTITUTE(rate_COO&amp;""," "," "))))&lt;&gt;""))=INT($AO109/100))))</f>
        <v/>
      </c>
      <c r="AQ109" s="13">
        <f>IF($A109="",0,IFERROR(MATCH($AL109,det_Key,0),0))</f>
        <v/>
      </c>
    </row>
    <row r="110">
      <c r="A110" s="10">
        <f>IF(TRIM(CLEAN(SUBSTITUTE(Items!A110&amp;""," "," ")))="","",TRIM(CLEAN(SUBSTITUTE(Items!A110&amp;""," "," "))))</f>
        <v/>
      </c>
      <c r="B110" s="10">
        <f>IF($A110="","",Items!B110&amp;"")</f>
        <v/>
      </c>
      <c r="C110" s="10">
        <f>IF($A110="","",SUBSTITUTE(SUBSTITUTE(SUBSTITUTE(SUBSTITUTE(CLEAN(Items!D110&amp;"")," ",""),".","")," ",""),"-",""))</f>
        <v/>
      </c>
      <c r="D110" s="10">
        <f>IF($A110="","",LEFT($C110,2))</f>
        <v/>
      </c>
      <c r="E110" s="10">
        <f>IF($A110="","",UPPER(TRIM(CLEAN(SUBSTITUTE(Items!E110&amp;""," "," ")))))</f>
        <v/>
      </c>
      <c r="F110" s="10">
        <f>IF($A110="","",IF(UPPER(TRIM(CLEAN(SUBSTITUTE(Items!C110&amp;""," "," "))))=UPPER(TRIM(CLEAN(SUBSTITUTE(act_Country&amp;""," "," ")))),"Y","N"))</f>
        <v/>
      </c>
      <c r="G110" s="10">
        <f>IF($A110="","",IF($AM110&gt;0,"Y","N"))</f>
        <v/>
      </c>
      <c r="H110" s="10">
        <f>IF($A110="","",IF(SUMPRODUCT((excl_HTS&lt;&gt;"")*(LEFT($C110,LEN(excl_HTS))=excl_HTS))&gt;0,"Y","N"))</f>
        <v/>
      </c>
      <c r="I110" s="10">
        <f>IF($A110="","",IF($E110="","N",IF(SUMPRODUCT(--(UPPER(TRIM(CLEAN(SUBSTITUTE(scope_COO&amp;""," "," "))))=$E110))&gt;0,"Y","N")))</f>
        <v/>
      </c>
      <c r="J110" s="10">
        <f>IF($A110="","",IF(AND(UPPER(TRIM(CLEAN(SUBSTITUTE(act_USMCAExempt&amp;""," "," "))))="Y",UPPER(TRIM(CLEAN(SUBSTITUTE(Items!F110&amp;""," "," "))))="Y"),"Y","N"))</f>
        <v/>
      </c>
      <c r="K110" s="10">
        <f>IF($A110="","",IF($AQ110=0,"",UPPER(TRIM(CLEAN(SUBSTITUTE(INDEX(det_Status,$AQ110)&amp;""," "," "))))))</f>
        <v/>
      </c>
      <c r="L110" s="10">
        <f>IF($A110="","",IF($F110="N","N",IF($K110="IN","Y",IF($K110="OUT","N",IF(AND($G110="Y",$H110="N",$I110="Y",$J110="N"),"Y","N")))))</f>
        <v/>
      </c>
      <c r="M110" s="10">
        <f>IF($A110="","",IF($F110="N","Out: different import country",IF($K110="IN","In: Research determination",IF($K110="OUT","Out: Research determination",IF($G110="N","Out: HTS not on scope list",IF($H110="Y","Out: HTS on exclusion list",IF($I110="N","Out: origin not on scope list",IF($J110="Y","Out: USMCA-qualifying, exempt","In: matches scope rules"))))))))</f>
        <v/>
      </c>
      <c r="N110" s="10">
        <f>IF(OR($A110="",$AM110=0),"",UPPER(TRIM(CLEAN(SUBSTITUTE(INDEX(scope_Group,MOD($AM110,1000))&amp;""," "," ")))))</f>
        <v/>
      </c>
      <c r="O110" s="10">
        <f>IF($L110&lt;&gt;"Y","",IF($AO110=0,"Default (B15)",UPPER(TRIM(CLEAN(SUBSTITUTE(INDEX(rate_ID,MOD($AO110,100))&amp;""," "," "))))))</f>
        <v/>
      </c>
      <c r="P110" s="10">
        <f>IF($L110&lt;&gt;"Y","",IF($AO110=0,IF(UPPER(TRIM(CLEAN(SUBSTITUTE(act_DefaultBase&amp;""," "," "))))="PART","PART","FULL"),IF(UPPER(TRIM(CLEAN(SUBSTITUTE(INDEX(rate_Base,MOD($AO110,100))&amp;""," "," "))))="PART","PART","FULL")))</f>
        <v/>
      </c>
      <c r="Q110" s="17">
        <f>IF($A110="","",N(Items!J110))</f>
        <v/>
      </c>
      <c r="R110" s="17">
        <f>IF($A110="","",IF($L110&lt;&gt;"Y",0,IF($AO110=0,N(act_Rate),N(INDEX(rate_Rate,MOD($AO110,100))))))</f>
        <v/>
      </c>
      <c r="S110" s="17">
        <f>IF($A110="","",IF($L110&lt;&gt;"Y",0,IF($AO110=0,IF(UPPER(TRIM(CLEAN(SUBSTITUTE(act_RateType&amp;""," "," "))))="REPLACE",N(act_PriorRate),0),IF(ISNUMBER(INDEX(rate_Prior,MOD($AO110,100))),INDEX(rate_Prior,MOD($AO110,100)),IF(UPPER(TRIM(CLEAN(SUBSTITUTE(act_RateType&amp;""," "," "))))="REPLACE",N(act_PriorRate),0)))))</f>
        <v/>
      </c>
      <c r="T110" s="17">
        <f>IF($A110="","",IF(AND($L110="Y",$P110="PART",ISNUMBER(Items!M110)),Items!M110,1))</f>
        <v/>
      </c>
      <c r="U110" s="17">
        <f>IF($A110="","",IF($L110&lt;&gt;"Y",0,IF($AQ110&gt;0,IF(ISNUMBER(INDEX(det_Displaced,$AQ110)),INDEX(det_Displaced,$AQ110),IF($AO110=0,0,N(INDEX(rate_Displaced,MOD($AO110,100))))),IF($AO110=0,0,N(INDEX(rate_Displaced,MOD($AO110,100)))))))</f>
        <v/>
      </c>
      <c r="V110" s="17">
        <f>IF($A110="","",IF($L110="Y",$Q110+$T110*($R110-$S110)-$U110,$Q110))</f>
        <v/>
      </c>
      <c r="W110" s="18">
        <f>IF($A110="","",N(Items!H110)*$Q110)</f>
        <v/>
      </c>
      <c r="X110" s="18">
        <f>IF($A110="","",N(Items!H110)*$V110)</f>
        <v/>
      </c>
      <c r="Y110" s="18">
        <f>IF($A110="","",$X110-$W110)</f>
        <v/>
      </c>
      <c r="Z110" s="18">
        <f>IF($A110="","",N(Items!K110)+$Y110)</f>
        <v/>
      </c>
      <c r="AA110" s="17">
        <f>IF($A110="","",IF(N(Items!L110)=0,"",(N(Items!L110)-N(Items!K110))/N(Items!L110)))</f>
        <v/>
      </c>
      <c r="AB110" s="17">
        <f>IF($A110="","",IF(N(Items!L110)=0,"",(N(Items!L110)-$Z110)/N(Items!L110)))</f>
        <v/>
      </c>
      <c r="AC110" s="17">
        <f>IF(OR($AA110="",$AB110=""),"",$AB110-$AA110)</f>
        <v/>
      </c>
      <c r="AD110" s="13">
        <f>IF($A110="","",N(Items!I110))</f>
        <v/>
      </c>
      <c r="AE110" s="19">
        <f>IF($A110="","",$Y110*$AD110)</f>
        <v/>
      </c>
      <c r="AF110" s="10">
        <f>IF($A110="","",IF(N(Items!L110)&gt;0,"Y","N"))</f>
        <v/>
      </c>
      <c r="AG110" s="19">
        <f>IF($A110="","",IF($AF110="Y",N(Items!L110)*$AD110,0))</f>
        <v/>
      </c>
      <c r="AH110" s="19">
        <f>IF($A110="","",IF($AF110="Y",(N(Items!L110)-N(Items!K110))*$AD110,0))</f>
        <v/>
      </c>
      <c r="AI110" s="19">
        <f>IF($A110="","",IF($AF110="Y",$AH110-$AE110,0))</f>
        <v/>
      </c>
      <c r="AJ110" s="10">
        <f>IF($A110="","",IF(COUNTIF($AL$5:$AL$254,$AL110)&gt;1,"CHECK: duplicate item and import country",IF(TRIM(CLEAN(SUBSTITUTE(Items!C110&amp;""," "," ")))="","CHECK: import country missing",IF(AND(UPPER(TRIM(CLEAN(SUBSTITUTE(Items!C110&amp;""," "," "))))&lt;&gt;"US",UPPER(TRIM(CLEAN(SUBSTITUTE(Items!C110&amp;""," "," "))))&lt;&gt;"CA",UPPER(TRIM(CLEAN(SUBSTITUTE(Items!C110&amp;""," "," "))))&lt;&gt;"MX"),"CHECK: import country must be US, CA or MX",IF(NOT(AND(LEN($C110)=10,IFERROR(TEXT(VALUE($C110),REPT("0",LEN($C110)))=$C110,FALSE))),"CHECK: HTS must be 10 digits",IF(LEN($E110)&lt;&gt;2,"CHECK: origin code missing or not 2 letters",IF(TRIM(CLEAN(SUBSTITUTE(Items!G110&amp;""," "," ")))="","CHECK: unit of measure missing",IF(OR(Items!H110="",Items!J110="",Items!K110=""),"CHECK: value, rate or cost missing",IF(OR(NOT(ISNUMBER(Items!H110)),NOT(ISNUMBER(Items!J110)),NOT(ISNUMBER(Items!K110)),AND(Items!I110&lt;&gt;"",NOT(ISNUMBER(Items!I110))),AND(Items!L110&lt;&gt;"",NOT(ISNUMBER(Items!L110))),AND(Items!M110&lt;&gt;"",NOT(ISNUMBER(Items!M110)))),"CHECK: text in a number column",IF(AND(ISNUMBER(Items!M110),OR(N(Items!M110)&lt;0,N(Items!M110)&gt;1)),"CHECK: dutiable share must be 0% to 100%",IF(AND(UPPER(TRIM(CLEAN(SUBSTITUTE(Items!F110&amp;""," "," "))))&lt;&gt;"",UPPER(TRIM(CLEAN(SUBSTITUTE(Items!F110&amp;""," "," "))))&lt;&gt;"Y",UPPER(TRIM(CLEAN(SUBSTITUTE(Items!F110&amp;""," "," "))))&lt;&gt;"N"),"CHECK: USMCA flag must be Y, N or blank",IF(AND(UPPER(TRIM(CLEAN(SUBSTITUTE(Items!F110&amp;""," "," "))))="Y",$E110&lt;&gt;"US",$E110&lt;&gt;"CA",$E110&lt;&gt;"MX"),"CHECK: USMCA flag on an origin other than US, CA or MX",IF(AND($L110="Y",$AO110=0,NOT(ISNUMBER(act_Rate))),"CHECK: in scope but no rate (add a rate line or B15)",IF(AND($L110="Y",UPPER(TRIM(CLEAN(SUBSTITUTE(act_RateType&amp;""," "," "))))="REPLACE",NOT(ISNUMBER(act_PriorRate)),IF($AO110=0,TRUE,NOT(ISNUMBER(INDEX(rate_Prior,MOD($AO110,100)))))),"CHECK: REPLACE but no earlier rate (B17 or the rate line's AD)",IF(AND($L110="Y",$AP110&gt;1),"CHECK: two rate lines match equally",IF(AND($L110="Y",$AN110&gt;1),"CHECK: HTS prefix listed twice on the scope list",IF(AND($L110="Y",$P110="PART",NOT(ISNUMBER(Items!M110))),"CHECK: dutiable share missing (PART base)",IF(AND($L110="Y",$P110="FULL",ISNUMBER(Items!M110),N(Items!M110)&lt;&gt;1),"CHECK: dutiable share entered, but the rate taxes the full value",IF(AND($L110="Y",$Q110+0.0000001&lt;$T110*$S110+$U110),"CHECK: current rate is below the duty being replaced or displaced",IF(AND($L110="Y",$AD110=0),"NOTE: in scope, no quantity",IF(AND($L110="Y",$AF110="N"),"NOTE: in scope, no sell price (left out of margin %)",IF(AND($L110="Y",N(Items!H110)&gt;N(Items!K110)),"NOTE: customs value above standard cost (check unit of measure)",IF(AND($L110="Y",$Q110&gt;1),"NOTE: current rate above 100% (check it was entered as a percentage)","OK")))))))))))))))))))))))</f>
        <v/>
      </c>
      <c r="AK110" s="20">
        <f>IF($A110="","",IF(AND($L110="Y",$AE110&lt;&gt;0),ABS($AE110)+ROW()/1000000000,""))</f>
        <v/>
      </c>
      <c r="AL110" s="10">
        <f>IF($A110="","",UPPER($A110)&amp;"/"&amp;UPPER(TRIM(CLEAN(SUBSTITUTE(Items!C110&amp;""," "," ")))))</f>
        <v/>
      </c>
      <c r="AM110" s="13">
        <f>IF($A110="",0,SUMPRODUCT(MAX((scope_HTS&lt;&gt;"")*(LEFT($C110,LEN(scope_HTS))=scope_HTS)*(LEN(scope_HTS)*1000+ROW(scope_HTS)-4))))</f>
        <v/>
      </c>
      <c r="AN110" s="13">
        <f>IF($AM110=0,0,SUMPRODUCT((scope_HTS&lt;&gt;"")*(LEFT($C110,LEN(scope_HTS))=scope_HTS)*(LEN(scope_HTS)=INT($AM110/1000))))</f>
        <v/>
      </c>
      <c r="AO110" s="13">
        <f>IF($L110&lt;&gt;"Y",0,SUMPRODUCT(MAX(ISNUMBER(rate_Rate)*((UPPER(TRIM(CLEAN(SUBSTITUTE(rate_Group&amp;""," "," "))))="")+(UPPER(TRIM(CLEAN(SUBSTITUTE(rate_Group&amp;""," "," "))))=$N110)&gt;0)*((UPPER(TRIM(CLEAN(SUBSTITUTE(rate_COO&amp;""," "," "))))="")+(UPPER(TRIM(CLEAN(SUBSTITUTE(rate_COO&amp;""," "," "))))=$E110)&gt;0)*((UPPER(TRIM(CLEAN(SUBSTITUTE(rate_USMCA&amp;""," "," "))))="")+(UPPER(TRIM(CLEAN(SUBSTITUTE(rate_USMCA&amp;""," "," "))))=IF(UPPER(TRIM(CLEAN(SUBSTITUTE(Items!F110&amp;""," "," "))))="Y","Y","N"))&gt;0)*((1+(UPPER(TRIM(CLEAN(SUBSTITUTE(rate_Group&amp;""," "," "))))&lt;&gt;"")+2*(UPPER(TRIM(CLEAN(SUBSTITUTE(rate_USMCA&amp;""," "," "))))&lt;&gt;"")+4*(UPPER(TRIM(CLEAN(SUBSTITUTE(rate_COO&amp;""," "," "))))&lt;&gt;""))*100+ROW(rate_Rate)-4))))</f>
        <v/>
      </c>
      <c r="AP110" s="13">
        <f>IF($AO110=0,0,SUMPRODUCT(ISNUMBER(rate_Rate)*((UPPER(TRIM(CLEAN(SUBSTITUTE(rate_Group&amp;""," "," "))))="")+(UPPER(TRIM(CLEAN(SUBSTITUTE(rate_Group&amp;""," "," "))))=$N110)&gt;0)*((UPPER(TRIM(CLEAN(SUBSTITUTE(rate_COO&amp;""," "," "))))="")+(UPPER(TRIM(CLEAN(SUBSTITUTE(rate_COO&amp;""," "," "))))=$E110)&gt;0)*((UPPER(TRIM(CLEAN(SUBSTITUTE(rate_USMCA&amp;""," "," "))))="")+(UPPER(TRIM(CLEAN(SUBSTITUTE(rate_USMCA&amp;""," "," "))))=IF(UPPER(TRIM(CLEAN(SUBSTITUTE(Items!F110&amp;""," "," "))))="Y","Y","N"))&gt;0)*((1+(UPPER(TRIM(CLEAN(SUBSTITUTE(rate_Group&amp;""," "," "))))&lt;&gt;"")+2*(UPPER(TRIM(CLEAN(SUBSTITUTE(rate_USMCA&amp;""," "," "))))&lt;&gt;"")+4*(UPPER(TRIM(CLEAN(SUBSTITUTE(rate_COO&amp;""," "," "))))&lt;&gt;""))=INT($AO110/100))))</f>
        <v/>
      </c>
      <c r="AQ110" s="13">
        <f>IF($A110="",0,IFERROR(MATCH($AL110,det_Key,0),0))</f>
        <v/>
      </c>
    </row>
    <row r="111">
      <c r="A111" s="10">
        <f>IF(TRIM(CLEAN(SUBSTITUTE(Items!A111&amp;""," "," ")))="","",TRIM(CLEAN(SUBSTITUTE(Items!A111&amp;""," "," "))))</f>
        <v/>
      </c>
      <c r="B111" s="10">
        <f>IF($A111="","",Items!B111&amp;"")</f>
        <v/>
      </c>
      <c r="C111" s="10">
        <f>IF($A111="","",SUBSTITUTE(SUBSTITUTE(SUBSTITUTE(SUBSTITUTE(CLEAN(Items!D111&amp;"")," ",""),".","")," ",""),"-",""))</f>
        <v/>
      </c>
      <c r="D111" s="10">
        <f>IF($A111="","",LEFT($C111,2))</f>
        <v/>
      </c>
      <c r="E111" s="10">
        <f>IF($A111="","",UPPER(TRIM(CLEAN(SUBSTITUTE(Items!E111&amp;""," "," ")))))</f>
        <v/>
      </c>
      <c r="F111" s="10">
        <f>IF($A111="","",IF(UPPER(TRIM(CLEAN(SUBSTITUTE(Items!C111&amp;""," "," "))))=UPPER(TRIM(CLEAN(SUBSTITUTE(act_Country&amp;""," "," ")))),"Y","N"))</f>
        <v/>
      </c>
      <c r="G111" s="10">
        <f>IF($A111="","",IF($AM111&gt;0,"Y","N"))</f>
        <v/>
      </c>
      <c r="H111" s="10">
        <f>IF($A111="","",IF(SUMPRODUCT((excl_HTS&lt;&gt;"")*(LEFT($C111,LEN(excl_HTS))=excl_HTS))&gt;0,"Y","N"))</f>
        <v/>
      </c>
      <c r="I111" s="10">
        <f>IF($A111="","",IF($E111="","N",IF(SUMPRODUCT(--(UPPER(TRIM(CLEAN(SUBSTITUTE(scope_COO&amp;""," "," "))))=$E111))&gt;0,"Y","N")))</f>
        <v/>
      </c>
      <c r="J111" s="10">
        <f>IF($A111="","",IF(AND(UPPER(TRIM(CLEAN(SUBSTITUTE(act_USMCAExempt&amp;""," "," "))))="Y",UPPER(TRIM(CLEAN(SUBSTITUTE(Items!F111&amp;""," "," "))))="Y"),"Y","N"))</f>
        <v/>
      </c>
      <c r="K111" s="10">
        <f>IF($A111="","",IF($AQ111=0,"",UPPER(TRIM(CLEAN(SUBSTITUTE(INDEX(det_Status,$AQ111)&amp;""," "," "))))))</f>
        <v/>
      </c>
      <c r="L111" s="10">
        <f>IF($A111="","",IF($F111="N","N",IF($K111="IN","Y",IF($K111="OUT","N",IF(AND($G111="Y",$H111="N",$I111="Y",$J111="N"),"Y","N")))))</f>
        <v/>
      </c>
      <c r="M111" s="10">
        <f>IF($A111="","",IF($F111="N","Out: different import country",IF($K111="IN","In: Research determination",IF($K111="OUT","Out: Research determination",IF($G111="N","Out: HTS not on scope list",IF($H111="Y","Out: HTS on exclusion list",IF($I111="N","Out: origin not on scope list",IF($J111="Y","Out: USMCA-qualifying, exempt","In: matches scope rules"))))))))</f>
        <v/>
      </c>
      <c r="N111" s="10">
        <f>IF(OR($A111="",$AM111=0),"",UPPER(TRIM(CLEAN(SUBSTITUTE(INDEX(scope_Group,MOD($AM111,1000))&amp;""," "," ")))))</f>
        <v/>
      </c>
      <c r="O111" s="10">
        <f>IF($L111&lt;&gt;"Y","",IF($AO111=0,"Default (B15)",UPPER(TRIM(CLEAN(SUBSTITUTE(INDEX(rate_ID,MOD($AO111,100))&amp;""," "," "))))))</f>
        <v/>
      </c>
      <c r="P111" s="10">
        <f>IF($L111&lt;&gt;"Y","",IF($AO111=0,IF(UPPER(TRIM(CLEAN(SUBSTITUTE(act_DefaultBase&amp;""," "," "))))="PART","PART","FULL"),IF(UPPER(TRIM(CLEAN(SUBSTITUTE(INDEX(rate_Base,MOD($AO111,100))&amp;""," "," "))))="PART","PART","FULL")))</f>
        <v/>
      </c>
      <c r="Q111" s="17">
        <f>IF($A111="","",N(Items!J111))</f>
        <v/>
      </c>
      <c r="R111" s="17">
        <f>IF($A111="","",IF($L111&lt;&gt;"Y",0,IF($AO111=0,N(act_Rate),N(INDEX(rate_Rate,MOD($AO111,100))))))</f>
        <v/>
      </c>
      <c r="S111" s="17">
        <f>IF($A111="","",IF($L111&lt;&gt;"Y",0,IF($AO111=0,IF(UPPER(TRIM(CLEAN(SUBSTITUTE(act_RateType&amp;""," "," "))))="REPLACE",N(act_PriorRate),0),IF(ISNUMBER(INDEX(rate_Prior,MOD($AO111,100))),INDEX(rate_Prior,MOD($AO111,100)),IF(UPPER(TRIM(CLEAN(SUBSTITUTE(act_RateType&amp;""," "," "))))="REPLACE",N(act_PriorRate),0)))))</f>
        <v/>
      </c>
      <c r="T111" s="17">
        <f>IF($A111="","",IF(AND($L111="Y",$P111="PART",ISNUMBER(Items!M111)),Items!M111,1))</f>
        <v/>
      </c>
      <c r="U111" s="17">
        <f>IF($A111="","",IF($L111&lt;&gt;"Y",0,IF($AQ111&gt;0,IF(ISNUMBER(INDEX(det_Displaced,$AQ111)),INDEX(det_Displaced,$AQ111),IF($AO111=0,0,N(INDEX(rate_Displaced,MOD($AO111,100))))),IF($AO111=0,0,N(INDEX(rate_Displaced,MOD($AO111,100)))))))</f>
        <v/>
      </c>
      <c r="V111" s="17">
        <f>IF($A111="","",IF($L111="Y",$Q111+$T111*($R111-$S111)-$U111,$Q111))</f>
        <v/>
      </c>
      <c r="W111" s="18">
        <f>IF($A111="","",N(Items!H111)*$Q111)</f>
        <v/>
      </c>
      <c r="X111" s="18">
        <f>IF($A111="","",N(Items!H111)*$V111)</f>
        <v/>
      </c>
      <c r="Y111" s="18">
        <f>IF($A111="","",$X111-$W111)</f>
        <v/>
      </c>
      <c r="Z111" s="18">
        <f>IF($A111="","",N(Items!K111)+$Y111)</f>
        <v/>
      </c>
      <c r="AA111" s="17">
        <f>IF($A111="","",IF(N(Items!L111)=0,"",(N(Items!L111)-N(Items!K111))/N(Items!L111)))</f>
        <v/>
      </c>
      <c r="AB111" s="17">
        <f>IF($A111="","",IF(N(Items!L111)=0,"",(N(Items!L111)-$Z111)/N(Items!L111)))</f>
        <v/>
      </c>
      <c r="AC111" s="17">
        <f>IF(OR($AA111="",$AB111=""),"",$AB111-$AA111)</f>
        <v/>
      </c>
      <c r="AD111" s="13">
        <f>IF($A111="","",N(Items!I111))</f>
        <v/>
      </c>
      <c r="AE111" s="19">
        <f>IF($A111="","",$Y111*$AD111)</f>
        <v/>
      </c>
      <c r="AF111" s="10">
        <f>IF($A111="","",IF(N(Items!L111)&gt;0,"Y","N"))</f>
        <v/>
      </c>
      <c r="AG111" s="19">
        <f>IF($A111="","",IF($AF111="Y",N(Items!L111)*$AD111,0))</f>
        <v/>
      </c>
      <c r="AH111" s="19">
        <f>IF($A111="","",IF($AF111="Y",(N(Items!L111)-N(Items!K111))*$AD111,0))</f>
        <v/>
      </c>
      <c r="AI111" s="19">
        <f>IF($A111="","",IF($AF111="Y",$AH111-$AE111,0))</f>
        <v/>
      </c>
      <c r="AJ111" s="10">
        <f>IF($A111="","",IF(COUNTIF($AL$5:$AL$254,$AL111)&gt;1,"CHECK: duplicate item and import country",IF(TRIM(CLEAN(SUBSTITUTE(Items!C111&amp;""," "," ")))="","CHECK: import country missing",IF(AND(UPPER(TRIM(CLEAN(SUBSTITUTE(Items!C111&amp;""," "," "))))&lt;&gt;"US",UPPER(TRIM(CLEAN(SUBSTITUTE(Items!C111&amp;""," "," "))))&lt;&gt;"CA",UPPER(TRIM(CLEAN(SUBSTITUTE(Items!C111&amp;""," "," "))))&lt;&gt;"MX"),"CHECK: import country must be US, CA or MX",IF(NOT(AND(LEN($C111)=10,IFERROR(TEXT(VALUE($C111),REPT("0",LEN($C111)))=$C111,FALSE))),"CHECK: HTS must be 10 digits",IF(LEN($E111)&lt;&gt;2,"CHECK: origin code missing or not 2 letters",IF(TRIM(CLEAN(SUBSTITUTE(Items!G111&amp;""," "," ")))="","CHECK: unit of measure missing",IF(OR(Items!H111="",Items!J111="",Items!K111=""),"CHECK: value, rate or cost missing",IF(OR(NOT(ISNUMBER(Items!H111)),NOT(ISNUMBER(Items!J111)),NOT(ISNUMBER(Items!K111)),AND(Items!I111&lt;&gt;"",NOT(ISNUMBER(Items!I111))),AND(Items!L111&lt;&gt;"",NOT(ISNUMBER(Items!L111))),AND(Items!M111&lt;&gt;"",NOT(ISNUMBER(Items!M111)))),"CHECK: text in a number column",IF(AND(ISNUMBER(Items!M111),OR(N(Items!M111)&lt;0,N(Items!M111)&gt;1)),"CHECK: dutiable share must be 0% to 100%",IF(AND(UPPER(TRIM(CLEAN(SUBSTITUTE(Items!F111&amp;""," "," "))))&lt;&gt;"",UPPER(TRIM(CLEAN(SUBSTITUTE(Items!F111&amp;""," "," "))))&lt;&gt;"Y",UPPER(TRIM(CLEAN(SUBSTITUTE(Items!F111&amp;""," "," "))))&lt;&gt;"N"),"CHECK: USMCA flag must be Y, N or blank",IF(AND(UPPER(TRIM(CLEAN(SUBSTITUTE(Items!F111&amp;""," "," "))))="Y",$E111&lt;&gt;"US",$E111&lt;&gt;"CA",$E111&lt;&gt;"MX"),"CHECK: USMCA flag on an origin other than US, CA or MX",IF(AND($L111="Y",$AO111=0,NOT(ISNUMBER(act_Rate))),"CHECK: in scope but no rate (add a rate line or B15)",IF(AND($L111="Y",UPPER(TRIM(CLEAN(SUBSTITUTE(act_RateType&amp;""," "," "))))="REPLACE",NOT(ISNUMBER(act_PriorRate)),IF($AO111=0,TRUE,NOT(ISNUMBER(INDEX(rate_Prior,MOD($AO111,100)))))),"CHECK: REPLACE but no earlier rate (B17 or the rate line's AD)",IF(AND($L111="Y",$AP111&gt;1),"CHECK: two rate lines match equally",IF(AND($L111="Y",$AN111&gt;1),"CHECK: HTS prefix listed twice on the scope list",IF(AND($L111="Y",$P111="PART",NOT(ISNUMBER(Items!M111))),"CHECK: dutiable share missing (PART base)",IF(AND($L111="Y",$P111="FULL",ISNUMBER(Items!M111),N(Items!M111)&lt;&gt;1),"CHECK: dutiable share entered, but the rate taxes the full value",IF(AND($L111="Y",$Q111+0.0000001&lt;$T111*$S111+$U111),"CHECK: current rate is below the duty being replaced or displaced",IF(AND($L111="Y",$AD111=0),"NOTE: in scope, no quantity",IF(AND($L111="Y",$AF111="N"),"NOTE: in scope, no sell price (left out of margin %)",IF(AND($L111="Y",N(Items!H111)&gt;N(Items!K111)),"NOTE: customs value above standard cost (check unit of measure)",IF(AND($L111="Y",$Q111&gt;1),"NOTE: current rate above 100% (check it was entered as a percentage)","OK")))))))))))))))))))))))</f>
        <v/>
      </c>
      <c r="AK111" s="20">
        <f>IF($A111="","",IF(AND($L111="Y",$AE111&lt;&gt;0),ABS($AE111)+ROW()/1000000000,""))</f>
        <v/>
      </c>
      <c r="AL111" s="10">
        <f>IF($A111="","",UPPER($A111)&amp;"/"&amp;UPPER(TRIM(CLEAN(SUBSTITUTE(Items!C111&amp;""," "," ")))))</f>
        <v/>
      </c>
      <c r="AM111" s="13">
        <f>IF($A111="",0,SUMPRODUCT(MAX((scope_HTS&lt;&gt;"")*(LEFT($C111,LEN(scope_HTS))=scope_HTS)*(LEN(scope_HTS)*1000+ROW(scope_HTS)-4))))</f>
        <v/>
      </c>
      <c r="AN111" s="13">
        <f>IF($AM111=0,0,SUMPRODUCT((scope_HTS&lt;&gt;"")*(LEFT($C111,LEN(scope_HTS))=scope_HTS)*(LEN(scope_HTS)=INT($AM111/1000))))</f>
        <v/>
      </c>
      <c r="AO111" s="13">
        <f>IF($L111&lt;&gt;"Y",0,SUMPRODUCT(MAX(ISNUMBER(rate_Rate)*((UPPER(TRIM(CLEAN(SUBSTITUTE(rate_Group&amp;""," "," "))))="")+(UPPER(TRIM(CLEAN(SUBSTITUTE(rate_Group&amp;""," "," "))))=$N111)&gt;0)*((UPPER(TRIM(CLEAN(SUBSTITUTE(rate_COO&amp;""," "," "))))="")+(UPPER(TRIM(CLEAN(SUBSTITUTE(rate_COO&amp;""," "," "))))=$E111)&gt;0)*((UPPER(TRIM(CLEAN(SUBSTITUTE(rate_USMCA&amp;""," "," "))))="")+(UPPER(TRIM(CLEAN(SUBSTITUTE(rate_USMCA&amp;""," "," "))))=IF(UPPER(TRIM(CLEAN(SUBSTITUTE(Items!F111&amp;""," "," "))))="Y","Y","N"))&gt;0)*((1+(UPPER(TRIM(CLEAN(SUBSTITUTE(rate_Group&amp;""," "," "))))&lt;&gt;"")+2*(UPPER(TRIM(CLEAN(SUBSTITUTE(rate_USMCA&amp;""," "," "))))&lt;&gt;"")+4*(UPPER(TRIM(CLEAN(SUBSTITUTE(rate_COO&amp;""," "," "))))&lt;&gt;""))*100+ROW(rate_Rate)-4))))</f>
        <v/>
      </c>
      <c r="AP111" s="13">
        <f>IF($AO111=0,0,SUMPRODUCT(ISNUMBER(rate_Rate)*((UPPER(TRIM(CLEAN(SUBSTITUTE(rate_Group&amp;""," "," "))))="")+(UPPER(TRIM(CLEAN(SUBSTITUTE(rate_Group&amp;""," "," "))))=$N111)&gt;0)*((UPPER(TRIM(CLEAN(SUBSTITUTE(rate_COO&amp;""," "," "))))="")+(UPPER(TRIM(CLEAN(SUBSTITUTE(rate_COO&amp;""," "," "))))=$E111)&gt;0)*((UPPER(TRIM(CLEAN(SUBSTITUTE(rate_USMCA&amp;""," "," "))))="")+(UPPER(TRIM(CLEAN(SUBSTITUTE(rate_USMCA&amp;""," "," "))))=IF(UPPER(TRIM(CLEAN(SUBSTITUTE(Items!F111&amp;""," "," "))))="Y","Y","N"))&gt;0)*((1+(UPPER(TRIM(CLEAN(SUBSTITUTE(rate_Group&amp;""," "," "))))&lt;&gt;"")+2*(UPPER(TRIM(CLEAN(SUBSTITUTE(rate_USMCA&amp;""," "," "))))&lt;&gt;"")+4*(UPPER(TRIM(CLEAN(SUBSTITUTE(rate_COO&amp;""," "," "))))&lt;&gt;""))=INT($AO111/100))))</f>
        <v/>
      </c>
      <c r="AQ111" s="13">
        <f>IF($A111="",0,IFERROR(MATCH($AL111,det_Key,0),0))</f>
        <v/>
      </c>
    </row>
    <row r="112">
      <c r="A112" s="10">
        <f>IF(TRIM(CLEAN(SUBSTITUTE(Items!A112&amp;""," "," ")))="","",TRIM(CLEAN(SUBSTITUTE(Items!A112&amp;""," "," "))))</f>
        <v/>
      </c>
      <c r="B112" s="10">
        <f>IF($A112="","",Items!B112&amp;"")</f>
        <v/>
      </c>
      <c r="C112" s="10">
        <f>IF($A112="","",SUBSTITUTE(SUBSTITUTE(SUBSTITUTE(SUBSTITUTE(CLEAN(Items!D112&amp;"")," ",""),".","")," ",""),"-",""))</f>
        <v/>
      </c>
      <c r="D112" s="10">
        <f>IF($A112="","",LEFT($C112,2))</f>
        <v/>
      </c>
      <c r="E112" s="10">
        <f>IF($A112="","",UPPER(TRIM(CLEAN(SUBSTITUTE(Items!E112&amp;""," "," ")))))</f>
        <v/>
      </c>
      <c r="F112" s="10">
        <f>IF($A112="","",IF(UPPER(TRIM(CLEAN(SUBSTITUTE(Items!C112&amp;""," "," "))))=UPPER(TRIM(CLEAN(SUBSTITUTE(act_Country&amp;""," "," ")))),"Y","N"))</f>
        <v/>
      </c>
      <c r="G112" s="10">
        <f>IF($A112="","",IF($AM112&gt;0,"Y","N"))</f>
        <v/>
      </c>
      <c r="H112" s="10">
        <f>IF($A112="","",IF(SUMPRODUCT((excl_HTS&lt;&gt;"")*(LEFT($C112,LEN(excl_HTS))=excl_HTS))&gt;0,"Y","N"))</f>
        <v/>
      </c>
      <c r="I112" s="10">
        <f>IF($A112="","",IF($E112="","N",IF(SUMPRODUCT(--(UPPER(TRIM(CLEAN(SUBSTITUTE(scope_COO&amp;""," "," "))))=$E112))&gt;0,"Y","N")))</f>
        <v/>
      </c>
      <c r="J112" s="10">
        <f>IF($A112="","",IF(AND(UPPER(TRIM(CLEAN(SUBSTITUTE(act_USMCAExempt&amp;""," "," "))))="Y",UPPER(TRIM(CLEAN(SUBSTITUTE(Items!F112&amp;""," "," "))))="Y"),"Y","N"))</f>
        <v/>
      </c>
      <c r="K112" s="10">
        <f>IF($A112="","",IF($AQ112=0,"",UPPER(TRIM(CLEAN(SUBSTITUTE(INDEX(det_Status,$AQ112)&amp;""," "," "))))))</f>
        <v/>
      </c>
      <c r="L112" s="10">
        <f>IF($A112="","",IF($F112="N","N",IF($K112="IN","Y",IF($K112="OUT","N",IF(AND($G112="Y",$H112="N",$I112="Y",$J112="N"),"Y","N")))))</f>
        <v/>
      </c>
      <c r="M112" s="10">
        <f>IF($A112="","",IF($F112="N","Out: different import country",IF($K112="IN","In: Research determination",IF($K112="OUT","Out: Research determination",IF($G112="N","Out: HTS not on scope list",IF($H112="Y","Out: HTS on exclusion list",IF($I112="N","Out: origin not on scope list",IF($J112="Y","Out: USMCA-qualifying, exempt","In: matches scope rules"))))))))</f>
        <v/>
      </c>
      <c r="N112" s="10">
        <f>IF(OR($A112="",$AM112=0),"",UPPER(TRIM(CLEAN(SUBSTITUTE(INDEX(scope_Group,MOD($AM112,1000))&amp;""," "," ")))))</f>
        <v/>
      </c>
      <c r="O112" s="10">
        <f>IF($L112&lt;&gt;"Y","",IF($AO112=0,"Default (B15)",UPPER(TRIM(CLEAN(SUBSTITUTE(INDEX(rate_ID,MOD($AO112,100))&amp;""," "," "))))))</f>
        <v/>
      </c>
      <c r="P112" s="10">
        <f>IF($L112&lt;&gt;"Y","",IF($AO112=0,IF(UPPER(TRIM(CLEAN(SUBSTITUTE(act_DefaultBase&amp;""," "," "))))="PART","PART","FULL"),IF(UPPER(TRIM(CLEAN(SUBSTITUTE(INDEX(rate_Base,MOD($AO112,100))&amp;""," "," "))))="PART","PART","FULL")))</f>
        <v/>
      </c>
      <c r="Q112" s="17">
        <f>IF($A112="","",N(Items!J112))</f>
        <v/>
      </c>
      <c r="R112" s="17">
        <f>IF($A112="","",IF($L112&lt;&gt;"Y",0,IF($AO112=0,N(act_Rate),N(INDEX(rate_Rate,MOD($AO112,100))))))</f>
        <v/>
      </c>
      <c r="S112" s="17">
        <f>IF($A112="","",IF($L112&lt;&gt;"Y",0,IF($AO112=0,IF(UPPER(TRIM(CLEAN(SUBSTITUTE(act_RateType&amp;""," "," "))))="REPLACE",N(act_PriorRate),0),IF(ISNUMBER(INDEX(rate_Prior,MOD($AO112,100))),INDEX(rate_Prior,MOD($AO112,100)),IF(UPPER(TRIM(CLEAN(SUBSTITUTE(act_RateType&amp;""," "," "))))="REPLACE",N(act_PriorRate),0)))))</f>
        <v/>
      </c>
      <c r="T112" s="17">
        <f>IF($A112="","",IF(AND($L112="Y",$P112="PART",ISNUMBER(Items!M112)),Items!M112,1))</f>
        <v/>
      </c>
      <c r="U112" s="17">
        <f>IF($A112="","",IF($L112&lt;&gt;"Y",0,IF($AQ112&gt;0,IF(ISNUMBER(INDEX(det_Displaced,$AQ112)),INDEX(det_Displaced,$AQ112),IF($AO112=0,0,N(INDEX(rate_Displaced,MOD($AO112,100))))),IF($AO112=0,0,N(INDEX(rate_Displaced,MOD($AO112,100)))))))</f>
        <v/>
      </c>
      <c r="V112" s="17">
        <f>IF($A112="","",IF($L112="Y",$Q112+$T112*($R112-$S112)-$U112,$Q112))</f>
        <v/>
      </c>
      <c r="W112" s="18">
        <f>IF($A112="","",N(Items!H112)*$Q112)</f>
        <v/>
      </c>
      <c r="X112" s="18">
        <f>IF($A112="","",N(Items!H112)*$V112)</f>
        <v/>
      </c>
      <c r="Y112" s="18">
        <f>IF($A112="","",$X112-$W112)</f>
        <v/>
      </c>
      <c r="Z112" s="18">
        <f>IF($A112="","",N(Items!K112)+$Y112)</f>
        <v/>
      </c>
      <c r="AA112" s="17">
        <f>IF($A112="","",IF(N(Items!L112)=0,"",(N(Items!L112)-N(Items!K112))/N(Items!L112)))</f>
        <v/>
      </c>
      <c r="AB112" s="17">
        <f>IF($A112="","",IF(N(Items!L112)=0,"",(N(Items!L112)-$Z112)/N(Items!L112)))</f>
        <v/>
      </c>
      <c r="AC112" s="17">
        <f>IF(OR($AA112="",$AB112=""),"",$AB112-$AA112)</f>
        <v/>
      </c>
      <c r="AD112" s="13">
        <f>IF($A112="","",N(Items!I112))</f>
        <v/>
      </c>
      <c r="AE112" s="19">
        <f>IF($A112="","",$Y112*$AD112)</f>
        <v/>
      </c>
      <c r="AF112" s="10">
        <f>IF($A112="","",IF(N(Items!L112)&gt;0,"Y","N"))</f>
        <v/>
      </c>
      <c r="AG112" s="19">
        <f>IF($A112="","",IF($AF112="Y",N(Items!L112)*$AD112,0))</f>
        <v/>
      </c>
      <c r="AH112" s="19">
        <f>IF($A112="","",IF($AF112="Y",(N(Items!L112)-N(Items!K112))*$AD112,0))</f>
        <v/>
      </c>
      <c r="AI112" s="19">
        <f>IF($A112="","",IF($AF112="Y",$AH112-$AE112,0))</f>
        <v/>
      </c>
      <c r="AJ112" s="10">
        <f>IF($A112="","",IF(COUNTIF($AL$5:$AL$254,$AL112)&gt;1,"CHECK: duplicate item and import country",IF(TRIM(CLEAN(SUBSTITUTE(Items!C112&amp;""," "," ")))="","CHECK: import country missing",IF(AND(UPPER(TRIM(CLEAN(SUBSTITUTE(Items!C112&amp;""," "," "))))&lt;&gt;"US",UPPER(TRIM(CLEAN(SUBSTITUTE(Items!C112&amp;""," "," "))))&lt;&gt;"CA",UPPER(TRIM(CLEAN(SUBSTITUTE(Items!C112&amp;""," "," "))))&lt;&gt;"MX"),"CHECK: import country must be US, CA or MX",IF(NOT(AND(LEN($C112)=10,IFERROR(TEXT(VALUE($C112),REPT("0",LEN($C112)))=$C112,FALSE))),"CHECK: HTS must be 10 digits",IF(LEN($E112)&lt;&gt;2,"CHECK: origin code missing or not 2 letters",IF(TRIM(CLEAN(SUBSTITUTE(Items!G112&amp;""," "," ")))="","CHECK: unit of measure missing",IF(OR(Items!H112="",Items!J112="",Items!K112=""),"CHECK: value, rate or cost missing",IF(OR(NOT(ISNUMBER(Items!H112)),NOT(ISNUMBER(Items!J112)),NOT(ISNUMBER(Items!K112)),AND(Items!I112&lt;&gt;"",NOT(ISNUMBER(Items!I112))),AND(Items!L112&lt;&gt;"",NOT(ISNUMBER(Items!L112))),AND(Items!M112&lt;&gt;"",NOT(ISNUMBER(Items!M112)))),"CHECK: text in a number column",IF(AND(ISNUMBER(Items!M112),OR(N(Items!M112)&lt;0,N(Items!M112)&gt;1)),"CHECK: dutiable share must be 0% to 100%",IF(AND(UPPER(TRIM(CLEAN(SUBSTITUTE(Items!F112&amp;""," "," "))))&lt;&gt;"",UPPER(TRIM(CLEAN(SUBSTITUTE(Items!F112&amp;""," "," "))))&lt;&gt;"Y",UPPER(TRIM(CLEAN(SUBSTITUTE(Items!F112&amp;""," "," "))))&lt;&gt;"N"),"CHECK: USMCA flag must be Y, N or blank",IF(AND(UPPER(TRIM(CLEAN(SUBSTITUTE(Items!F112&amp;""," "," "))))="Y",$E112&lt;&gt;"US",$E112&lt;&gt;"CA",$E112&lt;&gt;"MX"),"CHECK: USMCA flag on an origin other than US, CA or MX",IF(AND($L112="Y",$AO112=0,NOT(ISNUMBER(act_Rate))),"CHECK: in scope but no rate (add a rate line or B15)",IF(AND($L112="Y",UPPER(TRIM(CLEAN(SUBSTITUTE(act_RateType&amp;""," "," "))))="REPLACE",NOT(ISNUMBER(act_PriorRate)),IF($AO112=0,TRUE,NOT(ISNUMBER(INDEX(rate_Prior,MOD($AO112,100)))))),"CHECK: REPLACE but no earlier rate (B17 or the rate line's AD)",IF(AND($L112="Y",$AP112&gt;1),"CHECK: two rate lines match equally",IF(AND($L112="Y",$AN112&gt;1),"CHECK: HTS prefix listed twice on the scope list",IF(AND($L112="Y",$P112="PART",NOT(ISNUMBER(Items!M112))),"CHECK: dutiable share missing (PART base)",IF(AND($L112="Y",$P112="FULL",ISNUMBER(Items!M112),N(Items!M112)&lt;&gt;1),"CHECK: dutiable share entered, but the rate taxes the full value",IF(AND($L112="Y",$Q112+0.0000001&lt;$T112*$S112+$U112),"CHECK: current rate is below the duty being replaced or displaced",IF(AND($L112="Y",$AD112=0),"NOTE: in scope, no quantity",IF(AND($L112="Y",$AF112="N"),"NOTE: in scope, no sell price (left out of margin %)",IF(AND($L112="Y",N(Items!H112)&gt;N(Items!K112)),"NOTE: customs value above standard cost (check unit of measure)",IF(AND($L112="Y",$Q112&gt;1),"NOTE: current rate above 100% (check it was entered as a percentage)","OK")))))))))))))))))))))))</f>
        <v/>
      </c>
      <c r="AK112" s="20">
        <f>IF($A112="","",IF(AND($L112="Y",$AE112&lt;&gt;0),ABS($AE112)+ROW()/1000000000,""))</f>
        <v/>
      </c>
      <c r="AL112" s="10">
        <f>IF($A112="","",UPPER($A112)&amp;"/"&amp;UPPER(TRIM(CLEAN(SUBSTITUTE(Items!C112&amp;""," "," ")))))</f>
        <v/>
      </c>
      <c r="AM112" s="13">
        <f>IF($A112="",0,SUMPRODUCT(MAX((scope_HTS&lt;&gt;"")*(LEFT($C112,LEN(scope_HTS))=scope_HTS)*(LEN(scope_HTS)*1000+ROW(scope_HTS)-4))))</f>
        <v/>
      </c>
      <c r="AN112" s="13">
        <f>IF($AM112=0,0,SUMPRODUCT((scope_HTS&lt;&gt;"")*(LEFT($C112,LEN(scope_HTS))=scope_HTS)*(LEN(scope_HTS)=INT($AM112/1000))))</f>
        <v/>
      </c>
      <c r="AO112" s="13">
        <f>IF($L112&lt;&gt;"Y",0,SUMPRODUCT(MAX(ISNUMBER(rate_Rate)*((UPPER(TRIM(CLEAN(SUBSTITUTE(rate_Group&amp;""," "," "))))="")+(UPPER(TRIM(CLEAN(SUBSTITUTE(rate_Group&amp;""," "," "))))=$N112)&gt;0)*((UPPER(TRIM(CLEAN(SUBSTITUTE(rate_COO&amp;""," "," "))))="")+(UPPER(TRIM(CLEAN(SUBSTITUTE(rate_COO&amp;""," "," "))))=$E112)&gt;0)*((UPPER(TRIM(CLEAN(SUBSTITUTE(rate_USMCA&amp;""," "," "))))="")+(UPPER(TRIM(CLEAN(SUBSTITUTE(rate_USMCA&amp;""," "," "))))=IF(UPPER(TRIM(CLEAN(SUBSTITUTE(Items!F112&amp;""," "," "))))="Y","Y","N"))&gt;0)*((1+(UPPER(TRIM(CLEAN(SUBSTITUTE(rate_Group&amp;""," "," "))))&lt;&gt;"")+2*(UPPER(TRIM(CLEAN(SUBSTITUTE(rate_USMCA&amp;""," "," "))))&lt;&gt;"")+4*(UPPER(TRIM(CLEAN(SUBSTITUTE(rate_COO&amp;""," "," "))))&lt;&gt;""))*100+ROW(rate_Rate)-4))))</f>
        <v/>
      </c>
      <c r="AP112" s="13">
        <f>IF($AO112=0,0,SUMPRODUCT(ISNUMBER(rate_Rate)*((UPPER(TRIM(CLEAN(SUBSTITUTE(rate_Group&amp;""," "," "))))="")+(UPPER(TRIM(CLEAN(SUBSTITUTE(rate_Group&amp;""," "," "))))=$N112)&gt;0)*((UPPER(TRIM(CLEAN(SUBSTITUTE(rate_COO&amp;""," "," "))))="")+(UPPER(TRIM(CLEAN(SUBSTITUTE(rate_COO&amp;""," "," "))))=$E112)&gt;0)*((UPPER(TRIM(CLEAN(SUBSTITUTE(rate_USMCA&amp;""," "," "))))="")+(UPPER(TRIM(CLEAN(SUBSTITUTE(rate_USMCA&amp;""," "," "))))=IF(UPPER(TRIM(CLEAN(SUBSTITUTE(Items!F112&amp;""," "," "))))="Y","Y","N"))&gt;0)*((1+(UPPER(TRIM(CLEAN(SUBSTITUTE(rate_Group&amp;""," "," "))))&lt;&gt;"")+2*(UPPER(TRIM(CLEAN(SUBSTITUTE(rate_USMCA&amp;""," "," "))))&lt;&gt;"")+4*(UPPER(TRIM(CLEAN(SUBSTITUTE(rate_COO&amp;""," "," "))))&lt;&gt;""))=INT($AO112/100))))</f>
        <v/>
      </c>
      <c r="AQ112" s="13">
        <f>IF($A112="",0,IFERROR(MATCH($AL112,det_Key,0),0))</f>
        <v/>
      </c>
    </row>
    <row r="113">
      <c r="A113" s="10">
        <f>IF(TRIM(CLEAN(SUBSTITUTE(Items!A113&amp;""," "," ")))="","",TRIM(CLEAN(SUBSTITUTE(Items!A113&amp;""," "," "))))</f>
        <v/>
      </c>
      <c r="B113" s="10">
        <f>IF($A113="","",Items!B113&amp;"")</f>
        <v/>
      </c>
      <c r="C113" s="10">
        <f>IF($A113="","",SUBSTITUTE(SUBSTITUTE(SUBSTITUTE(SUBSTITUTE(CLEAN(Items!D113&amp;"")," ",""),".","")," ",""),"-",""))</f>
        <v/>
      </c>
      <c r="D113" s="10">
        <f>IF($A113="","",LEFT($C113,2))</f>
        <v/>
      </c>
      <c r="E113" s="10">
        <f>IF($A113="","",UPPER(TRIM(CLEAN(SUBSTITUTE(Items!E113&amp;""," "," ")))))</f>
        <v/>
      </c>
      <c r="F113" s="10">
        <f>IF($A113="","",IF(UPPER(TRIM(CLEAN(SUBSTITUTE(Items!C113&amp;""," "," "))))=UPPER(TRIM(CLEAN(SUBSTITUTE(act_Country&amp;""," "," ")))),"Y","N"))</f>
        <v/>
      </c>
      <c r="G113" s="10">
        <f>IF($A113="","",IF($AM113&gt;0,"Y","N"))</f>
        <v/>
      </c>
      <c r="H113" s="10">
        <f>IF($A113="","",IF(SUMPRODUCT((excl_HTS&lt;&gt;"")*(LEFT($C113,LEN(excl_HTS))=excl_HTS))&gt;0,"Y","N"))</f>
        <v/>
      </c>
      <c r="I113" s="10">
        <f>IF($A113="","",IF($E113="","N",IF(SUMPRODUCT(--(UPPER(TRIM(CLEAN(SUBSTITUTE(scope_COO&amp;""," "," "))))=$E113))&gt;0,"Y","N")))</f>
        <v/>
      </c>
      <c r="J113" s="10">
        <f>IF($A113="","",IF(AND(UPPER(TRIM(CLEAN(SUBSTITUTE(act_USMCAExempt&amp;""," "," "))))="Y",UPPER(TRIM(CLEAN(SUBSTITUTE(Items!F113&amp;""," "," "))))="Y"),"Y","N"))</f>
        <v/>
      </c>
      <c r="K113" s="10">
        <f>IF($A113="","",IF($AQ113=0,"",UPPER(TRIM(CLEAN(SUBSTITUTE(INDEX(det_Status,$AQ113)&amp;""," "," "))))))</f>
        <v/>
      </c>
      <c r="L113" s="10">
        <f>IF($A113="","",IF($F113="N","N",IF($K113="IN","Y",IF($K113="OUT","N",IF(AND($G113="Y",$H113="N",$I113="Y",$J113="N"),"Y","N")))))</f>
        <v/>
      </c>
      <c r="M113" s="10">
        <f>IF($A113="","",IF($F113="N","Out: different import country",IF($K113="IN","In: Research determination",IF($K113="OUT","Out: Research determination",IF($G113="N","Out: HTS not on scope list",IF($H113="Y","Out: HTS on exclusion list",IF($I113="N","Out: origin not on scope list",IF($J113="Y","Out: USMCA-qualifying, exempt","In: matches scope rules"))))))))</f>
        <v/>
      </c>
      <c r="N113" s="10">
        <f>IF(OR($A113="",$AM113=0),"",UPPER(TRIM(CLEAN(SUBSTITUTE(INDEX(scope_Group,MOD($AM113,1000))&amp;""," "," ")))))</f>
        <v/>
      </c>
      <c r="O113" s="10">
        <f>IF($L113&lt;&gt;"Y","",IF($AO113=0,"Default (B15)",UPPER(TRIM(CLEAN(SUBSTITUTE(INDEX(rate_ID,MOD($AO113,100))&amp;""," "," "))))))</f>
        <v/>
      </c>
      <c r="P113" s="10">
        <f>IF($L113&lt;&gt;"Y","",IF($AO113=0,IF(UPPER(TRIM(CLEAN(SUBSTITUTE(act_DefaultBase&amp;""," "," "))))="PART","PART","FULL"),IF(UPPER(TRIM(CLEAN(SUBSTITUTE(INDEX(rate_Base,MOD($AO113,100))&amp;""," "," "))))="PART","PART","FULL")))</f>
        <v/>
      </c>
      <c r="Q113" s="17">
        <f>IF($A113="","",N(Items!J113))</f>
        <v/>
      </c>
      <c r="R113" s="17">
        <f>IF($A113="","",IF($L113&lt;&gt;"Y",0,IF($AO113=0,N(act_Rate),N(INDEX(rate_Rate,MOD($AO113,100))))))</f>
        <v/>
      </c>
      <c r="S113" s="17">
        <f>IF($A113="","",IF($L113&lt;&gt;"Y",0,IF($AO113=0,IF(UPPER(TRIM(CLEAN(SUBSTITUTE(act_RateType&amp;""," "," "))))="REPLACE",N(act_PriorRate),0),IF(ISNUMBER(INDEX(rate_Prior,MOD($AO113,100))),INDEX(rate_Prior,MOD($AO113,100)),IF(UPPER(TRIM(CLEAN(SUBSTITUTE(act_RateType&amp;""," "," "))))="REPLACE",N(act_PriorRate),0)))))</f>
        <v/>
      </c>
      <c r="T113" s="17">
        <f>IF($A113="","",IF(AND($L113="Y",$P113="PART",ISNUMBER(Items!M113)),Items!M113,1))</f>
        <v/>
      </c>
      <c r="U113" s="17">
        <f>IF($A113="","",IF($L113&lt;&gt;"Y",0,IF($AQ113&gt;0,IF(ISNUMBER(INDEX(det_Displaced,$AQ113)),INDEX(det_Displaced,$AQ113),IF($AO113=0,0,N(INDEX(rate_Displaced,MOD($AO113,100))))),IF($AO113=0,0,N(INDEX(rate_Displaced,MOD($AO113,100)))))))</f>
        <v/>
      </c>
      <c r="V113" s="17">
        <f>IF($A113="","",IF($L113="Y",$Q113+$T113*($R113-$S113)-$U113,$Q113))</f>
        <v/>
      </c>
      <c r="W113" s="18">
        <f>IF($A113="","",N(Items!H113)*$Q113)</f>
        <v/>
      </c>
      <c r="X113" s="18">
        <f>IF($A113="","",N(Items!H113)*$V113)</f>
        <v/>
      </c>
      <c r="Y113" s="18">
        <f>IF($A113="","",$X113-$W113)</f>
        <v/>
      </c>
      <c r="Z113" s="18">
        <f>IF($A113="","",N(Items!K113)+$Y113)</f>
        <v/>
      </c>
      <c r="AA113" s="17">
        <f>IF($A113="","",IF(N(Items!L113)=0,"",(N(Items!L113)-N(Items!K113))/N(Items!L113)))</f>
        <v/>
      </c>
      <c r="AB113" s="17">
        <f>IF($A113="","",IF(N(Items!L113)=0,"",(N(Items!L113)-$Z113)/N(Items!L113)))</f>
        <v/>
      </c>
      <c r="AC113" s="17">
        <f>IF(OR($AA113="",$AB113=""),"",$AB113-$AA113)</f>
        <v/>
      </c>
      <c r="AD113" s="13">
        <f>IF($A113="","",N(Items!I113))</f>
        <v/>
      </c>
      <c r="AE113" s="19">
        <f>IF($A113="","",$Y113*$AD113)</f>
        <v/>
      </c>
      <c r="AF113" s="10">
        <f>IF($A113="","",IF(N(Items!L113)&gt;0,"Y","N"))</f>
        <v/>
      </c>
      <c r="AG113" s="19">
        <f>IF($A113="","",IF($AF113="Y",N(Items!L113)*$AD113,0))</f>
        <v/>
      </c>
      <c r="AH113" s="19">
        <f>IF($A113="","",IF($AF113="Y",(N(Items!L113)-N(Items!K113))*$AD113,0))</f>
        <v/>
      </c>
      <c r="AI113" s="19">
        <f>IF($A113="","",IF($AF113="Y",$AH113-$AE113,0))</f>
        <v/>
      </c>
      <c r="AJ113" s="10">
        <f>IF($A113="","",IF(COUNTIF($AL$5:$AL$254,$AL113)&gt;1,"CHECK: duplicate item and import country",IF(TRIM(CLEAN(SUBSTITUTE(Items!C113&amp;""," "," ")))="","CHECK: import country missing",IF(AND(UPPER(TRIM(CLEAN(SUBSTITUTE(Items!C113&amp;""," "," "))))&lt;&gt;"US",UPPER(TRIM(CLEAN(SUBSTITUTE(Items!C113&amp;""," "," "))))&lt;&gt;"CA",UPPER(TRIM(CLEAN(SUBSTITUTE(Items!C113&amp;""," "," "))))&lt;&gt;"MX"),"CHECK: import country must be US, CA or MX",IF(NOT(AND(LEN($C113)=10,IFERROR(TEXT(VALUE($C113),REPT("0",LEN($C113)))=$C113,FALSE))),"CHECK: HTS must be 10 digits",IF(LEN($E113)&lt;&gt;2,"CHECK: origin code missing or not 2 letters",IF(TRIM(CLEAN(SUBSTITUTE(Items!G113&amp;""," "," ")))="","CHECK: unit of measure missing",IF(OR(Items!H113="",Items!J113="",Items!K113=""),"CHECK: value, rate or cost missing",IF(OR(NOT(ISNUMBER(Items!H113)),NOT(ISNUMBER(Items!J113)),NOT(ISNUMBER(Items!K113)),AND(Items!I113&lt;&gt;"",NOT(ISNUMBER(Items!I113))),AND(Items!L113&lt;&gt;"",NOT(ISNUMBER(Items!L113))),AND(Items!M113&lt;&gt;"",NOT(ISNUMBER(Items!M113)))),"CHECK: text in a number column",IF(AND(ISNUMBER(Items!M113),OR(N(Items!M113)&lt;0,N(Items!M113)&gt;1)),"CHECK: dutiable share must be 0% to 100%",IF(AND(UPPER(TRIM(CLEAN(SUBSTITUTE(Items!F113&amp;""," "," "))))&lt;&gt;"",UPPER(TRIM(CLEAN(SUBSTITUTE(Items!F113&amp;""," "," "))))&lt;&gt;"Y",UPPER(TRIM(CLEAN(SUBSTITUTE(Items!F113&amp;""," "," "))))&lt;&gt;"N"),"CHECK: USMCA flag must be Y, N or blank",IF(AND(UPPER(TRIM(CLEAN(SUBSTITUTE(Items!F113&amp;""," "," "))))="Y",$E113&lt;&gt;"US",$E113&lt;&gt;"CA",$E113&lt;&gt;"MX"),"CHECK: USMCA flag on an origin other than US, CA or MX",IF(AND($L113="Y",$AO113=0,NOT(ISNUMBER(act_Rate))),"CHECK: in scope but no rate (add a rate line or B15)",IF(AND($L113="Y",UPPER(TRIM(CLEAN(SUBSTITUTE(act_RateType&amp;""," "," "))))="REPLACE",NOT(ISNUMBER(act_PriorRate)),IF($AO113=0,TRUE,NOT(ISNUMBER(INDEX(rate_Prior,MOD($AO113,100)))))),"CHECK: REPLACE but no earlier rate (B17 or the rate line's AD)",IF(AND($L113="Y",$AP113&gt;1),"CHECK: two rate lines match equally",IF(AND($L113="Y",$AN113&gt;1),"CHECK: HTS prefix listed twice on the scope list",IF(AND($L113="Y",$P113="PART",NOT(ISNUMBER(Items!M113))),"CHECK: dutiable share missing (PART base)",IF(AND($L113="Y",$P113="FULL",ISNUMBER(Items!M113),N(Items!M113)&lt;&gt;1),"CHECK: dutiable share entered, but the rate taxes the full value",IF(AND($L113="Y",$Q113+0.0000001&lt;$T113*$S113+$U113),"CHECK: current rate is below the duty being replaced or displaced",IF(AND($L113="Y",$AD113=0),"NOTE: in scope, no quantity",IF(AND($L113="Y",$AF113="N"),"NOTE: in scope, no sell price (left out of margin %)",IF(AND($L113="Y",N(Items!H113)&gt;N(Items!K113)),"NOTE: customs value above standard cost (check unit of measure)",IF(AND($L113="Y",$Q113&gt;1),"NOTE: current rate above 100% (check it was entered as a percentage)","OK")))))))))))))))))))))))</f>
        <v/>
      </c>
      <c r="AK113" s="20">
        <f>IF($A113="","",IF(AND($L113="Y",$AE113&lt;&gt;0),ABS($AE113)+ROW()/1000000000,""))</f>
        <v/>
      </c>
      <c r="AL113" s="10">
        <f>IF($A113="","",UPPER($A113)&amp;"/"&amp;UPPER(TRIM(CLEAN(SUBSTITUTE(Items!C113&amp;""," "," ")))))</f>
        <v/>
      </c>
      <c r="AM113" s="13">
        <f>IF($A113="",0,SUMPRODUCT(MAX((scope_HTS&lt;&gt;"")*(LEFT($C113,LEN(scope_HTS))=scope_HTS)*(LEN(scope_HTS)*1000+ROW(scope_HTS)-4))))</f>
        <v/>
      </c>
      <c r="AN113" s="13">
        <f>IF($AM113=0,0,SUMPRODUCT((scope_HTS&lt;&gt;"")*(LEFT($C113,LEN(scope_HTS))=scope_HTS)*(LEN(scope_HTS)=INT($AM113/1000))))</f>
        <v/>
      </c>
      <c r="AO113" s="13">
        <f>IF($L113&lt;&gt;"Y",0,SUMPRODUCT(MAX(ISNUMBER(rate_Rate)*((UPPER(TRIM(CLEAN(SUBSTITUTE(rate_Group&amp;""," "," "))))="")+(UPPER(TRIM(CLEAN(SUBSTITUTE(rate_Group&amp;""," "," "))))=$N113)&gt;0)*((UPPER(TRIM(CLEAN(SUBSTITUTE(rate_COO&amp;""," "," "))))="")+(UPPER(TRIM(CLEAN(SUBSTITUTE(rate_COO&amp;""," "," "))))=$E113)&gt;0)*((UPPER(TRIM(CLEAN(SUBSTITUTE(rate_USMCA&amp;""," "," "))))="")+(UPPER(TRIM(CLEAN(SUBSTITUTE(rate_USMCA&amp;""," "," "))))=IF(UPPER(TRIM(CLEAN(SUBSTITUTE(Items!F113&amp;""," "," "))))="Y","Y","N"))&gt;0)*((1+(UPPER(TRIM(CLEAN(SUBSTITUTE(rate_Group&amp;""," "," "))))&lt;&gt;"")+2*(UPPER(TRIM(CLEAN(SUBSTITUTE(rate_USMCA&amp;""," "," "))))&lt;&gt;"")+4*(UPPER(TRIM(CLEAN(SUBSTITUTE(rate_COO&amp;""," "," "))))&lt;&gt;""))*100+ROW(rate_Rate)-4))))</f>
        <v/>
      </c>
      <c r="AP113" s="13">
        <f>IF($AO113=0,0,SUMPRODUCT(ISNUMBER(rate_Rate)*((UPPER(TRIM(CLEAN(SUBSTITUTE(rate_Group&amp;""," "," "))))="")+(UPPER(TRIM(CLEAN(SUBSTITUTE(rate_Group&amp;""," "," "))))=$N113)&gt;0)*((UPPER(TRIM(CLEAN(SUBSTITUTE(rate_COO&amp;""," "," "))))="")+(UPPER(TRIM(CLEAN(SUBSTITUTE(rate_COO&amp;""," "," "))))=$E113)&gt;0)*((UPPER(TRIM(CLEAN(SUBSTITUTE(rate_USMCA&amp;""," "," "))))="")+(UPPER(TRIM(CLEAN(SUBSTITUTE(rate_USMCA&amp;""," "," "))))=IF(UPPER(TRIM(CLEAN(SUBSTITUTE(Items!F113&amp;""," "," "))))="Y","Y","N"))&gt;0)*((1+(UPPER(TRIM(CLEAN(SUBSTITUTE(rate_Group&amp;""," "," "))))&lt;&gt;"")+2*(UPPER(TRIM(CLEAN(SUBSTITUTE(rate_USMCA&amp;""," "," "))))&lt;&gt;"")+4*(UPPER(TRIM(CLEAN(SUBSTITUTE(rate_COO&amp;""," "," "))))&lt;&gt;""))=INT($AO113/100))))</f>
        <v/>
      </c>
      <c r="AQ113" s="13">
        <f>IF($A113="",0,IFERROR(MATCH($AL113,det_Key,0),0))</f>
        <v/>
      </c>
    </row>
    <row r="114">
      <c r="A114" s="10">
        <f>IF(TRIM(CLEAN(SUBSTITUTE(Items!A114&amp;""," "," ")))="","",TRIM(CLEAN(SUBSTITUTE(Items!A114&amp;""," "," "))))</f>
        <v/>
      </c>
      <c r="B114" s="10">
        <f>IF($A114="","",Items!B114&amp;"")</f>
        <v/>
      </c>
      <c r="C114" s="10">
        <f>IF($A114="","",SUBSTITUTE(SUBSTITUTE(SUBSTITUTE(SUBSTITUTE(CLEAN(Items!D114&amp;"")," ",""),".","")," ",""),"-",""))</f>
        <v/>
      </c>
      <c r="D114" s="10">
        <f>IF($A114="","",LEFT($C114,2))</f>
        <v/>
      </c>
      <c r="E114" s="10">
        <f>IF($A114="","",UPPER(TRIM(CLEAN(SUBSTITUTE(Items!E114&amp;""," "," ")))))</f>
        <v/>
      </c>
      <c r="F114" s="10">
        <f>IF($A114="","",IF(UPPER(TRIM(CLEAN(SUBSTITUTE(Items!C114&amp;""," "," "))))=UPPER(TRIM(CLEAN(SUBSTITUTE(act_Country&amp;""," "," ")))),"Y","N"))</f>
        <v/>
      </c>
      <c r="G114" s="10">
        <f>IF($A114="","",IF($AM114&gt;0,"Y","N"))</f>
        <v/>
      </c>
      <c r="H114" s="10">
        <f>IF($A114="","",IF(SUMPRODUCT((excl_HTS&lt;&gt;"")*(LEFT($C114,LEN(excl_HTS))=excl_HTS))&gt;0,"Y","N"))</f>
        <v/>
      </c>
      <c r="I114" s="10">
        <f>IF($A114="","",IF($E114="","N",IF(SUMPRODUCT(--(UPPER(TRIM(CLEAN(SUBSTITUTE(scope_COO&amp;""," "," "))))=$E114))&gt;0,"Y","N")))</f>
        <v/>
      </c>
      <c r="J114" s="10">
        <f>IF($A114="","",IF(AND(UPPER(TRIM(CLEAN(SUBSTITUTE(act_USMCAExempt&amp;""," "," "))))="Y",UPPER(TRIM(CLEAN(SUBSTITUTE(Items!F114&amp;""," "," "))))="Y"),"Y","N"))</f>
        <v/>
      </c>
      <c r="K114" s="10">
        <f>IF($A114="","",IF($AQ114=0,"",UPPER(TRIM(CLEAN(SUBSTITUTE(INDEX(det_Status,$AQ114)&amp;""," "," "))))))</f>
        <v/>
      </c>
      <c r="L114" s="10">
        <f>IF($A114="","",IF($F114="N","N",IF($K114="IN","Y",IF($K114="OUT","N",IF(AND($G114="Y",$H114="N",$I114="Y",$J114="N"),"Y","N")))))</f>
        <v/>
      </c>
      <c r="M114" s="10">
        <f>IF($A114="","",IF($F114="N","Out: different import country",IF($K114="IN","In: Research determination",IF($K114="OUT","Out: Research determination",IF($G114="N","Out: HTS not on scope list",IF($H114="Y","Out: HTS on exclusion list",IF($I114="N","Out: origin not on scope list",IF($J114="Y","Out: USMCA-qualifying, exempt","In: matches scope rules"))))))))</f>
        <v/>
      </c>
      <c r="N114" s="10">
        <f>IF(OR($A114="",$AM114=0),"",UPPER(TRIM(CLEAN(SUBSTITUTE(INDEX(scope_Group,MOD($AM114,1000))&amp;""," "," ")))))</f>
        <v/>
      </c>
      <c r="O114" s="10">
        <f>IF($L114&lt;&gt;"Y","",IF($AO114=0,"Default (B15)",UPPER(TRIM(CLEAN(SUBSTITUTE(INDEX(rate_ID,MOD($AO114,100))&amp;""," "," "))))))</f>
        <v/>
      </c>
      <c r="P114" s="10">
        <f>IF($L114&lt;&gt;"Y","",IF($AO114=0,IF(UPPER(TRIM(CLEAN(SUBSTITUTE(act_DefaultBase&amp;""," "," "))))="PART","PART","FULL"),IF(UPPER(TRIM(CLEAN(SUBSTITUTE(INDEX(rate_Base,MOD($AO114,100))&amp;""," "," "))))="PART","PART","FULL")))</f>
        <v/>
      </c>
      <c r="Q114" s="17">
        <f>IF($A114="","",N(Items!J114))</f>
        <v/>
      </c>
      <c r="R114" s="17">
        <f>IF($A114="","",IF($L114&lt;&gt;"Y",0,IF($AO114=0,N(act_Rate),N(INDEX(rate_Rate,MOD($AO114,100))))))</f>
        <v/>
      </c>
      <c r="S114" s="17">
        <f>IF($A114="","",IF($L114&lt;&gt;"Y",0,IF($AO114=0,IF(UPPER(TRIM(CLEAN(SUBSTITUTE(act_RateType&amp;""," "," "))))="REPLACE",N(act_PriorRate),0),IF(ISNUMBER(INDEX(rate_Prior,MOD($AO114,100))),INDEX(rate_Prior,MOD($AO114,100)),IF(UPPER(TRIM(CLEAN(SUBSTITUTE(act_RateType&amp;""," "," "))))="REPLACE",N(act_PriorRate),0)))))</f>
        <v/>
      </c>
      <c r="T114" s="17">
        <f>IF($A114="","",IF(AND($L114="Y",$P114="PART",ISNUMBER(Items!M114)),Items!M114,1))</f>
        <v/>
      </c>
      <c r="U114" s="17">
        <f>IF($A114="","",IF($L114&lt;&gt;"Y",0,IF($AQ114&gt;0,IF(ISNUMBER(INDEX(det_Displaced,$AQ114)),INDEX(det_Displaced,$AQ114),IF($AO114=0,0,N(INDEX(rate_Displaced,MOD($AO114,100))))),IF($AO114=0,0,N(INDEX(rate_Displaced,MOD($AO114,100)))))))</f>
        <v/>
      </c>
      <c r="V114" s="17">
        <f>IF($A114="","",IF($L114="Y",$Q114+$T114*($R114-$S114)-$U114,$Q114))</f>
        <v/>
      </c>
      <c r="W114" s="18">
        <f>IF($A114="","",N(Items!H114)*$Q114)</f>
        <v/>
      </c>
      <c r="X114" s="18">
        <f>IF($A114="","",N(Items!H114)*$V114)</f>
        <v/>
      </c>
      <c r="Y114" s="18">
        <f>IF($A114="","",$X114-$W114)</f>
        <v/>
      </c>
      <c r="Z114" s="18">
        <f>IF($A114="","",N(Items!K114)+$Y114)</f>
        <v/>
      </c>
      <c r="AA114" s="17">
        <f>IF($A114="","",IF(N(Items!L114)=0,"",(N(Items!L114)-N(Items!K114))/N(Items!L114)))</f>
        <v/>
      </c>
      <c r="AB114" s="17">
        <f>IF($A114="","",IF(N(Items!L114)=0,"",(N(Items!L114)-$Z114)/N(Items!L114)))</f>
        <v/>
      </c>
      <c r="AC114" s="17">
        <f>IF(OR($AA114="",$AB114=""),"",$AB114-$AA114)</f>
        <v/>
      </c>
      <c r="AD114" s="13">
        <f>IF($A114="","",N(Items!I114))</f>
        <v/>
      </c>
      <c r="AE114" s="19">
        <f>IF($A114="","",$Y114*$AD114)</f>
        <v/>
      </c>
      <c r="AF114" s="10">
        <f>IF($A114="","",IF(N(Items!L114)&gt;0,"Y","N"))</f>
        <v/>
      </c>
      <c r="AG114" s="19">
        <f>IF($A114="","",IF($AF114="Y",N(Items!L114)*$AD114,0))</f>
        <v/>
      </c>
      <c r="AH114" s="19">
        <f>IF($A114="","",IF($AF114="Y",(N(Items!L114)-N(Items!K114))*$AD114,0))</f>
        <v/>
      </c>
      <c r="AI114" s="19">
        <f>IF($A114="","",IF($AF114="Y",$AH114-$AE114,0))</f>
        <v/>
      </c>
      <c r="AJ114" s="10">
        <f>IF($A114="","",IF(COUNTIF($AL$5:$AL$254,$AL114)&gt;1,"CHECK: duplicate item and import country",IF(TRIM(CLEAN(SUBSTITUTE(Items!C114&amp;""," "," ")))="","CHECK: import country missing",IF(AND(UPPER(TRIM(CLEAN(SUBSTITUTE(Items!C114&amp;""," "," "))))&lt;&gt;"US",UPPER(TRIM(CLEAN(SUBSTITUTE(Items!C114&amp;""," "," "))))&lt;&gt;"CA",UPPER(TRIM(CLEAN(SUBSTITUTE(Items!C114&amp;""," "," "))))&lt;&gt;"MX"),"CHECK: import country must be US, CA or MX",IF(NOT(AND(LEN($C114)=10,IFERROR(TEXT(VALUE($C114),REPT("0",LEN($C114)))=$C114,FALSE))),"CHECK: HTS must be 10 digits",IF(LEN($E114)&lt;&gt;2,"CHECK: origin code missing or not 2 letters",IF(TRIM(CLEAN(SUBSTITUTE(Items!G114&amp;""," "," ")))="","CHECK: unit of measure missing",IF(OR(Items!H114="",Items!J114="",Items!K114=""),"CHECK: value, rate or cost missing",IF(OR(NOT(ISNUMBER(Items!H114)),NOT(ISNUMBER(Items!J114)),NOT(ISNUMBER(Items!K114)),AND(Items!I114&lt;&gt;"",NOT(ISNUMBER(Items!I114))),AND(Items!L114&lt;&gt;"",NOT(ISNUMBER(Items!L114))),AND(Items!M114&lt;&gt;"",NOT(ISNUMBER(Items!M114)))),"CHECK: text in a number column",IF(AND(ISNUMBER(Items!M114),OR(N(Items!M114)&lt;0,N(Items!M114)&gt;1)),"CHECK: dutiable share must be 0% to 100%",IF(AND(UPPER(TRIM(CLEAN(SUBSTITUTE(Items!F114&amp;""," "," "))))&lt;&gt;"",UPPER(TRIM(CLEAN(SUBSTITUTE(Items!F114&amp;""," "," "))))&lt;&gt;"Y",UPPER(TRIM(CLEAN(SUBSTITUTE(Items!F114&amp;""," "," "))))&lt;&gt;"N"),"CHECK: USMCA flag must be Y, N or blank",IF(AND(UPPER(TRIM(CLEAN(SUBSTITUTE(Items!F114&amp;""," "," "))))="Y",$E114&lt;&gt;"US",$E114&lt;&gt;"CA",$E114&lt;&gt;"MX"),"CHECK: USMCA flag on an origin other than US, CA or MX",IF(AND($L114="Y",$AO114=0,NOT(ISNUMBER(act_Rate))),"CHECK: in scope but no rate (add a rate line or B15)",IF(AND($L114="Y",UPPER(TRIM(CLEAN(SUBSTITUTE(act_RateType&amp;""," "," "))))="REPLACE",NOT(ISNUMBER(act_PriorRate)),IF($AO114=0,TRUE,NOT(ISNUMBER(INDEX(rate_Prior,MOD($AO114,100)))))),"CHECK: REPLACE but no earlier rate (B17 or the rate line's AD)",IF(AND($L114="Y",$AP114&gt;1),"CHECK: two rate lines match equally",IF(AND($L114="Y",$AN114&gt;1),"CHECK: HTS prefix listed twice on the scope list",IF(AND($L114="Y",$P114="PART",NOT(ISNUMBER(Items!M114))),"CHECK: dutiable share missing (PART base)",IF(AND($L114="Y",$P114="FULL",ISNUMBER(Items!M114),N(Items!M114)&lt;&gt;1),"CHECK: dutiable share entered, but the rate taxes the full value",IF(AND($L114="Y",$Q114+0.0000001&lt;$T114*$S114+$U114),"CHECK: current rate is below the duty being replaced or displaced",IF(AND($L114="Y",$AD114=0),"NOTE: in scope, no quantity",IF(AND($L114="Y",$AF114="N"),"NOTE: in scope, no sell price (left out of margin %)",IF(AND($L114="Y",N(Items!H114)&gt;N(Items!K114)),"NOTE: customs value above standard cost (check unit of measure)",IF(AND($L114="Y",$Q114&gt;1),"NOTE: current rate above 100% (check it was entered as a percentage)","OK")))))))))))))))))))))))</f>
        <v/>
      </c>
      <c r="AK114" s="20">
        <f>IF($A114="","",IF(AND($L114="Y",$AE114&lt;&gt;0),ABS($AE114)+ROW()/1000000000,""))</f>
        <v/>
      </c>
      <c r="AL114" s="10">
        <f>IF($A114="","",UPPER($A114)&amp;"/"&amp;UPPER(TRIM(CLEAN(SUBSTITUTE(Items!C114&amp;""," "," ")))))</f>
        <v/>
      </c>
      <c r="AM114" s="13">
        <f>IF($A114="",0,SUMPRODUCT(MAX((scope_HTS&lt;&gt;"")*(LEFT($C114,LEN(scope_HTS))=scope_HTS)*(LEN(scope_HTS)*1000+ROW(scope_HTS)-4))))</f>
        <v/>
      </c>
      <c r="AN114" s="13">
        <f>IF($AM114=0,0,SUMPRODUCT((scope_HTS&lt;&gt;"")*(LEFT($C114,LEN(scope_HTS))=scope_HTS)*(LEN(scope_HTS)=INT($AM114/1000))))</f>
        <v/>
      </c>
      <c r="AO114" s="13">
        <f>IF($L114&lt;&gt;"Y",0,SUMPRODUCT(MAX(ISNUMBER(rate_Rate)*((UPPER(TRIM(CLEAN(SUBSTITUTE(rate_Group&amp;""," "," "))))="")+(UPPER(TRIM(CLEAN(SUBSTITUTE(rate_Group&amp;""," "," "))))=$N114)&gt;0)*((UPPER(TRIM(CLEAN(SUBSTITUTE(rate_COO&amp;""," "," "))))="")+(UPPER(TRIM(CLEAN(SUBSTITUTE(rate_COO&amp;""," "," "))))=$E114)&gt;0)*((UPPER(TRIM(CLEAN(SUBSTITUTE(rate_USMCA&amp;""," "," "))))="")+(UPPER(TRIM(CLEAN(SUBSTITUTE(rate_USMCA&amp;""," "," "))))=IF(UPPER(TRIM(CLEAN(SUBSTITUTE(Items!F114&amp;""," "," "))))="Y","Y","N"))&gt;0)*((1+(UPPER(TRIM(CLEAN(SUBSTITUTE(rate_Group&amp;""," "," "))))&lt;&gt;"")+2*(UPPER(TRIM(CLEAN(SUBSTITUTE(rate_USMCA&amp;""," "," "))))&lt;&gt;"")+4*(UPPER(TRIM(CLEAN(SUBSTITUTE(rate_COO&amp;""," "," "))))&lt;&gt;""))*100+ROW(rate_Rate)-4))))</f>
        <v/>
      </c>
      <c r="AP114" s="13">
        <f>IF($AO114=0,0,SUMPRODUCT(ISNUMBER(rate_Rate)*((UPPER(TRIM(CLEAN(SUBSTITUTE(rate_Group&amp;""," "," "))))="")+(UPPER(TRIM(CLEAN(SUBSTITUTE(rate_Group&amp;""," "," "))))=$N114)&gt;0)*((UPPER(TRIM(CLEAN(SUBSTITUTE(rate_COO&amp;""," "," "))))="")+(UPPER(TRIM(CLEAN(SUBSTITUTE(rate_COO&amp;""," "," "))))=$E114)&gt;0)*((UPPER(TRIM(CLEAN(SUBSTITUTE(rate_USMCA&amp;""," "," "))))="")+(UPPER(TRIM(CLEAN(SUBSTITUTE(rate_USMCA&amp;""," "," "))))=IF(UPPER(TRIM(CLEAN(SUBSTITUTE(Items!F114&amp;""," "," "))))="Y","Y","N"))&gt;0)*((1+(UPPER(TRIM(CLEAN(SUBSTITUTE(rate_Group&amp;""," "," "))))&lt;&gt;"")+2*(UPPER(TRIM(CLEAN(SUBSTITUTE(rate_USMCA&amp;""," "," "))))&lt;&gt;"")+4*(UPPER(TRIM(CLEAN(SUBSTITUTE(rate_COO&amp;""," "," "))))&lt;&gt;""))=INT($AO114/100))))</f>
        <v/>
      </c>
      <c r="AQ114" s="13">
        <f>IF($A114="",0,IFERROR(MATCH($AL114,det_Key,0),0))</f>
        <v/>
      </c>
    </row>
    <row r="115">
      <c r="A115" s="10">
        <f>IF(TRIM(CLEAN(SUBSTITUTE(Items!A115&amp;""," "," ")))="","",TRIM(CLEAN(SUBSTITUTE(Items!A115&amp;""," "," "))))</f>
        <v/>
      </c>
      <c r="B115" s="10">
        <f>IF($A115="","",Items!B115&amp;"")</f>
        <v/>
      </c>
      <c r="C115" s="10">
        <f>IF($A115="","",SUBSTITUTE(SUBSTITUTE(SUBSTITUTE(SUBSTITUTE(CLEAN(Items!D115&amp;"")," ",""),".","")," ",""),"-",""))</f>
        <v/>
      </c>
      <c r="D115" s="10">
        <f>IF($A115="","",LEFT($C115,2))</f>
        <v/>
      </c>
      <c r="E115" s="10">
        <f>IF($A115="","",UPPER(TRIM(CLEAN(SUBSTITUTE(Items!E115&amp;""," "," ")))))</f>
        <v/>
      </c>
      <c r="F115" s="10">
        <f>IF($A115="","",IF(UPPER(TRIM(CLEAN(SUBSTITUTE(Items!C115&amp;""," "," "))))=UPPER(TRIM(CLEAN(SUBSTITUTE(act_Country&amp;""," "," ")))),"Y","N"))</f>
        <v/>
      </c>
      <c r="G115" s="10">
        <f>IF($A115="","",IF($AM115&gt;0,"Y","N"))</f>
        <v/>
      </c>
      <c r="H115" s="10">
        <f>IF($A115="","",IF(SUMPRODUCT((excl_HTS&lt;&gt;"")*(LEFT($C115,LEN(excl_HTS))=excl_HTS))&gt;0,"Y","N"))</f>
        <v/>
      </c>
      <c r="I115" s="10">
        <f>IF($A115="","",IF($E115="","N",IF(SUMPRODUCT(--(UPPER(TRIM(CLEAN(SUBSTITUTE(scope_COO&amp;""," "," "))))=$E115))&gt;0,"Y","N")))</f>
        <v/>
      </c>
      <c r="J115" s="10">
        <f>IF($A115="","",IF(AND(UPPER(TRIM(CLEAN(SUBSTITUTE(act_USMCAExempt&amp;""," "," "))))="Y",UPPER(TRIM(CLEAN(SUBSTITUTE(Items!F115&amp;""," "," "))))="Y"),"Y","N"))</f>
        <v/>
      </c>
      <c r="K115" s="10">
        <f>IF($A115="","",IF($AQ115=0,"",UPPER(TRIM(CLEAN(SUBSTITUTE(INDEX(det_Status,$AQ115)&amp;""," "," "))))))</f>
        <v/>
      </c>
      <c r="L115" s="10">
        <f>IF($A115="","",IF($F115="N","N",IF($K115="IN","Y",IF($K115="OUT","N",IF(AND($G115="Y",$H115="N",$I115="Y",$J115="N"),"Y","N")))))</f>
        <v/>
      </c>
      <c r="M115" s="10">
        <f>IF($A115="","",IF($F115="N","Out: different import country",IF($K115="IN","In: Research determination",IF($K115="OUT","Out: Research determination",IF($G115="N","Out: HTS not on scope list",IF($H115="Y","Out: HTS on exclusion list",IF($I115="N","Out: origin not on scope list",IF($J115="Y","Out: USMCA-qualifying, exempt","In: matches scope rules"))))))))</f>
        <v/>
      </c>
      <c r="N115" s="10">
        <f>IF(OR($A115="",$AM115=0),"",UPPER(TRIM(CLEAN(SUBSTITUTE(INDEX(scope_Group,MOD($AM115,1000))&amp;""," "," ")))))</f>
        <v/>
      </c>
      <c r="O115" s="10">
        <f>IF($L115&lt;&gt;"Y","",IF($AO115=0,"Default (B15)",UPPER(TRIM(CLEAN(SUBSTITUTE(INDEX(rate_ID,MOD($AO115,100))&amp;""," "," "))))))</f>
        <v/>
      </c>
      <c r="P115" s="10">
        <f>IF($L115&lt;&gt;"Y","",IF($AO115=0,IF(UPPER(TRIM(CLEAN(SUBSTITUTE(act_DefaultBase&amp;""," "," "))))="PART","PART","FULL"),IF(UPPER(TRIM(CLEAN(SUBSTITUTE(INDEX(rate_Base,MOD($AO115,100))&amp;""," "," "))))="PART","PART","FULL")))</f>
        <v/>
      </c>
      <c r="Q115" s="17">
        <f>IF($A115="","",N(Items!J115))</f>
        <v/>
      </c>
      <c r="R115" s="17">
        <f>IF($A115="","",IF($L115&lt;&gt;"Y",0,IF($AO115=0,N(act_Rate),N(INDEX(rate_Rate,MOD($AO115,100))))))</f>
        <v/>
      </c>
      <c r="S115" s="17">
        <f>IF($A115="","",IF($L115&lt;&gt;"Y",0,IF($AO115=0,IF(UPPER(TRIM(CLEAN(SUBSTITUTE(act_RateType&amp;""," "," "))))="REPLACE",N(act_PriorRate),0),IF(ISNUMBER(INDEX(rate_Prior,MOD($AO115,100))),INDEX(rate_Prior,MOD($AO115,100)),IF(UPPER(TRIM(CLEAN(SUBSTITUTE(act_RateType&amp;""," "," "))))="REPLACE",N(act_PriorRate),0)))))</f>
        <v/>
      </c>
      <c r="T115" s="17">
        <f>IF($A115="","",IF(AND($L115="Y",$P115="PART",ISNUMBER(Items!M115)),Items!M115,1))</f>
        <v/>
      </c>
      <c r="U115" s="17">
        <f>IF($A115="","",IF($L115&lt;&gt;"Y",0,IF($AQ115&gt;0,IF(ISNUMBER(INDEX(det_Displaced,$AQ115)),INDEX(det_Displaced,$AQ115),IF($AO115=0,0,N(INDEX(rate_Displaced,MOD($AO115,100))))),IF($AO115=0,0,N(INDEX(rate_Displaced,MOD($AO115,100)))))))</f>
        <v/>
      </c>
      <c r="V115" s="17">
        <f>IF($A115="","",IF($L115="Y",$Q115+$T115*($R115-$S115)-$U115,$Q115))</f>
        <v/>
      </c>
      <c r="W115" s="18">
        <f>IF($A115="","",N(Items!H115)*$Q115)</f>
        <v/>
      </c>
      <c r="X115" s="18">
        <f>IF($A115="","",N(Items!H115)*$V115)</f>
        <v/>
      </c>
      <c r="Y115" s="18">
        <f>IF($A115="","",$X115-$W115)</f>
        <v/>
      </c>
      <c r="Z115" s="18">
        <f>IF($A115="","",N(Items!K115)+$Y115)</f>
        <v/>
      </c>
      <c r="AA115" s="17">
        <f>IF($A115="","",IF(N(Items!L115)=0,"",(N(Items!L115)-N(Items!K115))/N(Items!L115)))</f>
        <v/>
      </c>
      <c r="AB115" s="17">
        <f>IF($A115="","",IF(N(Items!L115)=0,"",(N(Items!L115)-$Z115)/N(Items!L115)))</f>
        <v/>
      </c>
      <c r="AC115" s="17">
        <f>IF(OR($AA115="",$AB115=""),"",$AB115-$AA115)</f>
        <v/>
      </c>
      <c r="AD115" s="13">
        <f>IF($A115="","",N(Items!I115))</f>
        <v/>
      </c>
      <c r="AE115" s="19">
        <f>IF($A115="","",$Y115*$AD115)</f>
        <v/>
      </c>
      <c r="AF115" s="10">
        <f>IF($A115="","",IF(N(Items!L115)&gt;0,"Y","N"))</f>
        <v/>
      </c>
      <c r="AG115" s="19">
        <f>IF($A115="","",IF($AF115="Y",N(Items!L115)*$AD115,0))</f>
        <v/>
      </c>
      <c r="AH115" s="19">
        <f>IF($A115="","",IF($AF115="Y",(N(Items!L115)-N(Items!K115))*$AD115,0))</f>
        <v/>
      </c>
      <c r="AI115" s="19">
        <f>IF($A115="","",IF($AF115="Y",$AH115-$AE115,0))</f>
        <v/>
      </c>
      <c r="AJ115" s="10">
        <f>IF($A115="","",IF(COUNTIF($AL$5:$AL$254,$AL115)&gt;1,"CHECK: duplicate item and import country",IF(TRIM(CLEAN(SUBSTITUTE(Items!C115&amp;""," "," ")))="","CHECK: import country missing",IF(AND(UPPER(TRIM(CLEAN(SUBSTITUTE(Items!C115&amp;""," "," "))))&lt;&gt;"US",UPPER(TRIM(CLEAN(SUBSTITUTE(Items!C115&amp;""," "," "))))&lt;&gt;"CA",UPPER(TRIM(CLEAN(SUBSTITUTE(Items!C115&amp;""," "," "))))&lt;&gt;"MX"),"CHECK: import country must be US, CA or MX",IF(NOT(AND(LEN($C115)=10,IFERROR(TEXT(VALUE($C115),REPT("0",LEN($C115)))=$C115,FALSE))),"CHECK: HTS must be 10 digits",IF(LEN($E115)&lt;&gt;2,"CHECK: origin code missing or not 2 letters",IF(TRIM(CLEAN(SUBSTITUTE(Items!G115&amp;""," "," ")))="","CHECK: unit of measure missing",IF(OR(Items!H115="",Items!J115="",Items!K115=""),"CHECK: value, rate or cost missing",IF(OR(NOT(ISNUMBER(Items!H115)),NOT(ISNUMBER(Items!J115)),NOT(ISNUMBER(Items!K115)),AND(Items!I115&lt;&gt;"",NOT(ISNUMBER(Items!I115))),AND(Items!L115&lt;&gt;"",NOT(ISNUMBER(Items!L115))),AND(Items!M115&lt;&gt;"",NOT(ISNUMBER(Items!M115)))),"CHECK: text in a number column",IF(AND(ISNUMBER(Items!M115),OR(N(Items!M115)&lt;0,N(Items!M115)&gt;1)),"CHECK: dutiable share must be 0% to 100%",IF(AND(UPPER(TRIM(CLEAN(SUBSTITUTE(Items!F115&amp;""," "," "))))&lt;&gt;"",UPPER(TRIM(CLEAN(SUBSTITUTE(Items!F115&amp;""," "," "))))&lt;&gt;"Y",UPPER(TRIM(CLEAN(SUBSTITUTE(Items!F115&amp;""," "," "))))&lt;&gt;"N"),"CHECK: USMCA flag must be Y, N or blank",IF(AND(UPPER(TRIM(CLEAN(SUBSTITUTE(Items!F115&amp;""," "," "))))="Y",$E115&lt;&gt;"US",$E115&lt;&gt;"CA",$E115&lt;&gt;"MX"),"CHECK: USMCA flag on an origin other than US, CA or MX",IF(AND($L115="Y",$AO115=0,NOT(ISNUMBER(act_Rate))),"CHECK: in scope but no rate (add a rate line or B15)",IF(AND($L115="Y",UPPER(TRIM(CLEAN(SUBSTITUTE(act_RateType&amp;""," "," "))))="REPLACE",NOT(ISNUMBER(act_PriorRate)),IF($AO115=0,TRUE,NOT(ISNUMBER(INDEX(rate_Prior,MOD($AO115,100)))))),"CHECK: REPLACE but no earlier rate (B17 or the rate line's AD)",IF(AND($L115="Y",$AP115&gt;1),"CHECK: two rate lines match equally",IF(AND($L115="Y",$AN115&gt;1),"CHECK: HTS prefix listed twice on the scope list",IF(AND($L115="Y",$P115="PART",NOT(ISNUMBER(Items!M115))),"CHECK: dutiable share missing (PART base)",IF(AND($L115="Y",$P115="FULL",ISNUMBER(Items!M115),N(Items!M115)&lt;&gt;1),"CHECK: dutiable share entered, but the rate taxes the full value",IF(AND($L115="Y",$Q115+0.0000001&lt;$T115*$S115+$U115),"CHECK: current rate is below the duty being replaced or displaced",IF(AND($L115="Y",$AD115=0),"NOTE: in scope, no quantity",IF(AND($L115="Y",$AF115="N"),"NOTE: in scope, no sell price (left out of margin %)",IF(AND($L115="Y",N(Items!H115)&gt;N(Items!K115)),"NOTE: customs value above standard cost (check unit of measure)",IF(AND($L115="Y",$Q115&gt;1),"NOTE: current rate above 100% (check it was entered as a percentage)","OK")))))))))))))))))))))))</f>
        <v/>
      </c>
      <c r="AK115" s="20">
        <f>IF($A115="","",IF(AND($L115="Y",$AE115&lt;&gt;0),ABS($AE115)+ROW()/1000000000,""))</f>
        <v/>
      </c>
      <c r="AL115" s="10">
        <f>IF($A115="","",UPPER($A115)&amp;"/"&amp;UPPER(TRIM(CLEAN(SUBSTITUTE(Items!C115&amp;""," "," ")))))</f>
        <v/>
      </c>
      <c r="AM115" s="13">
        <f>IF($A115="",0,SUMPRODUCT(MAX((scope_HTS&lt;&gt;"")*(LEFT($C115,LEN(scope_HTS))=scope_HTS)*(LEN(scope_HTS)*1000+ROW(scope_HTS)-4))))</f>
        <v/>
      </c>
      <c r="AN115" s="13">
        <f>IF($AM115=0,0,SUMPRODUCT((scope_HTS&lt;&gt;"")*(LEFT($C115,LEN(scope_HTS))=scope_HTS)*(LEN(scope_HTS)=INT($AM115/1000))))</f>
        <v/>
      </c>
      <c r="AO115" s="13">
        <f>IF($L115&lt;&gt;"Y",0,SUMPRODUCT(MAX(ISNUMBER(rate_Rate)*((UPPER(TRIM(CLEAN(SUBSTITUTE(rate_Group&amp;""," "," "))))="")+(UPPER(TRIM(CLEAN(SUBSTITUTE(rate_Group&amp;""," "," "))))=$N115)&gt;0)*((UPPER(TRIM(CLEAN(SUBSTITUTE(rate_COO&amp;""," "," "))))="")+(UPPER(TRIM(CLEAN(SUBSTITUTE(rate_COO&amp;""," "," "))))=$E115)&gt;0)*((UPPER(TRIM(CLEAN(SUBSTITUTE(rate_USMCA&amp;""," "," "))))="")+(UPPER(TRIM(CLEAN(SUBSTITUTE(rate_USMCA&amp;""," "," "))))=IF(UPPER(TRIM(CLEAN(SUBSTITUTE(Items!F115&amp;""," "," "))))="Y","Y","N"))&gt;0)*((1+(UPPER(TRIM(CLEAN(SUBSTITUTE(rate_Group&amp;""," "," "))))&lt;&gt;"")+2*(UPPER(TRIM(CLEAN(SUBSTITUTE(rate_USMCA&amp;""," "," "))))&lt;&gt;"")+4*(UPPER(TRIM(CLEAN(SUBSTITUTE(rate_COO&amp;""," "," "))))&lt;&gt;""))*100+ROW(rate_Rate)-4))))</f>
        <v/>
      </c>
      <c r="AP115" s="13">
        <f>IF($AO115=0,0,SUMPRODUCT(ISNUMBER(rate_Rate)*((UPPER(TRIM(CLEAN(SUBSTITUTE(rate_Group&amp;""," "," "))))="")+(UPPER(TRIM(CLEAN(SUBSTITUTE(rate_Group&amp;""," "," "))))=$N115)&gt;0)*((UPPER(TRIM(CLEAN(SUBSTITUTE(rate_COO&amp;""," "," "))))="")+(UPPER(TRIM(CLEAN(SUBSTITUTE(rate_COO&amp;""," "," "))))=$E115)&gt;0)*((UPPER(TRIM(CLEAN(SUBSTITUTE(rate_USMCA&amp;""," "," "))))="")+(UPPER(TRIM(CLEAN(SUBSTITUTE(rate_USMCA&amp;""," "," "))))=IF(UPPER(TRIM(CLEAN(SUBSTITUTE(Items!F115&amp;""," "," "))))="Y","Y","N"))&gt;0)*((1+(UPPER(TRIM(CLEAN(SUBSTITUTE(rate_Group&amp;""," "," "))))&lt;&gt;"")+2*(UPPER(TRIM(CLEAN(SUBSTITUTE(rate_USMCA&amp;""," "," "))))&lt;&gt;"")+4*(UPPER(TRIM(CLEAN(SUBSTITUTE(rate_COO&amp;""," "," "))))&lt;&gt;""))=INT($AO115/100))))</f>
        <v/>
      </c>
      <c r="AQ115" s="13">
        <f>IF($A115="",0,IFERROR(MATCH($AL115,det_Key,0),0))</f>
        <v/>
      </c>
    </row>
    <row r="116">
      <c r="A116" s="10">
        <f>IF(TRIM(CLEAN(SUBSTITUTE(Items!A116&amp;""," "," ")))="","",TRIM(CLEAN(SUBSTITUTE(Items!A116&amp;""," "," "))))</f>
        <v/>
      </c>
      <c r="B116" s="10">
        <f>IF($A116="","",Items!B116&amp;"")</f>
        <v/>
      </c>
      <c r="C116" s="10">
        <f>IF($A116="","",SUBSTITUTE(SUBSTITUTE(SUBSTITUTE(SUBSTITUTE(CLEAN(Items!D116&amp;"")," ",""),".","")," ",""),"-",""))</f>
        <v/>
      </c>
      <c r="D116" s="10">
        <f>IF($A116="","",LEFT($C116,2))</f>
        <v/>
      </c>
      <c r="E116" s="10">
        <f>IF($A116="","",UPPER(TRIM(CLEAN(SUBSTITUTE(Items!E116&amp;""," "," ")))))</f>
        <v/>
      </c>
      <c r="F116" s="10">
        <f>IF($A116="","",IF(UPPER(TRIM(CLEAN(SUBSTITUTE(Items!C116&amp;""," "," "))))=UPPER(TRIM(CLEAN(SUBSTITUTE(act_Country&amp;""," "," ")))),"Y","N"))</f>
        <v/>
      </c>
      <c r="G116" s="10">
        <f>IF($A116="","",IF($AM116&gt;0,"Y","N"))</f>
        <v/>
      </c>
      <c r="H116" s="10">
        <f>IF($A116="","",IF(SUMPRODUCT((excl_HTS&lt;&gt;"")*(LEFT($C116,LEN(excl_HTS))=excl_HTS))&gt;0,"Y","N"))</f>
        <v/>
      </c>
      <c r="I116" s="10">
        <f>IF($A116="","",IF($E116="","N",IF(SUMPRODUCT(--(UPPER(TRIM(CLEAN(SUBSTITUTE(scope_COO&amp;""," "," "))))=$E116))&gt;0,"Y","N")))</f>
        <v/>
      </c>
      <c r="J116" s="10">
        <f>IF($A116="","",IF(AND(UPPER(TRIM(CLEAN(SUBSTITUTE(act_USMCAExempt&amp;""," "," "))))="Y",UPPER(TRIM(CLEAN(SUBSTITUTE(Items!F116&amp;""," "," "))))="Y"),"Y","N"))</f>
        <v/>
      </c>
      <c r="K116" s="10">
        <f>IF($A116="","",IF($AQ116=0,"",UPPER(TRIM(CLEAN(SUBSTITUTE(INDEX(det_Status,$AQ116)&amp;""," "," "))))))</f>
        <v/>
      </c>
      <c r="L116" s="10">
        <f>IF($A116="","",IF($F116="N","N",IF($K116="IN","Y",IF($K116="OUT","N",IF(AND($G116="Y",$H116="N",$I116="Y",$J116="N"),"Y","N")))))</f>
        <v/>
      </c>
      <c r="M116" s="10">
        <f>IF($A116="","",IF($F116="N","Out: different import country",IF($K116="IN","In: Research determination",IF($K116="OUT","Out: Research determination",IF($G116="N","Out: HTS not on scope list",IF($H116="Y","Out: HTS on exclusion list",IF($I116="N","Out: origin not on scope list",IF($J116="Y","Out: USMCA-qualifying, exempt","In: matches scope rules"))))))))</f>
        <v/>
      </c>
      <c r="N116" s="10">
        <f>IF(OR($A116="",$AM116=0),"",UPPER(TRIM(CLEAN(SUBSTITUTE(INDEX(scope_Group,MOD($AM116,1000))&amp;""," "," ")))))</f>
        <v/>
      </c>
      <c r="O116" s="10">
        <f>IF($L116&lt;&gt;"Y","",IF($AO116=0,"Default (B15)",UPPER(TRIM(CLEAN(SUBSTITUTE(INDEX(rate_ID,MOD($AO116,100))&amp;""," "," "))))))</f>
        <v/>
      </c>
      <c r="P116" s="10">
        <f>IF($L116&lt;&gt;"Y","",IF($AO116=0,IF(UPPER(TRIM(CLEAN(SUBSTITUTE(act_DefaultBase&amp;""," "," "))))="PART","PART","FULL"),IF(UPPER(TRIM(CLEAN(SUBSTITUTE(INDEX(rate_Base,MOD($AO116,100))&amp;""," "," "))))="PART","PART","FULL")))</f>
        <v/>
      </c>
      <c r="Q116" s="17">
        <f>IF($A116="","",N(Items!J116))</f>
        <v/>
      </c>
      <c r="R116" s="17">
        <f>IF($A116="","",IF($L116&lt;&gt;"Y",0,IF($AO116=0,N(act_Rate),N(INDEX(rate_Rate,MOD($AO116,100))))))</f>
        <v/>
      </c>
      <c r="S116" s="17">
        <f>IF($A116="","",IF($L116&lt;&gt;"Y",0,IF($AO116=0,IF(UPPER(TRIM(CLEAN(SUBSTITUTE(act_RateType&amp;""," "," "))))="REPLACE",N(act_PriorRate),0),IF(ISNUMBER(INDEX(rate_Prior,MOD($AO116,100))),INDEX(rate_Prior,MOD($AO116,100)),IF(UPPER(TRIM(CLEAN(SUBSTITUTE(act_RateType&amp;""," "," "))))="REPLACE",N(act_PriorRate),0)))))</f>
        <v/>
      </c>
      <c r="T116" s="17">
        <f>IF($A116="","",IF(AND($L116="Y",$P116="PART",ISNUMBER(Items!M116)),Items!M116,1))</f>
        <v/>
      </c>
      <c r="U116" s="17">
        <f>IF($A116="","",IF($L116&lt;&gt;"Y",0,IF($AQ116&gt;0,IF(ISNUMBER(INDEX(det_Displaced,$AQ116)),INDEX(det_Displaced,$AQ116),IF($AO116=0,0,N(INDEX(rate_Displaced,MOD($AO116,100))))),IF($AO116=0,0,N(INDEX(rate_Displaced,MOD($AO116,100)))))))</f>
        <v/>
      </c>
      <c r="V116" s="17">
        <f>IF($A116="","",IF($L116="Y",$Q116+$T116*($R116-$S116)-$U116,$Q116))</f>
        <v/>
      </c>
      <c r="W116" s="18">
        <f>IF($A116="","",N(Items!H116)*$Q116)</f>
        <v/>
      </c>
      <c r="X116" s="18">
        <f>IF($A116="","",N(Items!H116)*$V116)</f>
        <v/>
      </c>
      <c r="Y116" s="18">
        <f>IF($A116="","",$X116-$W116)</f>
        <v/>
      </c>
      <c r="Z116" s="18">
        <f>IF($A116="","",N(Items!K116)+$Y116)</f>
        <v/>
      </c>
      <c r="AA116" s="17">
        <f>IF($A116="","",IF(N(Items!L116)=0,"",(N(Items!L116)-N(Items!K116))/N(Items!L116)))</f>
        <v/>
      </c>
      <c r="AB116" s="17">
        <f>IF($A116="","",IF(N(Items!L116)=0,"",(N(Items!L116)-$Z116)/N(Items!L116)))</f>
        <v/>
      </c>
      <c r="AC116" s="17">
        <f>IF(OR($AA116="",$AB116=""),"",$AB116-$AA116)</f>
        <v/>
      </c>
      <c r="AD116" s="13">
        <f>IF($A116="","",N(Items!I116))</f>
        <v/>
      </c>
      <c r="AE116" s="19">
        <f>IF($A116="","",$Y116*$AD116)</f>
        <v/>
      </c>
      <c r="AF116" s="10">
        <f>IF($A116="","",IF(N(Items!L116)&gt;0,"Y","N"))</f>
        <v/>
      </c>
      <c r="AG116" s="19">
        <f>IF($A116="","",IF($AF116="Y",N(Items!L116)*$AD116,0))</f>
        <v/>
      </c>
      <c r="AH116" s="19">
        <f>IF($A116="","",IF($AF116="Y",(N(Items!L116)-N(Items!K116))*$AD116,0))</f>
        <v/>
      </c>
      <c r="AI116" s="19">
        <f>IF($A116="","",IF($AF116="Y",$AH116-$AE116,0))</f>
        <v/>
      </c>
      <c r="AJ116" s="10">
        <f>IF($A116="","",IF(COUNTIF($AL$5:$AL$254,$AL116)&gt;1,"CHECK: duplicate item and import country",IF(TRIM(CLEAN(SUBSTITUTE(Items!C116&amp;""," "," ")))="","CHECK: import country missing",IF(AND(UPPER(TRIM(CLEAN(SUBSTITUTE(Items!C116&amp;""," "," "))))&lt;&gt;"US",UPPER(TRIM(CLEAN(SUBSTITUTE(Items!C116&amp;""," "," "))))&lt;&gt;"CA",UPPER(TRIM(CLEAN(SUBSTITUTE(Items!C116&amp;""," "," "))))&lt;&gt;"MX"),"CHECK: import country must be US, CA or MX",IF(NOT(AND(LEN($C116)=10,IFERROR(TEXT(VALUE($C116),REPT("0",LEN($C116)))=$C116,FALSE))),"CHECK: HTS must be 10 digits",IF(LEN($E116)&lt;&gt;2,"CHECK: origin code missing or not 2 letters",IF(TRIM(CLEAN(SUBSTITUTE(Items!G116&amp;""," "," ")))="","CHECK: unit of measure missing",IF(OR(Items!H116="",Items!J116="",Items!K116=""),"CHECK: value, rate or cost missing",IF(OR(NOT(ISNUMBER(Items!H116)),NOT(ISNUMBER(Items!J116)),NOT(ISNUMBER(Items!K116)),AND(Items!I116&lt;&gt;"",NOT(ISNUMBER(Items!I116))),AND(Items!L116&lt;&gt;"",NOT(ISNUMBER(Items!L116))),AND(Items!M116&lt;&gt;"",NOT(ISNUMBER(Items!M116)))),"CHECK: text in a number column",IF(AND(ISNUMBER(Items!M116),OR(N(Items!M116)&lt;0,N(Items!M116)&gt;1)),"CHECK: dutiable share must be 0% to 100%",IF(AND(UPPER(TRIM(CLEAN(SUBSTITUTE(Items!F116&amp;""," "," "))))&lt;&gt;"",UPPER(TRIM(CLEAN(SUBSTITUTE(Items!F116&amp;""," "," "))))&lt;&gt;"Y",UPPER(TRIM(CLEAN(SUBSTITUTE(Items!F116&amp;""," "," "))))&lt;&gt;"N"),"CHECK: USMCA flag must be Y, N or blank",IF(AND(UPPER(TRIM(CLEAN(SUBSTITUTE(Items!F116&amp;""," "," "))))="Y",$E116&lt;&gt;"US",$E116&lt;&gt;"CA",$E116&lt;&gt;"MX"),"CHECK: USMCA flag on an origin other than US, CA or MX",IF(AND($L116="Y",$AO116=0,NOT(ISNUMBER(act_Rate))),"CHECK: in scope but no rate (add a rate line or B15)",IF(AND($L116="Y",UPPER(TRIM(CLEAN(SUBSTITUTE(act_RateType&amp;""," "," "))))="REPLACE",NOT(ISNUMBER(act_PriorRate)),IF($AO116=0,TRUE,NOT(ISNUMBER(INDEX(rate_Prior,MOD($AO116,100)))))),"CHECK: REPLACE but no earlier rate (B17 or the rate line's AD)",IF(AND($L116="Y",$AP116&gt;1),"CHECK: two rate lines match equally",IF(AND($L116="Y",$AN116&gt;1),"CHECK: HTS prefix listed twice on the scope list",IF(AND($L116="Y",$P116="PART",NOT(ISNUMBER(Items!M116))),"CHECK: dutiable share missing (PART base)",IF(AND($L116="Y",$P116="FULL",ISNUMBER(Items!M116),N(Items!M116)&lt;&gt;1),"CHECK: dutiable share entered, but the rate taxes the full value",IF(AND($L116="Y",$Q116+0.0000001&lt;$T116*$S116+$U116),"CHECK: current rate is below the duty being replaced or displaced",IF(AND($L116="Y",$AD116=0),"NOTE: in scope, no quantity",IF(AND($L116="Y",$AF116="N"),"NOTE: in scope, no sell price (left out of margin %)",IF(AND($L116="Y",N(Items!H116)&gt;N(Items!K116)),"NOTE: customs value above standard cost (check unit of measure)",IF(AND($L116="Y",$Q116&gt;1),"NOTE: current rate above 100% (check it was entered as a percentage)","OK")))))))))))))))))))))))</f>
        <v/>
      </c>
      <c r="AK116" s="20">
        <f>IF($A116="","",IF(AND($L116="Y",$AE116&lt;&gt;0),ABS($AE116)+ROW()/1000000000,""))</f>
        <v/>
      </c>
      <c r="AL116" s="10">
        <f>IF($A116="","",UPPER($A116)&amp;"/"&amp;UPPER(TRIM(CLEAN(SUBSTITUTE(Items!C116&amp;""," "," ")))))</f>
        <v/>
      </c>
      <c r="AM116" s="13">
        <f>IF($A116="",0,SUMPRODUCT(MAX((scope_HTS&lt;&gt;"")*(LEFT($C116,LEN(scope_HTS))=scope_HTS)*(LEN(scope_HTS)*1000+ROW(scope_HTS)-4))))</f>
        <v/>
      </c>
      <c r="AN116" s="13">
        <f>IF($AM116=0,0,SUMPRODUCT((scope_HTS&lt;&gt;"")*(LEFT($C116,LEN(scope_HTS))=scope_HTS)*(LEN(scope_HTS)=INT($AM116/1000))))</f>
        <v/>
      </c>
      <c r="AO116" s="13">
        <f>IF($L116&lt;&gt;"Y",0,SUMPRODUCT(MAX(ISNUMBER(rate_Rate)*((UPPER(TRIM(CLEAN(SUBSTITUTE(rate_Group&amp;""," "," "))))="")+(UPPER(TRIM(CLEAN(SUBSTITUTE(rate_Group&amp;""," "," "))))=$N116)&gt;0)*((UPPER(TRIM(CLEAN(SUBSTITUTE(rate_COO&amp;""," "," "))))="")+(UPPER(TRIM(CLEAN(SUBSTITUTE(rate_COO&amp;""," "," "))))=$E116)&gt;0)*((UPPER(TRIM(CLEAN(SUBSTITUTE(rate_USMCA&amp;""," "," "))))="")+(UPPER(TRIM(CLEAN(SUBSTITUTE(rate_USMCA&amp;""," "," "))))=IF(UPPER(TRIM(CLEAN(SUBSTITUTE(Items!F116&amp;""," "," "))))="Y","Y","N"))&gt;0)*((1+(UPPER(TRIM(CLEAN(SUBSTITUTE(rate_Group&amp;""," "," "))))&lt;&gt;"")+2*(UPPER(TRIM(CLEAN(SUBSTITUTE(rate_USMCA&amp;""," "," "))))&lt;&gt;"")+4*(UPPER(TRIM(CLEAN(SUBSTITUTE(rate_COO&amp;""," "," "))))&lt;&gt;""))*100+ROW(rate_Rate)-4))))</f>
        <v/>
      </c>
      <c r="AP116" s="13">
        <f>IF($AO116=0,0,SUMPRODUCT(ISNUMBER(rate_Rate)*((UPPER(TRIM(CLEAN(SUBSTITUTE(rate_Group&amp;""," "," "))))="")+(UPPER(TRIM(CLEAN(SUBSTITUTE(rate_Group&amp;""," "," "))))=$N116)&gt;0)*((UPPER(TRIM(CLEAN(SUBSTITUTE(rate_COO&amp;""," "," "))))="")+(UPPER(TRIM(CLEAN(SUBSTITUTE(rate_COO&amp;""," "," "))))=$E116)&gt;0)*((UPPER(TRIM(CLEAN(SUBSTITUTE(rate_USMCA&amp;""," "," "))))="")+(UPPER(TRIM(CLEAN(SUBSTITUTE(rate_USMCA&amp;""," "," "))))=IF(UPPER(TRIM(CLEAN(SUBSTITUTE(Items!F116&amp;""," "," "))))="Y","Y","N"))&gt;0)*((1+(UPPER(TRIM(CLEAN(SUBSTITUTE(rate_Group&amp;""," "," "))))&lt;&gt;"")+2*(UPPER(TRIM(CLEAN(SUBSTITUTE(rate_USMCA&amp;""," "," "))))&lt;&gt;"")+4*(UPPER(TRIM(CLEAN(SUBSTITUTE(rate_COO&amp;""," "," "))))&lt;&gt;""))=INT($AO116/100))))</f>
        <v/>
      </c>
      <c r="AQ116" s="13">
        <f>IF($A116="",0,IFERROR(MATCH($AL116,det_Key,0),0))</f>
        <v/>
      </c>
    </row>
    <row r="117">
      <c r="A117" s="10">
        <f>IF(TRIM(CLEAN(SUBSTITUTE(Items!A117&amp;""," "," ")))="","",TRIM(CLEAN(SUBSTITUTE(Items!A117&amp;""," "," "))))</f>
        <v/>
      </c>
      <c r="B117" s="10">
        <f>IF($A117="","",Items!B117&amp;"")</f>
        <v/>
      </c>
      <c r="C117" s="10">
        <f>IF($A117="","",SUBSTITUTE(SUBSTITUTE(SUBSTITUTE(SUBSTITUTE(CLEAN(Items!D117&amp;"")," ",""),".","")," ",""),"-",""))</f>
        <v/>
      </c>
      <c r="D117" s="10">
        <f>IF($A117="","",LEFT($C117,2))</f>
        <v/>
      </c>
      <c r="E117" s="10">
        <f>IF($A117="","",UPPER(TRIM(CLEAN(SUBSTITUTE(Items!E117&amp;""," "," ")))))</f>
        <v/>
      </c>
      <c r="F117" s="10">
        <f>IF($A117="","",IF(UPPER(TRIM(CLEAN(SUBSTITUTE(Items!C117&amp;""," "," "))))=UPPER(TRIM(CLEAN(SUBSTITUTE(act_Country&amp;""," "," ")))),"Y","N"))</f>
        <v/>
      </c>
      <c r="G117" s="10">
        <f>IF($A117="","",IF($AM117&gt;0,"Y","N"))</f>
        <v/>
      </c>
      <c r="H117" s="10">
        <f>IF($A117="","",IF(SUMPRODUCT((excl_HTS&lt;&gt;"")*(LEFT($C117,LEN(excl_HTS))=excl_HTS))&gt;0,"Y","N"))</f>
        <v/>
      </c>
      <c r="I117" s="10">
        <f>IF($A117="","",IF($E117="","N",IF(SUMPRODUCT(--(UPPER(TRIM(CLEAN(SUBSTITUTE(scope_COO&amp;""," "," "))))=$E117))&gt;0,"Y","N")))</f>
        <v/>
      </c>
      <c r="J117" s="10">
        <f>IF($A117="","",IF(AND(UPPER(TRIM(CLEAN(SUBSTITUTE(act_USMCAExempt&amp;""," "," "))))="Y",UPPER(TRIM(CLEAN(SUBSTITUTE(Items!F117&amp;""," "," "))))="Y"),"Y","N"))</f>
        <v/>
      </c>
      <c r="K117" s="10">
        <f>IF($A117="","",IF($AQ117=0,"",UPPER(TRIM(CLEAN(SUBSTITUTE(INDEX(det_Status,$AQ117)&amp;""," "," "))))))</f>
        <v/>
      </c>
      <c r="L117" s="10">
        <f>IF($A117="","",IF($F117="N","N",IF($K117="IN","Y",IF($K117="OUT","N",IF(AND($G117="Y",$H117="N",$I117="Y",$J117="N"),"Y","N")))))</f>
        <v/>
      </c>
      <c r="M117" s="10">
        <f>IF($A117="","",IF($F117="N","Out: different import country",IF($K117="IN","In: Research determination",IF($K117="OUT","Out: Research determination",IF($G117="N","Out: HTS not on scope list",IF($H117="Y","Out: HTS on exclusion list",IF($I117="N","Out: origin not on scope list",IF($J117="Y","Out: USMCA-qualifying, exempt","In: matches scope rules"))))))))</f>
        <v/>
      </c>
      <c r="N117" s="10">
        <f>IF(OR($A117="",$AM117=0),"",UPPER(TRIM(CLEAN(SUBSTITUTE(INDEX(scope_Group,MOD($AM117,1000))&amp;""," "," ")))))</f>
        <v/>
      </c>
      <c r="O117" s="10">
        <f>IF($L117&lt;&gt;"Y","",IF($AO117=0,"Default (B15)",UPPER(TRIM(CLEAN(SUBSTITUTE(INDEX(rate_ID,MOD($AO117,100))&amp;""," "," "))))))</f>
        <v/>
      </c>
      <c r="P117" s="10">
        <f>IF($L117&lt;&gt;"Y","",IF($AO117=0,IF(UPPER(TRIM(CLEAN(SUBSTITUTE(act_DefaultBase&amp;""," "," "))))="PART","PART","FULL"),IF(UPPER(TRIM(CLEAN(SUBSTITUTE(INDEX(rate_Base,MOD($AO117,100))&amp;""," "," "))))="PART","PART","FULL")))</f>
        <v/>
      </c>
      <c r="Q117" s="17">
        <f>IF($A117="","",N(Items!J117))</f>
        <v/>
      </c>
      <c r="R117" s="17">
        <f>IF($A117="","",IF($L117&lt;&gt;"Y",0,IF($AO117=0,N(act_Rate),N(INDEX(rate_Rate,MOD($AO117,100))))))</f>
        <v/>
      </c>
      <c r="S117" s="17">
        <f>IF($A117="","",IF($L117&lt;&gt;"Y",0,IF($AO117=0,IF(UPPER(TRIM(CLEAN(SUBSTITUTE(act_RateType&amp;""," "," "))))="REPLACE",N(act_PriorRate),0),IF(ISNUMBER(INDEX(rate_Prior,MOD($AO117,100))),INDEX(rate_Prior,MOD($AO117,100)),IF(UPPER(TRIM(CLEAN(SUBSTITUTE(act_RateType&amp;""," "," "))))="REPLACE",N(act_PriorRate),0)))))</f>
        <v/>
      </c>
      <c r="T117" s="17">
        <f>IF($A117="","",IF(AND($L117="Y",$P117="PART",ISNUMBER(Items!M117)),Items!M117,1))</f>
        <v/>
      </c>
      <c r="U117" s="17">
        <f>IF($A117="","",IF($L117&lt;&gt;"Y",0,IF($AQ117&gt;0,IF(ISNUMBER(INDEX(det_Displaced,$AQ117)),INDEX(det_Displaced,$AQ117),IF($AO117=0,0,N(INDEX(rate_Displaced,MOD($AO117,100))))),IF($AO117=0,0,N(INDEX(rate_Displaced,MOD($AO117,100)))))))</f>
        <v/>
      </c>
      <c r="V117" s="17">
        <f>IF($A117="","",IF($L117="Y",$Q117+$T117*($R117-$S117)-$U117,$Q117))</f>
        <v/>
      </c>
      <c r="W117" s="18">
        <f>IF($A117="","",N(Items!H117)*$Q117)</f>
        <v/>
      </c>
      <c r="X117" s="18">
        <f>IF($A117="","",N(Items!H117)*$V117)</f>
        <v/>
      </c>
      <c r="Y117" s="18">
        <f>IF($A117="","",$X117-$W117)</f>
        <v/>
      </c>
      <c r="Z117" s="18">
        <f>IF($A117="","",N(Items!K117)+$Y117)</f>
        <v/>
      </c>
      <c r="AA117" s="17">
        <f>IF($A117="","",IF(N(Items!L117)=0,"",(N(Items!L117)-N(Items!K117))/N(Items!L117)))</f>
        <v/>
      </c>
      <c r="AB117" s="17">
        <f>IF($A117="","",IF(N(Items!L117)=0,"",(N(Items!L117)-$Z117)/N(Items!L117)))</f>
        <v/>
      </c>
      <c r="AC117" s="17">
        <f>IF(OR($AA117="",$AB117=""),"",$AB117-$AA117)</f>
        <v/>
      </c>
      <c r="AD117" s="13">
        <f>IF($A117="","",N(Items!I117))</f>
        <v/>
      </c>
      <c r="AE117" s="19">
        <f>IF($A117="","",$Y117*$AD117)</f>
        <v/>
      </c>
      <c r="AF117" s="10">
        <f>IF($A117="","",IF(N(Items!L117)&gt;0,"Y","N"))</f>
        <v/>
      </c>
      <c r="AG117" s="19">
        <f>IF($A117="","",IF($AF117="Y",N(Items!L117)*$AD117,0))</f>
        <v/>
      </c>
      <c r="AH117" s="19">
        <f>IF($A117="","",IF($AF117="Y",(N(Items!L117)-N(Items!K117))*$AD117,0))</f>
        <v/>
      </c>
      <c r="AI117" s="19">
        <f>IF($A117="","",IF($AF117="Y",$AH117-$AE117,0))</f>
        <v/>
      </c>
      <c r="AJ117" s="10">
        <f>IF($A117="","",IF(COUNTIF($AL$5:$AL$254,$AL117)&gt;1,"CHECK: duplicate item and import country",IF(TRIM(CLEAN(SUBSTITUTE(Items!C117&amp;""," "," ")))="","CHECK: import country missing",IF(AND(UPPER(TRIM(CLEAN(SUBSTITUTE(Items!C117&amp;""," "," "))))&lt;&gt;"US",UPPER(TRIM(CLEAN(SUBSTITUTE(Items!C117&amp;""," "," "))))&lt;&gt;"CA",UPPER(TRIM(CLEAN(SUBSTITUTE(Items!C117&amp;""," "," "))))&lt;&gt;"MX"),"CHECK: import country must be US, CA or MX",IF(NOT(AND(LEN($C117)=10,IFERROR(TEXT(VALUE($C117),REPT("0",LEN($C117)))=$C117,FALSE))),"CHECK: HTS must be 10 digits",IF(LEN($E117)&lt;&gt;2,"CHECK: origin code missing or not 2 letters",IF(TRIM(CLEAN(SUBSTITUTE(Items!G117&amp;""," "," ")))="","CHECK: unit of measure missing",IF(OR(Items!H117="",Items!J117="",Items!K117=""),"CHECK: value, rate or cost missing",IF(OR(NOT(ISNUMBER(Items!H117)),NOT(ISNUMBER(Items!J117)),NOT(ISNUMBER(Items!K117)),AND(Items!I117&lt;&gt;"",NOT(ISNUMBER(Items!I117))),AND(Items!L117&lt;&gt;"",NOT(ISNUMBER(Items!L117))),AND(Items!M117&lt;&gt;"",NOT(ISNUMBER(Items!M117)))),"CHECK: text in a number column",IF(AND(ISNUMBER(Items!M117),OR(N(Items!M117)&lt;0,N(Items!M117)&gt;1)),"CHECK: dutiable share must be 0% to 100%",IF(AND(UPPER(TRIM(CLEAN(SUBSTITUTE(Items!F117&amp;""," "," "))))&lt;&gt;"",UPPER(TRIM(CLEAN(SUBSTITUTE(Items!F117&amp;""," "," "))))&lt;&gt;"Y",UPPER(TRIM(CLEAN(SUBSTITUTE(Items!F117&amp;""," "," "))))&lt;&gt;"N"),"CHECK: USMCA flag must be Y, N or blank",IF(AND(UPPER(TRIM(CLEAN(SUBSTITUTE(Items!F117&amp;""," "," "))))="Y",$E117&lt;&gt;"US",$E117&lt;&gt;"CA",$E117&lt;&gt;"MX"),"CHECK: USMCA flag on an origin other than US, CA or MX",IF(AND($L117="Y",$AO117=0,NOT(ISNUMBER(act_Rate))),"CHECK: in scope but no rate (add a rate line or B15)",IF(AND($L117="Y",UPPER(TRIM(CLEAN(SUBSTITUTE(act_RateType&amp;""," "," "))))="REPLACE",NOT(ISNUMBER(act_PriorRate)),IF($AO117=0,TRUE,NOT(ISNUMBER(INDEX(rate_Prior,MOD($AO117,100)))))),"CHECK: REPLACE but no earlier rate (B17 or the rate line's AD)",IF(AND($L117="Y",$AP117&gt;1),"CHECK: two rate lines match equally",IF(AND($L117="Y",$AN117&gt;1),"CHECK: HTS prefix listed twice on the scope list",IF(AND($L117="Y",$P117="PART",NOT(ISNUMBER(Items!M117))),"CHECK: dutiable share missing (PART base)",IF(AND($L117="Y",$P117="FULL",ISNUMBER(Items!M117),N(Items!M117)&lt;&gt;1),"CHECK: dutiable share entered, but the rate taxes the full value",IF(AND($L117="Y",$Q117+0.0000001&lt;$T117*$S117+$U117),"CHECK: current rate is below the duty being replaced or displaced",IF(AND($L117="Y",$AD117=0),"NOTE: in scope, no quantity",IF(AND($L117="Y",$AF117="N"),"NOTE: in scope, no sell price (left out of margin %)",IF(AND($L117="Y",N(Items!H117)&gt;N(Items!K117)),"NOTE: customs value above standard cost (check unit of measure)",IF(AND($L117="Y",$Q117&gt;1),"NOTE: current rate above 100% (check it was entered as a percentage)","OK")))))))))))))))))))))))</f>
        <v/>
      </c>
      <c r="AK117" s="20">
        <f>IF($A117="","",IF(AND($L117="Y",$AE117&lt;&gt;0),ABS($AE117)+ROW()/1000000000,""))</f>
        <v/>
      </c>
      <c r="AL117" s="10">
        <f>IF($A117="","",UPPER($A117)&amp;"/"&amp;UPPER(TRIM(CLEAN(SUBSTITUTE(Items!C117&amp;""," "," ")))))</f>
        <v/>
      </c>
      <c r="AM117" s="13">
        <f>IF($A117="",0,SUMPRODUCT(MAX((scope_HTS&lt;&gt;"")*(LEFT($C117,LEN(scope_HTS))=scope_HTS)*(LEN(scope_HTS)*1000+ROW(scope_HTS)-4))))</f>
        <v/>
      </c>
      <c r="AN117" s="13">
        <f>IF($AM117=0,0,SUMPRODUCT((scope_HTS&lt;&gt;"")*(LEFT($C117,LEN(scope_HTS))=scope_HTS)*(LEN(scope_HTS)=INT($AM117/1000))))</f>
        <v/>
      </c>
      <c r="AO117" s="13">
        <f>IF($L117&lt;&gt;"Y",0,SUMPRODUCT(MAX(ISNUMBER(rate_Rate)*((UPPER(TRIM(CLEAN(SUBSTITUTE(rate_Group&amp;""," "," "))))="")+(UPPER(TRIM(CLEAN(SUBSTITUTE(rate_Group&amp;""," "," "))))=$N117)&gt;0)*((UPPER(TRIM(CLEAN(SUBSTITUTE(rate_COO&amp;""," "," "))))="")+(UPPER(TRIM(CLEAN(SUBSTITUTE(rate_COO&amp;""," "," "))))=$E117)&gt;0)*((UPPER(TRIM(CLEAN(SUBSTITUTE(rate_USMCA&amp;""," "," "))))="")+(UPPER(TRIM(CLEAN(SUBSTITUTE(rate_USMCA&amp;""," "," "))))=IF(UPPER(TRIM(CLEAN(SUBSTITUTE(Items!F117&amp;""," "," "))))="Y","Y","N"))&gt;0)*((1+(UPPER(TRIM(CLEAN(SUBSTITUTE(rate_Group&amp;""," "," "))))&lt;&gt;"")+2*(UPPER(TRIM(CLEAN(SUBSTITUTE(rate_USMCA&amp;""," "," "))))&lt;&gt;"")+4*(UPPER(TRIM(CLEAN(SUBSTITUTE(rate_COO&amp;""," "," "))))&lt;&gt;""))*100+ROW(rate_Rate)-4))))</f>
        <v/>
      </c>
      <c r="AP117" s="13">
        <f>IF($AO117=0,0,SUMPRODUCT(ISNUMBER(rate_Rate)*((UPPER(TRIM(CLEAN(SUBSTITUTE(rate_Group&amp;""," "," "))))="")+(UPPER(TRIM(CLEAN(SUBSTITUTE(rate_Group&amp;""," "," "))))=$N117)&gt;0)*((UPPER(TRIM(CLEAN(SUBSTITUTE(rate_COO&amp;""," "," "))))="")+(UPPER(TRIM(CLEAN(SUBSTITUTE(rate_COO&amp;""," "," "))))=$E117)&gt;0)*((UPPER(TRIM(CLEAN(SUBSTITUTE(rate_USMCA&amp;""," "," "))))="")+(UPPER(TRIM(CLEAN(SUBSTITUTE(rate_USMCA&amp;""," "," "))))=IF(UPPER(TRIM(CLEAN(SUBSTITUTE(Items!F117&amp;""," "," "))))="Y","Y","N"))&gt;0)*((1+(UPPER(TRIM(CLEAN(SUBSTITUTE(rate_Group&amp;""," "," "))))&lt;&gt;"")+2*(UPPER(TRIM(CLEAN(SUBSTITUTE(rate_USMCA&amp;""," "," "))))&lt;&gt;"")+4*(UPPER(TRIM(CLEAN(SUBSTITUTE(rate_COO&amp;""," "," "))))&lt;&gt;""))=INT($AO117/100))))</f>
        <v/>
      </c>
      <c r="AQ117" s="13">
        <f>IF($A117="",0,IFERROR(MATCH($AL117,det_Key,0),0))</f>
        <v/>
      </c>
    </row>
    <row r="118">
      <c r="A118" s="10">
        <f>IF(TRIM(CLEAN(SUBSTITUTE(Items!A118&amp;""," "," ")))="","",TRIM(CLEAN(SUBSTITUTE(Items!A118&amp;""," "," "))))</f>
        <v/>
      </c>
      <c r="B118" s="10">
        <f>IF($A118="","",Items!B118&amp;"")</f>
        <v/>
      </c>
      <c r="C118" s="10">
        <f>IF($A118="","",SUBSTITUTE(SUBSTITUTE(SUBSTITUTE(SUBSTITUTE(CLEAN(Items!D118&amp;"")," ",""),".","")," ",""),"-",""))</f>
        <v/>
      </c>
      <c r="D118" s="10">
        <f>IF($A118="","",LEFT($C118,2))</f>
        <v/>
      </c>
      <c r="E118" s="10">
        <f>IF($A118="","",UPPER(TRIM(CLEAN(SUBSTITUTE(Items!E118&amp;""," "," ")))))</f>
        <v/>
      </c>
      <c r="F118" s="10">
        <f>IF($A118="","",IF(UPPER(TRIM(CLEAN(SUBSTITUTE(Items!C118&amp;""," "," "))))=UPPER(TRIM(CLEAN(SUBSTITUTE(act_Country&amp;""," "," ")))),"Y","N"))</f>
        <v/>
      </c>
      <c r="G118" s="10">
        <f>IF($A118="","",IF($AM118&gt;0,"Y","N"))</f>
        <v/>
      </c>
      <c r="H118" s="10">
        <f>IF($A118="","",IF(SUMPRODUCT((excl_HTS&lt;&gt;"")*(LEFT($C118,LEN(excl_HTS))=excl_HTS))&gt;0,"Y","N"))</f>
        <v/>
      </c>
      <c r="I118" s="10">
        <f>IF($A118="","",IF($E118="","N",IF(SUMPRODUCT(--(UPPER(TRIM(CLEAN(SUBSTITUTE(scope_COO&amp;""," "," "))))=$E118))&gt;0,"Y","N")))</f>
        <v/>
      </c>
      <c r="J118" s="10">
        <f>IF($A118="","",IF(AND(UPPER(TRIM(CLEAN(SUBSTITUTE(act_USMCAExempt&amp;""," "," "))))="Y",UPPER(TRIM(CLEAN(SUBSTITUTE(Items!F118&amp;""," "," "))))="Y"),"Y","N"))</f>
        <v/>
      </c>
      <c r="K118" s="10">
        <f>IF($A118="","",IF($AQ118=0,"",UPPER(TRIM(CLEAN(SUBSTITUTE(INDEX(det_Status,$AQ118)&amp;""," "," "))))))</f>
        <v/>
      </c>
      <c r="L118" s="10">
        <f>IF($A118="","",IF($F118="N","N",IF($K118="IN","Y",IF($K118="OUT","N",IF(AND($G118="Y",$H118="N",$I118="Y",$J118="N"),"Y","N")))))</f>
        <v/>
      </c>
      <c r="M118" s="10">
        <f>IF($A118="","",IF($F118="N","Out: different import country",IF($K118="IN","In: Research determination",IF($K118="OUT","Out: Research determination",IF($G118="N","Out: HTS not on scope list",IF($H118="Y","Out: HTS on exclusion list",IF($I118="N","Out: origin not on scope list",IF($J118="Y","Out: USMCA-qualifying, exempt","In: matches scope rules"))))))))</f>
        <v/>
      </c>
      <c r="N118" s="10">
        <f>IF(OR($A118="",$AM118=0),"",UPPER(TRIM(CLEAN(SUBSTITUTE(INDEX(scope_Group,MOD($AM118,1000))&amp;""," "," ")))))</f>
        <v/>
      </c>
      <c r="O118" s="10">
        <f>IF($L118&lt;&gt;"Y","",IF($AO118=0,"Default (B15)",UPPER(TRIM(CLEAN(SUBSTITUTE(INDEX(rate_ID,MOD($AO118,100))&amp;""," "," "))))))</f>
        <v/>
      </c>
      <c r="P118" s="10">
        <f>IF($L118&lt;&gt;"Y","",IF($AO118=0,IF(UPPER(TRIM(CLEAN(SUBSTITUTE(act_DefaultBase&amp;""," "," "))))="PART","PART","FULL"),IF(UPPER(TRIM(CLEAN(SUBSTITUTE(INDEX(rate_Base,MOD($AO118,100))&amp;""," "," "))))="PART","PART","FULL")))</f>
        <v/>
      </c>
      <c r="Q118" s="17">
        <f>IF($A118="","",N(Items!J118))</f>
        <v/>
      </c>
      <c r="R118" s="17">
        <f>IF($A118="","",IF($L118&lt;&gt;"Y",0,IF($AO118=0,N(act_Rate),N(INDEX(rate_Rate,MOD($AO118,100))))))</f>
        <v/>
      </c>
      <c r="S118" s="17">
        <f>IF($A118="","",IF($L118&lt;&gt;"Y",0,IF($AO118=0,IF(UPPER(TRIM(CLEAN(SUBSTITUTE(act_RateType&amp;""," "," "))))="REPLACE",N(act_PriorRate),0),IF(ISNUMBER(INDEX(rate_Prior,MOD($AO118,100))),INDEX(rate_Prior,MOD($AO118,100)),IF(UPPER(TRIM(CLEAN(SUBSTITUTE(act_RateType&amp;""," "," "))))="REPLACE",N(act_PriorRate),0)))))</f>
        <v/>
      </c>
      <c r="T118" s="17">
        <f>IF($A118="","",IF(AND($L118="Y",$P118="PART",ISNUMBER(Items!M118)),Items!M118,1))</f>
        <v/>
      </c>
      <c r="U118" s="17">
        <f>IF($A118="","",IF($L118&lt;&gt;"Y",0,IF($AQ118&gt;0,IF(ISNUMBER(INDEX(det_Displaced,$AQ118)),INDEX(det_Displaced,$AQ118),IF($AO118=0,0,N(INDEX(rate_Displaced,MOD($AO118,100))))),IF($AO118=0,0,N(INDEX(rate_Displaced,MOD($AO118,100)))))))</f>
        <v/>
      </c>
      <c r="V118" s="17">
        <f>IF($A118="","",IF($L118="Y",$Q118+$T118*($R118-$S118)-$U118,$Q118))</f>
        <v/>
      </c>
      <c r="W118" s="18">
        <f>IF($A118="","",N(Items!H118)*$Q118)</f>
        <v/>
      </c>
      <c r="X118" s="18">
        <f>IF($A118="","",N(Items!H118)*$V118)</f>
        <v/>
      </c>
      <c r="Y118" s="18">
        <f>IF($A118="","",$X118-$W118)</f>
        <v/>
      </c>
      <c r="Z118" s="18">
        <f>IF($A118="","",N(Items!K118)+$Y118)</f>
        <v/>
      </c>
      <c r="AA118" s="17">
        <f>IF($A118="","",IF(N(Items!L118)=0,"",(N(Items!L118)-N(Items!K118))/N(Items!L118)))</f>
        <v/>
      </c>
      <c r="AB118" s="17">
        <f>IF($A118="","",IF(N(Items!L118)=0,"",(N(Items!L118)-$Z118)/N(Items!L118)))</f>
        <v/>
      </c>
      <c r="AC118" s="17">
        <f>IF(OR($AA118="",$AB118=""),"",$AB118-$AA118)</f>
        <v/>
      </c>
      <c r="AD118" s="13">
        <f>IF($A118="","",N(Items!I118))</f>
        <v/>
      </c>
      <c r="AE118" s="19">
        <f>IF($A118="","",$Y118*$AD118)</f>
        <v/>
      </c>
      <c r="AF118" s="10">
        <f>IF($A118="","",IF(N(Items!L118)&gt;0,"Y","N"))</f>
        <v/>
      </c>
      <c r="AG118" s="19">
        <f>IF($A118="","",IF($AF118="Y",N(Items!L118)*$AD118,0))</f>
        <v/>
      </c>
      <c r="AH118" s="19">
        <f>IF($A118="","",IF($AF118="Y",(N(Items!L118)-N(Items!K118))*$AD118,0))</f>
        <v/>
      </c>
      <c r="AI118" s="19">
        <f>IF($A118="","",IF($AF118="Y",$AH118-$AE118,0))</f>
        <v/>
      </c>
      <c r="AJ118" s="10">
        <f>IF($A118="","",IF(COUNTIF($AL$5:$AL$254,$AL118)&gt;1,"CHECK: duplicate item and import country",IF(TRIM(CLEAN(SUBSTITUTE(Items!C118&amp;""," "," ")))="","CHECK: import country missing",IF(AND(UPPER(TRIM(CLEAN(SUBSTITUTE(Items!C118&amp;""," "," "))))&lt;&gt;"US",UPPER(TRIM(CLEAN(SUBSTITUTE(Items!C118&amp;""," "," "))))&lt;&gt;"CA",UPPER(TRIM(CLEAN(SUBSTITUTE(Items!C118&amp;""," "," "))))&lt;&gt;"MX"),"CHECK: import country must be US, CA or MX",IF(NOT(AND(LEN($C118)=10,IFERROR(TEXT(VALUE($C118),REPT("0",LEN($C118)))=$C118,FALSE))),"CHECK: HTS must be 10 digits",IF(LEN($E118)&lt;&gt;2,"CHECK: origin code missing or not 2 letters",IF(TRIM(CLEAN(SUBSTITUTE(Items!G118&amp;""," "," ")))="","CHECK: unit of measure missing",IF(OR(Items!H118="",Items!J118="",Items!K118=""),"CHECK: value, rate or cost missing",IF(OR(NOT(ISNUMBER(Items!H118)),NOT(ISNUMBER(Items!J118)),NOT(ISNUMBER(Items!K118)),AND(Items!I118&lt;&gt;"",NOT(ISNUMBER(Items!I118))),AND(Items!L118&lt;&gt;"",NOT(ISNUMBER(Items!L118))),AND(Items!M118&lt;&gt;"",NOT(ISNUMBER(Items!M118)))),"CHECK: text in a number column",IF(AND(ISNUMBER(Items!M118),OR(N(Items!M118)&lt;0,N(Items!M118)&gt;1)),"CHECK: dutiable share must be 0% to 100%",IF(AND(UPPER(TRIM(CLEAN(SUBSTITUTE(Items!F118&amp;""," "," "))))&lt;&gt;"",UPPER(TRIM(CLEAN(SUBSTITUTE(Items!F118&amp;""," "," "))))&lt;&gt;"Y",UPPER(TRIM(CLEAN(SUBSTITUTE(Items!F118&amp;""," "," "))))&lt;&gt;"N"),"CHECK: USMCA flag must be Y, N or blank",IF(AND(UPPER(TRIM(CLEAN(SUBSTITUTE(Items!F118&amp;""," "," "))))="Y",$E118&lt;&gt;"US",$E118&lt;&gt;"CA",$E118&lt;&gt;"MX"),"CHECK: USMCA flag on an origin other than US, CA or MX",IF(AND($L118="Y",$AO118=0,NOT(ISNUMBER(act_Rate))),"CHECK: in scope but no rate (add a rate line or B15)",IF(AND($L118="Y",UPPER(TRIM(CLEAN(SUBSTITUTE(act_RateType&amp;""," "," "))))="REPLACE",NOT(ISNUMBER(act_PriorRate)),IF($AO118=0,TRUE,NOT(ISNUMBER(INDEX(rate_Prior,MOD($AO118,100)))))),"CHECK: REPLACE but no earlier rate (B17 or the rate line's AD)",IF(AND($L118="Y",$AP118&gt;1),"CHECK: two rate lines match equally",IF(AND($L118="Y",$AN118&gt;1),"CHECK: HTS prefix listed twice on the scope list",IF(AND($L118="Y",$P118="PART",NOT(ISNUMBER(Items!M118))),"CHECK: dutiable share missing (PART base)",IF(AND($L118="Y",$P118="FULL",ISNUMBER(Items!M118),N(Items!M118)&lt;&gt;1),"CHECK: dutiable share entered, but the rate taxes the full value",IF(AND($L118="Y",$Q118+0.0000001&lt;$T118*$S118+$U118),"CHECK: current rate is below the duty being replaced or displaced",IF(AND($L118="Y",$AD118=0),"NOTE: in scope, no quantity",IF(AND($L118="Y",$AF118="N"),"NOTE: in scope, no sell price (left out of margin %)",IF(AND($L118="Y",N(Items!H118)&gt;N(Items!K118)),"NOTE: customs value above standard cost (check unit of measure)",IF(AND($L118="Y",$Q118&gt;1),"NOTE: current rate above 100% (check it was entered as a percentage)","OK")))))))))))))))))))))))</f>
        <v/>
      </c>
      <c r="AK118" s="20">
        <f>IF($A118="","",IF(AND($L118="Y",$AE118&lt;&gt;0),ABS($AE118)+ROW()/1000000000,""))</f>
        <v/>
      </c>
      <c r="AL118" s="10">
        <f>IF($A118="","",UPPER($A118)&amp;"/"&amp;UPPER(TRIM(CLEAN(SUBSTITUTE(Items!C118&amp;""," "," ")))))</f>
        <v/>
      </c>
      <c r="AM118" s="13">
        <f>IF($A118="",0,SUMPRODUCT(MAX((scope_HTS&lt;&gt;"")*(LEFT($C118,LEN(scope_HTS))=scope_HTS)*(LEN(scope_HTS)*1000+ROW(scope_HTS)-4))))</f>
        <v/>
      </c>
      <c r="AN118" s="13">
        <f>IF($AM118=0,0,SUMPRODUCT((scope_HTS&lt;&gt;"")*(LEFT($C118,LEN(scope_HTS))=scope_HTS)*(LEN(scope_HTS)=INT($AM118/1000))))</f>
        <v/>
      </c>
      <c r="AO118" s="13">
        <f>IF($L118&lt;&gt;"Y",0,SUMPRODUCT(MAX(ISNUMBER(rate_Rate)*((UPPER(TRIM(CLEAN(SUBSTITUTE(rate_Group&amp;""," "," "))))="")+(UPPER(TRIM(CLEAN(SUBSTITUTE(rate_Group&amp;""," "," "))))=$N118)&gt;0)*((UPPER(TRIM(CLEAN(SUBSTITUTE(rate_COO&amp;""," "," "))))="")+(UPPER(TRIM(CLEAN(SUBSTITUTE(rate_COO&amp;""," "," "))))=$E118)&gt;0)*((UPPER(TRIM(CLEAN(SUBSTITUTE(rate_USMCA&amp;""," "," "))))="")+(UPPER(TRIM(CLEAN(SUBSTITUTE(rate_USMCA&amp;""," "," "))))=IF(UPPER(TRIM(CLEAN(SUBSTITUTE(Items!F118&amp;""," "," "))))="Y","Y","N"))&gt;0)*((1+(UPPER(TRIM(CLEAN(SUBSTITUTE(rate_Group&amp;""," "," "))))&lt;&gt;"")+2*(UPPER(TRIM(CLEAN(SUBSTITUTE(rate_USMCA&amp;""," "," "))))&lt;&gt;"")+4*(UPPER(TRIM(CLEAN(SUBSTITUTE(rate_COO&amp;""," "," "))))&lt;&gt;""))*100+ROW(rate_Rate)-4))))</f>
        <v/>
      </c>
      <c r="AP118" s="13">
        <f>IF($AO118=0,0,SUMPRODUCT(ISNUMBER(rate_Rate)*((UPPER(TRIM(CLEAN(SUBSTITUTE(rate_Group&amp;""," "," "))))="")+(UPPER(TRIM(CLEAN(SUBSTITUTE(rate_Group&amp;""," "," "))))=$N118)&gt;0)*((UPPER(TRIM(CLEAN(SUBSTITUTE(rate_COO&amp;""," "," "))))="")+(UPPER(TRIM(CLEAN(SUBSTITUTE(rate_COO&amp;""," "," "))))=$E118)&gt;0)*((UPPER(TRIM(CLEAN(SUBSTITUTE(rate_USMCA&amp;""," "," "))))="")+(UPPER(TRIM(CLEAN(SUBSTITUTE(rate_USMCA&amp;""," "," "))))=IF(UPPER(TRIM(CLEAN(SUBSTITUTE(Items!F118&amp;""," "," "))))="Y","Y","N"))&gt;0)*((1+(UPPER(TRIM(CLEAN(SUBSTITUTE(rate_Group&amp;""," "," "))))&lt;&gt;"")+2*(UPPER(TRIM(CLEAN(SUBSTITUTE(rate_USMCA&amp;""," "," "))))&lt;&gt;"")+4*(UPPER(TRIM(CLEAN(SUBSTITUTE(rate_COO&amp;""," "," "))))&lt;&gt;""))=INT($AO118/100))))</f>
        <v/>
      </c>
      <c r="AQ118" s="13">
        <f>IF($A118="",0,IFERROR(MATCH($AL118,det_Key,0),0))</f>
        <v/>
      </c>
    </row>
    <row r="119">
      <c r="A119" s="10">
        <f>IF(TRIM(CLEAN(SUBSTITUTE(Items!A119&amp;""," "," ")))="","",TRIM(CLEAN(SUBSTITUTE(Items!A119&amp;""," "," "))))</f>
        <v/>
      </c>
      <c r="B119" s="10">
        <f>IF($A119="","",Items!B119&amp;"")</f>
        <v/>
      </c>
      <c r="C119" s="10">
        <f>IF($A119="","",SUBSTITUTE(SUBSTITUTE(SUBSTITUTE(SUBSTITUTE(CLEAN(Items!D119&amp;"")," ",""),".","")," ",""),"-",""))</f>
        <v/>
      </c>
      <c r="D119" s="10">
        <f>IF($A119="","",LEFT($C119,2))</f>
        <v/>
      </c>
      <c r="E119" s="10">
        <f>IF($A119="","",UPPER(TRIM(CLEAN(SUBSTITUTE(Items!E119&amp;""," "," ")))))</f>
        <v/>
      </c>
      <c r="F119" s="10">
        <f>IF($A119="","",IF(UPPER(TRIM(CLEAN(SUBSTITUTE(Items!C119&amp;""," "," "))))=UPPER(TRIM(CLEAN(SUBSTITUTE(act_Country&amp;""," "," ")))),"Y","N"))</f>
        <v/>
      </c>
      <c r="G119" s="10">
        <f>IF($A119="","",IF($AM119&gt;0,"Y","N"))</f>
        <v/>
      </c>
      <c r="H119" s="10">
        <f>IF($A119="","",IF(SUMPRODUCT((excl_HTS&lt;&gt;"")*(LEFT($C119,LEN(excl_HTS))=excl_HTS))&gt;0,"Y","N"))</f>
        <v/>
      </c>
      <c r="I119" s="10">
        <f>IF($A119="","",IF($E119="","N",IF(SUMPRODUCT(--(UPPER(TRIM(CLEAN(SUBSTITUTE(scope_COO&amp;""," "," "))))=$E119))&gt;0,"Y","N")))</f>
        <v/>
      </c>
      <c r="J119" s="10">
        <f>IF($A119="","",IF(AND(UPPER(TRIM(CLEAN(SUBSTITUTE(act_USMCAExempt&amp;""," "," "))))="Y",UPPER(TRIM(CLEAN(SUBSTITUTE(Items!F119&amp;""," "," "))))="Y"),"Y","N"))</f>
        <v/>
      </c>
      <c r="K119" s="10">
        <f>IF($A119="","",IF($AQ119=0,"",UPPER(TRIM(CLEAN(SUBSTITUTE(INDEX(det_Status,$AQ119)&amp;""," "," "))))))</f>
        <v/>
      </c>
      <c r="L119" s="10">
        <f>IF($A119="","",IF($F119="N","N",IF($K119="IN","Y",IF($K119="OUT","N",IF(AND($G119="Y",$H119="N",$I119="Y",$J119="N"),"Y","N")))))</f>
        <v/>
      </c>
      <c r="M119" s="10">
        <f>IF($A119="","",IF($F119="N","Out: different import country",IF($K119="IN","In: Research determination",IF($K119="OUT","Out: Research determination",IF($G119="N","Out: HTS not on scope list",IF($H119="Y","Out: HTS on exclusion list",IF($I119="N","Out: origin not on scope list",IF($J119="Y","Out: USMCA-qualifying, exempt","In: matches scope rules"))))))))</f>
        <v/>
      </c>
      <c r="N119" s="10">
        <f>IF(OR($A119="",$AM119=0),"",UPPER(TRIM(CLEAN(SUBSTITUTE(INDEX(scope_Group,MOD($AM119,1000))&amp;""," "," ")))))</f>
        <v/>
      </c>
      <c r="O119" s="10">
        <f>IF($L119&lt;&gt;"Y","",IF($AO119=0,"Default (B15)",UPPER(TRIM(CLEAN(SUBSTITUTE(INDEX(rate_ID,MOD($AO119,100))&amp;""," "," "))))))</f>
        <v/>
      </c>
      <c r="P119" s="10">
        <f>IF($L119&lt;&gt;"Y","",IF($AO119=0,IF(UPPER(TRIM(CLEAN(SUBSTITUTE(act_DefaultBase&amp;""," "," "))))="PART","PART","FULL"),IF(UPPER(TRIM(CLEAN(SUBSTITUTE(INDEX(rate_Base,MOD($AO119,100))&amp;""," "," "))))="PART","PART","FULL")))</f>
        <v/>
      </c>
      <c r="Q119" s="17">
        <f>IF($A119="","",N(Items!J119))</f>
        <v/>
      </c>
      <c r="R119" s="17">
        <f>IF($A119="","",IF($L119&lt;&gt;"Y",0,IF($AO119=0,N(act_Rate),N(INDEX(rate_Rate,MOD($AO119,100))))))</f>
        <v/>
      </c>
      <c r="S119" s="17">
        <f>IF($A119="","",IF($L119&lt;&gt;"Y",0,IF($AO119=0,IF(UPPER(TRIM(CLEAN(SUBSTITUTE(act_RateType&amp;""," "," "))))="REPLACE",N(act_PriorRate),0),IF(ISNUMBER(INDEX(rate_Prior,MOD($AO119,100))),INDEX(rate_Prior,MOD($AO119,100)),IF(UPPER(TRIM(CLEAN(SUBSTITUTE(act_RateType&amp;""," "," "))))="REPLACE",N(act_PriorRate),0)))))</f>
        <v/>
      </c>
      <c r="T119" s="17">
        <f>IF($A119="","",IF(AND($L119="Y",$P119="PART",ISNUMBER(Items!M119)),Items!M119,1))</f>
        <v/>
      </c>
      <c r="U119" s="17">
        <f>IF($A119="","",IF($L119&lt;&gt;"Y",0,IF($AQ119&gt;0,IF(ISNUMBER(INDEX(det_Displaced,$AQ119)),INDEX(det_Displaced,$AQ119),IF($AO119=0,0,N(INDEX(rate_Displaced,MOD($AO119,100))))),IF($AO119=0,0,N(INDEX(rate_Displaced,MOD($AO119,100)))))))</f>
        <v/>
      </c>
      <c r="V119" s="17">
        <f>IF($A119="","",IF($L119="Y",$Q119+$T119*($R119-$S119)-$U119,$Q119))</f>
        <v/>
      </c>
      <c r="W119" s="18">
        <f>IF($A119="","",N(Items!H119)*$Q119)</f>
        <v/>
      </c>
      <c r="X119" s="18">
        <f>IF($A119="","",N(Items!H119)*$V119)</f>
        <v/>
      </c>
      <c r="Y119" s="18">
        <f>IF($A119="","",$X119-$W119)</f>
        <v/>
      </c>
      <c r="Z119" s="18">
        <f>IF($A119="","",N(Items!K119)+$Y119)</f>
        <v/>
      </c>
      <c r="AA119" s="17">
        <f>IF($A119="","",IF(N(Items!L119)=0,"",(N(Items!L119)-N(Items!K119))/N(Items!L119)))</f>
        <v/>
      </c>
      <c r="AB119" s="17">
        <f>IF($A119="","",IF(N(Items!L119)=0,"",(N(Items!L119)-$Z119)/N(Items!L119)))</f>
        <v/>
      </c>
      <c r="AC119" s="17">
        <f>IF(OR($AA119="",$AB119=""),"",$AB119-$AA119)</f>
        <v/>
      </c>
      <c r="AD119" s="13">
        <f>IF($A119="","",N(Items!I119))</f>
        <v/>
      </c>
      <c r="AE119" s="19">
        <f>IF($A119="","",$Y119*$AD119)</f>
        <v/>
      </c>
      <c r="AF119" s="10">
        <f>IF($A119="","",IF(N(Items!L119)&gt;0,"Y","N"))</f>
        <v/>
      </c>
      <c r="AG119" s="19">
        <f>IF($A119="","",IF($AF119="Y",N(Items!L119)*$AD119,0))</f>
        <v/>
      </c>
      <c r="AH119" s="19">
        <f>IF($A119="","",IF($AF119="Y",(N(Items!L119)-N(Items!K119))*$AD119,0))</f>
        <v/>
      </c>
      <c r="AI119" s="19">
        <f>IF($A119="","",IF($AF119="Y",$AH119-$AE119,0))</f>
        <v/>
      </c>
      <c r="AJ119" s="10">
        <f>IF($A119="","",IF(COUNTIF($AL$5:$AL$254,$AL119)&gt;1,"CHECK: duplicate item and import country",IF(TRIM(CLEAN(SUBSTITUTE(Items!C119&amp;""," "," ")))="","CHECK: import country missing",IF(AND(UPPER(TRIM(CLEAN(SUBSTITUTE(Items!C119&amp;""," "," "))))&lt;&gt;"US",UPPER(TRIM(CLEAN(SUBSTITUTE(Items!C119&amp;""," "," "))))&lt;&gt;"CA",UPPER(TRIM(CLEAN(SUBSTITUTE(Items!C119&amp;""," "," "))))&lt;&gt;"MX"),"CHECK: import country must be US, CA or MX",IF(NOT(AND(LEN($C119)=10,IFERROR(TEXT(VALUE($C119),REPT("0",LEN($C119)))=$C119,FALSE))),"CHECK: HTS must be 10 digits",IF(LEN($E119)&lt;&gt;2,"CHECK: origin code missing or not 2 letters",IF(TRIM(CLEAN(SUBSTITUTE(Items!G119&amp;""," "," ")))="","CHECK: unit of measure missing",IF(OR(Items!H119="",Items!J119="",Items!K119=""),"CHECK: value, rate or cost missing",IF(OR(NOT(ISNUMBER(Items!H119)),NOT(ISNUMBER(Items!J119)),NOT(ISNUMBER(Items!K119)),AND(Items!I119&lt;&gt;"",NOT(ISNUMBER(Items!I119))),AND(Items!L119&lt;&gt;"",NOT(ISNUMBER(Items!L119))),AND(Items!M119&lt;&gt;"",NOT(ISNUMBER(Items!M119)))),"CHECK: text in a number column",IF(AND(ISNUMBER(Items!M119),OR(N(Items!M119)&lt;0,N(Items!M119)&gt;1)),"CHECK: dutiable share must be 0% to 100%",IF(AND(UPPER(TRIM(CLEAN(SUBSTITUTE(Items!F119&amp;""," "," "))))&lt;&gt;"",UPPER(TRIM(CLEAN(SUBSTITUTE(Items!F119&amp;""," "," "))))&lt;&gt;"Y",UPPER(TRIM(CLEAN(SUBSTITUTE(Items!F119&amp;""," "," "))))&lt;&gt;"N"),"CHECK: USMCA flag must be Y, N or blank",IF(AND(UPPER(TRIM(CLEAN(SUBSTITUTE(Items!F119&amp;""," "," "))))="Y",$E119&lt;&gt;"US",$E119&lt;&gt;"CA",$E119&lt;&gt;"MX"),"CHECK: USMCA flag on an origin other than US, CA or MX",IF(AND($L119="Y",$AO119=0,NOT(ISNUMBER(act_Rate))),"CHECK: in scope but no rate (add a rate line or B15)",IF(AND($L119="Y",UPPER(TRIM(CLEAN(SUBSTITUTE(act_RateType&amp;""," "," "))))="REPLACE",NOT(ISNUMBER(act_PriorRate)),IF($AO119=0,TRUE,NOT(ISNUMBER(INDEX(rate_Prior,MOD($AO119,100)))))),"CHECK: REPLACE but no earlier rate (B17 or the rate line's AD)",IF(AND($L119="Y",$AP119&gt;1),"CHECK: two rate lines match equally",IF(AND($L119="Y",$AN119&gt;1),"CHECK: HTS prefix listed twice on the scope list",IF(AND($L119="Y",$P119="PART",NOT(ISNUMBER(Items!M119))),"CHECK: dutiable share missing (PART base)",IF(AND($L119="Y",$P119="FULL",ISNUMBER(Items!M119),N(Items!M119)&lt;&gt;1),"CHECK: dutiable share entered, but the rate taxes the full value",IF(AND($L119="Y",$Q119+0.0000001&lt;$T119*$S119+$U119),"CHECK: current rate is below the duty being replaced or displaced",IF(AND($L119="Y",$AD119=0),"NOTE: in scope, no quantity",IF(AND($L119="Y",$AF119="N"),"NOTE: in scope, no sell price (left out of margin %)",IF(AND($L119="Y",N(Items!H119)&gt;N(Items!K119)),"NOTE: customs value above standard cost (check unit of measure)",IF(AND($L119="Y",$Q119&gt;1),"NOTE: current rate above 100% (check it was entered as a percentage)","OK")))))))))))))))))))))))</f>
        <v/>
      </c>
      <c r="AK119" s="20">
        <f>IF($A119="","",IF(AND($L119="Y",$AE119&lt;&gt;0),ABS($AE119)+ROW()/1000000000,""))</f>
        <v/>
      </c>
      <c r="AL119" s="10">
        <f>IF($A119="","",UPPER($A119)&amp;"/"&amp;UPPER(TRIM(CLEAN(SUBSTITUTE(Items!C119&amp;""," "," ")))))</f>
        <v/>
      </c>
      <c r="AM119" s="13">
        <f>IF($A119="",0,SUMPRODUCT(MAX((scope_HTS&lt;&gt;"")*(LEFT($C119,LEN(scope_HTS))=scope_HTS)*(LEN(scope_HTS)*1000+ROW(scope_HTS)-4))))</f>
        <v/>
      </c>
      <c r="AN119" s="13">
        <f>IF($AM119=0,0,SUMPRODUCT((scope_HTS&lt;&gt;"")*(LEFT($C119,LEN(scope_HTS))=scope_HTS)*(LEN(scope_HTS)=INT($AM119/1000))))</f>
        <v/>
      </c>
      <c r="AO119" s="13">
        <f>IF($L119&lt;&gt;"Y",0,SUMPRODUCT(MAX(ISNUMBER(rate_Rate)*((UPPER(TRIM(CLEAN(SUBSTITUTE(rate_Group&amp;""," "," "))))="")+(UPPER(TRIM(CLEAN(SUBSTITUTE(rate_Group&amp;""," "," "))))=$N119)&gt;0)*((UPPER(TRIM(CLEAN(SUBSTITUTE(rate_COO&amp;""," "," "))))="")+(UPPER(TRIM(CLEAN(SUBSTITUTE(rate_COO&amp;""," "," "))))=$E119)&gt;0)*((UPPER(TRIM(CLEAN(SUBSTITUTE(rate_USMCA&amp;""," "," "))))="")+(UPPER(TRIM(CLEAN(SUBSTITUTE(rate_USMCA&amp;""," "," "))))=IF(UPPER(TRIM(CLEAN(SUBSTITUTE(Items!F119&amp;""," "," "))))="Y","Y","N"))&gt;0)*((1+(UPPER(TRIM(CLEAN(SUBSTITUTE(rate_Group&amp;""," "," "))))&lt;&gt;"")+2*(UPPER(TRIM(CLEAN(SUBSTITUTE(rate_USMCA&amp;""," "," "))))&lt;&gt;"")+4*(UPPER(TRIM(CLEAN(SUBSTITUTE(rate_COO&amp;""," "," "))))&lt;&gt;""))*100+ROW(rate_Rate)-4))))</f>
        <v/>
      </c>
      <c r="AP119" s="13">
        <f>IF($AO119=0,0,SUMPRODUCT(ISNUMBER(rate_Rate)*((UPPER(TRIM(CLEAN(SUBSTITUTE(rate_Group&amp;""," "," "))))="")+(UPPER(TRIM(CLEAN(SUBSTITUTE(rate_Group&amp;""," "," "))))=$N119)&gt;0)*((UPPER(TRIM(CLEAN(SUBSTITUTE(rate_COO&amp;""," "," "))))="")+(UPPER(TRIM(CLEAN(SUBSTITUTE(rate_COO&amp;""," "," "))))=$E119)&gt;0)*((UPPER(TRIM(CLEAN(SUBSTITUTE(rate_USMCA&amp;""," "," "))))="")+(UPPER(TRIM(CLEAN(SUBSTITUTE(rate_USMCA&amp;""," "," "))))=IF(UPPER(TRIM(CLEAN(SUBSTITUTE(Items!F119&amp;""," "," "))))="Y","Y","N"))&gt;0)*((1+(UPPER(TRIM(CLEAN(SUBSTITUTE(rate_Group&amp;""," "," "))))&lt;&gt;"")+2*(UPPER(TRIM(CLEAN(SUBSTITUTE(rate_USMCA&amp;""," "," "))))&lt;&gt;"")+4*(UPPER(TRIM(CLEAN(SUBSTITUTE(rate_COO&amp;""," "," "))))&lt;&gt;""))=INT($AO119/100))))</f>
        <v/>
      </c>
      <c r="AQ119" s="13">
        <f>IF($A119="",0,IFERROR(MATCH($AL119,det_Key,0),0))</f>
        <v/>
      </c>
    </row>
    <row r="120">
      <c r="A120" s="10">
        <f>IF(TRIM(CLEAN(SUBSTITUTE(Items!A120&amp;""," "," ")))="","",TRIM(CLEAN(SUBSTITUTE(Items!A120&amp;""," "," "))))</f>
        <v/>
      </c>
      <c r="B120" s="10">
        <f>IF($A120="","",Items!B120&amp;"")</f>
        <v/>
      </c>
      <c r="C120" s="10">
        <f>IF($A120="","",SUBSTITUTE(SUBSTITUTE(SUBSTITUTE(SUBSTITUTE(CLEAN(Items!D120&amp;"")," ",""),".","")," ",""),"-",""))</f>
        <v/>
      </c>
      <c r="D120" s="10">
        <f>IF($A120="","",LEFT($C120,2))</f>
        <v/>
      </c>
      <c r="E120" s="10">
        <f>IF($A120="","",UPPER(TRIM(CLEAN(SUBSTITUTE(Items!E120&amp;""," "," ")))))</f>
        <v/>
      </c>
      <c r="F120" s="10">
        <f>IF($A120="","",IF(UPPER(TRIM(CLEAN(SUBSTITUTE(Items!C120&amp;""," "," "))))=UPPER(TRIM(CLEAN(SUBSTITUTE(act_Country&amp;""," "," ")))),"Y","N"))</f>
        <v/>
      </c>
      <c r="G120" s="10">
        <f>IF($A120="","",IF($AM120&gt;0,"Y","N"))</f>
        <v/>
      </c>
      <c r="H120" s="10">
        <f>IF($A120="","",IF(SUMPRODUCT((excl_HTS&lt;&gt;"")*(LEFT($C120,LEN(excl_HTS))=excl_HTS))&gt;0,"Y","N"))</f>
        <v/>
      </c>
      <c r="I120" s="10">
        <f>IF($A120="","",IF($E120="","N",IF(SUMPRODUCT(--(UPPER(TRIM(CLEAN(SUBSTITUTE(scope_COO&amp;""," "," "))))=$E120))&gt;0,"Y","N")))</f>
        <v/>
      </c>
      <c r="J120" s="10">
        <f>IF($A120="","",IF(AND(UPPER(TRIM(CLEAN(SUBSTITUTE(act_USMCAExempt&amp;""," "," "))))="Y",UPPER(TRIM(CLEAN(SUBSTITUTE(Items!F120&amp;""," "," "))))="Y"),"Y","N"))</f>
        <v/>
      </c>
      <c r="K120" s="10">
        <f>IF($A120="","",IF($AQ120=0,"",UPPER(TRIM(CLEAN(SUBSTITUTE(INDEX(det_Status,$AQ120)&amp;""," "," "))))))</f>
        <v/>
      </c>
      <c r="L120" s="10">
        <f>IF($A120="","",IF($F120="N","N",IF($K120="IN","Y",IF($K120="OUT","N",IF(AND($G120="Y",$H120="N",$I120="Y",$J120="N"),"Y","N")))))</f>
        <v/>
      </c>
      <c r="M120" s="10">
        <f>IF($A120="","",IF($F120="N","Out: different import country",IF($K120="IN","In: Research determination",IF($K120="OUT","Out: Research determination",IF($G120="N","Out: HTS not on scope list",IF($H120="Y","Out: HTS on exclusion list",IF($I120="N","Out: origin not on scope list",IF($J120="Y","Out: USMCA-qualifying, exempt","In: matches scope rules"))))))))</f>
        <v/>
      </c>
      <c r="N120" s="10">
        <f>IF(OR($A120="",$AM120=0),"",UPPER(TRIM(CLEAN(SUBSTITUTE(INDEX(scope_Group,MOD($AM120,1000))&amp;""," "," ")))))</f>
        <v/>
      </c>
      <c r="O120" s="10">
        <f>IF($L120&lt;&gt;"Y","",IF($AO120=0,"Default (B15)",UPPER(TRIM(CLEAN(SUBSTITUTE(INDEX(rate_ID,MOD($AO120,100))&amp;""," "," "))))))</f>
        <v/>
      </c>
      <c r="P120" s="10">
        <f>IF($L120&lt;&gt;"Y","",IF($AO120=0,IF(UPPER(TRIM(CLEAN(SUBSTITUTE(act_DefaultBase&amp;""," "," "))))="PART","PART","FULL"),IF(UPPER(TRIM(CLEAN(SUBSTITUTE(INDEX(rate_Base,MOD($AO120,100))&amp;""," "," "))))="PART","PART","FULL")))</f>
        <v/>
      </c>
      <c r="Q120" s="17">
        <f>IF($A120="","",N(Items!J120))</f>
        <v/>
      </c>
      <c r="R120" s="17">
        <f>IF($A120="","",IF($L120&lt;&gt;"Y",0,IF($AO120=0,N(act_Rate),N(INDEX(rate_Rate,MOD($AO120,100))))))</f>
        <v/>
      </c>
      <c r="S120" s="17">
        <f>IF($A120="","",IF($L120&lt;&gt;"Y",0,IF($AO120=0,IF(UPPER(TRIM(CLEAN(SUBSTITUTE(act_RateType&amp;""," "," "))))="REPLACE",N(act_PriorRate),0),IF(ISNUMBER(INDEX(rate_Prior,MOD($AO120,100))),INDEX(rate_Prior,MOD($AO120,100)),IF(UPPER(TRIM(CLEAN(SUBSTITUTE(act_RateType&amp;""," "," "))))="REPLACE",N(act_PriorRate),0)))))</f>
        <v/>
      </c>
      <c r="T120" s="17">
        <f>IF($A120="","",IF(AND($L120="Y",$P120="PART",ISNUMBER(Items!M120)),Items!M120,1))</f>
        <v/>
      </c>
      <c r="U120" s="17">
        <f>IF($A120="","",IF($L120&lt;&gt;"Y",0,IF($AQ120&gt;0,IF(ISNUMBER(INDEX(det_Displaced,$AQ120)),INDEX(det_Displaced,$AQ120),IF($AO120=0,0,N(INDEX(rate_Displaced,MOD($AO120,100))))),IF($AO120=0,0,N(INDEX(rate_Displaced,MOD($AO120,100)))))))</f>
        <v/>
      </c>
      <c r="V120" s="17">
        <f>IF($A120="","",IF($L120="Y",$Q120+$T120*($R120-$S120)-$U120,$Q120))</f>
        <v/>
      </c>
      <c r="W120" s="18">
        <f>IF($A120="","",N(Items!H120)*$Q120)</f>
        <v/>
      </c>
      <c r="X120" s="18">
        <f>IF($A120="","",N(Items!H120)*$V120)</f>
        <v/>
      </c>
      <c r="Y120" s="18">
        <f>IF($A120="","",$X120-$W120)</f>
        <v/>
      </c>
      <c r="Z120" s="18">
        <f>IF($A120="","",N(Items!K120)+$Y120)</f>
        <v/>
      </c>
      <c r="AA120" s="17">
        <f>IF($A120="","",IF(N(Items!L120)=0,"",(N(Items!L120)-N(Items!K120))/N(Items!L120)))</f>
        <v/>
      </c>
      <c r="AB120" s="17">
        <f>IF($A120="","",IF(N(Items!L120)=0,"",(N(Items!L120)-$Z120)/N(Items!L120)))</f>
        <v/>
      </c>
      <c r="AC120" s="17">
        <f>IF(OR($AA120="",$AB120=""),"",$AB120-$AA120)</f>
        <v/>
      </c>
      <c r="AD120" s="13">
        <f>IF($A120="","",N(Items!I120))</f>
        <v/>
      </c>
      <c r="AE120" s="19">
        <f>IF($A120="","",$Y120*$AD120)</f>
        <v/>
      </c>
      <c r="AF120" s="10">
        <f>IF($A120="","",IF(N(Items!L120)&gt;0,"Y","N"))</f>
        <v/>
      </c>
      <c r="AG120" s="19">
        <f>IF($A120="","",IF($AF120="Y",N(Items!L120)*$AD120,0))</f>
        <v/>
      </c>
      <c r="AH120" s="19">
        <f>IF($A120="","",IF($AF120="Y",(N(Items!L120)-N(Items!K120))*$AD120,0))</f>
        <v/>
      </c>
      <c r="AI120" s="19">
        <f>IF($A120="","",IF($AF120="Y",$AH120-$AE120,0))</f>
        <v/>
      </c>
      <c r="AJ120" s="10">
        <f>IF($A120="","",IF(COUNTIF($AL$5:$AL$254,$AL120)&gt;1,"CHECK: duplicate item and import country",IF(TRIM(CLEAN(SUBSTITUTE(Items!C120&amp;""," "," ")))="","CHECK: import country missing",IF(AND(UPPER(TRIM(CLEAN(SUBSTITUTE(Items!C120&amp;""," "," "))))&lt;&gt;"US",UPPER(TRIM(CLEAN(SUBSTITUTE(Items!C120&amp;""," "," "))))&lt;&gt;"CA",UPPER(TRIM(CLEAN(SUBSTITUTE(Items!C120&amp;""," "," "))))&lt;&gt;"MX"),"CHECK: import country must be US, CA or MX",IF(NOT(AND(LEN($C120)=10,IFERROR(TEXT(VALUE($C120),REPT("0",LEN($C120)))=$C120,FALSE))),"CHECK: HTS must be 10 digits",IF(LEN($E120)&lt;&gt;2,"CHECK: origin code missing or not 2 letters",IF(TRIM(CLEAN(SUBSTITUTE(Items!G120&amp;""," "," ")))="","CHECK: unit of measure missing",IF(OR(Items!H120="",Items!J120="",Items!K120=""),"CHECK: value, rate or cost missing",IF(OR(NOT(ISNUMBER(Items!H120)),NOT(ISNUMBER(Items!J120)),NOT(ISNUMBER(Items!K120)),AND(Items!I120&lt;&gt;"",NOT(ISNUMBER(Items!I120))),AND(Items!L120&lt;&gt;"",NOT(ISNUMBER(Items!L120))),AND(Items!M120&lt;&gt;"",NOT(ISNUMBER(Items!M120)))),"CHECK: text in a number column",IF(AND(ISNUMBER(Items!M120),OR(N(Items!M120)&lt;0,N(Items!M120)&gt;1)),"CHECK: dutiable share must be 0% to 100%",IF(AND(UPPER(TRIM(CLEAN(SUBSTITUTE(Items!F120&amp;""," "," "))))&lt;&gt;"",UPPER(TRIM(CLEAN(SUBSTITUTE(Items!F120&amp;""," "," "))))&lt;&gt;"Y",UPPER(TRIM(CLEAN(SUBSTITUTE(Items!F120&amp;""," "," "))))&lt;&gt;"N"),"CHECK: USMCA flag must be Y, N or blank",IF(AND(UPPER(TRIM(CLEAN(SUBSTITUTE(Items!F120&amp;""," "," "))))="Y",$E120&lt;&gt;"US",$E120&lt;&gt;"CA",$E120&lt;&gt;"MX"),"CHECK: USMCA flag on an origin other than US, CA or MX",IF(AND($L120="Y",$AO120=0,NOT(ISNUMBER(act_Rate))),"CHECK: in scope but no rate (add a rate line or B15)",IF(AND($L120="Y",UPPER(TRIM(CLEAN(SUBSTITUTE(act_RateType&amp;""," "," "))))="REPLACE",NOT(ISNUMBER(act_PriorRate)),IF($AO120=0,TRUE,NOT(ISNUMBER(INDEX(rate_Prior,MOD($AO120,100)))))),"CHECK: REPLACE but no earlier rate (B17 or the rate line's AD)",IF(AND($L120="Y",$AP120&gt;1),"CHECK: two rate lines match equally",IF(AND($L120="Y",$AN120&gt;1),"CHECK: HTS prefix listed twice on the scope list",IF(AND($L120="Y",$P120="PART",NOT(ISNUMBER(Items!M120))),"CHECK: dutiable share missing (PART base)",IF(AND($L120="Y",$P120="FULL",ISNUMBER(Items!M120),N(Items!M120)&lt;&gt;1),"CHECK: dutiable share entered, but the rate taxes the full value",IF(AND($L120="Y",$Q120+0.0000001&lt;$T120*$S120+$U120),"CHECK: current rate is below the duty being replaced or displaced",IF(AND($L120="Y",$AD120=0),"NOTE: in scope, no quantity",IF(AND($L120="Y",$AF120="N"),"NOTE: in scope, no sell price (left out of margin %)",IF(AND($L120="Y",N(Items!H120)&gt;N(Items!K120)),"NOTE: customs value above standard cost (check unit of measure)",IF(AND($L120="Y",$Q120&gt;1),"NOTE: current rate above 100% (check it was entered as a percentage)","OK")))))))))))))))))))))))</f>
        <v/>
      </c>
      <c r="AK120" s="20">
        <f>IF($A120="","",IF(AND($L120="Y",$AE120&lt;&gt;0),ABS($AE120)+ROW()/1000000000,""))</f>
        <v/>
      </c>
      <c r="AL120" s="10">
        <f>IF($A120="","",UPPER($A120)&amp;"/"&amp;UPPER(TRIM(CLEAN(SUBSTITUTE(Items!C120&amp;""," "," ")))))</f>
        <v/>
      </c>
      <c r="AM120" s="13">
        <f>IF($A120="",0,SUMPRODUCT(MAX((scope_HTS&lt;&gt;"")*(LEFT($C120,LEN(scope_HTS))=scope_HTS)*(LEN(scope_HTS)*1000+ROW(scope_HTS)-4))))</f>
        <v/>
      </c>
      <c r="AN120" s="13">
        <f>IF($AM120=0,0,SUMPRODUCT((scope_HTS&lt;&gt;"")*(LEFT($C120,LEN(scope_HTS))=scope_HTS)*(LEN(scope_HTS)=INT($AM120/1000))))</f>
        <v/>
      </c>
      <c r="AO120" s="13">
        <f>IF($L120&lt;&gt;"Y",0,SUMPRODUCT(MAX(ISNUMBER(rate_Rate)*((UPPER(TRIM(CLEAN(SUBSTITUTE(rate_Group&amp;""," "," "))))="")+(UPPER(TRIM(CLEAN(SUBSTITUTE(rate_Group&amp;""," "," "))))=$N120)&gt;0)*((UPPER(TRIM(CLEAN(SUBSTITUTE(rate_COO&amp;""," "," "))))="")+(UPPER(TRIM(CLEAN(SUBSTITUTE(rate_COO&amp;""," "," "))))=$E120)&gt;0)*((UPPER(TRIM(CLEAN(SUBSTITUTE(rate_USMCA&amp;""," "," "))))="")+(UPPER(TRIM(CLEAN(SUBSTITUTE(rate_USMCA&amp;""," "," "))))=IF(UPPER(TRIM(CLEAN(SUBSTITUTE(Items!F120&amp;""," "," "))))="Y","Y","N"))&gt;0)*((1+(UPPER(TRIM(CLEAN(SUBSTITUTE(rate_Group&amp;""," "," "))))&lt;&gt;"")+2*(UPPER(TRIM(CLEAN(SUBSTITUTE(rate_USMCA&amp;""," "," "))))&lt;&gt;"")+4*(UPPER(TRIM(CLEAN(SUBSTITUTE(rate_COO&amp;""," "," "))))&lt;&gt;""))*100+ROW(rate_Rate)-4))))</f>
        <v/>
      </c>
      <c r="AP120" s="13">
        <f>IF($AO120=0,0,SUMPRODUCT(ISNUMBER(rate_Rate)*((UPPER(TRIM(CLEAN(SUBSTITUTE(rate_Group&amp;""," "," "))))="")+(UPPER(TRIM(CLEAN(SUBSTITUTE(rate_Group&amp;""," "," "))))=$N120)&gt;0)*((UPPER(TRIM(CLEAN(SUBSTITUTE(rate_COO&amp;""," "," "))))="")+(UPPER(TRIM(CLEAN(SUBSTITUTE(rate_COO&amp;""," "," "))))=$E120)&gt;0)*((UPPER(TRIM(CLEAN(SUBSTITUTE(rate_USMCA&amp;""," "," "))))="")+(UPPER(TRIM(CLEAN(SUBSTITUTE(rate_USMCA&amp;""," "," "))))=IF(UPPER(TRIM(CLEAN(SUBSTITUTE(Items!F120&amp;""," "," "))))="Y","Y","N"))&gt;0)*((1+(UPPER(TRIM(CLEAN(SUBSTITUTE(rate_Group&amp;""," "," "))))&lt;&gt;"")+2*(UPPER(TRIM(CLEAN(SUBSTITUTE(rate_USMCA&amp;""," "," "))))&lt;&gt;"")+4*(UPPER(TRIM(CLEAN(SUBSTITUTE(rate_COO&amp;""," "," "))))&lt;&gt;""))=INT($AO120/100))))</f>
        <v/>
      </c>
      <c r="AQ120" s="13">
        <f>IF($A120="",0,IFERROR(MATCH($AL120,det_Key,0),0))</f>
        <v/>
      </c>
    </row>
    <row r="121">
      <c r="A121" s="10">
        <f>IF(TRIM(CLEAN(SUBSTITUTE(Items!A121&amp;""," "," ")))="","",TRIM(CLEAN(SUBSTITUTE(Items!A121&amp;""," "," "))))</f>
        <v/>
      </c>
      <c r="B121" s="10">
        <f>IF($A121="","",Items!B121&amp;"")</f>
        <v/>
      </c>
      <c r="C121" s="10">
        <f>IF($A121="","",SUBSTITUTE(SUBSTITUTE(SUBSTITUTE(SUBSTITUTE(CLEAN(Items!D121&amp;"")," ",""),".","")," ",""),"-",""))</f>
        <v/>
      </c>
      <c r="D121" s="10">
        <f>IF($A121="","",LEFT($C121,2))</f>
        <v/>
      </c>
      <c r="E121" s="10">
        <f>IF($A121="","",UPPER(TRIM(CLEAN(SUBSTITUTE(Items!E121&amp;""," "," ")))))</f>
        <v/>
      </c>
      <c r="F121" s="10">
        <f>IF($A121="","",IF(UPPER(TRIM(CLEAN(SUBSTITUTE(Items!C121&amp;""," "," "))))=UPPER(TRIM(CLEAN(SUBSTITUTE(act_Country&amp;""," "," ")))),"Y","N"))</f>
        <v/>
      </c>
      <c r="G121" s="10">
        <f>IF($A121="","",IF($AM121&gt;0,"Y","N"))</f>
        <v/>
      </c>
      <c r="H121" s="10">
        <f>IF($A121="","",IF(SUMPRODUCT((excl_HTS&lt;&gt;"")*(LEFT($C121,LEN(excl_HTS))=excl_HTS))&gt;0,"Y","N"))</f>
        <v/>
      </c>
      <c r="I121" s="10">
        <f>IF($A121="","",IF($E121="","N",IF(SUMPRODUCT(--(UPPER(TRIM(CLEAN(SUBSTITUTE(scope_COO&amp;""," "," "))))=$E121))&gt;0,"Y","N")))</f>
        <v/>
      </c>
      <c r="J121" s="10">
        <f>IF($A121="","",IF(AND(UPPER(TRIM(CLEAN(SUBSTITUTE(act_USMCAExempt&amp;""," "," "))))="Y",UPPER(TRIM(CLEAN(SUBSTITUTE(Items!F121&amp;""," "," "))))="Y"),"Y","N"))</f>
        <v/>
      </c>
      <c r="K121" s="10">
        <f>IF($A121="","",IF($AQ121=0,"",UPPER(TRIM(CLEAN(SUBSTITUTE(INDEX(det_Status,$AQ121)&amp;""," "," "))))))</f>
        <v/>
      </c>
      <c r="L121" s="10">
        <f>IF($A121="","",IF($F121="N","N",IF($K121="IN","Y",IF($K121="OUT","N",IF(AND($G121="Y",$H121="N",$I121="Y",$J121="N"),"Y","N")))))</f>
        <v/>
      </c>
      <c r="M121" s="10">
        <f>IF($A121="","",IF($F121="N","Out: different import country",IF($K121="IN","In: Research determination",IF($K121="OUT","Out: Research determination",IF($G121="N","Out: HTS not on scope list",IF($H121="Y","Out: HTS on exclusion list",IF($I121="N","Out: origin not on scope list",IF($J121="Y","Out: USMCA-qualifying, exempt","In: matches scope rules"))))))))</f>
        <v/>
      </c>
      <c r="N121" s="10">
        <f>IF(OR($A121="",$AM121=0),"",UPPER(TRIM(CLEAN(SUBSTITUTE(INDEX(scope_Group,MOD($AM121,1000))&amp;""," "," ")))))</f>
        <v/>
      </c>
      <c r="O121" s="10">
        <f>IF($L121&lt;&gt;"Y","",IF($AO121=0,"Default (B15)",UPPER(TRIM(CLEAN(SUBSTITUTE(INDEX(rate_ID,MOD($AO121,100))&amp;""," "," "))))))</f>
        <v/>
      </c>
      <c r="P121" s="10">
        <f>IF($L121&lt;&gt;"Y","",IF($AO121=0,IF(UPPER(TRIM(CLEAN(SUBSTITUTE(act_DefaultBase&amp;""," "," "))))="PART","PART","FULL"),IF(UPPER(TRIM(CLEAN(SUBSTITUTE(INDEX(rate_Base,MOD($AO121,100))&amp;""," "," "))))="PART","PART","FULL")))</f>
        <v/>
      </c>
      <c r="Q121" s="17">
        <f>IF($A121="","",N(Items!J121))</f>
        <v/>
      </c>
      <c r="R121" s="17">
        <f>IF($A121="","",IF($L121&lt;&gt;"Y",0,IF($AO121=0,N(act_Rate),N(INDEX(rate_Rate,MOD($AO121,100))))))</f>
        <v/>
      </c>
      <c r="S121" s="17">
        <f>IF($A121="","",IF($L121&lt;&gt;"Y",0,IF($AO121=0,IF(UPPER(TRIM(CLEAN(SUBSTITUTE(act_RateType&amp;""," "," "))))="REPLACE",N(act_PriorRate),0),IF(ISNUMBER(INDEX(rate_Prior,MOD($AO121,100))),INDEX(rate_Prior,MOD($AO121,100)),IF(UPPER(TRIM(CLEAN(SUBSTITUTE(act_RateType&amp;""," "," "))))="REPLACE",N(act_PriorRate),0)))))</f>
        <v/>
      </c>
      <c r="T121" s="17">
        <f>IF($A121="","",IF(AND($L121="Y",$P121="PART",ISNUMBER(Items!M121)),Items!M121,1))</f>
        <v/>
      </c>
      <c r="U121" s="17">
        <f>IF($A121="","",IF($L121&lt;&gt;"Y",0,IF($AQ121&gt;0,IF(ISNUMBER(INDEX(det_Displaced,$AQ121)),INDEX(det_Displaced,$AQ121),IF($AO121=0,0,N(INDEX(rate_Displaced,MOD($AO121,100))))),IF($AO121=0,0,N(INDEX(rate_Displaced,MOD($AO121,100)))))))</f>
        <v/>
      </c>
      <c r="V121" s="17">
        <f>IF($A121="","",IF($L121="Y",$Q121+$T121*($R121-$S121)-$U121,$Q121))</f>
        <v/>
      </c>
      <c r="W121" s="18">
        <f>IF($A121="","",N(Items!H121)*$Q121)</f>
        <v/>
      </c>
      <c r="X121" s="18">
        <f>IF($A121="","",N(Items!H121)*$V121)</f>
        <v/>
      </c>
      <c r="Y121" s="18">
        <f>IF($A121="","",$X121-$W121)</f>
        <v/>
      </c>
      <c r="Z121" s="18">
        <f>IF($A121="","",N(Items!K121)+$Y121)</f>
        <v/>
      </c>
      <c r="AA121" s="17">
        <f>IF($A121="","",IF(N(Items!L121)=0,"",(N(Items!L121)-N(Items!K121))/N(Items!L121)))</f>
        <v/>
      </c>
      <c r="AB121" s="17">
        <f>IF($A121="","",IF(N(Items!L121)=0,"",(N(Items!L121)-$Z121)/N(Items!L121)))</f>
        <v/>
      </c>
      <c r="AC121" s="17">
        <f>IF(OR($AA121="",$AB121=""),"",$AB121-$AA121)</f>
        <v/>
      </c>
      <c r="AD121" s="13">
        <f>IF($A121="","",N(Items!I121))</f>
        <v/>
      </c>
      <c r="AE121" s="19">
        <f>IF($A121="","",$Y121*$AD121)</f>
        <v/>
      </c>
      <c r="AF121" s="10">
        <f>IF($A121="","",IF(N(Items!L121)&gt;0,"Y","N"))</f>
        <v/>
      </c>
      <c r="AG121" s="19">
        <f>IF($A121="","",IF($AF121="Y",N(Items!L121)*$AD121,0))</f>
        <v/>
      </c>
      <c r="AH121" s="19">
        <f>IF($A121="","",IF($AF121="Y",(N(Items!L121)-N(Items!K121))*$AD121,0))</f>
        <v/>
      </c>
      <c r="AI121" s="19">
        <f>IF($A121="","",IF($AF121="Y",$AH121-$AE121,0))</f>
        <v/>
      </c>
      <c r="AJ121" s="10">
        <f>IF($A121="","",IF(COUNTIF($AL$5:$AL$254,$AL121)&gt;1,"CHECK: duplicate item and import country",IF(TRIM(CLEAN(SUBSTITUTE(Items!C121&amp;""," "," ")))="","CHECK: import country missing",IF(AND(UPPER(TRIM(CLEAN(SUBSTITUTE(Items!C121&amp;""," "," "))))&lt;&gt;"US",UPPER(TRIM(CLEAN(SUBSTITUTE(Items!C121&amp;""," "," "))))&lt;&gt;"CA",UPPER(TRIM(CLEAN(SUBSTITUTE(Items!C121&amp;""," "," "))))&lt;&gt;"MX"),"CHECK: import country must be US, CA or MX",IF(NOT(AND(LEN($C121)=10,IFERROR(TEXT(VALUE($C121),REPT("0",LEN($C121)))=$C121,FALSE))),"CHECK: HTS must be 10 digits",IF(LEN($E121)&lt;&gt;2,"CHECK: origin code missing or not 2 letters",IF(TRIM(CLEAN(SUBSTITUTE(Items!G121&amp;""," "," ")))="","CHECK: unit of measure missing",IF(OR(Items!H121="",Items!J121="",Items!K121=""),"CHECK: value, rate or cost missing",IF(OR(NOT(ISNUMBER(Items!H121)),NOT(ISNUMBER(Items!J121)),NOT(ISNUMBER(Items!K121)),AND(Items!I121&lt;&gt;"",NOT(ISNUMBER(Items!I121))),AND(Items!L121&lt;&gt;"",NOT(ISNUMBER(Items!L121))),AND(Items!M121&lt;&gt;"",NOT(ISNUMBER(Items!M121)))),"CHECK: text in a number column",IF(AND(ISNUMBER(Items!M121),OR(N(Items!M121)&lt;0,N(Items!M121)&gt;1)),"CHECK: dutiable share must be 0% to 100%",IF(AND(UPPER(TRIM(CLEAN(SUBSTITUTE(Items!F121&amp;""," "," "))))&lt;&gt;"",UPPER(TRIM(CLEAN(SUBSTITUTE(Items!F121&amp;""," "," "))))&lt;&gt;"Y",UPPER(TRIM(CLEAN(SUBSTITUTE(Items!F121&amp;""," "," "))))&lt;&gt;"N"),"CHECK: USMCA flag must be Y, N or blank",IF(AND(UPPER(TRIM(CLEAN(SUBSTITUTE(Items!F121&amp;""," "," "))))="Y",$E121&lt;&gt;"US",$E121&lt;&gt;"CA",$E121&lt;&gt;"MX"),"CHECK: USMCA flag on an origin other than US, CA or MX",IF(AND($L121="Y",$AO121=0,NOT(ISNUMBER(act_Rate))),"CHECK: in scope but no rate (add a rate line or B15)",IF(AND($L121="Y",UPPER(TRIM(CLEAN(SUBSTITUTE(act_RateType&amp;""," "," "))))="REPLACE",NOT(ISNUMBER(act_PriorRate)),IF($AO121=0,TRUE,NOT(ISNUMBER(INDEX(rate_Prior,MOD($AO121,100)))))),"CHECK: REPLACE but no earlier rate (B17 or the rate line's AD)",IF(AND($L121="Y",$AP121&gt;1),"CHECK: two rate lines match equally",IF(AND($L121="Y",$AN121&gt;1),"CHECK: HTS prefix listed twice on the scope list",IF(AND($L121="Y",$P121="PART",NOT(ISNUMBER(Items!M121))),"CHECK: dutiable share missing (PART base)",IF(AND($L121="Y",$P121="FULL",ISNUMBER(Items!M121),N(Items!M121)&lt;&gt;1),"CHECK: dutiable share entered, but the rate taxes the full value",IF(AND($L121="Y",$Q121+0.0000001&lt;$T121*$S121+$U121),"CHECK: current rate is below the duty being replaced or displaced",IF(AND($L121="Y",$AD121=0),"NOTE: in scope, no quantity",IF(AND($L121="Y",$AF121="N"),"NOTE: in scope, no sell price (left out of margin %)",IF(AND($L121="Y",N(Items!H121)&gt;N(Items!K121)),"NOTE: customs value above standard cost (check unit of measure)",IF(AND($L121="Y",$Q121&gt;1),"NOTE: current rate above 100% (check it was entered as a percentage)","OK")))))))))))))))))))))))</f>
        <v/>
      </c>
      <c r="AK121" s="20">
        <f>IF($A121="","",IF(AND($L121="Y",$AE121&lt;&gt;0),ABS($AE121)+ROW()/1000000000,""))</f>
        <v/>
      </c>
      <c r="AL121" s="10">
        <f>IF($A121="","",UPPER($A121)&amp;"/"&amp;UPPER(TRIM(CLEAN(SUBSTITUTE(Items!C121&amp;""," "," ")))))</f>
        <v/>
      </c>
      <c r="AM121" s="13">
        <f>IF($A121="",0,SUMPRODUCT(MAX((scope_HTS&lt;&gt;"")*(LEFT($C121,LEN(scope_HTS))=scope_HTS)*(LEN(scope_HTS)*1000+ROW(scope_HTS)-4))))</f>
        <v/>
      </c>
      <c r="AN121" s="13">
        <f>IF($AM121=0,0,SUMPRODUCT((scope_HTS&lt;&gt;"")*(LEFT($C121,LEN(scope_HTS))=scope_HTS)*(LEN(scope_HTS)=INT($AM121/1000))))</f>
        <v/>
      </c>
      <c r="AO121" s="13">
        <f>IF($L121&lt;&gt;"Y",0,SUMPRODUCT(MAX(ISNUMBER(rate_Rate)*((UPPER(TRIM(CLEAN(SUBSTITUTE(rate_Group&amp;""," "," "))))="")+(UPPER(TRIM(CLEAN(SUBSTITUTE(rate_Group&amp;""," "," "))))=$N121)&gt;0)*((UPPER(TRIM(CLEAN(SUBSTITUTE(rate_COO&amp;""," "," "))))="")+(UPPER(TRIM(CLEAN(SUBSTITUTE(rate_COO&amp;""," "," "))))=$E121)&gt;0)*((UPPER(TRIM(CLEAN(SUBSTITUTE(rate_USMCA&amp;""," "," "))))="")+(UPPER(TRIM(CLEAN(SUBSTITUTE(rate_USMCA&amp;""," "," "))))=IF(UPPER(TRIM(CLEAN(SUBSTITUTE(Items!F121&amp;""," "," "))))="Y","Y","N"))&gt;0)*((1+(UPPER(TRIM(CLEAN(SUBSTITUTE(rate_Group&amp;""," "," "))))&lt;&gt;"")+2*(UPPER(TRIM(CLEAN(SUBSTITUTE(rate_USMCA&amp;""," "," "))))&lt;&gt;"")+4*(UPPER(TRIM(CLEAN(SUBSTITUTE(rate_COO&amp;""," "," "))))&lt;&gt;""))*100+ROW(rate_Rate)-4))))</f>
        <v/>
      </c>
      <c r="AP121" s="13">
        <f>IF($AO121=0,0,SUMPRODUCT(ISNUMBER(rate_Rate)*((UPPER(TRIM(CLEAN(SUBSTITUTE(rate_Group&amp;""," "," "))))="")+(UPPER(TRIM(CLEAN(SUBSTITUTE(rate_Group&amp;""," "," "))))=$N121)&gt;0)*((UPPER(TRIM(CLEAN(SUBSTITUTE(rate_COO&amp;""," "," "))))="")+(UPPER(TRIM(CLEAN(SUBSTITUTE(rate_COO&amp;""," "," "))))=$E121)&gt;0)*((UPPER(TRIM(CLEAN(SUBSTITUTE(rate_USMCA&amp;""," "," "))))="")+(UPPER(TRIM(CLEAN(SUBSTITUTE(rate_USMCA&amp;""," "," "))))=IF(UPPER(TRIM(CLEAN(SUBSTITUTE(Items!F121&amp;""," "," "))))="Y","Y","N"))&gt;0)*((1+(UPPER(TRIM(CLEAN(SUBSTITUTE(rate_Group&amp;""," "," "))))&lt;&gt;"")+2*(UPPER(TRIM(CLEAN(SUBSTITUTE(rate_USMCA&amp;""," "," "))))&lt;&gt;"")+4*(UPPER(TRIM(CLEAN(SUBSTITUTE(rate_COO&amp;""," "," "))))&lt;&gt;""))=INT($AO121/100))))</f>
        <v/>
      </c>
      <c r="AQ121" s="13">
        <f>IF($A121="",0,IFERROR(MATCH($AL121,det_Key,0),0))</f>
        <v/>
      </c>
    </row>
    <row r="122">
      <c r="A122" s="10">
        <f>IF(TRIM(CLEAN(SUBSTITUTE(Items!A122&amp;""," "," ")))="","",TRIM(CLEAN(SUBSTITUTE(Items!A122&amp;""," "," "))))</f>
        <v/>
      </c>
      <c r="B122" s="10">
        <f>IF($A122="","",Items!B122&amp;"")</f>
        <v/>
      </c>
      <c r="C122" s="10">
        <f>IF($A122="","",SUBSTITUTE(SUBSTITUTE(SUBSTITUTE(SUBSTITUTE(CLEAN(Items!D122&amp;"")," ",""),".","")," ",""),"-",""))</f>
        <v/>
      </c>
      <c r="D122" s="10">
        <f>IF($A122="","",LEFT($C122,2))</f>
        <v/>
      </c>
      <c r="E122" s="10">
        <f>IF($A122="","",UPPER(TRIM(CLEAN(SUBSTITUTE(Items!E122&amp;""," "," ")))))</f>
        <v/>
      </c>
      <c r="F122" s="10">
        <f>IF($A122="","",IF(UPPER(TRIM(CLEAN(SUBSTITUTE(Items!C122&amp;""," "," "))))=UPPER(TRIM(CLEAN(SUBSTITUTE(act_Country&amp;""," "," ")))),"Y","N"))</f>
        <v/>
      </c>
      <c r="G122" s="10">
        <f>IF($A122="","",IF($AM122&gt;0,"Y","N"))</f>
        <v/>
      </c>
      <c r="H122" s="10">
        <f>IF($A122="","",IF(SUMPRODUCT((excl_HTS&lt;&gt;"")*(LEFT($C122,LEN(excl_HTS))=excl_HTS))&gt;0,"Y","N"))</f>
        <v/>
      </c>
      <c r="I122" s="10">
        <f>IF($A122="","",IF($E122="","N",IF(SUMPRODUCT(--(UPPER(TRIM(CLEAN(SUBSTITUTE(scope_COO&amp;""," "," "))))=$E122))&gt;0,"Y","N")))</f>
        <v/>
      </c>
      <c r="J122" s="10">
        <f>IF($A122="","",IF(AND(UPPER(TRIM(CLEAN(SUBSTITUTE(act_USMCAExempt&amp;""," "," "))))="Y",UPPER(TRIM(CLEAN(SUBSTITUTE(Items!F122&amp;""," "," "))))="Y"),"Y","N"))</f>
        <v/>
      </c>
      <c r="K122" s="10">
        <f>IF($A122="","",IF($AQ122=0,"",UPPER(TRIM(CLEAN(SUBSTITUTE(INDEX(det_Status,$AQ122)&amp;""," "," "))))))</f>
        <v/>
      </c>
      <c r="L122" s="10">
        <f>IF($A122="","",IF($F122="N","N",IF($K122="IN","Y",IF($K122="OUT","N",IF(AND($G122="Y",$H122="N",$I122="Y",$J122="N"),"Y","N")))))</f>
        <v/>
      </c>
      <c r="M122" s="10">
        <f>IF($A122="","",IF($F122="N","Out: different import country",IF($K122="IN","In: Research determination",IF($K122="OUT","Out: Research determination",IF($G122="N","Out: HTS not on scope list",IF($H122="Y","Out: HTS on exclusion list",IF($I122="N","Out: origin not on scope list",IF($J122="Y","Out: USMCA-qualifying, exempt","In: matches scope rules"))))))))</f>
        <v/>
      </c>
      <c r="N122" s="10">
        <f>IF(OR($A122="",$AM122=0),"",UPPER(TRIM(CLEAN(SUBSTITUTE(INDEX(scope_Group,MOD($AM122,1000))&amp;""," "," ")))))</f>
        <v/>
      </c>
      <c r="O122" s="10">
        <f>IF($L122&lt;&gt;"Y","",IF($AO122=0,"Default (B15)",UPPER(TRIM(CLEAN(SUBSTITUTE(INDEX(rate_ID,MOD($AO122,100))&amp;""," "," "))))))</f>
        <v/>
      </c>
      <c r="P122" s="10">
        <f>IF($L122&lt;&gt;"Y","",IF($AO122=0,IF(UPPER(TRIM(CLEAN(SUBSTITUTE(act_DefaultBase&amp;""," "," "))))="PART","PART","FULL"),IF(UPPER(TRIM(CLEAN(SUBSTITUTE(INDEX(rate_Base,MOD($AO122,100))&amp;""," "," "))))="PART","PART","FULL")))</f>
        <v/>
      </c>
      <c r="Q122" s="17">
        <f>IF($A122="","",N(Items!J122))</f>
        <v/>
      </c>
      <c r="R122" s="17">
        <f>IF($A122="","",IF($L122&lt;&gt;"Y",0,IF($AO122=0,N(act_Rate),N(INDEX(rate_Rate,MOD($AO122,100))))))</f>
        <v/>
      </c>
      <c r="S122" s="17">
        <f>IF($A122="","",IF($L122&lt;&gt;"Y",0,IF($AO122=0,IF(UPPER(TRIM(CLEAN(SUBSTITUTE(act_RateType&amp;""," "," "))))="REPLACE",N(act_PriorRate),0),IF(ISNUMBER(INDEX(rate_Prior,MOD($AO122,100))),INDEX(rate_Prior,MOD($AO122,100)),IF(UPPER(TRIM(CLEAN(SUBSTITUTE(act_RateType&amp;""," "," "))))="REPLACE",N(act_PriorRate),0)))))</f>
        <v/>
      </c>
      <c r="T122" s="17">
        <f>IF($A122="","",IF(AND($L122="Y",$P122="PART",ISNUMBER(Items!M122)),Items!M122,1))</f>
        <v/>
      </c>
      <c r="U122" s="17">
        <f>IF($A122="","",IF($L122&lt;&gt;"Y",0,IF($AQ122&gt;0,IF(ISNUMBER(INDEX(det_Displaced,$AQ122)),INDEX(det_Displaced,$AQ122),IF($AO122=0,0,N(INDEX(rate_Displaced,MOD($AO122,100))))),IF($AO122=0,0,N(INDEX(rate_Displaced,MOD($AO122,100)))))))</f>
        <v/>
      </c>
      <c r="V122" s="17">
        <f>IF($A122="","",IF($L122="Y",$Q122+$T122*($R122-$S122)-$U122,$Q122))</f>
        <v/>
      </c>
      <c r="W122" s="18">
        <f>IF($A122="","",N(Items!H122)*$Q122)</f>
        <v/>
      </c>
      <c r="X122" s="18">
        <f>IF($A122="","",N(Items!H122)*$V122)</f>
        <v/>
      </c>
      <c r="Y122" s="18">
        <f>IF($A122="","",$X122-$W122)</f>
        <v/>
      </c>
      <c r="Z122" s="18">
        <f>IF($A122="","",N(Items!K122)+$Y122)</f>
        <v/>
      </c>
      <c r="AA122" s="17">
        <f>IF($A122="","",IF(N(Items!L122)=0,"",(N(Items!L122)-N(Items!K122))/N(Items!L122)))</f>
        <v/>
      </c>
      <c r="AB122" s="17">
        <f>IF($A122="","",IF(N(Items!L122)=0,"",(N(Items!L122)-$Z122)/N(Items!L122)))</f>
        <v/>
      </c>
      <c r="AC122" s="17">
        <f>IF(OR($AA122="",$AB122=""),"",$AB122-$AA122)</f>
        <v/>
      </c>
      <c r="AD122" s="13">
        <f>IF($A122="","",N(Items!I122))</f>
        <v/>
      </c>
      <c r="AE122" s="19">
        <f>IF($A122="","",$Y122*$AD122)</f>
        <v/>
      </c>
      <c r="AF122" s="10">
        <f>IF($A122="","",IF(N(Items!L122)&gt;0,"Y","N"))</f>
        <v/>
      </c>
      <c r="AG122" s="19">
        <f>IF($A122="","",IF($AF122="Y",N(Items!L122)*$AD122,0))</f>
        <v/>
      </c>
      <c r="AH122" s="19">
        <f>IF($A122="","",IF($AF122="Y",(N(Items!L122)-N(Items!K122))*$AD122,0))</f>
        <v/>
      </c>
      <c r="AI122" s="19">
        <f>IF($A122="","",IF($AF122="Y",$AH122-$AE122,0))</f>
        <v/>
      </c>
      <c r="AJ122" s="10">
        <f>IF($A122="","",IF(COUNTIF($AL$5:$AL$254,$AL122)&gt;1,"CHECK: duplicate item and import country",IF(TRIM(CLEAN(SUBSTITUTE(Items!C122&amp;""," "," ")))="","CHECK: import country missing",IF(AND(UPPER(TRIM(CLEAN(SUBSTITUTE(Items!C122&amp;""," "," "))))&lt;&gt;"US",UPPER(TRIM(CLEAN(SUBSTITUTE(Items!C122&amp;""," "," "))))&lt;&gt;"CA",UPPER(TRIM(CLEAN(SUBSTITUTE(Items!C122&amp;""," "," "))))&lt;&gt;"MX"),"CHECK: import country must be US, CA or MX",IF(NOT(AND(LEN($C122)=10,IFERROR(TEXT(VALUE($C122),REPT("0",LEN($C122)))=$C122,FALSE))),"CHECK: HTS must be 10 digits",IF(LEN($E122)&lt;&gt;2,"CHECK: origin code missing or not 2 letters",IF(TRIM(CLEAN(SUBSTITUTE(Items!G122&amp;""," "," ")))="","CHECK: unit of measure missing",IF(OR(Items!H122="",Items!J122="",Items!K122=""),"CHECK: value, rate or cost missing",IF(OR(NOT(ISNUMBER(Items!H122)),NOT(ISNUMBER(Items!J122)),NOT(ISNUMBER(Items!K122)),AND(Items!I122&lt;&gt;"",NOT(ISNUMBER(Items!I122))),AND(Items!L122&lt;&gt;"",NOT(ISNUMBER(Items!L122))),AND(Items!M122&lt;&gt;"",NOT(ISNUMBER(Items!M122)))),"CHECK: text in a number column",IF(AND(ISNUMBER(Items!M122),OR(N(Items!M122)&lt;0,N(Items!M122)&gt;1)),"CHECK: dutiable share must be 0% to 100%",IF(AND(UPPER(TRIM(CLEAN(SUBSTITUTE(Items!F122&amp;""," "," "))))&lt;&gt;"",UPPER(TRIM(CLEAN(SUBSTITUTE(Items!F122&amp;""," "," "))))&lt;&gt;"Y",UPPER(TRIM(CLEAN(SUBSTITUTE(Items!F122&amp;""," "," "))))&lt;&gt;"N"),"CHECK: USMCA flag must be Y, N or blank",IF(AND(UPPER(TRIM(CLEAN(SUBSTITUTE(Items!F122&amp;""," "," "))))="Y",$E122&lt;&gt;"US",$E122&lt;&gt;"CA",$E122&lt;&gt;"MX"),"CHECK: USMCA flag on an origin other than US, CA or MX",IF(AND($L122="Y",$AO122=0,NOT(ISNUMBER(act_Rate))),"CHECK: in scope but no rate (add a rate line or B15)",IF(AND($L122="Y",UPPER(TRIM(CLEAN(SUBSTITUTE(act_RateType&amp;""," "," "))))="REPLACE",NOT(ISNUMBER(act_PriorRate)),IF($AO122=0,TRUE,NOT(ISNUMBER(INDEX(rate_Prior,MOD($AO122,100)))))),"CHECK: REPLACE but no earlier rate (B17 or the rate line's AD)",IF(AND($L122="Y",$AP122&gt;1),"CHECK: two rate lines match equally",IF(AND($L122="Y",$AN122&gt;1),"CHECK: HTS prefix listed twice on the scope list",IF(AND($L122="Y",$P122="PART",NOT(ISNUMBER(Items!M122))),"CHECK: dutiable share missing (PART base)",IF(AND($L122="Y",$P122="FULL",ISNUMBER(Items!M122),N(Items!M122)&lt;&gt;1),"CHECK: dutiable share entered, but the rate taxes the full value",IF(AND($L122="Y",$Q122+0.0000001&lt;$T122*$S122+$U122),"CHECK: current rate is below the duty being replaced or displaced",IF(AND($L122="Y",$AD122=0),"NOTE: in scope, no quantity",IF(AND($L122="Y",$AF122="N"),"NOTE: in scope, no sell price (left out of margin %)",IF(AND($L122="Y",N(Items!H122)&gt;N(Items!K122)),"NOTE: customs value above standard cost (check unit of measure)",IF(AND($L122="Y",$Q122&gt;1),"NOTE: current rate above 100% (check it was entered as a percentage)","OK")))))))))))))))))))))))</f>
        <v/>
      </c>
      <c r="AK122" s="20">
        <f>IF($A122="","",IF(AND($L122="Y",$AE122&lt;&gt;0),ABS($AE122)+ROW()/1000000000,""))</f>
        <v/>
      </c>
      <c r="AL122" s="10">
        <f>IF($A122="","",UPPER($A122)&amp;"/"&amp;UPPER(TRIM(CLEAN(SUBSTITUTE(Items!C122&amp;""," "," ")))))</f>
        <v/>
      </c>
      <c r="AM122" s="13">
        <f>IF($A122="",0,SUMPRODUCT(MAX((scope_HTS&lt;&gt;"")*(LEFT($C122,LEN(scope_HTS))=scope_HTS)*(LEN(scope_HTS)*1000+ROW(scope_HTS)-4))))</f>
        <v/>
      </c>
      <c r="AN122" s="13">
        <f>IF($AM122=0,0,SUMPRODUCT((scope_HTS&lt;&gt;"")*(LEFT($C122,LEN(scope_HTS))=scope_HTS)*(LEN(scope_HTS)=INT($AM122/1000))))</f>
        <v/>
      </c>
      <c r="AO122" s="13">
        <f>IF($L122&lt;&gt;"Y",0,SUMPRODUCT(MAX(ISNUMBER(rate_Rate)*((UPPER(TRIM(CLEAN(SUBSTITUTE(rate_Group&amp;""," "," "))))="")+(UPPER(TRIM(CLEAN(SUBSTITUTE(rate_Group&amp;""," "," "))))=$N122)&gt;0)*((UPPER(TRIM(CLEAN(SUBSTITUTE(rate_COO&amp;""," "," "))))="")+(UPPER(TRIM(CLEAN(SUBSTITUTE(rate_COO&amp;""," "," "))))=$E122)&gt;0)*((UPPER(TRIM(CLEAN(SUBSTITUTE(rate_USMCA&amp;""," "," "))))="")+(UPPER(TRIM(CLEAN(SUBSTITUTE(rate_USMCA&amp;""," "," "))))=IF(UPPER(TRIM(CLEAN(SUBSTITUTE(Items!F122&amp;""," "," "))))="Y","Y","N"))&gt;0)*((1+(UPPER(TRIM(CLEAN(SUBSTITUTE(rate_Group&amp;""," "," "))))&lt;&gt;"")+2*(UPPER(TRIM(CLEAN(SUBSTITUTE(rate_USMCA&amp;""," "," "))))&lt;&gt;"")+4*(UPPER(TRIM(CLEAN(SUBSTITUTE(rate_COO&amp;""," "," "))))&lt;&gt;""))*100+ROW(rate_Rate)-4))))</f>
        <v/>
      </c>
      <c r="AP122" s="13">
        <f>IF($AO122=0,0,SUMPRODUCT(ISNUMBER(rate_Rate)*((UPPER(TRIM(CLEAN(SUBSTITUTE(rate_Group&amp;""," "," "))))="")+(UPPER(TRIM(CLEAN(SUBSTITUTE(rate_Group&amp;""," "," "))))=$N122)&gt;0)*((UPPER(TRIM(CLEAN(SUBSTITUTE(rate_COO&amp;""," "," "))))="")+(UPPER(TRIM(CLEAN(SUBSTITUTE(rate_COO&amp;""," "," "))))=$E122)&gt;0)*((UPPER(TRIM(CLEAN(SUBSTITUTE(rate_USMCA&amp;""," "," "))))="")+(UPPER(TRIM(CLEAN(SUBSTITUTE(rate_USMCA&amp;""," "," "))))=IF(UPPER(TRIM(CLEAN(SUBSTITUTE(Items!F122&amp;""," "," "))))="Y","Y","N"))&gt;0)*((1+(UPPER(TRIM(CLEAN(SUBSTITUTE(rate_Group&amp;""," "," "))))&lt;&gt;"")+2*(UPPER(TRIM(CLEAN(SUBSTITUTE(rate_USMCA&amp;""," "," "))))&lt;&gt;"")+4*(UPPER(TRIM(CLEAN(SUBSTITUTE(rate_COO&amp;""," "," "))))&lt;&gt;""))=INT($AO122/100))))</f>
        <v/>
      </c>
      <c r="AQ122" s="13">
        <f>IF($A122="",0,IFERROR(MATCH($AL122,det_Key,0),0))</f>
        <v/>
      </c>
    </row>
    <row r="123">
      <c r="A123" s="10">
        <f>IF(TRIM(CLEAN(SUBSTITUTE(Items!A123&amp;""," "," ")))="","",TRIM(CLEAN(SUBSTITUTE(Items!A123&amp;""," "," "))))</f>
        <v/>
      </c>
      <c r="B123" s="10">
        <f>IF($A123="","",Items!B123&amp;"")</f>
        <v/>
      </c>
      <c r="C123" s="10">
        <f>IF($A123="","",SUBSTITUTE(SUBSTITUTE(SUBSTITUTE(SUBSTITUTE(CLEAN(Items!D123&amp;"")," ",""),".","")," ",""),"-",""))</f>
        <v/>
      </c>
      <c r="D123" s="10">
        <f>IF($A123="","",LEFT($C123,2))</f>
        <v/>
      </c>
      <c r="E123" s="10">
        <f>IF($A123="","",UPPER(TRIM(CLEAN(SUBSTITUTE(Items!E123&amp;""," "," ")))))</f>
        <v/>
      </c>
      <c r="F123" s="10">
        <f>IF($A123="","",IF(UPPER(TRIM(CLEAN(SUBSTITUTE(Items!C123&amp;""," "," "))))=UPPER(TRIM(CLEAN(SUBSTITUTE(act_Country&amp;""," "," ")))),"Y","N"))</f>
        <v/>
      </c>
      <c r="G123" s="10">
        <f>IF($A123="","",IF($AM123&gt;0,"Y","N"))</f>
        <v/>
      </c>
      <c r="H123" s="10">
        <f>IF($A123="","",IF(SUMPRODUCT((excl_HTS&lt;&gt;"")*(LEFT($C123,LEN(excl_HTS))=excl_HTS))&gt;0,"Y","N"))</f>
        <v/>
      </c>
      <c r="I123" s="10">
        <f>IF($A123="","",IF($E123="","N",IF(SUMPRODUCT(--(UPPER(TRIM(CLEAN(SUBSTITUTE(scope_COO&amp;""," "," "))))=$E123))&gt;0,"Y","N")))</f>
        <v/>
      </c>
      <c r="J123" s="10">
        <f>IF($A123="","",IF(AND(UPPER(TRIM(CLEAN(SUBSTITUTE(act_USMCAExempt&amp;""," "," "))))="Y",UPPER(TRIM(CLEAN(SUBSTITUTE(Items!F123&amp;""," "," "))))="Y"),"Y","N"))</f>
        <v/>
      </c>
      <c r="K123" s="10">
        <f>IF($A123="","",IF($AQ123=0,"",UPPER(TRIM(CLEAN(SUBSTITUTE(INDEX(det_Status,$AQ123)&amp;""," "," "))))))</f>
        <v/>
      </c>
      <c r="L123" s="10">
        <f>IF($A123="","",IF($F123="N","N",IF($K123="IN","Y",IF($K123="OUT","N",IF(AND($G123="Y",$H123="N",$I123="Y",$J123="N"),"Y","N")))))</f>
        <v/>
      </c>
      <c r="M123" s="10">
        <f>IF($A123="","",IF($F123="N","Out: different import country",IF($K123="IN","In: Research determination",IF($K123="OUT","Out: Research determination",IF($G123="N","Out: HTS not on scope list",IF($H123="Y","Out: HTS on exclusion list",IF($I123="N","Out: origin not on scope list",IF($J123="Y","Out: USMCA-qualifying, exempt","In: matches scope rules"))))))))</f>
        <v/>
      </c>
      <c r="N123" s="10">
        <f>IF(OR($A123="",$AM123=0),"",UPPER(TRIM(CLEAN(SUBSTITUTE(INDEX(scope_Group,MOD($AM123,1000))&amp;""," "," ")))))</f>
        <v/>
      </c>
      <c r="O123" s="10">
        <f>IF($L123&lt;&gt;"Y","",IF($AO123=0,"Default (B15)",UPPER(TRIM(CLEAN(SUBSTITUTE(INDEX(rate_ID,MOD($AO123,100))&amp;""," "," "))))))</f>
        <v/>
      </c>
      <c r="P123" s="10">
        <f>IF($L123&lt;&gt;"Y","",IF($AO123=0,IF(UPPER(TRIM(CLEAN(SUBSTITUTE(act_DefaultBase&amp;""," "," "))))="PART","PART","FULL"),IF(UPPER(TRIM(CLEAN(SUBSTITUTE(INDEX(rate_Base,MOD($AO123,100))&amp;""," "," "))))="PART","PART","FULL")))</f>
        <v/>
      </c>
      <c r="Q123" s="17">
        <f>IF($A123="","",N(Items!J123))</f>
        <v/>
      </c>
      <c r="R123" s="17">
        <f>IF($A123="","",IF($L123&lt;&gt;"Y",0,IF($AO123=0,N(act_Rate),N(INDEX(rate_Rate,MOD($AO123,100))))))</f>
        <v/>
      </c>
      <c r="S123" s="17">
        <f>IF($A123="","",IF($L123&lt;&gt;"Y",0,IF($AO123=0,IF(UPPER(TRIM(CLEAN(SUBSTITUTE(act_RateType&amp;""," "," "))))="REPLACE",N(act_PriorRate),0),IF(ISNUMBER(INDEX(rate_Prior,MOD($AO123,100))),INDEX(rate_Prior,MOD($AO123,100)),IF(UPPER(TRIM(CLEAN(SUBSTITUTE(act_RateType&amp;""," "," "))))="REPLACE",N(act_PriorRate),0)))))</f>
        <v/>
      </c>
      <c r="T123" s="17">
        <f>IF($A123="","",IF(AND($L123="Y",$P123="PART",ISNUMBER(Items!M123)),Items!M123,1))</f>
        <v/>
      </c>
      <c r="U123" s="17">
        <f>IF($A123="","",IF($L123&lt;&gt;"Y",0,IF($AQ123&gt;0,IF(ISNUMBER(INDEX(det_Displaced,$AQ123)),INDEX(det_Displaced,$AQ123),IF($AO123=0,0,N(INDEX(rate_Displaced,MOD($AO123,100))))),IF($AO123=0,0,N(INDEX(rate_Displaced,MOD($AO123,100)))))))</f>
        <v/>
      </c>
      <c r="V123" s="17">
        <f>IF($A123="","",IF($L123="Y",$Q123+$T123*($R123-$S123)-$U123,$Q123))</f>
        <v/>
      </c>
      <c r="W123" s="18">
        <f>IF($A123="","",N(Items!H123)*$Q123)</f>
        <v/>
      </c>
      <c r="X123" s="18">
        <f>IF($A123="","",N(Items!H123)*$V123)</f>
        <v/>
      </c>
      <c r="Y123" s="18">
        <f>IF($A123="","",$X123-$W123)</f>
        <v/>
      </c>
      <c r="Z123" s="18">
        <f>IF($A123="","",N(Items!K123)+$Y123)</f>
        <v/>
      </c>
      <c r="AA123" s="17">
        <f>IF($A123="","",IF(N(Items!L123)=0,"",(N(Items!L123)-N(Items!K123))/N(Items!L123)))</f>
        <v/>
      </c>
      <c r="AB123" s="17">
        <f>IF($A123="","",IF(N(Items!L123)=0,"",(N(Items!L123)-$Z123)/N(Items!L123)))</f>
        <v/>
      </c>
      <c r="AC123" s="17">
        <f>IF(OR($AA123="",$AB123=""),"",$AB123-$AA123)</f>
        <v/>
      </c>
      <c r="AD123" s="13">
        <f>IF($A123="","",N(Items!I123))</f>
        <v/>
      </c>
      <c r="AE123" s="19">
        <f>IF($A123="","",$Y123*$AD123)</f>
        <v/>
      </c>
      <c r="AF123" s="10">
        <f>IF($A123="","",IF(N(Items!L123)&gt;0,"Y","N"))</f>
        <v/>
      </c>
      <c r="AG123" s="19">
        <f>IF($A123="","",IF($AF123="Y",N(Items!L123)*$AD123,0))</f>
        <v/>
      </c>
      <c r="AH123" s="19">
        <f>IF($A123="","",IF($AF123="Y",(N(Items!L123)-N(Items!K123))*$AD123,0))</f>
        <v/>
      </c>
      <c r="AI123" s="19">
        <f>IF($A123="","",IF($AF123="Y",$AH123-$AE123,0))</f>
        <v/>
      </c>
      <c r="AJ123" s="10">
        <f>IF($A123="","",IF(COUNTIF($AL$5:$AL$254,$AL123)&gt;1,"CHECK: duplicate item and import country",IF(TRIM(CLEAN(SUBSTITUTE(Items!C123&amp;""," "," ")))="","CHECK: import country missing",IF(AND(UPPER(TRIM(CLEAN(SUBSTITUTE(Items!C123&amp;""," "," "))))&lt;&gt;"US",UPPER(TRIM(CLEAN(SUBSTITUTE(Items!C123&amp;""," "," "))))&lt;&gt;"CA",UPPER(TRIM(CLEAN(SUBSTITUTE(Items!C123&amp;""," "," "))))&lt;&gt;"MX"),"CHECK: import country must be US, CA or MX",IF(NOT(AND(LEN($C123)=10,IFERROR(TEXT(VALUE($C123),REPT("0",LEN($C123)))=$C123,FALSE))),"CHECK: HTS must be 10 digits",IF(LEN($E123)&lt;&gt;2,"CHECK: origin code missing or not 2 letters",IF(TRIM(CLEAN(SUBSTITUTE(Items!G123&amp;""," "," ")))="","CHECK: unit of measure missing",IF(OR(Items!H123="",Items!J123="",Items!K123=""),"CHECK: value, rate or cost missing",IF(OR(NOT(ISNUMBER(Items!H123)),NOT(ISNUMBER(Items!J123)),NOT(ISNUMBER(Items!K123)),AND(Items!I123&lt;&gt;"",NOT(ISNUMBER(Items!I123))),AND(Items!L123&lt;&gt;"",NOT(ISNUMBER(Items!L123))),AND(Items!M123&lt;&gt;"",NOT(ISNUMBER(Items!M123)))),"CHECK: text in a number column",IF(AND(ISNUMBER(Items!M123),OR(N(Items!M123)&lt;0,N(Items!M123)&gt;1)),"CHECK: dutiable share must be 0% to 100%",IF(AND(UPPER(TRIM(CLEAN(SUBSTITUTE(Items!F123&amp;""," "," "))))&lt;&gt;"",UPPER(TRIM(CLEAN(SUBSTITUTE(Items!F123&amp;""," "," "))))&lt;&gt;"Y",UPPER(TRIM(CLEAN(SUBSTITUTE(Items!F123&amp;""," "," "))))&lt;&gt;"N"),"CHECK: USMCA flag must be Y, N or blank",IF(AND(UPPER(TRIM(CLEAN(SUBSTITUTE(Items!F123&amp;""," "," "))))="Y",$E123&lt;&gt;"US",$E123&lt;&gt;"CA",$E123&lt;&gt;"MX"),"CHECK: USMCA flag on an origin other than US, CA or MX",IF(AND($L123="Y",$AO123=0,NOT(ISNUMBER(act_Rate))),"CHECK: in scope but no rate (add a rate line or B15)",IF(AND($L123="Y",UPPER(TRIM(CLEAN(SUBSTITUTE(act_RateType&amp;""," "," "))))="REPLACE",NOT(ISNUMBER(act_PriorRate)),IF($AO123=0,TRUE,NOT(ISNUMBER(INDEX(rate_Prior,MOD($AO123,100)))))),"CHECK: REPLACE but no earlier rate (B17 or the rate line's AD)",IF(AND($L123="Y",$AP123&gt;1),"CHECK: two rate lines match equally",IF(AND($L123="Y",$AN123&gt;1),"CHECK: HTS prefix listed twice on the scope list",IF(AND($L123="Y",$P123="PART",NOT(ISNUMBER(Items!M123))),"CHECK: dutiable share missing (PART base)",IF(AND($L123="Y",$P123="FULL",ISNUMBER(Items!M123),N(Items!M123)&lt;&gt;1),"CHECK: dutiable share entered, but the rate taxes the full value",IF(AND($L123="Y",$Q123+0.0000001&lt;$T123*$S123+$U123),"CHECK: current rate is below the duty being replaced or displaced",IF(AND($L123="Y",$AD123=0),"NOTE: in scope, no quantity",IF(AND($L123="Y",$AF123="N"),"NOTE: in scope, no sell price (left out of margin %)",IF(AND($L123="Y",N(Items!H123)&gt;N(Items!K123)),"NOTE: customs value above standard cost (check unit of measure)",IF(AND($L123="Y",$Q123&gt;1),"NOTE: current rate above 100% (check it was entered as a percentage)","OK")))))))))))))))))))))))</f>
        <v/>
      </c>
      <c r="AK123" s="20">
        <f>IF($A123="","",IF(AND($L123="Y",$AE123&lt;&gt;0),ABS($AE123)+ROW()/1000000000,""))</f>
        <v/>
      </c>
      <c r="AL123" s="10">
        <f>IF($A123="","",UPPER($A123)&amp;"/"&amp;UPPER(TRIM(CLEAN(SUBSTITUTE(Items!C123&amp;""," "," ")))))</f>
        <v/>
      </c>
      <c r="AM123" s="13">
        <f>IF($A123="",0,SUMPRODUCT(MAX((scope_HTS&lt;&gt;"")*(LEFT($C123,LEN(scope_HTS))=scope_HTS)*(LEN(scope_HTS)*1000+ROW(scope_HTS)-4))))</f>
        <v/>
      </c>
      <c r="AN123" s="13">
        <f>IF($AM123=0,0,SUMPRODUCT((scope_HTS&lt;&gt;"")*(LEFT($C123,LEN(scope_HTS))=scope_HTS)*(LEN(scope_HTS)=INT($AM123/1000))))</f>
        <v/>
      </c>
      <c r="AO123" s="13">
        <f>IF($L123&lt;&gt;"Y",0,SUMPRODUCT(MAX(ISNUMBER(rate_Rate)*((UPPER(TRIM(CLEAN(SUBSTITUTE(rate_Group&amp;""," "," "))))="")+(UPPER(TRIM(CLEAN(SUBSTITUTE(rate_Group&amp;""," "," "))))=$N123)&gt;0)*((UPPER(TRIM(CLEAN(SUBSTITUTE(rate_COO&amp;""," "," "))))="")+(UPPER(TRIM(CLEAN(SUBSTITUTE(rate_COO&amp;""," "," "))))=$E123)&gt;0)*((UPPER(TRIM(CLEAN(SUBSTITUTE(rate_USMCA&amp;""," "," "))))="")+(UPPER(TRIM(CLEAN(SUBSTITUTE(rate_USMCA&amp;""," "," "))))=IF(UPPER(TRIM(CLEAN(SUBSTITUTE(Items!F123&amp;""," "," "))))="Y","Y","N"))&gt;0)*((1+(UPPER(TRIM(CLEAN(SUBSTITUTE(rate_Group&amp;""," "," "))))&lt;&gt;"")+2*(UPPER(TRIM(CLEAN(SUBSTITUTE(rate_USMCA&amp;""," "," "))))&lt;&gt;"")+4*(UPPER(TRIM(CLEAN(SUBSTITUTE(rate_COO&amp;""," "," "))))&lt;&gt;""))*100+ROW(rate_Rate)-4))))</f>
        <v/>
      </c>
      <c r="AP123" s="13">
        <f>IF($AO123=0,0,SUMPRODUCT(ISNUMBER(rate_Rate)*((UPPER(TRIM(CLEAN(SUBSTITUTE(rate_Group&amp;""," "," "))))="")+(UPPER(TRIM(CLEAN(SUBSTITUTE(rate_Group&amp;""," "," "))))=$N123)&gt;0)*((UPPER(TRIM(CLEAN(SUBSTITUTE(rate_COO&amp;""," "," "))))="")+(UPPER(TRIM(CLEAN(SUBSTITUTE(rate_COO&amp;""," "," "))))=$E123)&gt;0)*((UPPER(TRIM(CLEAN(SUBSTITUTE(rate_USMCA&amp;""," "," "))))="")+(UPPER(TRIM(CLEAN(SUBSTITUTE(rate_USMCA&amp;""," "," "))))=IF(UPPER(TRIM(CLEAN(SUBSTITUTE(Items!F123&amp;""," "," "))))="Y","Y","N"))&gt;0)*((1+(UPPER(TRIM(CLEAN(SUBSTITUTE(rate_Group&amp;""," "," "))))&lt;&gt;"")+2*(UPPER(TRIM(CLEAN(SUBSTITUTE(rate_USMCA&amp;""," "," "))))&lt;&gt;"")+4*(UPPER(TRIM(CLEAN(SUBSTITUTE(rate_COO&amp;""," "," "))))&lt;&gt;""))=INT($AO123/100))))</f>
        <v/>
      </c>
      <c r="AQ123" s="13">
        <f>IF($A123="",0,IFERROR(MATCH($AL123,det_Key,0),0))</f>
        <v/>
      </c>
    </row>
    <row r="124">
      <c r="A124" s="10">
        <f>IF(TRIM(CLEAN(SUBSTITUTE(Items!A124&amp;""," "," ")))="","",TRIM(CLEAN(SUBSTITUTE(Items!A124&amp;""," "," "))))</f>
        <v/>
      </c>
      <c r="B124" s="10">
        <f>IF($A124="","",Items!B124&amp;"")</f>
        <v/>
      </c>
      <c r="C124" s="10">
        <f>IF($A124="","",SUBSTITUTE(SUBSTITUTE(SUBSTITUTE(SUBSTITUTE(CLEAN(Items!D124&amp;"")," ",""),".","")," ",""),"-",""))</f>
        <v/>
      </c>
      <c r="D124" s="10">
        <f>IF($A124="","",LEFT($C124,2))</f>
        <v/>
      </c>
      <c r="E124" s="10">
        <f>IF($A124="","",UPPER(TRIM(CLEAN(SUBSTITUTE(Items!E124&amp;""," "," ")))))</f>
        <v/>
      </c>
      <c r="F124" s="10">
        <f>IF($A124="","",IF(UPPER(TRIM(CLEAN(SUBSTITUTE(Items!C124&amp;""," "," "))))=UPPER(TRIM(CLEAN(SUBSTITUTE(act_Country&amp;""," "," ")))),"Y","N"))</f>
        <v/>
      </c>
      <c r="G124" s="10">
        <f>IF($A124="","",IF($AM124&gt;0,"Y","N"))</f>
        <v/>
      </c>
      <c r="H124" s="10">
        <f>IF($A124="","",IF(SUMPRODUCT((excl_HTS&lt;&gt;"")*(LEFT($C124,LEN(excl_HTS))=excl_HTS))&gt;0,"Y","N"))</f>
        <v/>
      </c>
      <c r="I124" s="10">
        <f>IF($A124="","",IF($E124="","N",IF(SUMPRODUCT(--(UPPER(TRIM(CLEAN(SUBSTITUTE(scope_COO&amp;""," "," "))))=$E124))&gt;0,"Y","N")))</f>
        <v/>
      </c>
      <c r="J124" s="10">
        <f>IF($A124="","",IF(AND(UPPER(TRIM(CLEAN(SUBSTITUTE(act_USMCAExempt&amp;""," "," "))))="Y",UPPER(TRIM(CLEAN(SUBSTITUTE(Items!F124&amp;""," "," "))))="Y"),"Y","N"))</f>
        <v/>
      </c>
      <c r="K124" s="10">
        <f>IF($A124="","",IF($AQ124=0,"",UPPER(TRIM(CLEAN(SUBSTITUTE(INDEX(det_Status,$AQ124)&amp;""," "," "))))))</f>
        <v/>
      </c>
      <c r="L124" s="10">
        <f>IF($A124="","",IF($F124="N","N",IF($K124="IN","Y",IF($K124="OUT","N",IF(AND($G124="Y",$H124="N",$I124="Y",$J124="N"),"Y","N")))))</f>
        <v/>
      </c>
      <c r="M124" s="10">
        <f>IF($A124="","",IF($F124="N","Out: different import country",IF($K124="IN","In: Research determination",IF($K124="OUT","Out: Research determination",IF($G124="N","Out: HTS not on scope list",IF($H124="Y","Out: HTS on exclusion list",IF($I124="N","Out: origin not on scope list",IF($J124="Y","Out: USMCA-qualifying, exempt","In: matches scope rules"))))))))</f>
        <v/>
      </c>
      <c r="N124" s="10">
        <f>IF(OR($A124="",$AM124=0),"",UPPER(TRIM(CLEAN(SUBSTITUTE(INDEX(scope_Group,MOD($AM124,1000))&amp;""," "," ")))))</f>
        <v/>
      </c>
      <c r="O124" s="10">
        <f>IF($L124&lt;&gt;"Y","",IF($AO124=0,"Default (B15)",UPPER(TRIM(CLEAN(SUBSTITUTE(INDEX(rate_ID,MOD($AO124,100))&amp;""," "," "))))))</f>
        <v/>
      </c>
      <c r="P124" s="10">
        <f>IF($L124&lt;&gt;"Y","",IF($AO124=0,IF(UPPER(TRIM(CLEAN(SUBSTITUTE(act_DefaultBase&amp;""," "," "))))="PART","PART","FULL"),IF(UPPER(TRIM(CLEAN(SUBSTITUTE(INDEX(rate_Base,MOD($AO124,100))&amp;""," "," "))))="PART","PART","FULL")))</f>
        <v/>
      </c>
      <c r="Q124" s="17">
        <f>IF($A124="","",N(Items!J124))</f>
        <v/>
      </c>
      <c r="R124" s="17">
        <f>IF($A124="","",IF($L124&lt;&gt;"Y",0,IF($AO124=0,N(act_Rate),N(INDEX(rate_Rate,MOD($AO124,100))))))</f>
        <v/>
      </c>
      <c r="S124" s="17">
        <f>IF($A124="","",IF($L124&lt;&gt;"Y",0,IF($AO124=0,IF(UPPER(TRIM(CLEAN(SUBSTITUTE(act_RateType&amp;""," "," "))))="REPLACE",N(act_PriorRate),0),IF(ISNUMBER(INDEX(rate_Prior,MOD($AO124,100))),INDEX(rate_Prior,MOD($AO124,100)),IF(UPPER(TRIM(CLEAN(SUBSTITUTE(act_RateType&amp;""," "," "))))="REPLACE",N(act_PriorRate),0)))))</f>
        <v/>
      </c>
      <c r="T124" s="17">
        <f>IF($A124="","",IF(AND($L124="Y",$P124="PART",ISNUMBER(Items!M124)),Items!M124,1))</f>
        <v/>
      </c>
      <c r="U124" s="17">
        <f>IF($A124="","",IF($L124&lt;&gt;"Y",0,IF($AQ124&gt;0,IF(ISNUMBER(INDEX(det_Displaced,$AQ124)),INDEX(det_Displaced,$AQ124),IF($AO124=0,0,N(INDEX(rate_Displaced,MOD($AO124,100))))),IF($AO124=0,0,N(INDEX(rate_Displaced,MOD($AO124,100)))))))</f>
        <v/>
      </c>
      <c r="V124" s="17">
        <f>IF($A124="","",IF($L124="Y",$Q124+$T124*($R124-$S124)-$U124,$Q124))</f>
        <v/>
      </c>
      <c r="W124" s="18">
        <f>IF($A124="","",N(Items!H124)*$Q124)</f>
        <v/>
      </c>
      <c r="X124" s="18">
        <f>IF($A124="","",N(Items!H124)*$V124)</f>
        <v/>
      </c>
      <c r="Y124" s="18">
        <f>IF($A124="","",$X124-$W124)</f>
        <v/>
      </c>
      <c r="Z124" s="18">
        <f>IF($A124="","",N(Items!K124)+$Y124)</f>
        <v/>
      </c>
      <c r="AA124" s="17">
        <f>IF($A124="","",IF(N(Items!L124)=0,"",(N(Items!L124)-N(Items!K124))/N(Items!L124)))</f>
        <v/>
      </c>
      <c r="AB124" s="17">
        <f>IF($A124="","",IF(N(Items!L124)=0,"",(N(Items!L124)-$Z124)/N(Items!L124)))</f>
        <v/>
      </c>
      <c r="AC124" s="17">
        <f>IF(OR($AA124="",$AB124=""),"",$AB124-$AA124)</f>
        <v/>
      </c>
      <c r="AD124" s="13">
        <f>IF($A124="","",N(Items!I124))</f>
        <v/>
      </c>
      <c r="AE124" s="19">
        <f>IF($A124="","",$Y124*$AD124)</f>
        <v/>
      </c>
      <c r="AF124" s="10">
        <f>IF($A124="","",IF(N(Items!L124)&gt;0,"Y","N"))</f>
        <v/>
      </c>
      <c r="AG124" s="19">
        <f>IF($A124="","",IF($AF124="Y",N(Items!L124)*$AD124,0))</f>
        <v/>
      </c>
      <c r="AH124" s="19">
        <f>IF($A124="","",IF($AF124="Y",(N(Items!L124)-N(Items!K124))*$AD124,0))</f>
        <v/>
      </c>
      <c r="AI124" s="19">
        <f>IF($A124="","",IF($AF124="Y",$AH124-$AE124,0))</f>
        <v/>
      </c>
      <c r="AJ124" s="10">
        <f>IF($A124="","",IF(COUNTIF($AL$5:$AL$254,$AL124)&gt;1,"CHECK: duplicate item and import country",IF(TRIM(CLEAN(SUBSTITUTE(Items!C124&amp;""," "," ")))="","CHECK: import country missing",IF(AND(UPPER(TRIM(CLEAN(SUBSTITUTE(Items!C124&amp;""," "," "))))&lt;&gt;"US",UPPER(TRIM(CLEAN(SUBSTITUTE(Items!C124&amp;""," "," "))))&lt;&gt;"CA",UPPER(TRIM(CLEAN(SUBSTITUTE(Items!C124&amp;""," "," "))))&lt;&gt;"MX"),"CHECK: import country must be US, CA or MX",IF(NOT(AND(LEN($C124)=10,IFERROR(TEXT(VALUE($C124),REPT("0",LEN($C124)))=$C124,FALSE))),"CHECK: HTS must be 10 digits",IF(LEN($E124)&lt;&gt;2,"CHECK: origin code missing or not 2 letters",IF(TRIM(CLEAN(SUBSTITUTE(Items!G124&amp;""," "," ")))="","CHECK: unit of measure missing",IF(OR(Items!H124="",Items!J124="",Items!K124=""),"CHECK: value, rate or cost missing",IF(OR(NOT(ISNUMBER(Items!H124)),NOT(ISNUMBER(Items!J124)),NOT(ISNUMBER(Items!K124)),AND(Items!I124&lt;&gt;"",NOT(ISNUMBER(Items!I124))),AND(Items!L124&lt;&gt;"",NOT(ISNUMBER(Items!L124))),AND(Items!M124&lt;&gt;"",NOT(ISNUMBER(Items!M124)))),"CHECK: text in a number column",IF(AND(ISNUMBER(Items!M124),OR(N(Items!M124)&lt;0,N(Items!M124)&gt;1)),"CHECK: dutiable share must be 0% to 100%",IF(AND(UPPER(TRIM(CLEAN(SUBSTITUTE(Items!F124&amp;""," "," "))))&lt;&gt;"",UPPER(TRIM(CLEAN(SUBSTITUTE(Items!F124&amp;""," "," "))))&lt;&gt;"Y",UPPER(TRIM(CLEAN(SUBSTITUTE(Items!F124&amp;""," "," "))))&lt;&gt;"N"),"CHECK: USMCA flag must be Y, N or blank",IF(AND(UPPER(TRIM(CLEAN(SUBSTITUTE(Items!F124&amp;""," "," "))))="Y",$E124&lt;&gt;"US",$E124&lt;&gt;"CA",$E124&lt;&gt;"MX"),"CHECK: USMCA flag on an origin other than US, CA or MX",IF(AND($L124="Y",$AO124=0,NOT(ISNUMBER(act_Rate))),"CHECK: in scope but no rate (add a rate line or B15)",IF(AND($L124="Y",UPPER(TRIM(CLEAN(SUBSTITUTE(act_RateType&amp;""," "," "))))="REPLACE",NOT(ISNUMBER(act_PriorRate)),IF($AO124=0,TRUE,NOT(ISNUMBER(INDEX(rate_Prior,MOD($AO124,100)))))),"CHECK: REPLACE but no earlier rate (B17 or the rate line's AD)",IF(AND($L124="Y",$AP124&gt;1),"CHECK: two rate lines match equally",IF(AND($L124="Y",$AN124&gt;1),"CHECK: HTS prefix listed twice on the scope list",IF(AND($L124="Y",$P124="PART",NOT(ISNUMBER(Items!M124))),"CHECK: dutiable share missing (PART base)",IF(AND($L124="Y",$P124="FULL",ISNUMBER(Items!M124),N(Items!M124)&lt;&gt;1),"CHECK: dutiable share entered, but the rate taxes the full value",IF(AND($L124="Y",$Q124+0.0000001&lt;$T124*$S124+$U124),"CHECK: current rate is below the duty being replaced or displaced",IF(AND($L124="Y",$AD124=0),"NOTE: in scope, no quantity",IF(AND($L124="Y",$AF124="N"),"NOTE: in scope, no sell price (left out of margin %)",IF(AND($L124="Y",N(Items!H124)&gt;N(Items!K124)),"NOTE: customs value above standard cost (check unit of measure)",IF(AND($L124="Y",$Q124&gt;1),"NOTE: current rate above 100% (check it was entered as a percentage)","OK")))))))))))))))))))))))</f>
        <v/>
      </c>
      <c r="AK124" s="20">
        <f>IF($A124="","",IF(AND($L124="Y",$AE124&lt;&gt;0),ABS($AE124)+ROW()/1000000000,""))</f>
        <v/>
      </c>
      <c r="AL124" s="10">
        <f>IF($A124="","",UPPER($A124)&amp;"/"&amp;UPPER(TRIM(CLEAN(SUBSTITUTE(Items!C124&amp;""," "," ")))))</f>
        <v/>
      </c>
      <c r="AM124" s="13">
        <f>IF($A124="",0,SUMPRODUCT(MAX((scope_HTS&lt;&gt;"")*(LEFT($C124,LEN(scope_HTS))=scope_HTS)*(LEN(scope_HTS)*1000+ROW(scope_HTS)-4))))</f>
        <v/>
      </c>
      <c r="AN124" s="13">
        <f>IF($AM124=0,0,SUMPRODUCT((scope_HTS&lt;&gt;"")*(LEFT($C124,LEN(scope_HTS))=scope_HTS)*(LEN(scope_HTS)=INT($AM124/1000))))</f>
        <v/>
      </c>
      <c r="AO124" s="13">
        <f>IF($L124&lt;&gt;"Y",0,SUMPRODUCT(MAX(ISNUMBER(rate_Rate)*((UPPER(TRIM(CLEAN(SUBSTITUTE(rate_Group&amp;""," "," "))))="")+(UPPER(TRIM(CLEAN(SUBSTITUTE(rate_Group&amp;""," "," "))))=$N124)&gt;0)*((UPPER(TRIM(CLEAN(SUBSTITUTE(rate_COO&amp;""," "," "))))="")+(UPPER(TRIM(CLEAN(SUBSTITUTE(rate_COO&amp;""," "," "))))=$E124)&gt;0)*((UPPER(TRIM(CLEAN(SUBSTITUTE(rate_USMCA&amp;""," "," "))))="")+(UPPER(TRIM(CLEAN(SUBSTITUTE(rate_USMCA&amp;""," "," "))))=IF(UPPER(TRIM(CLEAN(SUBSTITUTE(Items!F124&amp;""," "," "))))="Y","Y","N"))&gt;0)*((1+(UPPER(TRIM(CLEAN(SUBSTITUTE(rate_Group&amp;""," "," "))))&lt;&gt;"")+2*(UPPER(TRIM(CLEAN(SUBSTITUTE(rate_USMCA&amp;""," "," "))))&lt;&gt;"")+4*(UPPER(TRIM(CLEAN(SUBSTITUTE(rate_COO&amp;""," "," "))))&lt;&gt;""))*100+ROW(rate_Rate)-4))))</f>
        <v/>
      </c>
      <c r="AP124" s="13">
        <f>IF($AO124=0,0,SUMPRODUCT(ISNUMBER(rate_Rate)*((UPPER(TRIM(CLEAN(SUBSTITUTE(rate_Group&amp;""," "," "))))="")+(UPPER(TRIM(CLEAN(SUBSTITUTE(rate_Group&amp;""," "," "))))=$N124)&gt;0)*((UPPER(TRIM(CLEAN(SUBSTITUTE(rate_COO&amp;""," "," "))))="")+(UPPER(TRIM(CLEAN(SUBSTITUTE(rate_COO&amp;""," "," "))))=$E124)&gt;0)*((UPPER(TRIM(CLEAN(SUBSTITUTE(rate_USMCA&amp;""," "," "))))="")+(UPPER(TRIM(CLEAN(SUBSTITUTE(rate_USMCA&amp;""," "," "))))=IF(UPPER(TRIM(CLEAN(SUBSTITUTE(Items!F124&amp;""," "," "))))="Y","Y","N"))&gt;0)*((1+(UPPER(TRIM(CLEAN(SUBSTITUTE(rate_Group&amp;""," "," "))))&lt;&gt;"")+2*(UPPER(TRIM(CLEAN(SUBSTITUTE(rate_USMCA&amp;""," "," "))))&lt;&gt;"")+4*(UPPER(TRIM(CLEAN(SUBSTITUTE(rate_COO&amp;""," "," "))))&lt;&gt;""))=INT($AO124/100))))</f>
        <v/>
      </c>
      <c r="AQ124" s="13">
        <f>IF($A124="",0,IFERROR(MATCH($AL124,det_Key,0),0))</f>
        <v/>
      </c>
    </row>
    <row r="125">
      <c r="A125" s="10">
        <f>IF(TRIM(CLEAN(SUBSTITUTE(Items!A125&amp;""," "," ")))="","",TRIM(CLEAN(SUBSTITUTE(Items!A125&amp;""," "," "))))</f>
        <v/>
      </c>
      <c r="B125" s="10">
        <f>IF($A125="","",Items!B125&amp;"")</f>
        <v/>
      </c>
      <c r="C125" s="10">
        <f>IF($A125="","",SUBSTITUTE(SUBSTITUTE(SUBSTITUTE(SUBSTITUTE(CLEAN(Items!D125&amp;"")," ",""),".","")," ",""),"-",""))</f>
        <v/>
      </c>
      <c r="D125" s="10">
        <f>IF($A125="","",LEFT($C125,2))</f>
        <v/>
      </c>
      <c r="E125" s="10">
        <f>IF($A125="","",UPPER(TRIM(CLEAN(SUBSTITUTE(Items!E125&amp;""," "," ")))))</f>
        <v/>
      </c>
      <c r="F125" s="10">
        <f>IF($A125="","",IF(UPPER(TRIM(CLEAN(SUBSTITUTE(Items!C125&amp;""," "," "))))=UPPER(TRIM(CLEAN(SUBSTITUTE(act_Country&amp;""," "," ")))),"Y","N"))</f>
        <v/>
      </c>
      <c r="G125" s="10">
        <f>IF($A125="","",IF($AM125&gt;0,"Y","N"))</f>
        <v/>
      </c>
      <c r="H125" s="10">
        <f>IF($A125="","",IF(SUMPRODUCT((excl_HTS&lt;&gt;"")*(LEFT($C125,LEN(excl_HTS))=excl_HTS))&gt;0,"Y","N"))</f>
        <v/>
      </c>
      <c r="I125" s="10">
        <f>IF($A125="","",IF($E125="","N",IF(SUMPRODUCT(--(UPPER(TRIM(CLEAN(SUBSTITUTE(scope_COO&amp;""," "," "))))=$E125))&gt;0,"Y","N")))</f>
        <v/>
      </c>
      <c r="J125" s="10">
        <f>IF($A125="","",IF(AND(UPPER(TRIM(CLEAN(SUBSTITUTE(act_USMCAExempt&amp;""," "," "))))="Y",UPPER(TRIM(CLEAN(SUBSTITUTE(Items!F125&amp;""," "," "))))="Y"),"Y","N"))</f>
        <v/>
      </c>
      <c r="K125" s="10">
        <f>IF($A125="","",IF($AQ125=0,"",UPPER(TRIM(CLEAN(SUBSTITUTE(INDEX(det_Status,$AQ125)&amp;""," "," "))))))</f>
        <v/>
      </c>
      <c r="L125" s="10">
        <f>IF($A125="","",IF($F125="N","N",IF($K125="IN","Y",IF($K125="OUT","N",IF(AND($G125="Y",$H125="N",$I125="Y",$J125="N"),"Y","N")))))</f>
        <v/>
      </c>
      <c r="M125" s="10">
        <f>IF($A125="","",IF($F125="N","Out: different import country",IF($K125="IN","In: Research determination",IF($K125="OUT","Out: Research determination",IF($G125="N","Out: HTS not on scope list",IF($H125="Y","Out: HTS on exclusion list",IF($I125="N","Out: origin not on scope list",IF($J125="Y","Out: USMCA-qualifying, exempt","In: matches scope rules"))))))))</f>
        <v/>
      </c>
      <c r="N125" s="10">
        <f>IF(OR($A125="",$AM125=0),"",UPPER(TRIM(CLEAN(SUBSTITUTE(INDEX(scope_Group,MOD($AM125,1000))&amp;""," "," ")))))</f>
        <v/>
      </c>
      <c r="O125" s="10">
        <f>IF($L125&lt;&gt;"Y","",IF($AO125=0,"Default (B15)",UPPER(TRIM(CLEAN(SUBSTITUTE(INDEX(rate_ID,MOD($AO125,100))&amp;""," "," "))))))</f>
        <v/>
      </c>
      <c r="P125" s="10">
        <f>IF($L125&lt;&gt;"Y","",IF($AO125=0,IF(UPPER(TRIM(CLEAN(SUBSTITUTE(act_DefaultBase&amp;""," "," "))))="PART","PART","FULL"),IF(UPPER(TRIM(CLEAN(SUBSTITUTE(INDEX(rate_Base,MOD($AO125,100))&amp;""," "," "))))="PART","PART","FULL")))</f>
        <v/>
      </c>
      <c r="Q125" s="17">
        <f>IF($A125="","",N(Items!J125))</f>
        <v/>
      </c>
      <c r="R125" s="17">
        <f>IF($A125="","",IF($L125&lt;&gt;"Y",0,IF($AO125=0,N(act_Rate),N(INDEX(rate_Rate,MOD($AO125,100))))))</f>
        <v/>
      </c>
      <c r="S125" s="17">
        <f>IF($A125="","",IF($L125&lt;&gt;"Y",0,IF($AO125=0,IF(UPPER(TRIM(CLEAN(SUBSTITUTE(act_RateType&amp;""," "," "))))="REPLACE",N(act_PriorRate),0),IF(ISNUMBER(INDEX(rate_Prior,MOD($AO125,100))),INDEX(rate_Prior,MOD($AO125,100)),IF(UPPER(TRIM(CLEAN(SUBSTITUTE(act_RateType&amp;""," "," "))))="REPLACE",N(act_PriorRate),0)))))</f>
        <v/>
      </c>
      <c r="T125" s="17">
        <f>IF($A125="","",IF(AND($L125="Y",$P125="PART",ISNUMBER(Items!M125)),Items!M125,1))</f>
        <v/>
      </c>
      <c r="U125" s="17">
        <f>IF($A125="","",IF($L125&lt;&gt;"Y",0,IF($AQ125&gt;0,IF(ISNUMBER(INDEX(det_Displaced,$AQ125)),INDEX(det_Displaced,$AQ125),IF($AO125=0,0,N(INDEX(rate_Displaced,MOD($AO125,100))))),IF($AO125=0,0,N(INDEX(rate_Displaced,MOD($AO125,100)))))))</f>
        <v/>
      </c>
      <c r="V125" s="17">
        <f>IF($A125="","",IF($L125="Y",$Q125+$T125*($R125-$S125)-$U125,$Q125))</f>
        <v/>
      </c>
      <c r="W125" s="18">
        <f>IF($A125="","",N(Items!H125)*$Q125)</f>
        <v/>
      </c>
      <c r="X125" s="18">
        <f>IF($A125="","",N(Items!H125)*$V125)</f>
        <v/>
      </c>
      <c r="Y125" s="18">
        <f>IF($A125="","",$X125-$W125)</f>
        <v/>
      </c>
      <c r="Z125" s="18">
        <f>IF($A125="","",N(Items!K125)+$Y125)</f>
        <v/>
      </c>
      <c r="AA125" s="17">
        <f>IF($A125="","",IF(N(Items!L125)=0,"",(N(Items!L125)-N(Items!K125))/N(Items!L125)))</f>
        <v/>
      </c>
      <c r="AB125" s="17">
        <f>IF($A125="","",IF(N(Items!L125)=0,"",(N(Items!L125)-$Z125)/N(Items!L125)))</f>
        <v/>
      </c>
      <c r="AC125" s="17">
        <f>IF(OR($AA125="",$AB125=""),"",$AB125-$AA125)</f>
        <v/>
      </c>
      <c r="AD125" s="13">
        <f>IF($A125="","",N(Items!I125))</f>
        <v/>
      </c>
      <c r="AE125" s="19">
        <f>IF($A125="","",$Y125*$AD125)</f>
        <v/>
      </c>
      <c r="AF125" s="10">
        <f>IF($A125="","",IF(N(Items!L125)&gt;0,"Y","N"))</f>
        <v/>
      </c>
      <c r="AG125" s="19">
        <f>IF($A125="","",IF($AF125="Y",N(Items!L125)*$AD125,0))</f>
        <v/>
      </c>
      <c r="AH125" s="19">
        <f>IF($A125="","",IF($AF125="Y",(N(Items!L125)-N(Items!K125))*$AD125,0))</f>
        <v/>
      </c>
      <c r="AI125" s="19">
        <f>IF($A125="","",IF($AF125="Y",$AH125-$AE125,0))</f>
        <v/>
      </c>
      <c r="AJ125" s="10">
        <f>IF($A125="","",IF(COUNTIF($AL$5:$AL$254,$AL125)&gt;1,"CHECK: duplicate item and import country",IF(TRIM(CLEAN(SUBSTITUTE(Items!C125&amp;""," "," ")))="","CHECK: import country missing",IF(AND(UPPER(TRIM(CLEAN(SUBSTITUTE(Items!C125&amp;""," "," "))))&lt;&gt;"US",UPPER(TRIM(CLEAN(SUBSTITUTE(Items!C125&amp;""," "," "))))&lt;&gt;"CA",UPPER(TRIM(CLEAN(SUBSTITUTE(Items!C125&amp;""," "," "))))&lt;&gt;"MX"),"CHECK: import country must be US, CA or MX",IF(NOT(AND(LEN($C125)=10,IFERROR(TEXT(VALUE($C125),REPT("0",LEN($C125)))=$C125,FALSE))),"CHECK: HTS must be 10 digits",IF(LEN($E125)&lt;&gt;2,"CHECK: origin code missing or not 2 letters",IF(TRIM(CLEAN(SUBSTITUTE(Items!G125&amp;""," "," ")))="","CHECK: unit of measure missing",IF(OR(Items!H125="",Items!J125="",Items!K125=""),"CHECK: value, rate or cost missing",IF(OR(NOT(ISNUMBER(Items!H125)),NOT(ISNUMBER(Items!J125)),NOT(ISNUMBER(Items!K125)),AND(Items!I125&lt;&gt;"",NOT(ISNUMBER(Items!I125))),AND(Items!L125&lt;&gt;"",NOT(ISNUMBER(Items!L125))),AND(Items!M125&lt;&gt;"",NOT(ISNUMBER(Items!M125)))),"CHECK: text in a number column",IF(AND(ISNUMBER(Items!M125),OR(N(Items!M125)&lt;0,N(Items!M125)&gt;1)),"CHECK: dutiable share must be 0% to 100%",IF(AND(UPPER(TRIM(CLEAN(SUBSTITUTE(Items!F125&amp;""," "," "))))&lt;&gt;"",UPPER(TRIM(CLEAN(SUBSTITUTE(Items!F125&amp;""," "," "))))&lt;&gt;"Y",UPPER(TRIM(CLEAN(SUBSTITUTE(Items!F125&amp;""," "," "))))&lt;&gt;"N"),"CHECK: USMCA flag must be Y, N or blank",IF(AND(UPPER(TRIM(CLEAN(SUBSTITUTE(Items!F125&amp;""," "," "))))="Y",$E125&lt;&gt;"US",$E125&lt;&gt;"CA",$E125&lt;&gt;"MX"),"CHECK: USMCA flag on an origin other than US, CA or MX",IF(AND($L125="Y",$AO125=0,NOT(ISNUMBER(act_Rate))),"CHECK: in scope but no rate (add a rate line or B15)",IF(AND($L125="Y",UPPER(TRIM(CLEAN(SUBSTITUTE(act_RateType&amp;""," "," "))))="REPLACE",NOT(ISNUMBER(act_PriorRate)),IF($AO125=0,TRUE,NOT(ISNUMBER(INDEX(rate_Prior,MOD($AO125,100)))))),"CHECK: REPLACE but no earlier rate (B17 or the rate line's AD)",IF(AND($L125="Y",$AP125&gt;1),"CHECK: two rate lines match equally",IF(AND($L125="Y",$AN125&gt;1),"CHECK: HTS prefix listed twice on the scope list",IF(AND($L125="Y",$P125="PART",NOT(ISNUMBER(Items!M125))),"CHECK: dutiable share missing (PART base)",IF(AND($L125="Y",$P125="FULL",ISNUMBER(Items!M125),N(Items!M125)&lt;&gt;1),"CHECK: dutiable share entered, but the rate taxes the full value",IF(AND($L125="Y",$Q125+0.0000001&lt;$T125*$S125+$U125),"CHECK: current rate is below the duty being replaced or displaced",IF(AND($L125="Y",$AD125=0),"NOTE: in scope, no quantity",IF(AND($L125="Y",$AF125="N"),"NOTE: in scope, no sell price (left out of margin %)",IF(AND($L125="Y",N(Items!H125)&gt;N(Items!K125)),"NOTE: customs value above standard cost (check unit of measure)",IF(AND($L125="Y",$Q125&gt;1),"NOTE: current rate above 100% (check it was entered as a percentage)","OK")))))))))))))))))))))))</f>
        <v/>
      </c>
      <c r="AK125" s="20">
        <f>IF($A125="","",IF(AND($L125="Y",$AE125&lt;&gt;0),ABS($AE125)+ROW()/1000000000,""))</f>
        <v/>
      </c>
      <c r="AL125" s="10">
        <f>IF($A125="","",UPPER($A125)&amp;"/"&amp;UPPER(TRIM(CLEAN(SUBSTITUTE(Items!C125&amp;""," "," ")))))</f>
        <v/>
      </c>
      <c r="AM125" s="13">
        <f>IF($A125="",0,SUMPRODUCT(MAX((scope_HTS&lt;&gt;"")*(LEFT($C125,LEN(scope_HTS))=scope_HTS)*(LEN(scope_HTS)*1000+ROW(scope_HTS)-4))))</f>
        <v/>
      </c>
      <c r="AN125" s="13">
        <f>IF($AM125=0,0,SUMPRODUCT((scope_HTS&lt;&gt;"")*(LEFT($C125,LEN(scope_HTS))=scope_HTS)*(LEN(scope_HTS)=INT($AM125/1000))))</f>
        <v/>
      </c>
      <c r="AO125" s="13">
        <f>IF($L125&lt;&gt;"Y",0,SUMPRODUCT(MAX(ISNUMBER(rate_Rate)*((UPPER(TRIM(CLEAN(SUBSTITUTE(rate_Group&amp;""," "," "))))="")+(UPPER(TRIM(CLEAN(SUBSTITUTE(rate_Group&amp;""," "," "))))=$N125)&gt;0)*((UPPER(TRIM(CLEAN(SUBSTITUTE(rate_COO&amp;""," "," "))))="")+(UPPER(TRIM(CLEAN(SUBSTITUTE(rate_COO&amp;""," "," "))))=$E125)&gt;0)*((UPPER(TRIM(CLEAN(SUBSTITUTE(rate_USMCA&amp;""," "," "))))="")+(UPPER(TRIM(CLEAN(SUBSTITUTE(rate_USMCA&amp;""," "," "))))=IF(UPPER(TRIM(CLEAN(SUBSTITUTE(Items!F125&amp;""," "," "))))="Y","Y","N"))&gt;0)*((1+(UPPER(TRIM(CLEAN(SUBSTITUTE(rate_Group&amp;""," "," "))))&lt;&gt;"")+2*(UPPER(TRIM(CLEAN(SUBSTITUTE(rate_USMCA&amp;""," "," "))))&lt;&gt;"")+4*(UPPER(TRIM(CLEAN(SUBSTITUTE(rate_COO&amp;""," "," "))))&lt;&gt;""))*100+ROW(rate_Rate)-4))))</f>
        <v/>
      </c>
      <c r="AP125" s="13">
        <f>IF($AO125=0,0,SUMPRODUCT(ISNUMBER(rate_Rate)*((UPPER(TRIM(CLEAN(SUBSTITUTE(rate_Group&amp;""," "," "))))="")+(UPPER(TRIM(CLEAN(SUBSTITUTE(rate_Group&amp;""," "," "))))=$N125)&gt;0)*((UPPER(TRIM(CLEAN(SUBSTITUTE(rate_COO&amp;""," "," "))))="")+(UPPER(TRIM(CLEAN(SUBSTITUTE(rate_COO&amp;""," "," "))))=$E125)&gt;0)*((UPPER(TRIM(CLEAN(SUBSTITUTE(rate_USMCA&amp;""," "," "))))="")+(UPPER(TRIM(CLEAN(SUBSTITUTE(rate_USMCA&amp;""," "," "))))=IF(UPPER(TRIM(CLEAN(SUBSTITUTE(Items!F125&amp;""," "," "))))="Y","Y","N"))&gt;0)*((1+(UPPER(TRIM(CLEAN(SUBSTITUTE(rate_Group&amp;""," "," "))))&lt;&gt;"")+2*(UPPER(TRIM(CLEAN(SUBSTITUTE(rate_USMCA&amp;""," "," "))))&lt;&gt;"")+4*(UPPER(TRIM(CLEAN(SUBSTITUTE(rate_COO&amp;""," "," "))))&lt;&gt;""))=INT($AO125/100))))</f>
        <v/>
      </c>
      <c r="AQ125" s="13">
        <f>IF($A125="",0,IFERROR(MATCH($AL125,det_Key,0),0))</f>
        <v/>
      </c>
    </row>
    <row r="126">
      <c r="A126" s="10">
        <f>IF(TRIM(CLEAN(SUBSTITUTE(Items!A126&amp;""," "," ")))="","",TRIM(CLEAN(SUBSTITUTE(Items!A126&amp;""," "," "))))</f>
        <v/>
      </c>
      <c r="B126" s="10">
        <f>IF($A126="","",Items!B126&amp;"")</f>
        <v/>
      </c>
      <c r="C126" s="10">
        <f>IF($A126="","",SUBSTITUTE(SUBSTITUTE(SUBSTITUTE(SUBSTITUTE(CLEAN(Items!D126&amp;"")," ",""),".","")," ",""),"-",""))</f>
        <v/>
      </c>
      <c r="D126" s="10">
        <f>IF($A126="","",LEFT($C126,2))</f>
        <v/>
      </c>
      <c r="E126" s="10">
        <f>IF($A126="","",UPPER(TRIM(CLEAN(SUBSTITUTE(Items!E126&amp;""," "," ")))))</f>
        <v/>
      </c>
      <c r="F126" s="10">
        <f>IF($A126="","",IF(UPPER(TRIM(CLEAN(SUBSTITUTE(Items!C126&amp;""," "," "))))=UPPER(TRIM(CLEAN(SUBSTITUTE(act_Country&amp;""," "," ")))),"Y","N"))</f>
        <v/>
      </c>
      <c r="G126" s="10">
        <f>IF($A126="","",IF($AM126&gt;0,"Y","N"))</f>
        <v/>
      </c>
      <c r="H126" s="10">
        <f>IF($A126="","",IF(SUMPRODUCT((excl_HTS&lt;&gt;"")*(LEFT($C126,LEN(excl_HTS))=excl_HTS))&gt;0,"Y","N"))</f>
        <v/>
      </c>
      <c r="I126" s="10">
        <f>IF($A126="","",IF($E126="","N",IF(SUMPRODUCT(--(UPPER(TRIM(CLEAN(SUBSTITUTE(scope_COO&amp;""," "," "))))=$E126))&gt;0,"Y","N")))</f>
        <v/>
      </c>
      <c r="J126" s="10">
        <f>IF($A126="","",IF(AND(UPPER(TRIM(CLEAN(SUBSTITUTE(act_USMCAExempt&amp;""," "," "))))="Y",UPPER(TRIM(CLEAN(SUBSTITUTE(Items!F126&amp;""," "," "))))="Y"),"Y","N"))</f>
        <v/>
      </c>
      <c r="K126" s="10">
        <f>IF($A126="","",IF($AQ126=0,"",UPPER(TRIM(CLEAN(SUBSTITUTE(INDEX(det_Status,$AQ126)&amp;""," "," "))))))</f>
        <v/>
      </c>
      <c r="L126" s="10">
        <f>IF($A126="","",IF($F126="N","N",IF($K126="IN","Y",IF($K126="OUT","N",IF(AND($G126="Y",$H126="N",$I126="Y",$J126="N"),"Y","N")))))</f>
        <v/>
      </c>
      <c r="M126" s="10">
        <f>IF($A126="","",IF($F126="N","Out: different import country",IF($K126="IN","In: Research determination",IF($K126="OUT","Out: Research determination",IF($G126="N","Out: HTS not on scope list",IF($H126="Y","Out: HTS on exclusion list",IF($I126="N","Out: origin not on scope list",IF($J126="Y","Out: USMCA-qualifying, exempt","In: matches scope rules"))))))))</f>
        <v/>
      </c>
      <c r="N126" s="10">
        <f>IF(OR($A126="",$AM126=0),"",UPPER(TRIM(CLEAN(SUBSTITUTE(INDEX(scope_Group,MOD($AM126,1000))&amp;""," "," ")))))</f>
        <v/>
      </c>
      <c r="O126" s="10">
        <f>IF($L126&lt;&gt;"Y","",IF($AO126=0,"Default (B15)",UPPER(TRIM(CLEAN(SUBSTITUTE(INDEX(rate_ID,MOD($AO126,100))&amp;""," "," "))))))</f>
        <v/>
      </c>
      <c r="P126" s="10">
        <f>IF($L126&lt;&gt;"Y","",IF($AO126=0,IF(UPPER(TRIM(CLEAN(SUBSTITUTE(act_DefaultBase&amp;""," "," "))))="PART","PART","FULL"),IF(UPPER(TRIM(CLEAN(SUBSTITUTE(INDEX(rate_Base,MOD($AO126,100))&amp;""," "," "))))="PART","PART","FULL")))</f>
        <v/>
      </c>
      <c r="Q126" s="17">
        <f>IF($A126="","",N(Items!J126))</f>
        <v/>
      </c>
      <c r="R126" s="17">
        <f>IF($A126="","",IF($L126&lt;&gt;"Y",0,IF($AO126=0,N(act_Rate),N(INDEX(rate_Rate,MOD($AO126,100))))))</f>
        <v/>
      </c>
      <c r="S126" s="17">
        <f>IF($A126="","",IF($L126&lt;&gt;"Y",0,IF($AO126=0,IF(UPPER(TRIM(CLEAN(SUBSTITUTE(act_RateType&amp;""," "," "))))="REPLACE",N(act_PriorRate),0),IF(ISNUMBER(INDEX(rate_Prior,MOD($AO126,100))),INDEX(rate_Prior,MOD($AO126,100)),IF(UPPER(TRIM(CLEAN(SUBSTITUTE(act_RateType&amp;""," "," "))))="REPLACE",N(act_PriorRate),0)))))</f>
        <v/>
      </c>
      <c r="T126" s="17">
        <f>IF($A126="","",IF(AND($L126="Y",$P126="PART",ISNUMBER(Items!M126)),Items!M126,1))</f>
        <v/>
      </c>
      <c r="U126" s="17">
        <f>IF($A126="","",IF($L126&lt;&gt;"Y",0,IF($AQ126&gt;0,IF(ISNUMBER(INDEX(det_Displaced,$AQ126)),INDEX(det_Displaced,$AQ126),IF($AO126=0,0,N(INDEX(rate_Displaced,MOD($AO126,100))))),IF($AO126=0,0,N(INDEX(rate_Displaced,MOD($AO126,100)))))))</f>
        <v/>
      </c>
      <c r="V126" s="17">
        <f>IF($A126="","",IF($L126="Y",$Q126+$T126*($R126-$S126)-$U126,$Q126))</f>
        <v/>
      </c>
      <c r="W126" s="18">
        <f>IF($A126="","",N(Items!H126)*$Q126)</f>
        <v/>
      </c>
      <c r="X126" s="18">
        <f>IF($A126="","",N(Items!H126)*$V126)</f>
        <v/>
      </c>
      <c r="Y126" s="18">
        <f>IF($A126="","",$X126-$W126)</f>
        <v/>
      </c>
      <c r="Z126" s="18">
        <f>IF($A126="","",N(Items!K126)+$Y126)</f>
        <v/>
      </c>
      <c r="AA126" s="17">
        <f>IF($A126="","",IF(N(Items!L126)=0,"",(N(Items!L126)-N(Items!K126))/N(Items!L126)))</f>
        <v/>
      </c>
      <c r="AB126" s="17">
        <f>IF($A126="","",IF(N(Items!L126)=0,"",(N(Items!L126)-$Z126)/N(Items!L126)))</f>
        <v/>
      </c>
      <c r="AC126" s="17">
        <f>IF(OR($AA126="",$AB126=""),"",$AB126-$AA126)</f>
        <v/>
      </c>
      <c r="AD126" s="13">
        <f>IF($A126="","",N(Items!I126))</f>
        <v/>
      </c>
      <c r="AE126" s="19">
        <f>IF($A126="","",$Y126*$AD126)</f>
        <v/>
      </c>
      <c r="AF126" s="10">
        <f>IF($A126="","",IF(N(Items!L126)&gt;0,"Y","N"))</f>
        <v/>
      </c>
      <c r="AG126" s="19">
        <f>IF($A126="","",IF($AF126="Y",N(Items!L126)*$AD126,0))</f>
        <v/>
      </c>
      <c r="AH126" s="19">
        <f>IF($A126="","",IF($AF126="Y",(N(Items!L126)-N(Items!K126))*$AD126,0))</f>
        <v/>
      </c>
      <c r="AI126" s="19">
        <f>IF($A126="","",IF($AF126="Y",$AH126-$AE126,0))</f>
        <v/>
      </c>
      <c r="AJ126" s="10">
        <f>IF($A126="","",IF(COUNTIF($AL$5:$AL$254,$AL126)&gt;1,"CHECK: duplicate item and import country",IF(TRIM(CLEAN(SUBSTITUTE(Items!C126&amp;""," "," ")))="","CHECK: import country missing",IF(AND(UPPER(TRIM(CLEAN(SUBSTITUTE(Items!C126&amp;""," "," "))))&lt;&gt;"US",UPPER(TRIM(CLEAN(SUBSTITUTE(Items!C126&amp;""," "," "))))&lt;&gt;"CA",UPPER(TRIM(CLEAN(SUBSTITUTE(Items!C126&amp;""," "," "))))&lt;&gt;"MX"),"CHECK: import country must be US, CA or MX",IF(NOT(AND(LEN($C126)=10,IFERROR(TEXT(VALUE($C126),REPT("0",LEN($C126)))=$C126,FALSE))),"CHECK: HTS must be 10 digits",IF(LEN($E126)&lt;&gt;2,"CHECK: origin code missing or not 2 letters",IF(TRIM(CLEAN(SUBSTITUTE(Items!G126&amp;""," "," ")))="","CHECK: unit of measure missing",IF(OR(Items!H126="",Items!J126="",Items!K126=""),"CHECK: value, rate or cost missing",IF(OR(NOT(ISNUMBER(Items!H126)),NOT(ISNUMBER(Items!J126)),NOT(ISNUMBER(Items!K126)),AND(Items!I126&lt;&gt;"",NOT(ISNUMBER(Items!I126))),AND(Items!L126&lt;&gt;"",NOT(ISNUMBER(Items!L126))),AND(Items!M126&lt;&gt;"",NOT(ISNUMBER(Items!M126)))),"CHECK: text in a number column",IF(AND(ISNUMBER(Items!M126),OR(N(Items!M126)&lt;0,N(Items!M126)&gt;1)),"CHECK: dutiable share must be 0% to 100%",IF(AND(UPPER(TRIM(CLEAN(SUBSTITUTE(Items!F126&amp;""," "," "))))&lt;&gt;"",UPPER(TRIM(CLEAN(SUBSTITUTE(Items!F126&amp;""," "," "))))&lt;&gt;"Y",UPPER(TRIM(CLEAN(SUBSTITUTE(Items!F126&amp;""," "," "))))&lt;&gt;"N"),"CHECK: USMCA flag must be Y, N or blank",IF(AND(UPPER(TRIM(CLEAN(SUBSTITUTE(Items!F126&amp;""," "," "))))="Y",$E126&lt;&gt;"US",$E126&lt;&gt;"CA",$E126&lt;&gt;"MX"),"CHECK: USMCA flag on an origin other than US, CA or MX",IF(AND($L126="Y",$AO126=0,NOT(ISNUMBER(act_Rate))),"CHECK: in scope but no rate (add a rate line or B15)",IF(AND($L126="Y",UPPER(TRIM(CLEAN(SUBSTITUTE(act_RateType&amp;""," "," "))))="REPLACE",NOT(ISNUMBER(act_PriorRate)),IF($AO126=0,TRUE,NOT(ISNUMBER(INDEX(rate_Prior,MOD($AO126,100)))))),"CHECK: REPLACE but no earlier rate (B17 or the rate line's AD)",IF(AND($L126="Y",$AP126&gt;1),"CHECK: two rate lines match equally",IF(AND($L126="Y",$AN126&gt;1),"CHECK: HTS prefix listed twice on the scope list",IF(AND($L126="Y",$P126="PART",NOT(ISNUMBER(Items!M126))),"CHECK: dutiable share missing (PART base)",IF(AND($L126="Y",$P126="FULL",ISNUMBER(Items!M126),N(Items!M126)&lt;&gt;1),"CHECK: dutiable share entered, but the rate taxes the full value",IF(AND($L126="Y",$Q126+0.0000001&lt;$T126*$S126+$U126),"CHECK: current rate is below the duty being replaced or displaced",IF(AND($L126="Y",$AD126=0),"NOTE: in scope, no quantity",IF(AND($L126="Y",$AF126="N"),"NOTE: in scope, no sell price (left out of margin %)",IF(AND($L126="Y",N(Items!H126)&gt;N(Items!K126)),"NOTE: customs value above standard cost (check unit of measure)",IF(AND($L126="Y",$Q126&gt;1),"NOTE: current rate above 100% (check it was entered as a percentage)","OK")))))))))))))))))))))))</f>
        <v/>
      </c>
      <c r="AK126" s="20">
        <f>IF($A126="","",IF(AND($L126="Y",$AE126&lt;&gt;0),ABS($AE126)+ROW()/1000000000,""))</f>
        <v/>
      </c>
      <c r="AL126" s="10">
        <f>IF($A126="","",UPPER($A126)&amp;"/"&amp;UPPER(TRIM(CLEAN(SUBSTITUTE(Items!C126&amp;""," "," ")))))</f>
        <v/>
      </c>
      <c r="AM126" s="13">
        <f>IF($A126="",0,SUMPRODUCT(MAX((scope_HTS&lt;&gt;"")*(LEFT($C126,LEN(scope_HTS))=scope_HTS)*(LEN(scope_HTS)*1000+ROW(scope_HTS)-4))))</f>
        <v/>
      </c>
      <c r="AN126" s="13">
        <f>IF($AM126=0,0,SUMPRODUCT((scope_HTS&lt;&gt;"")*(LEFT($C126,LEN(scope_HTS))=scope_HTS)*(LEN(scope_HTS)=INT($AM126/1000))))</f>
        <v/>
      </c>
      <c r="AO126" s="13">
        <f>IF($L126&lt;&gt;"Y",0,SUMPRODUCT(MAX(ISNUMBER(rate_Rate)*((UPPER(TRIM(CLEAN(SUBSTITUTE(rate_Group&amp;""," "," "))))="")+(UPPER(TRIM(CLEAN(SUBSTITUTE(rate_Group&amp;""," "," "))))=$N126)&gt;0)*((UPPER(TRIM(CLEAN(SUBSTITUTE(rate_COO&amp;""," "," "))))="")+(UPPER(TRIM(CLEAN(SUBSTITUTE(rate_COO&amp;""," "," "))))=$E126)&gt;0)*((UPPER(TRIM(CLEAN(SUBSTITUTE(rate_USMCA&amp;""," "," "))))="")+(UPPER(TRIM(CLEAN(SUBSTITUTE(rate_USMCA&amp;""," "," "))))=IF(UPPER(TRIM(CLEAN(SUBSTITUTE(Items!F126&amp;""," "," "))))="Y","Y","N"))&gt;0)*((1+(UPPER(TRIM(CLEAN(SUBSTITUTE(rate_Group&amp;""," "," "))))&lt;&gt;"")+2*(UPPER(TRIM(CLEAN(SUBSTITUTE(rate_USMCA&amp;""," "," "))))&lt;&gt;"")+4*(UPPER(TRIM(CLEAN(SUBSTITUTE(rate_COO&amp;""," "," "))))&lt;&gt;""))*100+ROW(rate_Rate)-4))))</f>
        <v/>
      </c>
      <c r="AP126" s="13">
        <f>IF($AO126=0,0,SUMPRODUCT(ISNUMBER(rate_Rate)*((UPPER(TRIM(CLEAN(SUBSTITUTE(rate_Group&amp;""," "," "))))="")+(UPPER(TRIM(CLEAN(SUBSTITUTE(rate_Group&amp;""," "," "))))=$N126)&gt;0)*((UPPER(TRIM(CLEAN(SUBSTITUTE(rate_COO&amp;""," "," "))))="")+(UPPER(TRIM(CLEAN(SUBSTITUTE(rate_COO&amp;""," "," "))))=$E126)&gt;0)*((UPPER(TRIM(CLEAN(SUBSTITUTE(rate_USMCA&amp;""," "," "))))="")+(UPPER(TRIM(CLEAN(SUBSTITUTE(rate_USMCA&amp;""," "," "))))=IF(UPPER(TRIM(CLEAN(SUBSTITUTE(Items!F126&amp;""," "," "))))="Y","Y","N"))&gt;0)*((1+(UPPER(TRIM(CLEAN(SUBSTITUTE(rate_Group&amp;""," "," "))))&lt;&gt;"")+2*(UPPER(TRIM(CLEAN(SUBSTITUTE(rate_USMCA&amp;""," "," "))))&lt;&gt;"")+4*(UPPER(TRIM(CLEAN(SUBSTITUTE(rate_COO&amp;""," "," "))))&lt;&gt;""))=INT($AO126/100))))</f>
        <v/>
      </c>
      <c r="AQ126" s="13">
        <f>IF($A126="",0,IFERROR(MATCH($AL126,det_Key,0),0))</f>
        <v/>
      </c>
    </row>
    <row r="127">
      <c r="A127" s="10">
        <f>IF(TRIM(CLEAN(SUBSTITUTE(Items!A127&amp;""," "," ")))="","",TRIM(CLEAN(SUBSTITUTE(Items!A127&amp;""," "," "))))</f>
        <v/>
      </c>
      <c r="B127" s="10">
        <f>IF($A127="","",Items!B127&amp;"")</f>
        <v/>
      </c>
      <c r="C127" s="10">
        <f>IF($A127="","",SUBSTITUTE(SUBSTITUTE(SUBSTITUTE(SUBSTITUTE(CLEAN(Items!D127&amp;"")," ",""),".","")," ",""),"-",""))</f>
        <v/>
      </c>
      <c r="D127" s="10">
        <f>IF($A127="","",LEFT($C127,2))</f>
        <v/>
      </c>
      <c r="E127" s="10">
        <f>IF($A127="","",UPPER(TRIM(CLEAN(SUBSTITUTE(Items!E127&amp;""," "," ")))))</f>
        <v/>
      </c>
      <c r="F127" s="10">
        <f>IF($A127="","",IF(UPPER(TRIM(CLEAN(SUBSTITUTE(Items!C127&amp;""," "," "))))=UPPER(TRIM(CLEAN(SUBSTITUTE(act_Country&amp;""," "," ")))),"Y","N"))</f>
        <v/>
      </c>
      <c r="G127" s="10">
        <f>IF($A127="","",IF($AM127&gt;0,"Y","N"))</f>
        <v/>
      </c>
      <c r="H127" s="10">
        <f>IF($A127="","",IF(SUMPRODUCT((excl_HTS&lt;&gt;"")*(LEFT($C127,LEN(excl_HTS))=excl_HTS))&gt;0,"Y","N"))</f>
        <v/>
      </c>
      <c r="I127" s="10">
        <f>IF($A127="","",IF($E127="","N",IF(SUMPRODUCT(--(UPPER(TRIM(CLEAN(SUBSTITUTE(scope_COO&amp;""," "," "))))=$E127))&gt;0,"Y","N")))</f>
        <v/>
      </c>
      <c r="J127" s="10">
        <f>IF($A127="","",IF(AND(UPPER(TRIM(CLEAN(SUBSTITUTE(act_USMCAExempt&amp;""," "," "))))="Y",UPPER(TRIM(CLEAN(SUBSTITUTE(Items!F127&amp;""," "," "))))="Y"),"Y","N"))</f>
        <v/>
      </c>
      <c r="K127" s="10">
        <f>IF($A127="","",IF($AQ127=0,"",UPPER(TRIM(CLEAN(SUBSTITUTE(INDEX(det_Status,$AQ127)&amp;""," "," "))))))</f>
        <v/>
      </c>
      <c r="L127" s="10">
        <f>IF($A127="","",IF($F127="N","N",IF($K127="IN","Y",IF($K127="OUT","N",IF(AND($G127="Y",$H127="N",$I127="Y",$J127="N"),"Y","N")))))</f>
        <v/>
      </c>
      <c r="M127" s="10">
        <f>IF($A127="","",IF($F127="N","Out: different import country",IF($K127="IN","In: Research determination",IF($K127="OUT","Out: Research determination",IF($G127="N","Out: HTS not on scope list",IF($H127="Y","Out: HTS on exclusion list",IF($I127="N","Out: origin not on scope list",IF($J127="Y","Out: USMCA-qualifying, exempt","In: matches scope rules"))))))))</f>
        <v/>
      </c>
      <c r="N127" s="10">
        <f>IF(OR($A127="",$AM127=0),"",UPPER(TRIM(CLEAN(SUBSTITUTE(INDEX(scope_Group,MOD($AM127,1000))&amp;""," "," ")))))</f>
        <v/>
      </c>
      <c r="O127" s="10">
        <f>IF($L127&lt;&gt;"Y","",IF($AO127=0,"Default (B15)",UPPER(TRIM(CLEAN(SUBSTITUTE(INDEX(rate_ID,MOD($AO127,100))&amp;""," "," "))))))</f>
        <v/>
      </c>
      <c r="P127" s="10">
        <f>IF($L127&lt;&gt;"Y","",IF($AO127=0,IF(UPPER(TRIM(CLEAN(SUBSTITUTE(act_DefaultBase&amp;""," "," "))))="PART","PART","FULL"),IF(UPPER(TRIM(CLEAN(SUBSTITUTE(INDEX(rate_Base,MOD($AO127,100))&amp;""," "," "))))="PART","PART","FULL")))</f>
        <v/>
      </c>
      <c r="Q127" s="17">
        <f>IF($A127="","",N(Items!J127))</f>
        <v/>
      </c>
      <c r="R127" s="17">
        <f>IF($A127="","",IF($L127&lt;&gt;"Y",0,IF($AO127=0,N(act_Rate),N(INDEX(rate_Rate,MOD($AO127,100))))))</f>
        <v/>
      </c>
      <c r="S127" s="17">
        <f>IF($A127="","",IF($L127&lt;&gt;"Y",0,IF($AO127=0,IF(UPPER(TRIM(CLEAN(SUBSTITUTE(act_RateType&amp;""," "," "))))="REPLACE",N(act_PriorRate),0),IF(ISNUMBER(INDEX(rate_Prior,MOD($AO127,100))),INDEX(rate_Prior,MOD($AO127,100)),IF(UPPER(TRIM(CLEAN(SUBSTITUTE(act_RateType&amp;""," "," "))))="REPLACE",N(act_PriorRate),0)))))</f>
        <v/>
      </c>
      <c r="T127" s="17">
        <f>IF($A127="","",IF(AND($L127="Y",$P127="PART",ISNUMBER(Items!M127)),Items!M127,1))</f>
        <v/>
      </c>
      <c r="U127" s="17">
        <f>IF($A127="","",IF($L127&lt;&gt;"Y",0,IF($AQ127&gt;0,IF(ISNUMBER(INDEX(det_Displaced,$AQ127)),INDEX(det_Displaced,$AQ127),IF($AO127=0,0,N(INDEX(rate_Displaced,MOD($AO127,100))))),IF($AO127=0,0,N(INDEX(rate_Displaced,MOD($AO127,100)))))))</f>
        <v/>
      </c>
      <c r="V127" s="17">
        <f>IF($A127="","",IF($L127="Y",$Q127+$T127*($R127-$S127)-$U127,$Q127))</f>
        <v/>
      </c>
      <c r="W127" s="18">
        <f>IF($A127="","",N(Items!H127)*$Q127)</f>
        <v/>
      </c>
      <c r="X127" s="18">
        <f>IF($A127="","",N(Items!H127)*$V127)</f>
        <v/>
      </c>
      <c r="Y127" s="18">
        <f>IF($A127="","",$X127-$W127)</f>
        <v/>
      </c>
      <c r="Z127" s="18">
        <f>IF($A127="","",N(Items!K127)+$Y127)</f>
        <v/>
      </c>
      <c r="AA127" s="17">
        <f>IF($A127="","",IF(N(Items!L127)=0,"",(N(Items!L127)-N(Items!K127))/N(Items!L127)))</f>
        <v/>
      </c>
      <c r="AB127" s="17">
        <f>IF($A127="","",IF(N(Items!L127)=0,"",(N(Items!L127)-$Z127)/N(Items!L127)))</f>
        <v/>
      </c>
      <c r="AC127" s="17">
        <f>IF(OR($AA127="",$AB127=""),"",$AB127-$AA127)</f>
        <v/>
      </c>
      <c r="AD127" s="13">
        <f>IF($A127="","",N(Items!I127))</f>
        <v/>
      </c>
      <c r="AE127" s="19">
        <f>IF($A127="","",$Y127*$AD127)</f>
        <v/>
      </c>
      <c r="AF127" s="10">
        <f>IF($A127="","",IF(N(Items!L127)&gt;0,"Y","N"))</f>
        <v/>
      </c>
      <c r="AG127" s="19">
        <f>IF($A127="","",IF($AF127="Y",N(Items!L127)*$AD127,0))</f>
        <v/>
      </c>
      <c r="AH127" s="19">
        <f>IF($A127="","",IF($AF127="Y",(N(Items!L127)-N(Items!K127))*$AD127,0))</f>
        <v/>
      </c>
      <c r="AI127" s="19">
        <f>IF($A127="","",IF($AF127="Y",$AH127-$AE127,0))</f>
        <v/>
      </c>
      <c r="AJ127" s="10">
        <f>IF($A127="","",IF(COUNTIF($AL$5:$AL$254,$AL127)&gt;1,"CHECK: duplicate item and import country",IF(TRIM(CLEAN(SUBSTITUTE(Items!C127&amp;""," "," ")))="","CHECK: import country missing",IF(AND(UPPER(TRIM(CLEAN(SUBSTITUTE(Items!C127&amp;""," "," "))))&lt;&gt;"US",UPPER(TRIM(CLEAN(SUBSTITUTE(Items!C127&amp;""," "," "))))&lt;&gt;"CA",UPPER(TRIM(CLEAN(SUBSTITUTE(Items!C127&amp;""," "," "))))&lt;&gt;"MX"),"CHECK: import country must be US, CA or MX",IF(NOT(AND(LEN($C127)=10,IFERROR(TEXT(VALUE($C127),REPT("0",LEN($C127)))=$C127,FALSE))),"CHECK: HTS must be 10 digits",IF(LEN($E127)&lt;&gt;2,"CHECK: origin code missing or not 2 letters",IF(TRIM(CLEAN(SUBSTITUTE(Items!G127&amp;""," "," ")))="","CHECK: unit of measure missing",IF(OR(Items!H127="",Items!J127="",Items!K127=""),"CHECK: value, rate or cost missing",IF(OR(NOT(ISNUMBER(Items!H127)),NOT(ISNUMBER(Items!J127)),NOT(ISNUMBER(Items!K127)),AND(Items!I127&lt;&gt;"",NOT(ISNUMBER(Items!I127))),AND(Items!L127&lt;&gt;"",NOT(ISNUMBER(Items!L127))),AND(Items!M127&lt;&gt;"",NOT(ISNUMBER(Items!M127)))),"CHECK: text in a number column",IF(AND(ISNUMBER(Items!M127),OR(N(Items!M127)&lt;0,N(Items!M127)&gt;1)),"CHECK: dutiable share must be 0% to 100%",IF(AND(UPPER(TRIM(CLEAN(SUBSTITUTE(Items!F127&amp;""," "," "))))&lt;&gt;"",UPPER(TRIM(CLEAN(SUBSTITUTE(Items!F127&amp;""," "," "))))&lt;&gt;"Y",UPPER(TRIM(CLEAN(SUBSTITUTE(Items!F127&amp;""," "," "))))&lt;&gt;"N"),"CHECK: USMCA flag must be Y, N or blank",IF(AND(UPPER(TRIM(CLEAN(SUBSTITUTE(Items!F127&amp;""," "," "))))="Y",$E127&lt;&gt;"US",$E127&lt;&gt;"CA",$E127&lt;&gt;"MX"),"CHECK: USMCA flag on an origin other than US, CA or MX",IF(AND($L127="Y",$AO127=0,NOT(ISNUMBER(act_Rate))),"CHECK: in scope but no rate (add a rate line or B15)",IF(AND($L127="Y",UPPER(TRIM(CLEAN(SUBSTITUTE(act_RateType&amp;""," "," "))))="REPLACE",NOT(ISNUMBER(act_PriorRate)),IF($AO127=0,TRUE,NOT(ISNUMBER(INDEX(rate_Prior,MOD($AO127,100)))))),"CHECK: REPLACE but no earlier rate (B17 or the rate line's AD)",IF(AND($L127="Y",$AP127&gt;1),"CHECK: two rate lines match equally",IF(AND($L127="Y",$AN127&gt;1),"CHECK: HTS prefix listed twice on the scope list",IF(AND($L127="Y",$P127="PART",NOT(ISNUMBER(Items!M127))),"CHECK: dutiable share missing (PART base)",IF(AND($L127="Y",$P127="FULL",ISNUMBER(Items!M127),N(Items!M127)&lt;&gt;1),"CHECK: dutiable share entered, but the rate taxes the full value",IF(AND($L127="Y",$Q127+0.0000001&lt;$T127*$S127+$U127),"CHECK: current rate is below the duty being replaced or displaced",IF(AND($L127="Y",$AD127=0),"NOTE: in scope, no quantity",IF(AND($L127="Y",$AF127="N"),"NOTE: in scope, no sell price (left out of margin %)",IF(AND($L127="Y",N(Items!H127)&gt;N(Items!K127)),"NOTE: customs value above standard cost (check unit of measure)",IF(AND($L127="Y",$Q127&gt;1),"NOTE: current rate above 100% (check it was entered as a percentage)","OK")))))))))))))))))))))))</f>
        <v/>
      </c>
      <c r="AK127" s="20">
        <f>IF($A127="","",IF(AND($L127="Y",$AE127&lt;&gt;0),ABS($AE127)+ROW()/1000000000,""))</f>
        <v/>
      </c>
      <c r="AL127" s="10">
        <f>IF($A127="","",UPPER($A127)&amp;"/"&amp;UPPER(TRIM(CLEAN(SUBSTITUTE(Items!C127&amp;""," "," ")))))</f>
        <v/>
      </c>
      <c r="AM127" s="13">
        <f>IF($A127="",0,SUMPRODUCT(MAX((scope_HTS&lt;&gt;"")*(LEFT($C127,LEN(scope_HTS))=scope_HTS)*(LEN(scope_HTS)*1000+ROW(scope_HTS)-4))))</f>
        <v/>
      </c>
      <c r="AN127" s="13">
        <f>IF($AM127=0,0,SUMPRODUCT((scope_HTS&lt;&gt;"")*(LEFT($C127,LEN(scope_HTS))=scope_HTS)*(LEN(scope_HTS)=INT($AM127/1000))))</f>
        <v/>
      </c>
      <c r="AO127" s="13">
        <f>IF($L127&lt;&gt;"Y",0,SUMPRODUCT(MAX(ISNUMBER(rate_Rate)*((UPPER(TRIM(CLEAN(SUBSTITUTE(rate_Group&amp;""," "," "))))="")+(UPPER(TRIM(CLEAN(SUBSTITUTE(rate_Group&amp;""," "," "))))=$N127)&gt;0)*((UPPER(TRIM(CLEAN(SUBSTITUTE(rate_COO&amp;""," "," "))))="")+(UPPER(TRIM(CLEAN(SUBSTITUTE(rate_COO&amp;""," "," "))))=$E127)&gt;0)*((UPPER(TRIM(CLEAN(SUBSTITUTE(rate_USMCA&amp;""," "," "))))="")+(UPPER(TRIM(CLEAN(SUBSTITUTE(rate_USMCA&amp;""," "," "))))=IF(UPPER(TRIM(CLEAN(SUBSTITUTE(Items!F127&amp;""," "," "))))="Y","Y","N"))&gt;0)*((1+(UPPER(TRIM(CLEAN(SUBSTITUTE(rate_Group&amp;""," "," "))))&lt;&gt;"")+2*(UPPER(TRIM(CLEAN(SUBSTITUTE(rate_USMCA&amp;""," "," "))))&lt;&gt;"")+4*(UPPER(TRIM(CLEAN(SUBSTITUTE(rate_COO&amp;""," "," "))))&lt;&gt;""))*100+ROW(rate_Rate)-4))))</f>
        <v/>
      </c>
      <c r="AP127" s="13">
        <f>IF($AO127=0,0,SUMPRODUCT(ISNUMBER(rate_Rate)*((UPPER(TRIM(CLEAN(SUBSTITUTE(rate_Group&amp;""," "," "))))="")+(UPPER(TRIM(CLEAN(SUBSTITUTE(rate_Group&amp;""," "," "))))=$N127)&gt;0)*((UPPER(TRIM(CLEAN(SUBSTITUTE(rate_COO&amp;""," "," "))))="")+(UPPER(TRIM(CLEAN(SUBSTITUTE(rate_COO&amp;""," "," "))))=$E127)&gt;0)*((UPPER(TRIM(CLEAN(SUBSTITUTE(rate_USMCA&amp;""," "," "))))="")+(UPPER(TRIM(CLEAN(SUBSTITUTE(rate_USMCA&amp;""," "," "))))=IF(UPPER(TRIM(CLEAN(SUBSTITUTE(Items!F127&amp;""," "," "))))="Y","Y","N"))&gt;0)*((1+(UPPER(TRIM(CLEAN(SUBSTITUTE(rate_Group&amp;""," "," "))))&lt;&gt;"")+2*(UPPER(TRIM(CLEAN(SUBSTITUTE(rate_USMCA&amp;""," "," "))))&lt;&gt;"")+4*(UPPER(TRIM(CLEAN(SUBSTITUTE(rate_COO&amp;""," "," "))))&lt;&gt;""))=INT($AO127/100))))</f>
        <v/>
      </c>
      <c r="AQ127" s="13">
        <f>IF($A127="",0,IFERROR(MATCH($AL127,det_Key,0),0))</f>
        <v/>
      </c>
    </row>
    <row r="128">
      <c r="A128" s="10">
        <f>IF(TRIM(CLEAN(SUBSTITUTE(Items!A128&amp;""," "," ")))="","",TRIM(CLEAN(SUBSTITUTE(Items!A128&amp;""," "," "))))</f>
        <v/>
      </c>
      <c r="B128" s="10">
        <f>IF($A128="","",Items!B128&amp;"")</f>
        <v/>
      </c>
      <c r="C128" s="10">
        <f>IF($A128="","",SUBSTITUTE(SUBSTITUTE(SUBSTITUTE(SUBSTITUTE(CLEAN(Items!D128&amp;"")," ",""),".","")," ",""),"-",""))</f>
        <v/>
      </c>
      <c r="D128" s="10">
        <f>IF($A128="","",LEFT($C128,2))</f>
        <v/>
      </c>
      <c r="E128" s="10">
        <f>IF($A128="","",UPPER(TRIM(CLEAN(SUBSTITUTE(Items!E128&amp;""," "," ")))))</f>
        <v/>
      </c>
      <c r="F128" s="10">
        <f>IF($A128="","",IF(UPPER(TRIM(CLEAN(SUBSTITUTE(Items!C128&amp;""," "," "))))=UPPER(TRIM(CLEAN(SUBSTITUTE(act_Country&amp;""," "," ")))),"Y","N"))</f>
        <v/>
      </c>
      <c r="G128" s="10">
        <f>IF($A128="","",IF($AM128&gt;0,"Y","N"))</f>
        <v/>
      </c>
      <c r="H128" s="10">
        <f>IF($A128="","",IF(SUMPRODUCT((excl_HTS&lt;&gt;"")*(LEFT($C128,LEN(excl_HTS))=excl_HTS))&gt;0,"Y","N"))</f>
        <v/>
      </c>
      <c r="I128" s="10">
        <f>IF($A128="","",IF($E128="","N",IF(SUMPRODUCT(--(UPPER(TRIM(CLEAN(SUBSTITUTE(scope_COO&amp;""," "," "))))=$E128))&gt;0,"Y","N")))</f>
        <v/>
      </c>
      <c r="J128" s="10">
        <f>IF($A128="","",IF(AND(UPPER(TRIM(CLEAN(SUBSTITUTE(act_USMCAExempt&amp;""," "," "))))="Y",UPPER(TRIM(CLEAN(SUBSTITUTE(Items!F128&amp;""," "," "))))="Y"),"Y","N"))</f>
        <v/>
      </c>
      <c r="K128" s="10">
        <f>IF($A128="","",IF($AQ128=0,"",UPPER(TRIM(CLEAN(SUBSTITUTE(INDEX(det_Status,$AQ128)&amp;""," "," "))))))</f>
        <v/>
      </c>
      <c r="L128" s="10">
        <f>IF($A128="","",IF($F128="N","N",IF($K128="IN","Y",IF($K128="OUT","N",IF(AND($G128="Y",$H128="N",$I128="Y",$J128="N"),"Y","N")))))</f>
        <v/>
      </c>
      <c r="M128" s="10">
        <f>IF($A128="","",IF($F128="N","Out: different import country",IF($K128="IN","In: Research determination",IF($K128="OUT","Out: Research determination",IF($G128="N","Out: HTS not on scope list",IF($H128="Y","Out: HTS on exclusion list",IF($I128="N","Out: origin not on scope list",IF($J128="Y","Out: USMCA-qualifying, exempt","In: matches scope rules"))))))))</f>
        <v/>
      </c>
      <c r="N128" s="10">
        <f>IF(OR($A128="",$AM128=0),"",UPPER(TRIM(CLEAN(SUBSTITUTE(INDEX(scope_Group,MOD($AM128,1000))&amp;""," "," ")))))</f>
        <v/>
      </c>
      <c r="O128" s="10">
        <f>IF($L128&lt;&gt;"Y","",IF($AO128=0,"Default (B15)",UPPER(TRIM(CLEAN(SUBSTITUTE(INDEX(rate_ID,MOD($AO128,100))&amp;""," "," "))))))</f>
        <v/>
      </c>
      <c r="P128" s="10">
        <f>IF($L128&lt;&gt;"Y","",IF($AO128=0,IF(UPPER(TRIM(CLEAN(SUBSTITUTE(act_DefaultBase&amp;""," "," "))))="PART","PART","FULL"),IF(UPPER(TRIM(CLEAN(SUBSTITUTE(INDEX(rate_Base,MOD($AO128,100))&amp;""," "," "))))="PART","PART","FULL")))</f>
        <v/>
      </c>
      <c r="Q128" s="17">
        <f>IF($A128="","",N(Items!J128))</f>
        <v/>
      </c>
      <c r="R128" s="17">
        <f>IF($A128="","",IF($L128&lt;&gt;"Y",0,IF($AO128=0,N(act_Rate),N(INDEX(rate_Rate,MOD($AO128,100))))))</f>
        <v/>
      </c>
      <c r="S128" s="17">
        <f>IF($A128="","",IF($L128&lt;&gt;"Y",0,IF($AO128=0,IF(UPPER(TRIM(CLEAN(SUBSTITUTE(act_RateType&amp;""," "," "))))="REPLACE",N(act_PriorRate),0),IF(ISNUMBER(INDEX(rate_Prior,MOD($AO128,100))),INDEX(rate_Prior,MOD($AO128,100)),IF(UPPER(TRIM(CLEAN(SUBSTITUTE(act_RateType&amp;""," "," "))))="REPLACE",N(act_PriorRate),0)))))</f>
        <v/>
      </c>
      <c r="T128" s="17">
        <f>IF($A128="","",IF(AND($L128="Y",$P128="PART",ISNUMBER(Items!M128)),Items!M128,1))</f>
        <v/>
      </c>
      <c r="U128" s="17">
        <f>IF($A128="","",IF($L128&lt;&gt;"Y",0,IF($AQ128&gt;0,IF(ISNUMBER(INDEX(det_Displaced,$AQ128)),INDEX(det_Displaced,$AQ128),IF($AO128=0,0,N(INDEX(rate_Displaced,MOD($AO128,100))))),IF($AO128=0,0,N(INDEX(rate_Displaced,MOD($AO128,100)))))))</f>
        <v/>
      </c>
      <c r="V128" s="17">
        <f>IF($A128="","",IF($L128="Y",$Q128+$T128*($R128-$S128)-$U128,$Q128))</f>
        <v/>
      </c>
      <c r="W128" s="18">
        <f>IF($A128="","",N(Items!H128)*$Q128)</f>
        <v/>
      </c>
      <c r="X128" s="18">
        <f>IF($A128="","",N(Items!H128)*$V128)</f>
        <v/>
      </c>
      <c r="Y128" s="18">
        <f>IF($A128="","",$X128-$W128)</f>
        <v/>
      </c>
      <c r="Z128" s="18">
        <f>IF($A128="","",N(Items!K128)+$Y128)</f>
        <v/>
      </c>
      <c r="AA128" s="17">
        <f>IF($A128="","",IF(N(Items!L128)=0,"",(N(Items!L128)-N(Items!K128))/N(Items!L128)))</f>
        <v/>
      </c>
      <c r="AB128" s="17">
        <f>IF($A128="","",IF(N(Items!L128)=0,"",(N(Items!L128)-$Z128)/N(Items!L128)))</f>
        <v/>
      </c>
      <c r="AC128" s="17">
        <f>IF(OR($AA128="",$AB128=""),"",$AB128-$AA128)</f>
        <v/>
      </c>
      <c r="AD128" s="13">
        <f>IF($A128="","",N(Items!I128))</f>
        <v/>
      </c>
      <c r="AE128" s="19">
        <f>IF($A128="","",$Y128*$AD128)</f>
        <v/>
      </c>
      <c r="AF128" s="10">
        <f>IF($A128="","",IF(N(Items!L128)&gt;0,"Y","N"))</f>
        <v/>
      </c>
      <c r="AG128" s="19">
        <f>IF($A128="","",IF($AF128="Y",N(Items!L128)*$AD128,0))</f>
        <v/>
      </c>
      <c r="AH128" s="19">
        <f>IF($A128="","",IF($AF128="Y",(N(Items!L128)-N(Items!K128))*$AD128,0))</f>
        <v/>
      </c>
      <c r="AI128" s="19">
        <f>IF($A128="","",IF($AF128="Y",$AH128-$AE128,0))</f>
        <v/>
      </c>
      <c r="AJ128" s="10">
        <f>IF($A128="","",IF(COUNTIF($AL$5:$AL$254,$AL128)&gt;1,"CHECK: duplicate item and import country",IF(TRIM(CLEAN(SUBSTITUTE(Items!C128&amp;""," "," ")))="","CHECK: import country missing",IF(AND(UPPER(TRIM(CLEAN(SUBSTITUTE(Items!C128&amp;""," "," "))))&lt;&gt;"US",UPPER(TRIM(CLEAN(SUBSTITUTE(Items!C128&amp;""," "," "))))&lt;&gt;"CA",UPPER(TRIM(CLEAN(SUBSTITUTE(Items!C128&amp;""," "," "))))&lt;&gt;"MX"),"CHECK: import country must be US, CA or MX",IF(NOT(AND(LEN($C128)=10,IFERROR(TEXT(VALUE($C128),REPT("0",LEN($C128)))=$C128,FALSE))),"CHECK: HTS must be 10 digits",IF(LEN($E128)&lt;&gt;2,"CHECK: origin code missing or not 2 letters",IF(TRIM(CLEAN(SUBSTITUTE(Items!G128&amp;""," "," ")))="","CHECK: unit of measure missing",IF(OR(Items!H128="",Items!J128="",Items!K128=""),"CHECK: value, rate or cost missing",IF(OR(NOT(ISNUMBER(Items!H128)),NOT(ISNUMBER(Items!J128)),NOT(ISNUMBER(Items!K128)),AND(Items!I128&lt;&gt;"",NOT(ISNUMBER(Items!I128))),AND(Items!L128&lt;&gt;"",NOT(ISNUMBER(Items!L128))),AND(Items!M128&lt;&gt;"",NOT(ISNUMBER(Items!M128)))),"CHECK: text in a number column",IF(AND(ISNUMBER(Items!M128),OR(N(Items!M128)&lt;0,N(Items!M128)&gt;1)),"CHECK: dutiable share must be 0% to 100%",IF(AND(UPPER(TRIM(CLEAN(SUBSTITUTE(Items!F128&amp;""," "," "))))&lt;&gt;"",UPPER(TRIM(CLEAN(SUBSTITUTE(Items!F128&amp;""," "," "))))&lt;&gt;"Y",UPPER(TRIM(CLEAN(SUBSTITUTE(Items!F128&amp;""," "," "))))&lt;&gt;"N"),"CHECK: USMCA flag must be Y, N or blank",IF(AND(UPPER(TRIM(CLEAN(SUBSTITUTE(Items!F128&amp;""," "," "))))="Y",$E128&lt;&gt;"US",$E128&lt;&gt;"CA",$E128&lt;&gt;"MX"),"CHECK: USMCA flag on an origin other than US, CA or MX",IF(AND($L128="Y",$AO128=0,NOT(ISNUMBER(act_Rate))),"CHECK: in scope but no rate (add a rate line or B15)",IF(AND($L128="Y",UPPER(TRIM(CLEAN(SUBSTITUTE(act_RateType&amp;""," "," "))))="REPLACE",NOT(ISNUMBER(act_PriorRate)),IF($AO128=0,TRUE,NOT(ISNUMBER(INDEX(rate_Prior,MOD($AO128,100)))))),"CHECK: REPLACE but no earlier rate (B17 or the rate line's AD)",IF(AND($L128="Y",$AP128&gt;1),"CHECK: two rate lines match equally",IF(AND($L128="Y",$AN128&gt;1),"CHECK: HTS prefix listed twice on the scope list",IF(AND($L128="Y",$P128="PART",NOT(ISNUMBER(Items!M128))),"CHECK: dutiable share missing (PART base)",IF(AND($L128="Y",$P128="FULL",ISNUMBER(Items!M128),N(Items!M128)&lt;&gt;1),"CHECK: dutiable share entered, but the rate taxes the full value",IF(AND($L128="Y",$Q128+0.0000001&lt;$T128*$S128+$U128),"CHECK: current rate is below the duty being replaced or displaced",IF(AND($L128="Y",$AD128=0),"NOTE: in scope, no quantity",IF(AND($L128="Y",$AF128="N"),"NOTE: in scope, no sell price (left out of margin %)",IF(AND($L128="Y",N(Items!H128)&gt;N(Items!K128)),"NOTE: customs value above standard cost (check unit of measure)",IF(AND($L128="Y",$Q128&gt;1),"NOTE: current rate above 100% (check it was entered as a percentage)","OK")))))))))))))))))))))))</f>
        <v/>
      </c>
      <c r="AK128" s="20">
        <f>IF($A128="","",IF(AND($L128="Y",$AE128&lt;&gt;0),ABS($AE128)+ROW()/1000000000,""))</f>
        <v/>
      </c>
      <c r="AL128" s="10">
        <f>IF($A128="","",UPPER($A128)&amp;"/"&amp;UPPER(TRIM(CLEAN(SUBSTITUTE(Items!C128&amp;""," "," ")))))</f>
        <v/>
      </c>
      <c r="AM128" s="13">
        <f>IF($A128="",0,SUMPRODUCT(MAX((scope_HTS&lt;&gt;"")*(LEFT($C128,LEN(scope_HTS))=scope_HTS)*(LEN(scope_HTS)*1000+ROW(scope_HTS)-4))))</f>
        <v/>
      </c>
      <c r="AN128" s="13">
        <f>IF($AM128=0,0,SUMPRODUCT((scope_HTS&lt;&gt;"")*(LEFT($C128,LEN(scope_HTS))=scope_HTS)*(LEN(scope_HTS)=INT($AM128/1000))))</f>
        <v/>
      </c>
      <c r="AO128" s="13">
        <f>IF($L128&lt;&gt;"Y",0,SUMPRODUCT(MAX(ISNUMBER(rate_Rate)*((UPPER(TRIM(CLEAN(SUBSTITUTE(rate_Group&amp;""," "," "))))="")+(UPPER(TRIM(CLEAN(SUBSTITUTE(rate_Group&amp;""," "," "))))=$N128)&gt;0)*((UPPER(TRIM(CLEAN(SUBSTITUTE(rate_COO&amp;""," "," "))))="")+(UPPER(TRIM(CLEAN(SUBSTITUTE(rate_COO&amp;""," "," "))))=$E128)&gt;0)*((UPPER(TRIM(CLEAN(SUBSTITUTE(rate_USMCA&amp;""," "," "))))="")+(UPPER(TRIM(CLEAN(SUBSTITUTE(rate_USMCA&amp;""," "," "))))=IF(UPPER(TRIM(CLEAN(SUBSTITUTE(Items!F128&amp;""," "," "))))="Y","Y","N"))&gt;0)*((1+(UPPER(TRIM(CLEAN(SUBSTITUTE(rate_Group&amp;""," "," "))))&lt;&gt;"")+2*(UPPER(TRIM(CLEAN(SUBSTITUTE(rate_USMCA&amp;""," "," "))))&lt;&gt;"")+4*(UPPER(TRIM(CLEAN(SUBSTITUTE(rate_COO&amp;""," "," "))))&lt;&gt;""))*100+ROW(rate_Rate)-4))))</f>
        <v/>
      </c>
      <c r="AP128" s="13">
        <f>IF($AO128=0,0,SUMPRODUCT(ISNUMBER(rate_Rate)*((UPPER(TRIM(CLEAN(SUBSTITUTE(rate_Group&amp;""," "," "))))="")+(UPPER(TRIM(CLEAN(SUBSTITUTE(rate_Group&amp;""," "," "))))=$N128)&gt;0)*((UPPER(TRIM(CLEAN(SUBSTITUTE(rate_COO&amp;""," "," "))))="")+(UPPER(TRIM(CLEAN(SUBSTITUTE(rate_COO&amp;""," "," "))))=$E128)&gt;0)*((UPPER(TRIM(CLEAN(SUBSTITUTE(rate_USMCA&amp;""," "," "))))="")+(UPPER(TRIM(CLEAN(SUBSTITUTE(rate_USMCA&amp;""," "," "))))=IF(UPPER(TRIM(CLEAN(SUBSTITUTE(Items!F128&amp;""," "," "))))="Y","Y","N"))&gt;0)*((1+(UPPER(TRIM(CLEAN(SUBSTITUTE(rate_Group&amp;""," "," "))))&lt;&gt;"")+2*(UPPER(TRIM(CLEAN(SUBSTITUTE(rate_USMCA&amp;""," "," "))))&lt;&gt;"")+4*(UPPER(TRIM(CLEAN(SUBSTITUTE(rate_COO&amp;""," "," "))))&lt;&gt;""))=INT($AO128/100))))</f>
        <v/>
      </c>
      <c r="AQ128" s="13">
        <f>IF($A128="",0,IFERROR(MATCH($AL128,det_Key,0),0))</f>
        <v/>
      </c>
    </row>
    <row r="129">
      <c r="A129" s="10">
        <f>IF(TRIM(CLEAN(SUBSTITUTE(Items!A129&amp;""," "," ")))="","",TRIM(CLEAN(SUBSTITUTE(Items!A129&amp;""," "," "))))</f>
        <v/>
      </c>
      <c r="B129" s="10">
        <f>IF($A129="","",Items!B129&amp;"")</f>
        <v/>
      </c>
      <c r="C129" s="10">
        <f>IF($A129="","",SUBSTITUTE(SUBSTITUTE(SUBSTITUTE(SUBSTITUTE(CLEAN(Items!D129&amp;"")," ",""),".","")," ",""),"-",""))</f>
        <v/>
      </c>
      <c r="D129" s="10">
        <f>IF($A129="","",LEFT($C129,2))</f>
        <v/>
      </c>
      <c r="E129" s="10">
        <f>IF($A129="","",UPPER(TRIM(CLEAN(SUBSTITUTE(Items!E129&amp;""," "," ")))))</f>
        <v/>
      </c>
      <c r="F129" s="10">
        <f>IF($A129="","",IF(UPPER(TRIM(CLEAN(SUBSTITUTE(Items!C129&amp;""," "," "))))=UPPER(TRIM(CLEAN(SUBSTITUTE(act_Country&amp;""," "," ")))),"Y","N"))</f>
        <v/>
      </c>
      <c r="G129" s="10">
        <f>IF($A129="","",IF($AM129&gt;0,"Y","N"))</f>
        <v/>
      </c>
      <c r="H129" s="10">
        <f>IF($A129="","",IF(SUMPRODUCT((excl_HTS&lt;&gt;"")*(LEFT($C129,LEN(excl_HTS))=excl_HTS))&gt;0,"Y","N"))</f>
        <v/>
      </c>
      <c r="I129" s="10">
        <f>IF($A129="","",IF($E129="","N",IF(SUMPRODUCT(--(UPPER(TRIM(CLEAN(SUBSTITUTE(scope_COO&amp;""," "," "))))=$E129))&gt;0,"Y","N")))</f>
        <v/>
      </c>
      <c r="J129" s="10">
        <f>IF($A129="","",IF(AND(UPPER(TRIM(CLEAN(SUBSTITUTE(act_USMCAExempt&amp;""," "," "))))="Y",UPPER(TRIM(CLEAN(SUBSTITUTE(Items!F129&amp;""," "," "))))="Y"),"Y","N"))</f>
        <v/>
      </c>
      <c r="K129" s="10">
        <f>IF($A129="","",IF($AQ129=0,"",UPPER(TRIM(CLEAN(SUBSTITUTE(INDEX(det_Status,$AQ129)&amp;""," "," "))))))</f>
        <v/>
      </c>
      <c r="L129" s="10">
        <f>IF($A129="","",IF($F129="N","N",IF($K129="IN","Y",IF($K129="OUT","N",IF(AND($G129="Y",$H129="N",$I129="Y",$J129="N"),"Y","N")))))</f>
        <v/>
      </c>
      <c r="M129" s="10">
        <f>IF($A129="","",IF($F129="N","Out: different import country",IF($K129="IN","In: Research determination",IF($K129="OUT","Out: Research determination",IF($G129="N","Out: HTS not on scope list",IF($H129="Y","Out: HTS on exclusion list",IF($I129="N","Out: origin not on scope list",IF($J129="Y","Out: USMCA-qualifying, exempt","In: matches scope rules"))))))))</f>
        <v/>
      </c>
      <c r="N129" s="10">
        <f>IF(OR($A129="",$AM129=0),"",UPPER(TRIM(CLEAN(SUBSTITUTE(INDEX(scope_Group,MOD($AM129,1000))&amp;""," "," ")))))</f>
        <v/>
      </c>
      <c r="O129" s="10">
        <f>IF($L129&lt;&gt;"Y","",IF($AO129=0,"Default (B15)",UPPER(TRIM(CLEAN(SUBSTITUTE(INDEX(rate_ID,MOD($AO129,100))&amp;""," "," "))))))</f>
        <v/>
      </c>
      <c r="P129" s="10">
        <f>IF($L129&lt;&gt;"Y","",IF($AO129=0,IF(UPPER(TRIM(CLEAN(SUBSTITUTE(act_DefaultBase&amp;""," "," "))))="PART","PART","FULL"),IF(UPPER(TRIM(CLEAN(SUBSTITUTE(INDEX(rate_Base,MOD($AO129,100))&amp;""," "," "))))="PART","PART","FULL")))</f>
        <v/>
      </c>
      <c r="Q129" s="17">
        <f>IF($A129="","",N(Items!J129))</f>
        <v/>
      </c>
      <c r="R129" s="17">
        <f>IF($A129="","",IF($L129&lt;&gt;"Y",0,IF($AO129=0,N(act_Rate),N(INDEX(rate_Rate,MOD($AO129,100))))))</f>
        <v/>
      </c>
      <c r="S129" s="17">
        <f>IF($A129="","",IF($L129&lt;&gt;"Y",0,IF($AO129=0,IF(UPPER(TRIM(CLEAN(SUBSTITUTE(act_RateType&amp;""," "," "))))="REPLACE",N(act_PriorRate),0),IF(ISNUMBER(INDEX(rate_Prior,MOD($AO129,100))),INDEX(rate_Prior,MOD($AO129,100)),IF(UPPER(TRIM(CLEAN(SUBSTITUTE(act_RateType&amp;""," "," "))))="REPLACE",N(act_PriorRate),0)))))</f>
        <v/>
      </c>
      <c r="T129" s="17">
        <f>IF($A129="","",IF(AND($L129="Y",$P129="PART",ISNUMBER(Items!M129)),Items!M129,1))</f>
        <v/>
      </c>
      <c r="U129" s="17">
        <f>IF($A129="","",IF($L129&lt;&gt;"Y",0,IF($AQ129&gt;0,IF(ISNUMBER(INDEX(det_Displaced,$AQ129)),INDEX(det_Displaced,$AQ129),IF($AO129=0,0,N(INDEX(rate_Displaced,MOD($AO129,100))))),IF($AO129=0,0,N(INDEX(rate_Displaced,MOD($AO129,100)))))))</f>
        <v/>
      </c>
      <c r="V129" s="17">
        <f>IF($A129="","",IF($L129="Y",$Q129+$T129*($R129-$S129)-$U129,$Q129))</f>
        <v/>
      </c>
      <c r="W129" s="18">
        <f>IF($A129="","",N(Items!H129)*$Q129)</f>
        <v/>
      </c>
      <c r="X129" s="18">
        <f>IF($A129="","",N(Items!H129)*$V129)</f>
        <v/>
      </c>
      <c r="Y129" s="18">
        <f>IF($A129="","",$X129-$W129)</f>
        <v/>
      </c>
      <c r="Z129" s="18">
        <f>IF($A129="","",N(Items!K129)+$Y129)</f>
        <v/>
      </c>
      <c r="AA129" s="17">
        <f>IF($A129="","",IF(N(Items!L129)=0,"",(N(Items!L129)-N(Items!K129))/N(Items!L129)))</f>
        <v/>
      </c>
      <c r="AB129" s="17">
        <f>IF($A129="","",IF(N(Items!L129)=0,"",(N(Items!L129)-$Z129)/N(Items!L129)))</f>
        <v/>
      </c>
      <c r="AC129" s="17">
        <f>IF(OR($AA129="",$AB129=""),"",$AB129-$AA129)</f>
        <v/>
      </c>
      <c r="AD129" s="13">
        <f>IF($A129="","",N(Items!I129))</f>
        <v/>
      </c>
      <c r="AE129" s="19">
        <f>IF($A129="","",$Y129*$AD129)</f>
        <v/>
      </c>
      <c r="AF129" s="10">
        <f>IF($A129="","",IF(N(Items!L129)&gt;0,"Y","N"))</f>
        <v/>
      </c>
      <c r="AG129" s="19">
        <f>IF($A129="","",IF($AF129="Y",N(Items!L129)*$AD129,0))</f>
        <v/>
      </c>
      <c r="AH129" s="19">
        <f>IF($A129="","",IF($AF129="Y",(N(Items!L129)-N(Items!K129))*$AD129,0))</f>
        <v/>
      </c>
      <c r="AI129" s="19">
        <f>IF($A129="","",IF($AF129="Y",$AH129-$AE129,0))</f>
        <v/>
      </c>
      <c r="AJ129" s="10">
        <f>IF($A129="","",IF(COUNTIF($AL$5:$AL$254,$AL129)&gt;1,"CHECK: duplicate item and import country",IF(TRIM(CLEAN(SUBSTITUTE(Items!C129&amp;""," "," ")))="","CHECK: import country missing",IF(AND(UPPER(TRIM(CLEAN(SUBSTITUTE(Items!C129&amp;""," "," "))))&lt;&gt;"US",UPPER(TRIM(CLEAN(SUBSTITUTE(Items!C129&amp;""," "," "))))&lt;&gt;"CA",UPPER(TRIM(CLEAN(SUBSTITUTE(Items!C129&amp;""," "," "))))&lt;&gt;"MX"),"CHECK: import country must be US, CA or MX",IF(NOT(AND(LEN($C129)=10,IFERROR(TEXT(VALUE($C129),REPT("0",LEN($C129)))=$C129,FALSE))),"CHECK: HTS must be 10 digits",IF(LEN($E129)&lt;&gt;2,"CHECK: origin code missing or not 2 letters",IF(TRIM(CLEAN(SUBSTITUTE(Items!G129&amp;""," "," ")))="","CHECK: unit of measure missing",IF(OR(Items!H129="",Items!J129="",Items!K129=""),"CHECK: value, rate or cost missing",IF(OR(NOT(ISNUMBER(Items!H129)),NOT(ISNUMBER(Items!J129)),NOT(ISNUMBER(Items!K129)),AND(Items!I129&lt;&gt;"",NOT(ISNUMBER(Items!I129))),AND(Items!L129&lt;&gt;"",NOT(ISNUMBER(Items!L129))),AND(Items!M129&lt;&gt;"",NOT(ISNUMBER(Items!M129)))),"CHECK: text in a number column",IF(AND(ISNUMBER(Items!M129),OR(N(Items!M129)&lt;0,N(Items!M129)&gt;1)),"CHECK: dutiable share must be 0% to 100%",IF(AND(UPPER(TRIM(CLEAN(SUBSTITUTE(Items!F129&amp;""," "," "))))&lt;&gt;"",UPPER(TRIM(CLEAN(SUBSTITUTE(Items!F129&amp;""," "," "))))&lt;&gt;"Y",UPPER(TRIM(CLEAN(SUBSTITUTE(Items!F129&amp;""," "," "))))&lt;&gt;"N"),"CHECK: USMCA flag must be Y, N or blank",IF(AND(UPPER(TRIM(CLEAN(SUBSTITUTE(Items!F129&amp;""," "," "))))="Y",$E129&lt;&gt;"US",$E129&lt;&gt;"CA",$E129&lt;&gt;"MX"),"CHECK: USMCA flag on an origin other than US, CA or MX",IF(AND($L129="Y",$AO129=0,NOT(ISNUMBER(act_Rate))),"CHECK: in scope but no rate (add a rate line or B15)",IF(AND($L129="Y",UPPER(TRIM(CLEAN(SUBSTITUTE(act_RateType&amp;""," "," "))))="REPLACE",NOT(ISNUMBER(act_PriorRate)),IF($AO129=0,TRUE,NOT(ISNUMBER(INDEX(rate_Prior,MOD($AO129,100)))))),"CHECK: REPLACE but no earlier rate (B17 or the rate line's AD)",IF(AND($L129="Y",$AP129&gt;1),"CHECK: two rate lines match equally",IF(AND($L129="Y",$AN129&gt;1),"CHECK: HTS prefix listed twice on the scope list",IF(AND($L129="Y",$P129="PART",NOT(ISNUMBER(Items!M129))),"CHECK: dutiable share missing (PART base)",IF(AND($L129="Y",$P129="FULL",ISNUMBER(Items!M129),N(Items!M129)&lt;&gt;1),"CHECK: dutiable share entered, but the rate taxes the full value",IF(AND($L129="Y",$Q129+0.0000001&lt;$T129*$S129+$U129),"CHECK: current rate is below the duty being replaced or displaced",IF(AND($L129="Y",$AD129=0),"NOTE: in scope, no quantity",IF(AND($L129="Y",$AF129="N"),"NOTE: in scope, no sell price (left out of margin %)",IF(AND($L129="Y",N(Items!H129)&gt;N(Items!K129)),"NOTE: customs value above standard cost (check unit of measure)",IF(AND($L129="Y",$Q129&gt;1),"NOTE: current rate above 100% (check it was entered as a percentage)","OK")))))))))))))))))))))))</f>
        <v/>
      </c>
      <c r="AK129" s="20">
        <f>IF($A129="","",IF(AND($L129="Y",$AE129&lt;&gt;0),ABS($AE129)+ROW()/1000000000,""))</f>
        <v/>
      </c>
      <c r="AL129" s="10">
        <f>IF($A129="","",UPPER($A129)&amp;"/"&amp;UPPER(TRIM(CLEAN(SUBSTITUTE(Items!C129&amp;""," "," ")))))</f>
        <v/>
      </c>
      <c r="AM129" s="13">
        <f>IF($A129="",0,SUMPRODUCT(MAX((scope_HTS&lt;&gt;"")*(LEFT($C129,LEN(scope_HTS))=scope_HTS)*(LEN(scope_HTS)*1000+ROW(scope_HTS)-4))))</f>
        <v/>
      </c>
      <c r="AN129" s="13">
        <f>IF($AM129=0,0,SUMPRODUCT((scope_HTS&lt;&gt;"")*(LEFT($C129,LEN(scope_HTS))=scope_HTS)*(LEN(scope_HTS)=INT($AM129/1000))))</f>
        <v/>
      </c>
      <c r="AO129" s="13">
        <f>IF($L129&lt;&gt;"Y",0,SUMPRODUCT(MAX(ISNUMBER(rate_Rate)*((UPPER(TRIM(CLEAN(SUBSTITUTE(rate_Group&amp;""," "," "))))="")+(UPPER(TRIM(CLEAN(SUBSTITUTE(rate_Group&amp;""," "," "))))=$N129)&gt;0)*((UPPER(TRIM(CLEAN(SUBSTITUTE(rate_COO&amp;""," "," "))))="")+(UPPER(TRIM(CLEAN(SUBSTITUTE(rate_COO&amp;""," "," "))))=$E129)&gt;0)*((UPPER(TRIM(CLEAN(SUBSTITUTE(rate_USMCA&amp;""," "," "))))="")+(UPPER(TRIM(CLEAN(SUBSTITUTE(rate_USMCA&amp;""," "," "))))=IF(UPPER(TRIM(CLEAN(SUBSTITUTE(Items!F129&amp;""," "," "))))="Y","Y","N"))&gt;0)*((1+(UPPER(TRIM(CLEAN(SUBSTITUTE(rate_Group&amp;""," "," "))))&lt;&gt;"")+2*(UPPER(TRIM(CLEAN(SUBSTITUTE(rate_USMCA&amp;""," "," "))))&lt;&gt;"")+4*(UPPER(TRIM(CLEAN(SUBSTITUTE(rate_COO&amp;""," "," "))))&lt;&gt;""))*100+ROW(rate_Rate)-4))))</f>
        <v/>
      </c>
      <c r="AP129" s="13">
        <f>IF($AO129=0,0,SUMPRODUCT(ISNUMBER(rate_Rate)*((UPPER(TRIM(CLEAN(SUBSTITUTE(rate_Group&amp;""," "," "))))="")+(UPPER(TRIM(CLEAN(SUBSTITUTE(rate_Group&amp;""," "," "))))=$N129)&gt;0)*((UPPER(TRIM(CLEAN(SUBSTITUTE(rate_COO&amp;""," "," "))))="")+(UPPER(TRIM(CLEAN(SUBSTITUTE(rate_COO&amp;""," "," "))))=$E129)&gt;0)*((UPPER(TRIM(CLEAN(SUBSTITUTE(rate_USMCA&amp;""," "," "))))="")+(UPPER(TRIM(CLEAN(SUBSTITUTE(rate_USMCA&amp;""," "," "))))=IF(UPPER(TRIM(CLEAN(SUBSTITUTE(Items!F129&amp;""," "," "))))="Y","Y","N"))&gt;0)*((1+(UPPER(TRIM(CLEAN(SUBSTITUTE(rate_Group&amp;""," "," "))))&lt;&gt;"")+2*(UPPER(TRIM(CLEAN(SUBSTITUTE(rate_USMCA&amp;""," "," "))))&lt;&gt;"")+4*(UPPER(TRIM(CLEAN(SUBSTITUTE(rate_COO&amp;""," "," "))))&lt;&gt;""))=INT($AO129/100))))</f>
        <v/>
      </c>
      <c r="AQ129" s="13">
        <f>IF($A129="",0,IFERROR(MATCH($AL129,det_Key,0),0))</f>
        <v/>
      </c>
    </row>
    <row r="130">
      <c r="A130" s="10">
        <f>IF(TRIM(CLEAN(SUBSTITUTE(Items!A130&amp;""," "," ")))="","",TRIM(CLEAN(SUBSTITUTE(Items!A130&amp;""," "," "))))</f>
        <v/>
      </c>
      <c r="B130" s="10">
        <f>IF($A130="","",Items!B130&amp;"")</f>
        <v/>
      </c>
      <c r="C130" s="10">
        <f>IF($A130="","",SUBSTITUTE(SUBSTITUTE(SUBSTITUTE(SUBSTITUTE(CLEAN(Items!D130&amp;"")," ",""),".","")," ",""),"-",""))</f>
        <v/>
      </c>
      <c r="D130" s="10">
        <f>IF($A130="","",LEFT($C130,2))</f>
        <v/>
      </c>
      <c r="E130" s="10">
        <f>IF($A130="","",UPPER(TRIM(CLEAN(SUBSTITUTE(Items!E130&amp;""," "," ")))))</f>
        <v/>
      </c>
      <c r="F130" s="10">
        <f>IF($A130="","",IF(UPPER(TRIM(CLEAN(SUBSTITUTE(Items!C130&amp;""," "," "))))=UPPER(TRIM(CLEAN(SUBSTITUTE(act_Country&amp;""," "," ")))),"Y","N"))</f>
        <v/>
      </c>
      <c r="G130" s="10">
        <f>IF($A130="","",IF($AM130&gt;0,"Y","N"))</f>
        <v/>
      </c>
      <c r="H130" s="10">
        <f>IF($A130="","",IF(SUMPRODUCT((excl_HTS&lt;&gt;"")*(LEFT($C130,LEN(excl_HTS))=excl_HTS))&gt;0,"Y","N"))</f>
        <v/>
      </c>
      <c r="I130" s="10">
        <f>IF($A130="","",IF($E130="","N",IF(SUMPRODUCT(--(UPPER(TRIM(CLEAN(SUBSTITUTE(scope_COO&amp;""," "," "))))=$E130))&gt;0,"Y","N")))</f>
        <v/>
      </c>
      <c r="J130" s="10">
        <f>IF($A130="","",IF(AND(UPPER(TRIM(CLEAN(SUBSTITUTE(act_USMCAExempt&amp;""," "," "))))="Y",UPPER(TRIM(CLEAN(SUBSTITUTE(Items!F130&amp;""," "," "))))="Y"),"Y","N"))</f>
        <v/>
      </c>
      <c r="K130" s="10">
        <f>IF($A130="","",IF($AQ130=0,"",UPPER(TRIM(CLEAN(SUBSTITUTE(INDEX(det_Status,$AQ130)&amp;""," "," "))))))</f>
        <v/>
      </c>
      <c r="L130" s="10">
        <f>IF($A130="","",IF($F130="N","N",IF($K130="IN","Y",IF($K130="OUT","N",IF(AND($G130="Y",$H130="N",$I130="Y",$J130="N"),"Y","N")))))</f>
        <v/>
      </c>
      <c r="M130" s="10">
        <f>IF($A130="","",IF($F130="N","Out: different import country",IF($K130="IN","In: Research determination",IF($K130="OUT","Out: Research determination",IF($G130="N","Out: HTS not on scope list",IF($H130="Y","Out: HTS on exclusion list",IF($I130="N","Out: origin not on scope list",IF($J130="Y","Out: USMCA-qualifying, exempt","In: matches scope rules"))))))))</f>
        <v/>
      </c>
      <c r="N130" s="10">
        <f>IF(OR($A130="",$AM130=0),"",UPPER(TRIM(CLEAN(SUBSTITUTE(INDEX(scope_Group,MOD($AM130,1000))&amp;""," "," ")))))</f>
        <v/>
      </c>
      <c r="O130" s="10">
        <f>IF($L130&lt;&gt;"Y","",IF($AO130=0,"Default (B15)",UPPER(TRIM(CLEAN(SUBSTITUTE(INDEX(rate_ID,MOD($AO130,100))&amp;""," "," "))))))</f>
        <v/>
      </c>
      <c r="P130" s="10">
        <f>IF($L130&lt;&gt;"Y","",IF($AO130=0,IF(UPPER(TRIM(CLEAN(SUBSTITUTE(act_DefaultBase&amp;""," "," "))))="PART","PART","FULL"),IF(UPPER(TRIM(CLEAN(SUBSTITUTE(INDEX(rate_Base,MOD($AO130,100))&amp;""," "," "))))="PART","PART","FULL")))</f>
        <v/>
      </c>
      <c r="Q130" s="17">
        <f>IF($A130="","",N(Items!J130))</f>
        <v/>
      </c>
      <c r="R130" s="17">
        <f>IF($A130="","",IF($L130&lt;&gt;"Y",0,IF($AO130=0,N(act_Rate),N(INDEX(rate_Rate,MOD($AO130,100))))))</f>
        <v/>
      </c>
      <c r="S130" s="17">
        <f>IF($A130="","",IF($L130&lt;&gt;"Y",0,IF($AO130=0,IF(UPPER(TRIM(CLEAN(SUBSTITUTE(act_RateType&amp;""," "," "))))="REPLACE",N(act_PriorRate),0),IF(ISNUMBER(INDEX(rate_Prior,MOD($AO130,100))),INDEX(rate_Prior,MOD($AO130,100)),IF(UPPER(TRIM(CLEAN(SUBSTITUTE(act_RateType&amp;""," "," "))))="REPLACE",N(act_PriorRate),0)))))</f>
        <v/>
      </c>
      <c r="T130" s="17">
        <f>IF($A130="","",IF(AND($L130="Y",$P130="PART",ISNUMBER(Items!M130)),Items!M130,1))</f>
        <v/>
      </c>
      <c r="U130" s="17">
        <f>IF($A130="","",IF($L130&lt;&gt;"Y",0,IF($AQ130&gt;0,IF(ISNUMBER(INDEX(det_Displaced,$AQ130)),INDEX(det_Displaced,$AQ130),IF($AO130=0,0,N(INDEX(rate_Displaced,MOD($AO130,100))))),IF($AO130=0,0,N(INDEX(rate_Displaced,MOD($AO130,100)))))))</f>
        <v/>
      </c>
      <c r="V130" s="17">
        <f>IF($A130="","",IF($L130="Y",$Q130+$T130*($R130-$S130)-$U130,$Q130))</f>
        <v/>
      </c>
      <c r="W130" s="18">
        <f>IF($A130="","",N(Items!H130)*$Q130)</f>
        <v/>
      </c>
      <c r="X130" s="18">
        <f>IF($A130="","",N(Items!H130)*$V130)</f>
        <v/>
      </c>
      <c r="Y130" s="18">
        <f>IF($A130="","",$X130-$W130)</f>
        <v/>
      </c>
      <c r="Z130" s="18">
        <f>IF($A130="","",N(Items!K130)+$Y130)</f>
        <v/>
      </c>
      <c r="AA130" s="17">
        <f>IF($A130="","",IF(N(Items!L130)=0,"",(N(Items!L130)-N(Items!K130))/N(Items!L130)))</f>
        <v/>
      </c>
      <c r="AB130" s="17">
        <f>IF($A130="","",IF(N(Items!L130)=0,"",(N(Items!L130)-$Z130)/N(Items!L130)))</f>
        <v/>
      </c>
      <c r="AC130" s="17">
        <f>IF(OR($AA130="",$AB130=""),"",$AB130-$AA130)</f>
        <v/>
      </c>
      <c r="AD130" s="13">
        <f>IF($A130="","",N(Items!I130))</f>
        <v/>
      </c>
      <c r="AE130" s="19">
        <f>IF($A130="","",$Y130*$AD130)</f>
        <v/>
      </c>
      <c r="AF130" s="10">
        <f>IF($A130="","",IF(N(Items!L130)&gt;0,"Y","N"))</f>
        <v/>
      </c>
      <c r="AG130" s="19">
        <f>IF($A130="","",IF($AF130="Y",N(Items!L130)*$AD130,0))</f>
        <v/>
      </c>
      <c r="AH130" s="19">
        <f>IF($A130="","",IF($AF130="Y",(N(Items!L130)-N(Items!K130))*$AD130,0))</f>
        <v/>
      </c>
      <c r="AI130" s="19">
        <f>IF($A130="","",IF($AF130="Y",$AH130-$AE130,0))</f>
        <v/>
      </c>
      <c r="AJ130" s="10">
        <f>IF($A130="","",IF(COUNTIF($AL$5:$AL$254,$AL130)&gt;1,"CHECK: duplicate item and import country",IF(TRIM(CLEAN(SUBSTITUTE(Items!C130&amp;""," "," ")))="","CHECK: import country missing",IF(AND(UPPER(TRIM(CLEAN(SUBSTITUTE(Items!C130&amp;""," "," "))))&lt;&gt;"US",UPPER(TRIM(CLEAN(SUBSTITUTE(Items!C130&amp;""," "," "))))&lt;&gt;"CA",UPPER(TRIM(CLEAN(SUBSTITUTE(Items!C130&amp;""," "," "))))&lt;&gt;"MX"),"CHECK: import country must be US, CA or MX",IF(NOT(AND(LEN($C130)=10,IFERROR(TEXT(VALUE($C130),REPT("0",LEN($C130)))=$C130,FALSE))),"CHECK: HTS must be 10 digits",IF(LEN($E130)&lt;&gt;2,"CHECK: origin code missing or not 2 letters",IF(TRIM(CLEAN(SUBSTITUTE(Items!G130&amp;""," "," ")))="","CHECK: unit of measure missing",IF(OR(Items!H130="",Items!J130="",Items!K130=""),"CHECK: value, rate or cost missing",IF(OR(NOT(ISNUMBER(Items!H130)),NOT(ISNUMBER(Items!J130)),NOT(ISNUMBER(Items!K130)),AND(Items!I130&lt;&gt;"",NOT(ISNUMBER(Items!I130))),AND(Items!L130&lt;&gt;"",NOT(ISNUMBER(Items!L130))),AND(Items!M130&lt;&gt;"",NOT(ISNUMBER(Items!M130)))),"CHECK: text in a number column",IF(AND(ISNUMBER(Items!M130),OR(N(Items!M130)&lt;0,N(Items!M130)&gt;1)),"CHECK: dutiable share must be 0% to 100%",IF(AND(UPPER(TRIM(CLEAN(SUBSTITUTE(Items!F130&amp;""," "," "))))&lt;&gt;"",UPPER(TRIM(CLEAN(SUBSTITUTE(Items!F130&amp;""," "," "))))&lt;&gt;"Y",UPPER(TRIM(CLEAN(SUBSTITUTE(Items!F130&amp;""," "," "))))&lt;&gt;"N"),"CHECK: USMCA flag must be Y, N or blank",IF(AND(UPPER(TRIM(CLEAN(SUBSTITUTE(Items!F130&amp;""," "," "))))="Y",$E130&lt;&gt;"US",$E130&lt;&gt;"CA",$E130&lt;&gt;"MX"),"CHECK: USMCA flag on an origin other than US, CA or MX",IF(AND($L130="Y",$AO130=0,NOT(ISNUMBER(act_Rate))),"CHECK: in scope but no rate (add a rate line or B15)",IF(AND($L130="Y",UPPER(TRIM(CLEAN(SUBSTITUTE(act_RateType&amp;""," "," "))))="REPLACE",NOT(ISNUMBER(act_PriorRate)),IF($AO130=0,TRUE,NOT(ISNUMBER(INDEX(rate_Prior,MOD($AO130,100)))))),"CHECK: REPLACE but no earlier rate (B17 or the rate line's AD)",IF(AND($L130="Y",$AP130&gt;1),"CHECK: two rate lines match equally",IF(AND($L130="Y",$AN130&gt;1),"CHECK: HTS prefix listed twice on the scope list",IF(AND($L130="Y",$P130="PART",NOT(ISNUMBER(Items!M130))),"CHECK: dutiable share missing (PART base)",IF(AND($L130="Y",$P130="FULL",ISNUMBER(Items!M130),N(Items!M130)&lt;&gt;1),"CHECK: dutiable share entered, but the rate taxes the full value",IF(AND($L130="Y",$Q130+0.0000001&lt;$T130*$S130+$U130),"CHECK: current rate is below the duty being replaced or displaced",IF(AND($L130="Y",$AD130=0),"NOTE: in scope, no quantity",IF(AND($L130="Y",$AF130="N"),"NOTE: in scope, no sell price (left out of margin %)",IF(AND($L130="Y",N(Items!H130)&gt;N(Items!K130)),"NOTE: customs value above standard cost (check unit of measure)",IF(AND($L130="Y",$Q130&gt;1),"NOTE: current rate above 100% (check it was entered as a percentage)","OK")))))))))))))))))))))))</f>
        <v/>
      </c>
      <c r="AK130" s="20">
        <f>IF($A130="","",IF(AND($L130="Y",$AE130&lt;&gt;0),ABS($AE130)+ROW()/1000000000,""))</f>
        <v/>
      </c>
      <c r="AL130" s="10">
        <f>IF($A130="","",UPPER($A130)&amp;"/"&amp;UPPER(TRIM(CLEAN(SUBSTITUTE(Items!C130&amp;""," "," ")))))</f>
        <v/>
      </c>
      <c r="AM130" s="13">
        <f>IF($A130="",0,SUMPRODUCT(MAX((scope_HTS&lt;&gt;"")*(LEFT($C130,LEN(scope_HTS))=scope_HTS)*(LEN(scope_HTS)*1000+ROW(scope_HTS)-4))))</f>
        <v/>
      </c>
      <c r="AN130" s="13">
        <f>IF($AM130=0,0,SUMPRODUCT((scope_HTS&lt;&gt;"")*(LEFT($C130,LEN(scope_HTS))=scope_HTS)*(LEN(scope_HTS)=INT($AM130/1000))))</f>
        <v/>
      </c>
      <c r="AO130" s="13">
        <f>IF($L130&lt;&gt;"Y",0,SUMPRODUCT(MAX(ISNUMBER(rate_Rate)*((UPPER(TRIM(CLEAN(SUBSTITUTE(rate_Group&amp;""," "," "))))="")+(UPPER(TRIM(CLEAN(SUBSTITUTE(rate_Group&amp;""," "," "))))=$N130)&gt;0)*((UPPER(TRIM(CLEAN(SUBSTITUTE(rate_COO&amp;""," "," "))))="")+(UPPER(TRIM(CLEAN(SUBSTITUTE(rate_COO&amp;""," "," "))))=$E130)&gt;0)*((UPPER(TRIM(CLEAN(SUBSTITUTE(rate_USMCA&amp;""," "," "))))="")+(UPPER(TRIM(CLEAN(SUBSTITUTE(rate_USMCA&amp;""," "," "))))=IF(UPPER(TRIM(CLEAN(SUBSTITUTE(Items!F130&amp;""," "," "))))="Y","Y","N"))&gt;0)*((1+(UPPER(TRIM(CLEAN(SUBSTITUTE(rate_Group&amp;""," "," "))))&lt;&gt;"")+2*(UPPER(TRIM(CLEAN(SUBSTITUTE(rate_USMCA&amp;""," "," "))))&lt;&gt;"")+4*(UPPER(TRIM(CLEAN(SUBSTITUTE(rate_COO&amp;""," "," "))))&lt;&gt;""))*100+ROW(rate_Rate)-4))))</f>
        <v/>
      </c>
      <c r="AP130" s="13">
        <f>IF($AO130=0,0,SUMPRODUCT(ISNUMBER(rate_Rate)*((UPPER(TRIM(CLEAN(SUBSTITUTE(rate_Group&amp;""," "," "))))="")+(UPPER(TRIM(CLEAN(SUBSTITUTE(rate_Group&amp;""," "," "))))=$N130)&gt;0)*((UPPER(TRIM(CLEAN(SUBSTITUTE(rate_COO&amp;""," "," "))))="")+(UPPER(TRIM(CLEAN(SUBSTITUTE(rate_COO&amp;""," "," "))))=$E130)&gt;0)*((UPPER(TRIM(CLEAN(SUBSTITUTE(rate_USMCA&amp;""," "," "))))="")+(UPPER(TRIM(CLEAN(SUBSTITUTE(rate_USMCA&amp;""," "," "))))=IF(UPPER(TRIM(CLEAN(SUBSTITUTE(Items!F130&amp;""," "," "))))="Y","Y","N"))&gt;0)*((1+(UPPER(TRIM(CLEAN(SUBSTITUTE(rate_Group&amp;""," "," "))))&lt;&gt;"")+2*(UPPER(TRIM(CLEAN(SUBSTITUTE(rate_USMCA&amp;""," "," "))))&lt;&gt;"")+4*(UPPER(TRIM(CLEAN(SUBSTITUTE(rate_COO&amp;""," "," "))))&lt;&gt;""))=INT($AO130/100))))</f>
        <v/>
      </c>
      <c r="AQ130" s="13">
        <f>IF($A130="",0,IFERROR(MATCH($AL130,det_Key,0),0))</f>
        <v/>
      </c>
    </row>
    <row r="131">
      <c r="A131" s="10">
        <f>IF(TRIM(CLEAN(SUBSTITUTE(Items!A131&amp;""," "," ")))="","",TRIM(CLEAN(SUBSTITUTE(Items!A131&amp;""," "," "))))</f>
        <v/>
      </c>
      <c r="B131" s="10">
        <f>IF($A131="","",Items!B131&amp;"")</f>
        <v/>
      </c>
      <c r="C131" s="10">
        <f>IF($A131="","",SUBSTITUTE(SUBSTITUTE(SUBSTITUTE(SUBSTITUTE(CLEAN(Items!D131&amp;"")," ",""),".","")," ",""),"-",""))</f>
        <v/>
      </c>
      <c r="D131" s="10">
        <f>IF($A131="","",LEFT($C131,2))</f>
        <v/>
      </c>
      <c r="E131" s="10">
        <f>IF($A131="","",UPPER(TRIM(CLEAN(SUBSTITUTE(Items!E131&amp;""," "," ")))))</f>
        <v/>
      </c>
      <c r="F131" s="10">
        <f>IF($A131="","",IF(UPPER(TRIM(CLEAN(SUBSTITUTE(Items!C131&amp;""," "," "))))=UPPER(TRIM(CLEAN(SUBSTITUTE(act_Country&amp;""," "," ")))),"Y","N"))</f>
        <v/>
      </c>
      <c r="G131" s="10">
        <f>IF($A131="","",IF($AM131&gt;0,"Y","N"))</f>
        <v/>
      </c>
      <c r="H131" s="10">
        <f>IF($A131="","",IF(SUMPRODUCT((excl_HTS&lt;&gt;"")*(LEFT($C131,LEN(excl_HTS))=excl_HTS))&gt;0,"Y","N"))</f>
        <v/>
      </c>
      <c r="I131" s="10">
        <f>IF($A131="","",IF($E131="","N",IF(SUMPRODUCT(--(UPPER(TRIM(CLEAN(SUBSTITUTE(scope_COO&amp;""," "," "))))=$E131))&gt;0,"Y","N")))</f>
        <v/>
      </c>
      <c r="J131" s="10">
        <f>IF($A131="","",IF(AND(UPPER(TRIM(CLEAN(SUBSTITUTE(act_USMCAExempt&amp;""," "," "))))="Y",UPPER(TRIM(CLEAN(SUBSTITUTE(Items!F131&amp;""," "," "))))="Y"),"Y","N"))</f>
        <v/>
      </c>
      <c r="K131" s="10">
        <f>IF($A131="","",IF($AQ131=0,"",UPPER(TRIM(CLEAN(SUBSTITUTE(INDEX(det_Status,$AQ131)&amp;""," "," "))))))</f>
        <v/>
      </c>
      <c r="L131" s="10">
        <f>IF($A131="","",IF($F131="N","N",IF($K131="IN","Y",IF($K131="OUT","N",IF(AND($G131="Y",$H131="N",$I131="Y",$J131="N"),"Y","N")))))</f>
        <v/>
      </c>
      <c r="M131" s="10">
        <f>IF($A131="","",IF($F131="N","Out: different import country",IF($K131="IN","In: Research determination",IF($K131="OUT","Out: Research determination",IF($G131="N","Out: HTS not on scope list",IF($H131="Y","Out: HTS on exclusion list",IF($I131="N","Out: origin not on scope list",IF($J131="Y","Out: USMCA-qualifying, exempt","In: matches scope rules"))))))))</f>
        <v/>
      </c>
      <c r="N131" s="10">
        <f>IF(OR($A131="",$AM131=0),"",UPPER(TRIM(CLEAN(SUBSTITUTE(INDEX(scope_Group,MOD($AM131,1000))&amp;""," "," ")))))</f>
        <v/>
      </c>
      <c r="O131" s="10">
        <f>IF($L131&lt;&gt;"Y","",IF($AO131=0,"Default (B15)",UPPER(TRIM(CLEAN(SUBSTITUTE(INDEX(rate_ID,MOD($AO131,100))&amp;""," "," "))))))</f>
        <v/>
      </c>
      <c r="P131" s="10">
        <f>IF($L131&lt;&gt;"Y","",IF($AO131=0,IF(UPPER(TRIM(CLEAN(SUBSTITUTE(act_DefaultBase&amp;""," "," "))))="PART","PART","FULL"),IF(UPPER(TRIM(CLEAN(SUBSTITUTE(INDEX(rate_Base,MOD($AO131,100))&amp;""," "," "))))="PART","PART","FULL")))</f>
        <v/>
      </c>
      <c r="Q131" s="17">
        <f>IF($A131="","",N(Items!J131))</f>
        <v/>
      </c>
      <c r="R131" s="17">
        <f>IF($A131="","",IF($L131&lt;&gt;"Y",0,IF($AO131=0,N(act_Rate),N(INDEX(rate_Rate,MOD($AO131,100))))))</f>
        <v/>
      </c>
      <c r="S131" s="17">
        <f>IF($A131="","",IF($L131&lt;&gt;"Y",0,IF($AO131=0,IF(UPPER(TRIM(CLEAN(SUBSTITUTE(act_RateType&amp;""," "," "))))="REPLACE",N(act_PriorRate),0),IF(ISNUMBER(INDEX(rate_Prior,MOD($AO131,100))),INDEX(rate_Prior,MOD($AO131,100)),IF(UPPER(TRIM(CLEAN(SUBSTITUTE(act_RateType&amp;""," "," "))))="REPLACE",N(act_PriorRate),0)))))</f>
        <v/>
      </c>
      <c r="T131" s="17">
        <f>IF($A131="","",IF(AND($L131="Y",$P131="PART",ISNUMBER(Items!M131)),Items!M131,1))</f>
        <v/>
      </c>
      <c r="U131" s="17">
        <f>IF($A131="","",IF($L131&lt;&gt;"Y",0,IF($AQ131&gt;0,IF(ISNUMBER(INDEX(det_Displaced,$AQ131)),INDEX(det_Displaced,$AQ131),IF($AO131=0,0,N(INDEX(rate_Displaced,MOD($AO131,100))))),IF($AO131=0,0,N(INDEX(rate_Displaced,MOD($AO131,100)))))))</f>
        <v/>
      </c>
      <c r="V131" s="17">
        <f>IF($A131="","",IF($L131="Y",$Q131+$T131*($R131-$S131)-$U131,$Q131))</f>
        <v/>
      </c>
      <c r="W131" s="18">
        <f>IF($A131="","",N(Items!H131)*$Q131)</f>
        <v/>
      </c>
      <c r="X131" s="18">
        <f>IF($A131="","",N(Items!H131)*$V131)</f>
        <v/>
      </c>
      <c r="Y131" s="18">
        <f>IF($A131="","",$X131-$W131)</f>
        <v/>
      </c>
      <c r="Z131" s="18">
        <f>IF($A131="","",N(Items!K131)+$Y131)</f>
        <v/>
      </c>
      <c r="AA131" s="17">
        <f>IF($A131="","",IF(N(Items!L131)=0,"",(N(Items!L131)-N(Items!K131))/N(Items!L131)))</f>
        <v/>
      </c>
      <c r="AB131" s="17">
        <f>IF($A131="","",IF(N(Items!L131)=0,"",(N(Items!L131)-$Z131)/N(Items!L131)))</f>
        <v/>
      </c>
      <c r="AC131" s="17">
        <f>IF(OR($AA131="",$AB131=""),"",$AB131-$AA131)</f>
        <v/>
      </c>
      <c r="AD131" s="13">
        <f>IF($A131="","",N(Items!I131))</f>
        <v/>
      </c>
      <c r="AE131" s="19">
        <f>IF($A131="","",$Y131*$AD131)</f>
        <v/>
      </c>
      <c r="AF131" s="10">
        <f>IF($A131="","",IF(N(Items!L131)&gt;0,"Y","N"))</f>
        <v/>
      </c>
      <c r="AG131" s="19">
        <f>IF($A131="","",IF($AF131="Y",N(Items!L131)*$AD131,0))</f>
        <v/>
      </c>
      <c r="AH131" s="19">
        <f>IF($A131="","",IF($AF131="Y",(N(Items!L131)-N(Items!K131))*$AD131,0))</f>
        <v/>
      </c>
      <c r="AI131" s="19">
        <f>IF($A131="","",IF($AF131="Y",$AH131-$AE131,0))</f>
        <v/>
      </c>
      <c r="AJ131" s="10">
        <f>IF($A131="","",IF(COUNTIF($AL$5:$AL$254,$AL131)&gt;1,"CHECK: duplicate item and import country",IF(TRIM(CLEAN(SUBSTITUTE(Items!C131&amp;""," "," ")))="","CHECK: import country missing",IF(AND(UPPER(TRIM(CLEAN(SUBSTITUTE(Items!C131&amp;""," "," "))))&lt;&gt;"US",UPPER(TRIM(CLEAN(SUBSTITUTE(Items!C131&amp;""," "," "))))&lt;&gt;"CA",UPPER(TRIM(CLEAN(SUBSTITUTE(Items!C131&amp;""," "," "))))&lt;&gt;"MX"),"CHECK: import country must be US, CA or MX",IF(NOT(AND(LEN($C131)=10,IFERROR(TEXT(VALUE($C131),REPT("0",LEN($C131)))=$C131,FALSE))),"CHECK: HTS must be 10 digits",IF(LEN($E131)&lt;&gt;2,"CHECK: origin code missing or not 2 letters",IF(TRIM(CLEAN(SUBSTITUTE(Items!G131&amp;""," "," ")))="","CHECK: unit of measure missing",IF(OR(Items!H131="",Items!J131="",Items!K131=""),"CHECK: value, rate or cost missing",IF(OR(NOT(ISNUMBER(Items!H131)),NOT(ISNUMBER(Items!J131)),NOT(ISNUMBER(Items!K131)),AND(Items!I131&lt;&gt;"",NOT(ISNUMBER(Items!I131))),AND(Items!L131&lt;&gt;"",NOT(ISNUMBER(Items!L131))),AND(Items!M131&lt;&gt;"",NOT(ISNUMBER(Items!M131)))),"CHECK: text in a number column",IF(AND(ISNUMBER(Items!M131),OR(N(Items!M131)&lt;0,N(Items!M131)&gt;1)),"CHECK: dutiable share must be 0% to 100%",IF(AND(UPPER(TRIM(CLEAN(SUBSTITUTE(Items!F131&amp;""," "," "))))&lt;&gt;"",UPPER(TRIM(CLEAN(SUBSTITUTE(Items!F131&amp;""," "," "))))&lt;&gt;"Y",UPPER(TRIM(CLEAN(SUBSTITUTE(Items!F131&amp;""," "," "))))&lt;&gt;"N"),"CHECK: USMCA flag must be Y, N or blank",IF(AND(UPPER(TRIM(CLEAN(SUBSTITUTE(Items!F131&amp;""," "," "))))="Y",$E131&lt;&gt;"US",$E131&lt;&gt;"CA",$E131&lt;&gt;"MX"),"CHECK: USMCA flag on an origin other than US, CA or MX",IF(AND($L131="Y",$AO131=0,NOT(ISNUMBER(act_Rate))),"CHECK: in scope but no rate (add a rate line or B15)",IF(AND($L131="Y",UPPER(TRIM(CLEAN(SUBSTITUTE(act_RateType&amp;""," "," "))))="REPLACE",NOT(ISNUMBER(act_PriorRate)),IF($AO131=0,TRUE,NOT(ISNUMBER(INDEX(rate_Prior,MOD($AO131,100)))))),"CHECK: REPLACE but no earlier rate (B17 or the rate line's AD)",IF(AND($L131="Y",$AP131&gt;1),"CHECK: two rate lines match equally",IF(AND($L131="Y",$AN131&gt;1),"CHECK: HTS prefix listed twice on the scope list",IF(AND($L131="Y",$P131="PART",NOT(ISNUMBER(Items!M131))),"CHECK: dutiable share missing (PART base)",IF(AND($L131="Y",$P131="FULL",ISNUMBER(Items!M131),N(Items!M131)&lt;&gt;1),"CHECK: dutiable share entered, but the rate taxes the full value",IF(AND($L131="Y",$Q131+0.0000001&lt;$T131*$S131+$U131),"CHECK: current rate is below the duty being replaced or displaced",IF(AND($L131="Y",$AD131=0),"NOTE: in scope, no quantity",IF(AND($L131="Y",$AF131="N"),"NOTE: in scope, no sell price (left out of margin %)",IF(AND($L131="Y",N(Items!H131)&gt;N(Items!K131)),"NOTE: customs value above standard cost (check unit of measure)",IF(AND($L131="Y",$Q131&gt;1),"NOTE: current rate above 100% (check it was entered as a percentage)","OK")))))))))))))))))))))))</f>
        <v/>
      </c>
      <c r="AK131" s="20">
        <f>IF($A131="","",IF(AND($L131="Y",$AE131&lt;&gt;0),ABS($AE131)+ROW()/1000000000,""))</f>
        <v/>
      </c>
      <c r="AL131" s="10">
        <f>IF($A131="","",UPPER($A131)&amp;"/"&amp;UPPER(TRIM(CLEAN(SUBSTITUTE(Items!C131&amp;""," "," ")))))</f>
        <v/>
      </c>
      <c r="AM131" s="13">
        <f>IF($A131="",0,SUMPRODUCT(MAX((scope_HTS&lt;&gt;"")*(LEFT($C131,LEN(scope_HTS))=scope_HTS)*(LEN(scope_HTS)*1000+ROW(scope_HTS)-4))))</f>
        <v/>
      </c>
      <c r="AN131" s="13">
        <f>IF($AM131=0,0,SUMPRODUCT((scope_HTS&lt;&gt;"")*(LEFT($C131,LEN(scope_HTS))=scope_HTS)*(LEN(scope_HTS)=INT($AM131/1000))))</f>
        <v/>
      </c>
      <c r="AO131" s="13">
        <f>IF($L131&lt;&gt;"Y",0,SUMPRODUCT(MAX(ISNUMBER(rate_Rate)*((UPPER(TRIM(CLEAN(SUBSTITUTE(rate_Group&amp;""," "," "))))="")+(UPPER(TRIM(CLEAN(SUBSTITUTE(rate_Group&amp;""," "," "))))=$N131)&gt;0)*((UPPER(TRIM(CLEAN(SUBSTITUTE(rate_COO&amp;""," "," "))))="")+(UPPER(TRIM(CLEAN(SUBSTITUTE(rate_COO&amp;""," "," "))))=$E131)&gt;0)*((UPPER(TRIM(CLEAN(SUBSTITUTE(rate_USMCA&amp;""," "," "))))="")+(UPPER(TRIM(CLEAN(SUBSTITUTE(rate_USMCA&amp;""," "," "))))=IF(UPPER(TRIM(CLEAN(SUBSTITUTE(Items!F131&amp;""," "," "))))="Y","Y","N"))&gt;0)*((1+(UPPER(TRIM(CLEAN(SUBSTITUTE(rate_Group&amp;""," "," "))))&lt;&gt;"")+2*(UPPER(TRIM(CLEAN(SUBSTITUTE(rate_USMCA&amp;""," "," "))))&lt;&gt;"")+4*(UPPER(TRIM(CLEAN(SUBSTITUTE(rate_COO&amp;""," "," "))))&lt;&gt;""))*100+ROW(rate_Rate)-4))))</f>
        <v/>
      </c>
      <c r="AP131" s="13">
        <f>IF($AO131=0,0,SUMPRODUCT(ISNUMBER(rate_Rate)*((UPPER(TRIM(CLEAN(SUBSTITUTE(rate_Group&amp;""," "," "))))="")+(UPPER(TRIM(CLEAN(SUBSTITUTE(rate_Group&amp;""," "," "))))=$N131)&gt;0)*((UPPER(TRIM(CLEAN(SUBSTITUTE(rate_COO&amp;""," "," "))))="")+(UPPER(TRIM(CLEAN(SUBSTITUTE(rate_COO&amp;""," "," "))))=$E131)&gt;0)*((UPPER(TRIM(CLEAN(SUBSTITUTE(rate_USMCA&amp;""," "," "))))="")+(UPPER(TRIM(CLEAN(SUBSTITUTE(rate_USMCA&amp;""," "," "))))=IF(UPPER(TRIM(CLEAN(SUBSTITUTE(Items!F131&amp;""," "," "))))="Y","Y","N"))&gt;0)*((1+(UPPER(TRIM(CLEAN(SUBSTITUTE(rate_Group&amp;""," "," "))))&lt;&gt;"")+2*(UPPER(TRIM(CLEAN(SUBSTITUTE(rate_USMCA&amp;""," "," "))))&lt;&gt;"")+4*(UPPER(TRIM(CLEAN(SUBSTITUTE(rate_COO&amp;""," "," "))))&lt;&gt;""))=INT($AO131/100))))</f>
        <v/>
      </c>
      <c r="AQ131" s="13">
        <f>IF($A131="",0,IFERROR(MATCH($AL131,det_Key,0),0))</f>
        <v/>
      </c>
    </row>
    <row r="132">
      <c r="A132" s="10">
        <f>IF(TRIM(CLEAN(SUBSTITUTE(Items!A132&amp;""," "," ")))="","",TRIM(CLEAN(SUBSTITUTE(Items!A132&amp;""," "," "))))</f>
        <v/>
      </c>
      <c r="B132" s="10">
        <f>IF($A132="","",Items!B132&amp;"")</f>
        <v/>
      </c>
      <c r="C132" s="10">
        <f>IF($A132="","",SUBSTITUTE(SUBSTITUTE(SUBSTITUTE(SUBSTITUTE(CLEAN(Items!D132&amp;"")," ",""),".","")," ",""),"-",""))</f>
        <v/>
      </c>
      <c r="D132" s="10">
        <f>IF($A132="","",LEFT($C132,2))</f>
        <v/>
      </c>
      <c r="E132" s="10">
        <f>IF($A132="","",UPPER(TRIM(CLEAN(SUBSTITUTE(Items!E132&amp;""," "," ")))))</f>
        <v/>
      </c>
      <c r="F132" s="10">
        <f>IF($A132="","",IF(UPPER(TRIM(CLEAN(SUBSTITUTE(Items!C132&amp;""," "," "))))=UPPER(TRIM(CLEAN(SUBSTITUTE(act_Country&amp;""," "," ")))),"Y","N"))</f>
        <v/>
      </c>
      <c r="G132" s="10">
        <f>IF($A132="","",IF($AM132&gt;0,"Y","N"))</f>
        <v/>
      </c>
      <c r="H132" s="10">
        <f>IF($A132="","",IF(SUMPRODUCT((excl_HTS&lt;&gt;"")*(LEFT($C132,LEN(excl_HTS))=excl_HTS))&gt;0,"Y","N"))</f>
        <v/>
      </c>
      <c r="I132" s="10">
        <f>IF($A132="","",IF($E132="","N",IF(SUMPRODUCT(--(UPPER(TRIM(CLEAN(SUBSTITUTE(scope_COO&amp;""," "," "))))=$E132))&gt;0,"Y","N")))</f>
        <v/>
      </c>
      <c r="J132" s="10">
        <f>IF($A132="","",IF(AND(UPPER(TRIM(CLEAN(SUBSTITUTE(act_USMCAExempt&amp;""," "," "))))="Y",UPPER(TRIM(CLEAN(SUBSTITUTE(Items!F132&amp;""," "," "))))="Y"),"Y","N"))</f>
        <v/>
      </c>
      <c r="K132" s="10">
        <f>IF($A132="","",IF($AQ132=0,"",UPPER(TRIM(CLEAN(SUBSTITUTE(INDEX(det_Status,$AQ132)&amp;""," "," "))))))</f>
        <v/>
      </c>
      <c r="L132" s="10">
        <f>IF($A132="","",IF($F132="N","N",IF($K132="IN","Y",IF($K132="OUT","N",IF(AND($G132="Y",$H132="N",$I132="Y",$J132="N"),"Y","N")))))</f>
        <v/>
      </c>
      <c r="M132" s="10">
        <f>IF($A132="","",IF($F132="N","Out: different import country",IF($K132="IN","In: Research determination",IF($K132="OUT","Out: Research determination",IF($G132="N","Out: HTS not on scope list",IF($H132="Y","Out: HTS on exclusion list",IF($I132="N","Out: origin not on scope list",IF($J132="Y","Out: USMCA-qualifying, exempt","In: matches scope rules"))))))))</f>
        <v/>
      </c>
      <c r="N132" s="10">
        <f>IF(OR($A132="",$AM132=0),"",UPPER(TRIM(CLEAN(SUBSTITUTE(INDEX(scope_Group,MOD($AM132,1000))&amp;""," "," ")))))</f>
        <v/>
      </c>
      <c r="O132" s="10">
        <f>IF($L132&lt;&gt;"Y","",IF($AO132=0,"Default (B15)",UPPER(TRIM(CLEAN(SUBSTITUTE(INDEX(rate_ID,MOD($AO132,100))&amp;""," "," "))))))</f>
        <v/>
      </c>
      <c r="P132" s="10">
        <f>IF($L132&lt;&gt;"Y","",IF($AO132=0,IF(UPPER(TRIM(CLEAN(SUBSTITUTE(act_DefaultBase&amp;""," "," "))))="PART","PART","FULL"),IF(UPPER(TRIM(CLEAN(SUBSTITUTE(INDEX(rate_Base,MOD($AO132,100))&amp;""," "," "))))="PART","PART","FULL")))</f>
        <v/>
      </c>
      <c r="Q132" s="17">
        <f>IF($A132="","",N(Items!J132))</f>
        <v/>
      </c>
      <c r="R132" s="17">
        <f>IF($A132="","",IF($L132&lt;&gt;"Y",0,IF($AO132=0,N(act_Rate),N(INDEX(rate_Rate,MOD($AO132,100))))))</f>
        <v/>
      </c>
      <c r="S132" s="17">
        <f>IF($A132="","",IF($L132&lt;&gt;"Y",0,IF($AO132=0,IF(UPPER(TRIM(CLEAN(SUBSTITUTE(act_RateType&amp;""," "," "))))="REPLACE",N(act_PriorRate),0),IF(ISNUMBER(INDEX(rate_Prior,MOD($AO132,100))),INDEX(rate_Prior,MOD($AO132,100)),IF(UPPER(TRIM(CLEAN(SUBSTITUTE(act_RateType&amp;""," "," "))))="REPLACE",N(act_PriorRate),0)))))</f>
        <v/>
      </c>
      <c r="T132" s="17">
        <f>IF($A132="","",IF(AND($L132="Y",$P132="PART",ISNUMBER(Items!M132)),Items!M132,1))</f>
        <v/>
      </c>
      <c r="U132" s="17">
        <f>IF($A132="","",IF($L132&lt;&gt;"Y",0,IF($AQ132&gt;0,IF(ISNUMBER(INDEX(det_Displaced,$AQ132)),INDEX(det_Displaced,$AQ132),IF($AO132=0,0,N(INDEX(rate_Displaced,MOD($AO132,100))))),IF($AO132=0,0,N(INDEX(rate_Displaced,MOD($AO132,100)))))))</f>
        <v/>
      </c>
      <c r="V132" s="17">
        <f>IF($A132="","",IF($L132="Y",$Q132+$T132*($R132-$S132)-$U132,$Q132))</f>
        <v/>
      </c>
      <c r="W132" s="18">
        <f>IF($A132="","",N(Items!H132)*$Q132)</f>
        <v/>
      </c>
      <c r="X132" s="18">
        <f>IF($A132="","",N(Items!H132)*$V132)</f>
        <v/>
      </c>
      <c r="Y132" s="18">
        <f>IF($A132="","",$X132-$W132)</f>
        <v/>
      </c>
      <c r="Z132" s="18">
        <f>IF($A132="","",N(Items!K132)+$Y132)</f>
        <v/>
      </c>
      <c r="AA132" s="17">
        <f>IF($A132="","",IF(N(Items!L132)=0,"",(N(Items!L132)-N(Items!K132))/N(Items!L132)))</f>
        <v/>
      </c>
      <c r="AB132" s="17">
        <f>IF($A132="","",IF(N(Items!L132)=0,"",(N(Items!L132)-$Z132)/N(Items!L132)))</f>
        <v/>
      </c>
      <c r="AC132" s="17">
        <f>IF(OR($AA132="",$AB132=""),"",$AB132-$AA132)</f>
        <v/>
      </c>
      <c r="AD132" s="13">
        <f>IF($A132="","",N(Items!I132))</f>
        <v/>
      </c>
      <c r="AE132" s="19">
        <f>IF($A132="","",$Y132*$AD132)</f>
        <v/>
      </c>
      <c r="AF132" s="10">
        <f>IF($A132="","",IF(N(Items!L132)&gt;0,"Y","N"))</f>
        <v/>
      </c>
      <c r="AG132" s="19">
        <f>IF($A132="","",IF($AF132="Y",N(Items!L132)*$AD132,0))</f>
        <v/>
      </c>
      <c r="AH132" s="19">
        <f>IF($A132="","",IF($AF132="Y",(N(Items!L132)-N(Items!K132))*$AD132,0))</f>
        <v/>
      </c>
      <c r="AI132" s="19">
        <f>IF($A132="","",IF($AF132="Y",$AH132-$AE132,0))</f>
        <v/>
      </c>
      <c r="AJ132" s="10">
        <f>IF($A132="","",IF(COUNTIF($AL$5:$AL$254,$AL132)&gt;1,"CHECK: duplicate item and import country",IF(TRIM(CLEAN(SUBSTITUTE(Items!C132&amp;""," "," ")))="","CHECK: import country missing",IF(AND(UPPER(TRIM(CLEAN(SUBSTITUTE(Items!C132&amp;""," "," "))))&lt;&gt;"US",UPPER(TRIM(CLEAN(SUBSTITUTE(Items!C132&amp;""," "," "))))&lt;&gt;"CA",UPPER(TRIM(CLEAN(SUBSTITUTE(Items!C132&amp;""," "," "))))&lt;&gt;"MX"),"CHECK: import country must be US, CA or MX",IF(NOT(AND(LEN($C132)=10,IFERROR(TEXT(VALUE($C132),REPT("0",LEN($C132)))=$C132,FALSE))),"CHECK: HTS must be 10 digits",IF(LEN($E132)&lt;&gt;2,"CHECK: origin code missing or not 2 letters",IF(TRIM(CLEAN(SUBSTITUTE(Items!G132&amp;""," "," ")))="","CHECK: unit of measure missing",IF(OR(Items!H132="",Items!J132="",Items!K132=""),"CHECK: value, rate or cost missing",IF(OR(NOT(ISNUMBER(Items!H132)),NOT(ISNUMBER(Items!J132)),NOT(ISNUMBER(Items!K132)),AND(Items!I132&lt;&gt;"",NOT(ISNUMBER(Items!I132))),AND(Items!L132&lt;&gt;"",NOT(ISNUMBER(Items!L132))),AND(Items!M132&lt;&gt;"",NOT(ISNUMBER(Items!M132)))),"CHECK: text in a number column",IF(AND(ISNUMBER(Items!M132),OR(N(Items!M132)&lt;0,N(Items!M132)&gt;1)),"CHECK: dutiable share must be 0% to 100%",IF(AND(UPPER(TRIM(CLEAN(SUBSTITUTE(Items!F132&amp;""," "," "))))&lt;&gt;"",UPPER(TRIM(CLEAN(SUBSTITUTE(Items!F132&amp;""," "," "))))&lt;&gt;"Y",UPPER(TRIM(CLEAN(SUBSTITUTE(Items!F132&amp;""," "," "))))&lt;&gt;"N"),"CHECK: USMCA flag must be Y, N or blank",IF(AND(UPPER(TRIM(CLEAN(SUBSTITUTE(Items!F132&amp;""," "," "))))="Y",$E132&lt;&gt;"US",$E132&lt;&gt;"CA",$E132&lt;&gt;"MX"),"CHECK: USMCA flag on an origin other than US, CA or MX",IF(AND($L132="Y",$AO132=0,NOT(ISNUMBER(act_Rate))),"CHECK: in scope but no rate (add a rate line or B15)",IF(AND($L132="Y",UPPER(TRIM(CLEAN(SUBSTITUTE(act_RateType&amp;""," "," "))))="REPLACE",NOT(ISNUMBER(act_PriorRate)),IF($AO132=0,TRUE,NOT(ISNUMBER(INDEX(rate_Prior,MOD($AO132,100)))))),"CHECK: REPLACE but no earlier rate (B17 or the rate line's AD)",IF(AND($L132="Y",$AP132&gt;1),"CHECK: two rate lines match equally",IF(AND($L132="Y",$AN132&gt;1),"CHECK: HTS prefix listed twice on the scope list",IF(AND($L132="Y",$P132="PART",NOT(ISNUMBER(Items!M132))),"CHECK: dutiable share missing (PART base)",IF(AND($L132="Y",$P132="FULL",ISNUMBER(Items!M132),N(Items!M132)&lt;&gt;1),"CHECK: dutiable share entered, but the rate taxes the full value",IF(AND($L132="Y",$Q132+0.0000001&lt;$T132*$S132+$U132),"CHECK: current rate is below the duty being replaced or displaced",IF(AND($L132="Y",$AD132=0),"NOTE: in scope, no quantity",IF(AND($L132="Y",$AF132="N"),"NOTE: in scope, no sell price (left out of margin %)",IF(AND($L132="Y",N(Items!H132)&gt;N(Items!K132)),"NOTE: customs value above standard cost (check unit of measure)",IF(AND($L132="Y",$Q132&gt;1),"NOTE: current rate above 100% (check it was entered as a percentage)","OK")))))))))))))))))))))))</f>
        <v/>
      </c>
      <c r="AK132" s="20">
        <f>IF($A132="","",IF(AND($L132="Y",$AE132&lt;&gt;0),ABS($AE132)+ROW()/1000000000,""))</f>
        <v/>
      </c>
      <c r="AL132" s="10">
        <f>IF($A132="","",UPPER($A132)&amp;"/"&amp;UPPER(TRIM(CLEAN(SUBSTITUTE(Items!C132&amp;""," "," ")))))</f>
        <v/>
      </c>
      <c r="AM132" s="13">
        <f>IF($A132="",0,SUMPRODUCT(MAX((scope_HTS&lt;&gt;"")*(LEFT($C132,LEN(scope_HTS))=scope_HTS)*(LEN(scope_HTS)*1000+ROW(scope_HTS)-4))))</f>
        <v/>
      </c>
      <c r="AN132" s="13">
        <f>IF($AM132=0,0,SUMPRODUCT((scope_HTS&lt;&gt;"")*(LEFT($C132,LEN(scope_HTS))=scope_HTS)*(LEN(scope_HTS)=INT($AM132/1000))))</f>
        <v/>
      </c>
      <c r="AO132" s="13">
        <f>IF($L132&lt;&gt;"Y",0,SUMPRODUCT(MAX(ISNUMBER(rate_Rate)*((UPPER(TRIM(CLEAN(SUBSTITUTE(rate_Group&amp;""," "," "))))="")+(UPPER(TRIM(CLEAN(SUBSTITUTE(rate_Group&amp;""," "," "))))=$N132)&gt;0)*((UPPER(TRIM(CLEAN(SUBSTITUTE(rate_COO&amp;""," "," "))))="")+(UPPER(TRIM(CLEAN(SUBSTITUTE(rate_COO&amp;""," "," "))))=$E132)&gt;0)*((UPPER(TRIM(CLEAN(SUBSTITUTE(rate_USMCA&amp;""," "," "))))="")+(UPPER(TRIM(CLEAN(SUBSTITUTE(rate_USMCA&amp;""," "," "))))=IF(UPPER(TRIM(CLEAN(SUBSTITUTE(Items!F132&amp;""," "," "))))="Y","Y","N"))&gt;0)*((1+(UPPER(TRIM(CLEAN(SUBSTITUTE(rate_Group&amp;""," "," "))))&lt;&gt;"")+2*(UPPER(TRIM(CLEAN(SUBSTITUTE(rate_USMCA&amp;""," "," "))))&lt;&gt;"")+4*(UPPER(TRIM(CLEAN(SUBSTITUTE(rate_COO&amp;""," "," "))))&lt;&gt;""))*100+ROW(rate_Rate)-4))))</f>
        <v/>
      </c>
      <c r="AP132" s="13">
        <f>IF($AO132=0,0,SUMPRODUCT(ISNUMBER(rate_Rate)*((UPPER(TRIM(CLEAN(SUBSTITUTE(rate_Group&amp;""," "," "))))="")+(UPPER(TRIM(CLEAN(SUBSTITUTE(rate_Group&amp;""," "," "))))=$N132)&gt;0)*((UPPER(TRIM(CLEAN(SUBSTITUTE(rate_COO&amp;""," "," "))))="")+(UPPER(TRIM(CLEAN(SUBSTITUTE(rate_COO&amp;""," "," "))))=$E132)&gt;0)*((UPPER(TRIM(CLEAN(SUBSTITUTE(rate_USMCA&amp;""," "," "))))="")+(UPPER(TRIM(CLEAN(SUBSTITUTE(rate_USMCA&amp;""," "," "))))=IF(UPPER(TRIM(CLEAN(SUBSTITUTE(Items!F132&amp;""," "," "))))="Y","Y","N"))&gt;0)*((1+(UPPER(TRIM(CLEAN(SUBSTITUTE(rate_Group&amp;""," "," "))))&lt;&gt;"")+2*(UPPER(TRIM(CLEAN(SUBSTITUTE(rate_USMCA&amp;""," "," "))))&lt;&gt;"")+4*(UPPER(TRIM(CLEAN(SUBSTITUTE(rate_COO&amp;""," "," "))))&lt;&gt;""))=INT($AO132/100))))</f>
        <v/>
      </c>
      <c r="AQ132" s="13">
        <f>IF($A132="",0,IFERROR(MATCH($AL132,det_Key,0),0))</f>
        <v/>
      </c>
    </row>
    <row r="133">
      <c r="A133" s="10">
        <f>IF(TRIM(CLEAN(SUBSTITUTE(Items!A133&amp;""," "," ")))="","",TRIM(CLEAN(SUBSTITUTE(Items!A133&amp;""," "," "))))</f>
        <v/>
      </c>
      <c r="B133" s="10">
        <f>IF($A133="","",Items!B133&amp;"")</f>
        <v/>
      </c>
      <c r="C133" s="10">
        <f>IF($A133="","",SUBSTITUTE(SUBSTITUTE(SUBSTITUTE(SUBSTITUTE(CLEAN(Items!D133&amp;"")," ",""),".","")," ",""),"-",""))</f>
        <v/>
      </c>
      <c r="D133" s="10">
        <f>IF($A133="","",LEFT($C133,2))</f>
        <v/>
      </c>
      <c r="E133" s="10">
        <f>IF($A133="","",UPPER(TRIM(CLEAN(SUBSTITUTE(Items!E133&amp;""," "," ")))))</f>
        <v/>
      </c>
      <c r="F133" s="10">
        <f>IF($A133="","",IF(UPPER(TRIM(CLEAN(SUBSTITUTE(Items!C133&amp;""," "," "))))=UPPER(TRIM(CLEAN(SUBSTITUTE(act_Country&amp;""," "," ")))),"Y","N"))</f>
        <v/>
      </c>
      <c r="G133" s="10">
        <f>IF($A133="","",IF($AM133&gt;0,"Y","N"))</f>
        <v/>
      </c>
      <c r="H133" s="10">
        <f>IF($A133="","",IF(SUMPRODUCT((excl_HTS&lt;&gt;"")*(LEFT($C133,LEN(excl_HTS))=excl_HTS))&gt;0,"Y","N"))</f>
        <v/>
      </c>
      <c r="I133" s="10">
        <f>IF($A133="","",IF($E133="","N",IF(SUMPRODUCT(--(UPPER(TRIM(CLEAN(SUBSTITUTE(scope_COO&amp;""," "," "))))=$E133))&gt;0,"Y","N")))</f>
        <v/>
      </c>
      <c r="J133" s="10">
        <f>IF($A133="","",IF(AND(UPPER(TRIM(CLEAN(SUBSTITUTE(act_USMCAExempt&amp;""," "," "))))="Y",UPPER(TRIM(CLEAN(SUBSTITUTE(Items!F133&amp;""," "," "))))="Y"),"Y","N"))</f>
        <v/>
      </c>
      <c r="K133" s="10">
        <f>IF($A133="","",IF($AQ133=0,"",UPPER(TRIM(CLEAN(SUBSTITUTE(INDEX(det_Status,$AQ133)&amp;""," "," "))))))</f>
        <v/>
      </c>
      <c r="L133" s="10">
        <f>IF($A133="","",IF($F133="N","N",IF($K133="IN","Y",IF($K133="OUT","N",IF(AND($G133="Y",$H133="N",$I133="Y",$J133="N"),"Y","N")))))</f>
        <v/>
      </c>
      <c r="M133" s="10">
        <f>IF($A133="","",IF($F133="N","Out: different import country",IF($K133="IN","In: Research determination",IF($K133="OUT","Out: Research determination",IF($G133="N","Out: HTS not on scope list",IF($H133="Y","Out: HTS on exclusion list",IF($I133="N","Out: origin not on scope list",IF($J133="Y","Out: USMCA-qualifying, exempt","In: matches scope rules"))))))))</f>
        <v/>
      </c>
      <c r="N133" s="10">
        <f>IF(OR($A133="",$AM133=0),"",UPPER(TRIM(CLEAN(SUBSTITUTE(INDEX(scope_Group,MOD($AM133,1000))&amp;""," "," ")))))</f>
        <v/>
      </c>
      <c r="O133" s="10">
        <f>IF($L133&lt;&gt;"Y","",IF($AO133=0,"Default (B15)",UPPER(TRIM(CLEAN(SUBSTITUTE(INDEX(rate_ID,MOD($AO133,100))&amp;""," "," "))))))</f>
        <v/>
      </c>
      <c r="P133" s="10">
        <f>IF($L133&lt;&gt;"Y","",IF($AO133=0,IF(UPPER(TRIM(CLEAN(SUBSTITUTE(act_DefaultBase&amp;""," "," "))))="PART","PART","FULL"),IF(UPPER(TRIM(CLEAN(SUBSTITUTE(INDEX(rate_Base,MOD($AO133,100))&amp;""," "," "))))="PART","PART","FULL")))</f>
        <v/>
      </c>
      <c r="Q133" s="17">
        <f>IF($A133="","",N(Items!J133))</f>
        <v/>
      </c>
      <c r="R133" s="17">
        <f>IF($A133="","",IF($L133&lt;&gt;"Y",0,IF($AO133=0,N(act_Rate),N(INDEX(rate_Rate,MOD($AO133,100))))))</f>
        <v/>
      </c>
      <c r="S133" s="17">
        <f>IF($A133="","",IF($L133&lt;&gt;"Y",0,IF($AO133=0,IF(UPPER(TRIM(CLEAN(SUBSTITUTE(act_RateType&amp;""," "," "))))="REPLACE",N(act_PriorRate),0),IF(ISNUMBER(INDEX(rate_Prior,MOD($AO133,100))),INDEX(rate_Prior,MOD($AO133,100)),IF(UPPER(TRIM(CLEAN(SUBSTITUTE(act_RateType&amp;""," "," "))))="REPLACE",N(act_PriorRate),0)))))</f>
        <v/>
      </c>
      <c r="T133" s="17">
        <f>IF($A133="","",IF(AND($L133="Y",$P133="PART",ISNUMBER(Items!M133)),Items!M133,1))</f>
        <v/>
      </c>
      <c r="U133" s="17">
        <f>IF($A133="","",IF($L133&lt;&gt;"Y",0,IF($AQ133&gt;0,IF(ISNUMBER(INDEX(det_Displaced,$AQ133)),INDEX(det_Displaced,$AQ133),IF($AO133=0,0,N(INDEX(rate_Displaced,MOD($AO133,100))))),IF($AO133=0,0,N(INDEX(rate_Displaced,MOD($AO133,100)))))))</f>
        <v/>
      </c>
      <c r="V133" s="17">
        <f>IF($A133="","",IF($L133="Y",$Q133+$T133*($R133-$S133)-$U133,$Q133))</f>
        <v/>
      </c>
      <c r="W133" s="18">
        <f>IF($A133="","",N(Items!H133)*$Q133)</f>
        <v/>
      </c>
      <c r="X133" s="18">
        <f>IF($A133="","",N(Items!H133)*$V133)</f>
        <v/>
      </c>
      <c r="Y133" s="18">
        <f>IF($A133="","",$X133-$W133)</f>
        <v/>
      </c>
      <c r="Z133" s="18">
        <f>IF($A133="","",N(Items!K133)+$Y133)</f>
        <v/>
      </c>
      <c r="AA133" s="17">
        <f>IF($A133="","",IF(N(Items!L133)=0,"",(N(Items!L133)-N(Items!K133))/N(Items!L133)))</f>
        <v/>
      </c>
      <c r="AB133" s="17">
        <f>IF($A133="","",IF(N(Items!L133)=0,"",(N(Items!L133)-$Z133)/N(Items!L133)))</f>
        <v/>
      </c>
      <c r="AC133" s="17">
        <f>IF(OR($AA133="",$AB133=""),"",$AB133-$AA133)</f>
        <v/>
      </c>
      <c r="AD133" s="13">
        <f>IF($A133="","",N(Items!I133))</f>
        <v/>
      </c>
      <c r="AE133" s="19">
        <f>IF($A133="","",$Y133*$AD133)</f>
        <v/>
      </c>
      <c r="AF133" s="10">
        <f>IF($A133="","",IF(N(Items!L133)&gt;0,"Y","N"))</f>
        <v/>
      </c>
      <c r="AG133" s="19">
        <f>IF($A133="","",IF($AF133="Y",N(Items!L133)*$AD133,0))</f>
        <v/>
      </c>
      <c r="AH133" s="19">
        <f>IF($A133="","",IF($AF133="Y",(N(Items!L133)-N(Items!K133))*$AD133,0))</f>
        <v/>
      </c>
      <c r="AI133" s="19">
        <f>IF($A133="","",IF($AF133="Y",$AH133-$AE133,0))</f>
        <v/>
      </c>
      <c r="AJ133" s="10">
        <f>IF($A133="","",IF(COUNTIF($AL$5:$AL$254,$AL133)&gt;1,"CHECK: duplicate item and import country",IF(TRIM(CLEAN(SUBSTITUTE(Items!C133&amp;""," "," ")))="","CHECK: import country missing",IF(AND(UPPER(TRIM(CLEAN(SUBSTITUTE(Items!C133&amp;""," "," "))))&lt;&gt;"US",UPPER(TRIM(CLEAN(SUBSTITUTE(Items!C133&amp;""," "," "))))&lt;&gt;"CA",UPPER(TRIM(CLEAN(SUBSTITUTE(Items!C133&amp;""," "," "))))&lt;&gt;"MX"),"CHECK: import country must be US, CA or MX",IF(NOT(AND(LEN($C133)=10,IFERROR(TEXT(VALUE($C133),REPT("0",LEN($C133)))=$C133,FALSE))),"CHECK: HTS must be 10 digits",IF(LEN($E133)&lt;&gt;2,"CHECK: origin code missing or not 2 letters",IF(TRIM(CLEAN(SUBSTITUTE(Items!G133&amp;""," "," ")))="","CHECK: unit of measure missing",IF(OR(Items!H133="",Items!J133="",Items!K133=""),"CHECK: value, rate or cost missing",IF(OR(NOT(ISNUMBER(Items!H133)),NOT(ISNUMBER(Items!J133)),NOT(ISNUMBER(Items!K133)),AND(Items!I133&lt;&gt;"",NOT(ISNUMBER(Items!I133))),AND(Items!L133&lt;&gt;"",NOT(ISNUMBER(Items!L133))),AND(Items!M133&lt;&gt;"",NOT(ISNUMBER(Items!M133)))),"CHECK: text in a number column",IF(AND(ISNUMBER(Items!M133),OR(N(Items!M133)&lt;0,N(Items!M133)&gt;1)),"CHECK: dutiable share must be 0% to 100%",IF(AND(UPPER(TRIM(CLEAN(SUBSTITUTE(Items!F133&amp;""," "," "))))&lt;&gt;"",UPPER(TRIM(CLEAN(SUBSTITUTE(Items!F133&amp;""," "," "))))&lt;&gt;"Y",UPPER(TRIM(CLEAN(SUBSTITUTE(Items!F133&amp;""," "," "))))&lt;&gt;"N"),"CHECK: USMCA flag must be Y, N or blank",IF(AND(UPPER(TRIM(CLEAN(SUBSTITUTE(Items!F133&amp;""," "," "))))="Y",$E133&lt;&gt;"US",$E133&lt;&gt;"CA",$E133&lt;&gt;"MX"),"CHECK: USMCA flag on an origin other than US, CA or MX",IF(AND($L133="Y",$AO133=0,NOT(ISNUMBER(act_Rate))),"CHECK: in scope but no rate (add a rate line or B15)",IF(AND($L133="Y",UPPER(TRIM(CLEAN(SUBSTITUTE(act_RateType&amp;""," "," "))))="REPLACE",NOT(ISNUMBER(act_PriorRate)),IF($AO133=0,TRUE,NOT(ISNUMBER(INDEX(rate_Prior,MOD($AO133,100)))))),"CHECK: REPLACE but no earlier rate (B17 or the rate line's AD)",IF(AND($L133="Y",$AP133&gt;1),"CHECK: two rate lines match equally",IF(AND($L133="Y",$AN133&gt;1),"CHECK: HTS prefix listed twice on the scope list",IF(AND($L133="Y",$P133="PART",NOT(ISNUMBER(Items!M133))),"CHECK: dutiable share missing (PART base)",IF(AND($L133="Y",$P133="FULL",ISNUMBER(Items!M133),N(Items!M133)&lt;&gt;1),"CHECK: dutiable share entered, but the rate taxes the full value",IF(AND($L133="Y",$Q133+0.0000001&lt;$T133*$S133+$U133),"CHECK: current rate is below the duty being replaced or displaced",IF(AND($L133="Y",$AD133=0),"NOTE: in scope, no quantity",IF(AND($L133="Y",$AF133="N"),"NOTE: in scope, no sell price (left out of margin %)",IF(AND($L133="Y",N(Items!H133)&gt;N(Items!K133)),"NOTE: customs value above standard cost (check unit of measure)",IF(AND($L133="Y",$Q133&gt;1),"NOTE: current rate above 100% (check it was entered as a percentage)","OK")))))))))))))))))))))))</f>
        <v/>
      </c>
      <c r="AK133" s="20">
        <f>IF($A133="","",IF(AND($L133="Y",$AE133&lt;&gt;0),ABS($AE133)+ROW()/1000000000,""))</f>
        <v/>
      </c>
      <c r="AL133" s="10">
        <f>IF($A133="","",UPPER($A133)&amp;"/"&amp;UPPER(TRIM(CLEAN(SUBSTITUTE(Items!C133&amp;""," "," ")))))</f>
        <v/>
      </c>
      <c r="AM133" s="13">
        <f>IF($A133="",0,SUMPRODUCT(MAX((scope_HTS&lt;&gt;"")*(LEFT($C133,LEN(scope_HTS))=scope_HTS)*(LEN(scope_HTS)*1000+ROW(scope_HTS)-4))))</f>
        <v/>
      </c>
      <c r="AN133" s="13">
        <f>IF($AM133=0,0,SUMPRODUCT((scope_HTS&lt;&gt;"")*(LEFT($C133,LEN(scope_HTS))=scope_HTS)*(LEN(scope_HTS)=INT($AM133/1000))))</f>
        <v/>
      </c>
      <c r="AO133" s="13">
        <f>IF($L133&lt;&gt;"Y",0,SUMPRODUCT(MAX(ISNUMBER(rate_Rate)*((UPPER(TRIM(CLEAN(SUBSTITUTE(rate_Group&amp;""," "," "))))="")+(UPPER(TRIM(CLEAN(SUBSTITUTE(rate_Group&amp;""," "," "))))=$N133)&gt;0)*((UPPER(TRIM(CLEAN(SUBSTITUTE(rate_COO&amp;""," "," "))))="")+(UPPER(TRIM(CLEAN(SUBSTITUTE(rate_COO&amp;""," "," "))))=$E133)&gt;0)*((UPPER(TRIM(CLEAN(SUBSTITUTE(rate_USMCA&amp;""," "," "))))="")+(UPPER(TRIM(CLEAN(SUBSTITUTE(rate_USMCA&amp;""," "," "))))=IF(UPPER(TRIM(CLEAN(SUBSTITUTE(Items!F133&amp;""," "," "))))="Y","Y","N"))&gt;0)*((1+(UPPER(TRIM(CLEAN(SUBSTITUTE(rate_Group&amp;""," "," "))))&lt;&gt;"")+2*(UPPER(TRIM(CLEAN(SUBSTITUTE(rate_USMCA&amp;""," "," "))))&lt;&gt;"")+4*(UPPER(TRIM(CLEAN(SUBSTITUTE(rate_COO&amp;""," "," "))))&lt;&gt;""))*100+ROW(rate_Rate)-4))))</f>
        <v/>
      </c>
      <c r="AP133" s="13">
        <f>IF($AO133=0,0,SUMPRODUCT(ISNUMBER(rate_Rate)*((UPPER(TRIM(CLEAN(SUBSTITUTE(rate_Group&amp;""," "," "))))="")+(UPPER(TRIM(CLEAN(SUBSTITUTE(rate_Group&amp;""," "," "))))=$N133)&gt;0)*((UPPER(TRIM(CLEAN(SUBSTITUTE(rate_COO&amp;""," "," "))))="")+(UPPER(TRIM(CLEAN(SUBSTITUTE(rate_COO&amp;""," "," "))))=$E133)&gt;0)*((UPPER(TRIM(CLEAN(SUBSTITUTE(rate_USMCA&amp;""," "," "))))="")+(UPPER(TRIM(CLEAN(SUBSTITUTE(rate_USMCA&amp;""," "," "))))=IF(UPPER(TRIM(CLEAN(SUBSTITUTE(Items!F133&amp;""," "," "))))="Y","Y","N"))&gt;0)*((1+(UPPER(TRIM(CLEAN(SUBSTITUTE(rate_Group&amp;""," "," "))))&lt;&gt;"")+2*(UPPER(TRIM(CLEAN(SUBSTITUTE(rate_USMCA&amp;""," "," "))))&lt;&gt;"")+4*(UPPER(TRIM(CLEAN(SUBSTITUTE(rate_COO&amp;""," "," "))))&lt;&gt;""))=INT($AO133/100))))</f>
        <v/>
      </c>
      <c r="AQ133" s="13">
        <f>IF($A133="",0,IFERROR(MATCH($AL133,det_Key,0),0))</f>
        <v/>
      </c>
    </row>
    <row r="134">
      <c r="A134" s="10">
        <f>IF(TRIM(CLEAN(SUBSTITUTE(Items!A134&amp;""," "," ")))="","",TRIM(CLEAN(SUBSTITUTE(Items!A134&amp;""," "," "))))</f>
        <v/>
      </c>
      <c r="B134" s="10">
        <f>IF($A134="","",Items!B134&amp;"")</f>
        <v/>
      </c>
      <c r="C134" s="10">
        <f>IF($A134="","",SUBSTITUTE(SUBSTITUTE(SUBSTITUTE(SUBSTITUTE(CLEAN(Items!D134&amp;"")," ",""),".","")," ",""),"-",""))</f>
        <v/>
      </c>
      <c r="D134" s="10">
        <f>IF($A134="","",LEFT($C134,2))</f>
        <v/>
      </c>
      <c r="E134" s="10">
        <f>IF($A134="","",UPPER(TRIM(CLEAN(SUBSTITUTE(Items!E134&amp;""," "," ")))))</f>
        <v/>
      </c>
      <c r="F134" s="10">
        <f>IF($A134="","",IF(UPPER(TRIM(CLEAN(SUBSTITUTE(Items!C134&amp;""," "," "))))=UPPER(TRIM(CLEAN(SUBSTITUTE(act_Country&amp;""," "," ")))),"Y","N"))</f>
        <v/>
      </c>
      <c r="G134" s="10">
        <f>IF($A134="","",IF($AM134&gt;0,"Y","N"))</f>
        <v/>
      </c>
      <c r="H134" s="10">
        <f>IF($A134="","",IF(SUMPRODUCT((excl_HTS&lt;&gt;"")*(LEFT($C134,LEN(excl_HTS))=excl_HTS))&gt;0,"Y","N"))</f>
        <v/>
      </c>
      <c r="I134" s="10">
        <f>IF($A134="","",IF($E134="","N",IF(SUMPRODUCT(--(UPPER(TRIM(CLEAN(SUBSTITUTE(scope_COO&amp;""," "," "))))=$E134))&gt;0,"Y","N")))</f>
        <v/>
      </c>
      <c r="J134" s="10">
        <f>IF($A134="","",IF(AND(UPPER(TRIM(CLEAN(SUBSTITUTE(act_USMCAExempt&amp;""," "," "))))="Y",UPPER(TRIM(CLEAN(SUBSTITUTE(Items!F134&amp;""," "," "))))="Y"),"Y","N"))</f>
        <v/>
      </c>
      <c r="K134" s="10">
        <f>IF($A134="","",IF($AQ134=0,"",UPPER(TRIM(CLEAN(SUBSTITUTE(INDEX(det_Status,$AQ134)&amp;""," "," "))))))</f>
        <v/>
      </c>
      <c r="L134" s="10">
        <f>IF($A134="","",IF($F134="N","N",IF($K134="IN","Y",IF($K134="OUT","N",IF(AND($G134="Y",$H134="N",$I134="Y",$J134="N"),"Y","N")))))</f>
        <v/>
      </c>
      <c r="M134" s="10">
        <f>IF($A134="","",IF($F134="N","Out: different import country",IF($K134="IN","In: Research determination",IF($K134="OUT","Out: Research determination",IF($G134="N","Out: HTS not on scope list",IF($H134="Y","Out: HTS on exclusion list",IF($I134="N","Out: origin not on scope list",IF($J134="Y","Out: USMCA-qualifying, exempt","In: matches scope rules"))))))))</f>
        <v/>
      </c>
      <c r="N134" s="10">
        <f>IF(OR($A134="",$AM134=0),"",UPPER(TRIM(CLEAN(SUBSTITUTE(INDEX(scope_Group,MOD($AM134,1000))&amp;""," "," ")))))</f>
        <v/>
      </c>
      <c r="O134" s="10">
        <f>IF($L134&lt;&gt;"Y","",IF($AO134=0,"Default (B15)",UPPER(TRIM(CLEAN(SUBSTITUTE(INDEX(rate_ID,MOD($AO134,100))&amp;""," "," "))))))</f>
        <v/>
      </c>
      <c r="P134" s="10">
        <f>IF($L134&lt;&gt;"Y","",IF($AO134=0,IF(UPPER(TRIM(CLEAN(SUBSTITUTE(act_DefaultBase&amp;""," "," "))))="PART","PART","FULL"),IF(UPPER(TRIM(CLEAN(SUBSTITUTE(INDEX(rate_Base,MOD($AO134,100))&amp;""," "," "))))="PART","PART","FULL")))</f>
        <v/>
      </c>
      <c r="Q134" s="17">
        <f>IF($A134="","",N(Items!J134))</f>
        <v/>
      </c>
      <c r="R134" s="17">
        <f>IF($A134="","",IF($L134&lt;&gt;"Y",0,IF($AO134=0,N(act_Rate),N(INDEX(rate_Rate,MOD($AO134,100))))))</f>
        <v/>
      </c>
      <c r="S134" s="17">
        <f>IF($A134="","",IF($L134&lt;&gt;"Y",0,IF($AO134=0,IF(UPPER(TRIM(CLEAN(SUBSTITUTE(act_RateType&amp;""," "," "))))="REPLACE",N(act_PriorRate),0),IF(ISNUMBER(INDEX(rate_Prior,MOD($AO134,100))),INDEX(rate_Prior,MOD($AO134,100)),IF(UPPER(TRIM(CLEAN(SUBSTITUTE(act_RateType&amp;""," "," "))))="REPLACE",N(act_PriorRate),0)))))</f>
        <v/>
      </c>
      <c r="T134" s="17">
        <f>IF($A134="","",IF(AND($L134="Y",$P134="PART",ISNUMBER(Items!M134)),Items!M134,1))</f>
        <v/>
      </c>
      <c r="U134" s="17">
        <f>IF($A134="","",IF($L134&lt;&gt;"Y",0,IF($AQ134&gt;0,IF(ISNUMBER(INDEX(det_Displaced,$AQ134)),INDEX(det_Displaced,$AQ134),IF($AO134=0,0,N(INDEX(rate_Displaced,MOD($AO134,100))))),IF($AO134=0,0,N(INDEX(rate_Displaced,MOD($AO134,100)))))))</f>
        <v/>
      </c>
      <c r="V134" s="17">
        <f>IF($A134="","",IF($L134="Y",$Q134+$T134*($R134-$S134)-$U134,$Q134))</f>
        <v/>
      </c>
      <c r="W134" s="18">
        <f>IF($A134="","",N(Items!H134)*$Q134)</f>
        <v/>
      </c>
      <c r="X134" s="18">
        <f>IF($A134="","",N(Items!H134)*$V134)</f>
        <v/>
      </c>
      <c r="Y134" s="18">
        <f>IF($A134="","",$X134-$W134)</f>
        <v/>
      </c>
      <c r="Z134" s="18">
        <f>IF($A134="","",N(Items!K134)+$Y134)</f>
        <v/>
      </c>
      <c r="AA134" s="17">
        <f>IF($A134="","",IF(N(Items!L134)=0,"",(N(Items!L134)-N(Items!K134))/N(Items!L134)))</f>
        <v/>
      </c>
      <c r="AB134" s="17">
        <f>IF($A134="","",IF(N(Items!L134)=0,"",(N(Items!L134)-$Z134)/N(Items!L134)))</f>
        <v/>
      </c>
      <c r="AC134" s="17">
        <f>IF(OR($AA134="",$AB134=""),"",$AB134-$AA134)</f>
        <v/>
      </c>
      <c r="AD134" s="13">
        <f>IF($A134="","",N(Items!I134))</f>
        <v/>
      </c>
      <c r="AE134" s="19">
        <f>IF($A134="","",$Y134*$AD134)</f>
        <v/>
      </c>
      <c r="AF134" s="10">
        <f>IF($A134="","",IF(N(Items!L134)&gt;0,"Y","N"))</f>
        <v/>
      </c>
      <c r="AG134" s="19">
        <f>IF($A134="","",IF($AF134="Y",N(Items!L134)*$AD134,0))</f>
        <v/>
      </c>
      <c r="AH134" s="19">
        <f>IF($A134="","",IF($AF134="Y",(N(Items!L134)-N(Items!K134))*$AD134,0))</f>
        <v/>
      </c>
      <c r="AI134" s="19">
        <f>IF($A134="","",IF($AF134="Y",$AH134-$AE134,0))</f>
        <v/>
      </c>
      <c r="AJ134" s="10">
        <f>IF($A134="","",IF(COUNTIF($AL$5:$AL$254,$AL134)&gt;1,"CHECK: duplicate item and import country",IF(TRIM(CLEAN(SUBSTITUTE(Items!C134&amp;""," "," ")))="","CHECK: import country missing",IF(AND(UPPER(TRIM(CLEAN(SUBSTITUTE(Items!C134&amp;""," "," "))))&lt;&gt;"US",UPPER(TRIM(CLEAN(SUBSTITUTE(Items!C134&amp;""," "," "))))&lt;&gt;"CA",UPPER(TRIM(CLEAN(SUBSTITUTE(Items!C134&amp;""," "," "))))&lt;&gt;"MX"),"CHECK: import country must be US, CA or MX",IF(NOT(AND(LEN($C134)=10,IFERROR(TEXT(VALUE($C134),REPT("0",LEN($C134)))=$C134,FALSE))),"CHECK: HTS must be 10 digits",IF(LEN($E134)&lt;&gt;2,"CHECK: origin code missing or not 2 letters",IF(TRIM(CLEAN(SUBSTITUTE(Items!G134&amp;""," "," ")))="","CHECK: unit of measure missing",IF(OR(Items!H134="",Items!J134="",Items!K134=""),"CHECK: value, rate or cost missing",IF(OR(NOT(ISNUMBER(Items!H134)),NOT(ISNUMBER(Items!J134)),NOT(ISNUMBER(Items!K134)),AND(Items!I134&lt;&gt;"",NOT(ISNUMBER(Items!I134))),AND(Items!L134&lt;&gt;"",NOT(ISNUMBER(Items!L134))),AND(Items!M134&lt;&gt;"",NOT(ISNUMBER(Items!M134)))),"CHECK: text in a number column",IF(AND(ISNUMBER(Items!M134),OR(N(Items!M134)&lt;0,N(Items!M134)&gt;1)),"CHECK: dutiable share must be 0% to 100%",IF(AND(UPPER(TRIM(CLEAN(SUBSTITUTE(Items!F134&amp;""," "," "))))&lt;&gt;"",UPPER(TRIM(CLEAN(SUBSTITUTE(Items!F134&amp;""," "," "))))&lt;&gt;"Y",UPPER(TRIM(CLEAN(SUBSTITUTE(Items!F134&amp;""," "," "))))&lt;&gt;"N"),"CHECK: USMCA flag must be Y, N or blank",IF(AND(UPPER(TRIM(CLEAN(SUBSTITUTE(Items!F134&amp;""," "," "))))="Y",$E134&lt;&gt;"US",$E134&lt;&gt;"CA",$E134&lt;&gt;"MX"),"CHECK: USMCA flag on an origin other than US, CA or MX",IF(AND($L134="Y",$AO134=0,NOT(ISNUMBER(act_Rate))),"CHECK: in scope but no rate (add a rate line or B15)",IF(AND($L134="Y",UPPER(TRIM(CLEAN(SUBSTITUTE(act_RateType&amp;""," "," "))))="REPLACE",NOT(ISNUMBER(act_PriorRate)),IF($AO134=0,TRUE,NOT(ISNUMBER(INDEX(rate_Prior,MOD($AO134,100)))))),"CHECK: REPLACE but no earlier rate (B17 or the rate line's AD)",IF(AND($L134="Y",$AP134&gt;1),"CHECK: two rate lines match equally",IF(AND($L134="Y",$AN134&gt;1),"CHECK: HTS prefix listed twice on the scope list",IF(AND($L134="Y",$P134="PART",NOT(ISNUMBER(Items!M134))),"CHECK: dutiable share missing (PART base)",IF(AND($L134="Y",$P134="FULL",ISNUMBER(Items!M134),N(Items!M134)&lt;&gt;1),"CHECK: dutiable share entered, but the rate taxes the full value",IF(AND($L134="Y",$Q134+0.0000001&lt;$T134*$S134+$U134),"CHECK: current rate is below the duty being replaced or displaced",IF(AND($L134="Y",$AD134=0),"NOTE: in scope, no quantity",IF(AND($L134="Y",$AF134="N"),"NOTE: in scope, no sell price (left out of margin %)",IF(AND($L134="Y",N(Items!H134)&gt;N(Items!K134)),"NOTE: customs value above standard cost (check unit of measure)",IF(AND($L134="Y",$Q134&gt;1),"NOTE: current rate above 100% (check it was entered as a percentage)","OK")))))))))))))))))))))))</f>
        <v/>
      </c>
      <c r="AK134" s="20">
        <f>IF($A134="","",IF(AND($L134="Y",$AE134&lt;&gt;0),ABS($AE134)+ROW()/1000000000,""))</f>
        <v/>
      </c>
      <c r="AL134" s="10">
        <f>IF($A134="","",UPPER($A134)&amp;"/"&amp;UPPER(TRIM(CLEAN(SUBSTITUTE(Items!C134&amp;""," "," ")))))</f>
        <v/>
      </c>
      <c r="AM134" s="13">
        <f>IF($A134="",0,SUMPRODUCT(MAX((scope_HTS&lt;&gt;"")*(LEFT($C134,LEN(scope_HTS))=scope_HTS)*(LEN(scope_HTS)*1000+ROW(scope_HTS)-4))))</f>
        <v/>
      </c>
      <c r="AN134" s="13">
        <f>IF($AM134=0,0,SUMPRODUCT((scope_HTS&lt;&gt;"")*(LEFT($C134,LEN(scope_HTS))=scope_HTS)*(LEN(scope_HTS)=INT($AM134/1000))))</f>
        <v/>
      </c>
      <c r="AO134" s="13">
        <f>IF($L134&lt;&gt;"Y",0,SUMPRODUCT(MAX(ISNUMBER(rate_Rate)*((UPPER(TRIM(CLEAN(SUBSTITUTE(rate_Group&amp;""," "," "))))="")+(UPPER(TRIM(CLEAN(SUBSTITUTE(rate_Group&amp;""," "," "))))=$N134)&gt;0)*((UPPER(TRIM(CLEAN(SUBSTITUTE(rate_COO&amp;""," "," "))))="")+(UPPER(TRIM(CLEAN(SUBSTITUTE(rate_COO&amp;""," "," "))))=$E134)&gt;0)*((UPPER(TRIM(CLEAN(SUBSTITUTE(rate_USMCA&amp;""," "," "))))="")+(UPPER(TRIM(CLEAN(SUBSTITUTE(rate_USMCA&amp;""," "," "))))=IF(UPPER(TRIM(CLEAN(SUBSTITUTE(Items!F134&amp;""," "," "))))="Y","Y","N"))&gt;0)*((1+(UPPER(TRIM(CLEAN(SUBSTITUTE(rate_Group&amp;""," "," "))))&lt;&gt;"")+2*(UPPER(TRIM(CLEAN(SUBSTITUTE(rate_USMCA&amp;""," "," "))))&lt;&gt;"")+4*(UPPER(TRIM(CLEAN(SUBSTITUTE(rate_COO&amp;""," "," "))))&lt;&gt;""))*100+ROW(rate_Rate)-4))))</f>
        <v/>
      </c>
      <c r="AP134" s="13">
        <f>IF($AO134=0,0,SUMPRODUCT(ISNUMBER(rate_Rate)*((UPPER(TRIM(CLEAN(SUBSTITUTE(rate_Group&amp;""," "," "))))="")+(UPPER(TRIM(CLEAN(SUBSTITUTE(rate_Group&amp;""," "," "))))=$N134)&gt;0)*((UPPER(TRIM(CLEAN(SUBSTITUTE(rate_COO&amp;""," "," "))))="")+(UPPER(TRIM(CLEAN(SUBSTITUTE(rate_COO&amp;""," "," "))))=$E134)&gt;0)*((UPPER(TRIM(CLEAN(SUBSTITUTE(rate_USMCA&amp;""," "," "))))="")+(UPPER(TRIM(CLEAN(SUBSTITUTE(rate_USMCA&amp;""," "," "))))=IF(UPPER(TRIM(CLEAN(SUBSTITUTE(Items!F134&amp;""," "," "))))="Y","Y","N"))&gt;0)*((1+(UPPER(TRIM(CLEAN(SUBSTITUTE(rate_Group&amp;""," "," "))))&lt;&gt;"")+2*(UPPER(TRIM(CLEAN(SUBSTITUTE(rate_USMCA&amp;""," "," "))))&lt;&gt;"")+4*(UPPER(TRIM(CLEAN(SUBSTITUTE(rate_COO&amp;""," "," "))))&lt;&gt;""))=INT($AO134/100))))</f>
        <v/>
      </c>
      <c r="AQ134" s="13">
        <f>IF($A134="",0,IFERROR(MATCH($AL134,det_Key,0),0))</f>
        <v/>
      </c>
    </row>
    <row r="135">
      <c r="A135" s="10">
        <f>IF(TRIM(CLEAN(SUBSTITUTE(Items!A135&amp;""," "," ")))="","",TRIM(CLEAN(SUBSTITUTE(Items!A135&amp;""," "," "))))</f>
        <v/>
      </c>
      <c r="B135" s="10">
        <f>IF($A135="","",Items!B135&amp;"")</f>
        <v/>
      </c>
      <c r="C135" s="10">
        <f>IF($A135="","",SUBSTITUTE(SUBSTITUTE(SUBSTITUTE(SUBSTITUTE(CLEAN(Items!D135&amp;"")," ",""),".","")," ",""),"-",""))</f>
        <v/>
      </c>
      <c r="D135" s="10">
        <f>IF($A135="","",LEFT($C135,2))</f>
        <v/>
      </c>
      <c r="E135" s="10">
        <f>IF($A135="","",UPPER(TRIM(CLEAN(SUBSTITUTE(Items!E135&amp;""," "," ")))))</f>
        <v/>
      </c>
      <c r="F135" s="10">
        <f>IF($A135="","",IF(UPPER(TRIM(CLEAN(SUBSTITUTE(Items!C135&amp;""," "," "))))=UPPER(TRIM(CLEAN(SUBSTITUTE(act_Country&amp;""," "," ")))),"Y","N"))</f>
        <v/>
      </c>
      <c r="G135" s="10">
        <f>IF($A135="","",IF($AM135&gt;0,"Y","N"))</f>
        <v/>
      </c>
      <c r="H135" s="10">
        <f>IF($A135="","",IF(SUMPRODUCT((excl_HTS&lt;&gt;"")*(LEFT($C135,LEN(excl_HTS))=excl_HTS))&gt;0,"Y","N"))</f>
        <v/>
      </c>
      <c r="I135" s="10">
        <f>IF($A135="","",IF($E135="","N",IF(SUMPRODUCT(--(UPPER(TRIM(CLEAN(SUBSTITUTE(scope_COO&amp;""," "," "))))=$E135))&gt;0,"Y","N")))</f>
        <v/>
      </c>
      <c r="J135" s="10">
        <f>IF($A135="","",IF(AND(UPPER(TRIM(CLEAN(SUBSTITUTE(act_USMCAExempt&amp;""," "," "))))="Y",UPPER(TRIM(CLEAN(SUBSTITUTE(Items!F135&amp;""," "," "))))="Y"),"Y","N"))</f>
        <v/>
      </c>
      <c r="K135" s="10">
        <f>IF($A135="","",IF($AQ135=0,"",UPPER(TRIM(CLEAN(SUBSTITUTE(INDEX(det_Status,$AQ135)&amp;""," "," "))))))</f>
        <v/>
      </c>
      <c r="L135" s="10">
        <f>IF($A135="","",IF($F135="N","N",IF($K135="IN","Y",IF($K135="OUT","N",IF(AND($G135="Y",$H135="N",$I135="Y",$J135="N"),"Y","N")))))</f>
        <v/>
      </c>
      <c r="M135" s="10">
        <f>IF($A135="","",IF($F135="N","Out: different import country",IF($K135="IN","In: Research determination",IF($K135="OUT","Out: Research determination",IF($G135="N","Out: HTS not on scope list",IF($H135="Y","Out: HTS on exclusion list",IF($I135="N","Out: origin not on scope list",IF($J135="Y","Out: USMCA-qualifying, exempt","In: matches scope rules"))))))))</f>
        <v/>
      </c>
      <c r="N135" s="10">
        <f>IF(OR($A135="",$AM135=0),"",UPPER(TRIM(CLEAN(SUBSTITUTE(INDEX(scope_Group,MOD($AM135,1000))&amp;""," "," ")))))</f>
        <v/>
      </c>
      <c r="O135" s="10">
        <f>IF($L135&lt;&gt;"Y","",IF($AO135=0,"Default (B15)",UPPER(TRIM(CLEAN(SUBSTITUTE(INDEX(rate_ID,MOD($AO135,100))&amp;""," "," "))))))</f>
        <v/>
      </c>
      <c r="P135" s="10">
        <f>IF($L135&lt;&gt;"Y","",IF($AO135=0,IF(UPPER(TRIM(CLEAN(SUBSTITUTE(act_DefaultBase&amp;""," "," "))))="PART","PART","FULL"),IF(UPPER(TRIM(CLEAN(SUBSTITUTE(INDEX(rate_Base,MOD($AO135,100))&amp;""," "," "))))="PART","PART","FULL")))</f>
        <v/>
      </c>
      <c r="Q135" s="17">
        <f>IF($A135="","",N(Items!J135))</f>
        <v/>
      </c>
      <c r="R135" s="17">
        <f>IF($A135="","",IF($L135&lt;&gt;"Y",0,IF($AO135=0,N(act_Rate),N(INDEX(rate_Rate,MOD($AO135,100))))))</f>
        <v/>
      </c>
      <c r="S135" s="17">
        <f>IF($A135="","",IF($L135&lt;&gt;"Y",0,IF($AO135=0,IF(UPPER(TRIM(CLEAN(SUBSTITUTE(act_RateType&amp;""," "," "))))="REPLACE",N(act_PriorRate),0),IF(ISNUMBER(INDEX(rate_Prior,MOD($AO135,100))),INDEX(rate_Prior,MOD($AO135,100)),IF(UPPER(TRIM(CLEAN(SUBSTITUTE(act_RateType&amp;""," "," "))))="REPLACE",N(act_PriorRate),0)))))</f>
        <v/>
      </c>
      <c r="T135" s="17">
        <f>IF($A135="","",IF(AND($L135="Y",$P135="PART",ISNUMBER(Items!M135)),Items!M135,1))</f>
        <v/>
      </c>
      <c r="U135" s="17">
        <f>IF($A135="","",IF($L135&lt;&gt;"Y",0,IF($AQ135&gt;0,IF(ISNUMBER(INDEX(det_Displaced,$AQ135)),INDEX(det_Displaced,$AQ135),IF($AO135=0,0,N(INDEX(rate_Displaced,MOD($AO135,100))))),IF($AO135=0,0,N(INDEX(rate_Displaced,MOD($AO135,100)))))))</f>
        <v/>
      </c>
      <c r="V135" s="17">
        <f>IF($A135="","",IF($L135="Y",$Q135+$T135*($R135-$S135)-$U135,$Q135))</f>
        <v/>
      </c>
      <c r="W135" s="18">
        <f>IF($A135="","",N(Items!H135)*$Q135)</f>
        <v/>
      </c>
      <c r="X135" s="18">
        <f>IF($A135="","",N(Items!H135)*$V135)</f>
        <v/>
      </c>
      <c r="Y135" s="18">
        <f>IF($A135="","",$X135-$W135)</f>
        <v/>
      </c>
      <c r="Z135" s="18">
        <f>IF($A135="","",N(Items!K135)+$Y135)</f>
        <v/>
      </c>
      <c r="AA135" s="17">
        <f>IF($A135="","",IF(N(Items!L135)=0,"",(N(Items!L135)-N(Items!K135))/N(Items!L135)))</f>
        <v/>
      </c>
      <c r="AB135" s="17">
        <f>IF($A135="","",IF(N(Items!L135)=0,"",(N(Items!L135)-$Z135)/N(Items!L135)))</f>
        <v/>
      </c>
      <c r="AC135" s="17">
        <f>IF(OR($AA135="",$AB135=""),"",$AB135-$AA135)</f>
        <v/>
      </c>
      <c r="AD135" s="13">
        <f>IF($A135="","",N(Items!I135))</f>
        <v/>
      </c>
      <c r="AE135" s="19">
        <f>IF($A135="","",$Y135*$AD135)</f>
        <v/>
      </c>
      <c r="AF135" s="10">
        <f>IF($A135="","",IF(N(Items!L135)&gt;0,"Y","N"))</f>
        <v/>
      </c>
      <c r="AG135" s="19">
        <f>IF($A135="","",IF($AF135="Y",N(Items!L135)*$AD135,0))</f>
        <v/>
      </c>
      <c r="AH135" s="19">
        <f>IF($A135="","",IF($AF135="Y",(N(Items!L135)-N(Items!K135))*$AD135,0))</f>
        <v/>
      </c>
      <c r="AI135" s="19">
        <f>IF($A135="","",IF($AF135="Y",$AH135-$AE135,0))</f>
        <v/>
      </c>
      <c r="AJ135" s="10">
        <f>IF($A135="","",IF(COUNTIF($AL$5:$AL$254,$AL135)&gt;1,"CHECK: duplicate item and import country",IF(TRIM(CLEAN(SUBSTITUTE(Items!C135&amp;""," "," ")))="","CHECK: import country missing",IF(AND(UPPER(TRIM(CLEAN(SUBSTITUTE(Items!C135&amp;""," "," "))))&lt;&gt;"US",UPPER(TRIM(CLEAN(SUBSTITUTE(Items!C135&amp;""," "," "))))&lt;&gt;"CA",UPPER(TRIM(CLEAN(SUBSTITUTE(Items!C135&amp;""," "," "))))&lt;&gt;"MX"),"CHECK: import country must be US, CA or MX",IF(NOT(AND(LEN($C135)=10,IFERROR(TEXT(VALUE($C135),REPT("0",LEN($C135)))=$C135,FALSE))),"CHECK: HTS must be 10 digits",IF(LEN($E135)&lt;&gt;2,"CHECK: origin code missing or not 2 letters",IF(TRIM(CLEAN(SUBSTITUTE(Items!G135&amp;""," "," ")))="","CHECK: unit of measure missing",IF(OR(Items!H135="",Items!J135="",Items!K135=""),"CHECK: value, rate or cost missing",IF(OR(NOT(ISNUMBER(Items!H135)),NOT(ISNUMBER(Items!J135)),NOT(ISNUMBER(Items!K135)),AND(Items!I135&lt;&gt;"",NOT(ISNUMBER(Items!I135))),AND(Items!L135&lt;&gt;"",NOT(ISNUMBER(Items!L135))),AND(Items!M135&lt;&gt;"",NOT(ISNUMBER(Items!M135)))),"CHECK: text in a number column",IF(AND(ISNUMBER(Items!M135),OR(N(Items!M135)&lt;0,N(Items!M135)&gt;1)),"CHECK: dutiable share must be 0% to 100%",IF(AND(UPPER(TRIM(CLEAN(SUBSTITUTE(Items!F135&amp;""," "," "))))&lt;&gt;"",UPPER(TRIM(CLEAN(SUBSTITUTE(Items!F135&amp;""," "," "))))&lt;&gt;"Y",UPPER(TRIM(CLEAN(SUBSTITUTE(Items!F135&amp;""," "," "))))&lt;&gt;"N"),"CHECK: USMCA flag must be Y, N or blank",IF(AND(UPPER(TRIM(CLEAN(SUBSTITUTE(Items!F135&amp;""," "," "))))="Y",$E135&lt;&gt;"US",$E135&lt;&gt;"CA",$E135&lt;&gt;"MX"),"CHECK: USMCA flag on an origin other than US, CA or MX",IF(AND($L135="Y",$AO135=0,NOT(ISNUMBER(act_Rate))),"CHECK: in scope but no rate (add a rate line or B15)",IF(AND($L135="Y",UPPER(TRIM(CLEAN(SUBSTITUTE(act_RateType&amp;""," "," "))))="REPLACE",NOT(ISNUMBER(act_PriorRate)),IF($AO135=0,TRUE,NOT(ISNUMBER(INDEX(rate_Prior,MOD($AO135,100)))))),"CHECK: REPLACE but no earlier rate (B17 or the rate line's AD)",IF(AND($L135="Y",$AP135&gt;1),"CHECK: two rate lines match equally",IF(AND($L135="Y",$AN135&gt;1),"CHECK: HTS prefix listed twice on the scope list",IF(AND($L135="Y",$P135="PART",NOT(ISNUMBER(Items!M135))),"CHECK: dutiable share missing (PART base)",IF(AND($L135="Y",$P135="FULL",ISNUMBER(Items!M135),N(Items!M135)&lt;&gt;1),"CHECK: dutiable share entered, but the rate taxes the full value",IF(AND($L135="Y",$Q135+0.0000001&lt;$T135*$S135+$U135),"CHECK: current rate is below the duty being replaced or displaced",IF(AND($L135="Y",$AD135=0),"NOTE: in scope, no quantity",IF(AND($L135="Y",$AF135="N"),"NOTE: in scope, no sell price (left out of margin %)",IF(AND($L135="Y",N(Items!H135)&gt;N(Items!K135)),"NOTE: customs value above standard cost (check unit of measure)",IF(AND($L135="Y",$Q135&gt;1),"NOTE: current rate above 100% (check it was entered as a percentage)","OK")))))))))))))))))))))))</f>
        <v/>
      </c>
      <c r="AK135" s="20">
        <f>IF($A135="","",IF(AND($L135="Y",$AE135&lt;&gt;0),ABS($AE135)+ROW()/1000000000,""))</f>
        <v/>
      </c>
      <c r="AL135" s="10">
        <f>IF($A135="","",UPPER($A135)&amp;"/"&amp;UPPER(TRIM(CLEAN(SUBSTITUTE(Items!C135&amp;""," "," ")))))</f>
        <v/>
      </c>
      <c r="AM135" s="13">
        <f>IF($A135="",0,SUMPRODUCT(MAX((scope_HTS&lt;&gt;"")*(LEFT($C135,LEN(scope_HTS))=scope_HTS)*(LEN(scope_HTS)*1000+ROW(scope_HTS)-4))))</f>
        <v/>
      </c>
      <c r="AN135" s="13">
        <f>IF($AM135=0,0,SUMPRODUCT((scope_HTS&lt;&gt;"")*(LEFT($C135,LEN(scope_HTS))=scope_HTS)*(LEN(scope_HTS)=INT($AM135/1000))))</f>
        <v/>
      </c>
      <c r="AO135" s="13">
        <f>IF($L135&lt;&gt;"Y",0,SUMPRODUCT(MAX(ISNUMBER(rate_Rate)*((UPPER(TRIM(CLEAN(SUBSTITUTE(rate_Group&amp;""," "," "))))="")+(UPPER(TRIM(CLEAN(SUBSTITUTE(rate_Group&amp;""," "," "))))=$N135)&gt;0)*((UPPER(TRIM(CLEAN(SUBSTITUTE(rate_COO&amp;""," "," "))))="")+(UPPER(TRIM(CLEAN(SUBSTITUTE(rate_COO&amp;""," "," "))))=$E135)&gt;0)*((UPPER(TRIM(CLEAN(SUBSTITUTE(rate_USMCA&amp;""," "," "))))="")+(UPPER(TRIM(CLEAN(SUBSTITUTE(rate_USMCA&amp;""," "," "))))=IF(UPPER(TRIM(CLEAN(SUBSTITUTE(Items!F135&amp;""," "," "))))="Y","Y","N"))&gt;0)*((1+(UPPER(TRIM(CLEAN(SUBSTITUTE(rate_Group&amp;""," "," "))))&lt;&gt;"")+2*(UPPER(TRIM(CLEAN(SUBSTITUTE(rate_USMCA&amp;""," "," "))))&lt;&gt;"")+4*(UPPER(TRIM(CLEAN(SUBSTITUTE(rate_COO&amp;""," "," "))))&lt;&gt;""))*100+ROW(rate_Rate)-4))))</f>
        <v/>
      </c>
      <c r="AP135" s="13">
        <f>IF($AO135=0,0,SUMPRODUCT(ISNUMBER(rate_Rate)*((UPPER(TRIM(CLEAN(SUBSTITUTE(rate_Group&amp;""," "," "))))="")+(UPPER(TRIM(CLEAN(SUBSTITUTE(rate_Group&amp;""," "," "))))=$N135)&gt;0)*((UPPER(TRIM(CLEAN(SUBSTITUTE(rate_COO&amp;""," "," "))))="")+(UPPER(TRIM(CLEAN(SUBSTITUTE(rate_COO&amp;""," "," "))))=$E135)&gt;0)*((UPPER(TRIM(CLEAN(SUBSTITUTE(rate_USMCA&amp;""," "," "))))="")+(UPPER(TRIM(CLEAN(SUBSTITUTE(rate_USMCA&amp;""," "," "))))=IF(UPPER(TRIM(CLEAN(SUBSTITUTE(Items!F135&amp;""," "," "))))="Y","Y","N"))&gt;0)*((1+(UPPER(TRIM(CLEAN(SUBSTITUTE(rate_Group&amp;""," "," "))))&lt;&gt;"")+2*(UPPER(TRIM(CLEAN(SUBSTITUTE(rate_USMCA&amp;""," "," "))))&lt;&gt;"")+4*(UPPER(TRIM(CLEAN(SUBSTITUTE(rate_COO&amp;""," "," "))))&lt;&gt;""))=INT($AO135/100))))</f>
        <v/>
      </c>
      <c r="AQ135" s="13">
        <f>IF($A135="",0,IFERROR(MATCH($AL135,det_Key,0),0))</f>
        <v/>
      </c>
    </row>
    <row r="136">
      <c r="A136" s="10">
        <f>IF(TRIM(CLEAN(SUBSTITUTE(Items!A136&amp;""," "," ")))="","",TRIM(CLEAN(SUBSTITUTE(Items!A136&amp;""," "," "))))</f>
        <v/>
      </c>
      <c r="B136" s="10">
        <f>IF($A136="","",Items!B136&amp;"")</f>
        <v/>
      </c>
      <c r="C136" s="10">
        <f>IF($A136="","",SUBSTITUTE(SUBSTITUTE(SUBSTITUTE(SUBSTITUTE(CLEAN(Items!D136&amp;"")," ",""),".","")," ",""),"-",""))</f>
        <v/>
      </c>
      <c r="D136" s="10">
        <f>IF($A136="","",LEFT($C136,2))</f>
        <v/>
      </c>
      <c r="E136" s="10">
        <f>IF($A136="","",UPPER(TRIM(CLEAN(SUBSTITUTE(Items!E136&amp;""," "," ")))))</f>
        <v/>
      </c>
      <c r="F136" s="10">
        <f>IF($A136="","",IF(UPPER(TRIM(CLEAN(SUBSTITUTE(Items!C136&amp;""," "," "))))=UPPER(TRIM(CLEAN(SUBSTITUTE(act_Country&amp;""," "," ")))),"Y","N"))</f>
        <v/>
      </c>
      <c r="G136" s="10">
        <f>IF($A136="","",IF($AM136&gt;0,"Y","N"))</f>
        <v/>
      </c>
      <c r="H136" s="10">
        <f>IF($A136="","",IF(SUMPRODUCT((excl_HTS&lt;&gt;"")*(LEFT($C136,LEN(excl_HTS))=excl_HTS))&gt;0,"Y","N"))</f>
        <v/>
      </c>
      <c r="I136" s="10">
        <f>IF($A136="","",IF($E136="","N",IF(SUMPRODUCT(--(UPPER(TRIM(CLEAN(SUBSTITUTE(scope_COO&amp;""," "," "))))=$E136))&gt;0,"Y","N")))</f>
        <v/>
      </c>
      <c r="J136" s="10">
        <f>IF($A136="","",IF(AND(UPPER(TRIM(CLEAN(SUBSTITUTE(act_USMCAExempt&amp;""," "," "))))="Y",UPPER(TRIM(CLEAN(SUBSTITUTE(Items!F136&amp;""," "," "))))="Y"),"Y","N"))</f>
        <v/>
      </c>
      <c r="K136" s="10">
        <f>IF($A136="","",IF($AQ136=0,"",UPPER(TRIM(CLEAN(SUBSTITUTE(INDEX(det_Status,$AQ136)&amp;""," "," "))))))</f>
        <v/>
      </c>
      <c r="L136" s="10">
        <f>IF($A136="","",IF($F136="N","N",IF($K136="IN","Y",IF($K136="OUT","N",IF(AND($G136="Y",$H136="N",$I136="Y",$J136="N"),"Y","N")))))</f>
        <v/>
      </c>
      <c r="M136" s="10">
        <f>IF($A136="","",IF($F136="N","Out: different import country",IF($K136="IN","In: Research determination",IF($K136="OUT","Out: Research determination",IF($G136="N","Out: HTS not on scope list",IF($H136="Y","Out: HTS on exclusion list",IF($I136="N","Out: origin not on scope list",IF($J136="Y","Out: USMCA-qualifying, exempt","In: matches scope rules"))))))))</f>
        <v/>
      </c>
      <c r="N136" s="10">
        <f>IF(OR($A136="",$AM136=0),"",UPPER(TRIM(CLEAN(SUBSTITUTE(INDEX(scope_Group,MOD($AM136,1000))&amp;""," "," ")))))</f>
        <v/>
      </c>
      <c r="O136" s="10">
        <f>IF($L136&lt;&gt;"Y","",IF($AO136=0,"Default (B15)",UPPER(TRIM(CLEAN(SUBSTITUTE(INDEX(rate_ID,MOD($AO136,100))&amp;""," "," "))))))</f>
        <v/>
      </c>
      <c r="P136" s="10">
        <f>IF($L136&lt;&gt;"Y","",IF($AO136=0,IF(UPPER(TRIM(CLEAN(SUBSTITUTE(act_DefaultBase&amp;""," "," "))))="PART","PART","FULL"),IF(UPPER(TRIM(CLEAN(SUBSTITUTE(INDEX(rate_Base,MOD($AO136,100))&amp;""," "," "))))="PART","PART","FULL")))</f>
        <v/>
      </c>
      <c r="Q136" s="17">
        <f>IF($A136="","",N(Items!J136))</f>
        <v/>
      </c>
      <c r="R136" s="17">
        <f>IF($A136="","",IF($L136&lt;&gt;"Y",0,IF($AO136=0,N(act_Rate),N(INDEX(rate_Rate,MOD($AO136,100))))))</f>
        <v/>
      </c>
      <c r="S136" s="17">
        <f>IF($A136="","",IF($L136&lt;&gt;"Y",0,IF($AO136=0,IF(UPPER(TRIM(CLEAN(SUBSTITUTE(act_RateType&amp;""," "," "))))="REPLACE",N(act_PriorRate),0),IF(ISNUMBER(INDEX(rate_Prior,MOD($AO136,100))),INDEX(rate_Prior,MOD($AO136,100)),IF(UPPER(TRIM(CLEAN(SUBSTITUTE(act_RateType&amp;""," "," "))))="REPLACE",N(act_PriorRate),0)))))</f>
        <v/>
      </c>
      <c r="T136" s="17">
        <f>IF($A136="","",IF(AND($L136="Y",$P136="PART",ISNUMBER(Items!M136)),Items!M136,1))</f>
        <v/>
      </c>
      <c r="U136" s="17">
        <f>IF($A136="","",IF($L136&lt;&gt;"Y",0,IF($AQ136&gt;0,IF(ISNUMBER(INDEX(det_Displaced,$AQ136)),INDEX(det_Displaced,$AQ136),IF($AO136=0,0,N(INDEX(rate_Displaced,MOD($AO136,100))))),IF($AO136=0,0,N(INDEX(rate_Displaced,MOD($AO136,100)))))))</f>
        <v/>
      </c>
      <c r="V136" s="17">
        <f>IF($A136="","",IF($L136="Y",$Q136+$T136*($R136-$S136)-$U136,$Q136))</f>
        <v/>
      </c>
      <c r="W136" s="18">
        <f>IF($A136="","",N(Items!H136)*$Q136)</f>
        <v/>
      </c>
      <c r="X136" s="18">
        <f>IF($A136="","",N(Items!H136)*$V136)</f>
        <v/>
      </c>
      <c r="Y136" s="18">
        <f>IF($A136="","",$X136-$W136)</f>
        <v/>
      </c>
      <c r="Z136" s="18">
        <f>IF($A136="","",N(Items!K136)+$Y136)</f>
        <v/>
      </c>
      <c r="AA136" s="17">
        <f>IF($A136="","",IF(N(Items!L136)=0,"",(N(Items!L136)-N(Items!K136))/N(Items!L136)))</f>
        <v/>
      </c>
      <c r="AB136" s="17">
        <f>IF($A136="","",IF(N(Items!L136)=0,"",(N(Items!L136)-$Z136)/N(Items!L136)))</f>
        <v/>
      </c>
      <c r="AC136" s="17">
        <f>IF(OR($AA136="",$AB136=""),"",$AB136-$AA136)</f>
        <v/>
      </c>
      <c r="AD136" s="13">
        <f>IF($A136="","",N(Items!I136))</f>
        <v/>
      </c>
      <c r="AE136" s="19">
        <f>IF($A136="","",$Y136*$AD136)</f>
        <v/>
      </c>
      <c r="AF136" s="10">
        <f>IF($A136="","",IF(N(Items!L136)&gt;0,"Y","N"))</f>
        <v/>
      </c>
      <c r="AG136" s="19">
        <f>IF($A136="","",IF($AF136="Y",N(Items!L136)*$AD136,0))</f>
        <v/>
      </c>
      <c r="AH136" s="19">
        <f>IF($A136="","",IF($AF136="Y",(N(Items!L136)-N(Items!K136))*$AD136,0))</f>
        <v/>
      </c>
      <c r="AI136" s="19">
        <f>IF($A136="","",IF($AF136="Y",$AH136-$AE136,0))</f>
        <v/>
      </c>
      <c r="AJ136" s="10">
        <f>IF($A136="","",IF(COUNTIF($AL$5:$AL$254,$AL136)&gt;1,"CHECK: duplicate item and import country",IF(TRIM(CLEAN(SUBSTITUTE(Items!C136&amp;""," "," ")))="","CHECK: import country missing",IF(AND(UPPER(TRIM(CLEAN(SUBSTITUTE(Items!C136&amp;""," "," "))))&lt;&gt;"US",UPPER(TRIM(CLEAN(SUBSTITUTE(Items!C136&amp;""," "," "))))&lt;&gt;"CA",UPPER(TRIM(CLEAN(SUBSTITUTE(Items!C136&amp;""," "," "))))&lt;&gt;"MX"),"CHECK: import country must be US, CA or MX",IF(NOT(AND(LEN($C136)=10,IFERROR(TEXT(VALUE($C136),REPT("0",LEN($C136)))=$C136,FALSE))),"CHECK: HTS must be 10 digits",IF(LEN($E136)&lt;&gt;2,"CHECK: origin code missing or not 2 letters",IF(TRIM(CLEAN(SUBSTITUTE(Items!G136&amp;""," "," ")))="","CHECK: unit of measure missing",IF(OR(Items!H136="",Items!J136="",Items!K136=""),"CHECK: value, rate or cost missing",IF(OR(NOT(ISNUMBER(Items!H136)),NOT(ISNUMBER(Items!J136)),NOT(ISNUMBER(Items!K136)),AND(Items!I136&lt;&gt;"",NOT(ISNUMBER(Items!I136))),AND(Items!L136&lt;&gt;"",NOT(ISNUMBER(Items!L136))),AND(Items!M136&lt;&gt;"",NOT(ISNUMBER(Items!M136)))),"CHECK: text in a number column",IF(AND(ISNUMBER(Items!M136),OR(N(Items!M136)&lt;0,N(Items!M136)&gt;1)),"CHECK: dutiable share must be 0% to 100%",IF(AND(UPPER(TRIM(CLEAN(SUBSTITUTE(Items!F136&amp;""," "," "))))&lt;&gt;"",UPPER(TRIM(CLEAN(SUBSTITUTE(Items!F136&amp;""," "," "))))&lt;&gt;"Y",UPPER(TRIM(CLEAN(SUBSTITUTE(Items!F136&amp;""," "," "))))&lt;&gt;"N"),"CHECK: USMCA flag must be Y, N or blank",IF(AND(UPPER(TRIM(CLEAN(SUBSTITUTE(Items!F136&amp;""," "," "))))="Y",$E136&lt;&gt;"US",$E136&lt;&gt;"CA",$E136&lt;&gt;"MX"),"CHECK: USMCA flag on an origin other than US, CA or MX",IF(AND($L136="Y",$AO136=0,NOT(ISNUMBER(act_Rate))),"CHECK: in scope but no rate (add a rate line or B15)",IF(AND($L136="Y",UPPER(TRIM(CLEAN(SUBSTITUTE(act_RateType&amp;""," "," "))))="REPLACE",NOT(ISNUMBER(act_PriorRate)),IF($AO136=0,TRUE,NOT(ISNUMBER(INDEX(rate_Prior,MOD($AO136,100)))))),"CHECK: REPLACE but no earlier rate (B17 or the rate line's AD)",IF(AND($L136="Y",$AP136&gt;1),"CHECK: two rate lines match equally",IF(AND($L136="Y",$AN136&gt;1),"CHECK: HTS prefix listed twice on the scope list",IF(AND($L136="Y",$P136="PART",NOT(ISNUMBER(Items!M136))),"CHECK: dutiable share missing (PART base)",IF(AND($L136="Y",$P136="FULL",ISNUMBER(Items!M136),N(Items!M136)&lt;&gt;1),"CHECK: dutiable share entered, but the rate taxes the full value",IF(AND($L136="Y",$Q136+0.0000001&lt;$T136*$S136+$U136),"CHECK: current rate is below the duty being replaced or displaced",IF(AND($L136="Y",$AD136=0),"NOTE: in scope, no quantity",IF(AND($L136="Y",$AF136="N"),"NOTE: in scope, no sell price (left out of margin %)",IF(AND($L136="Y",N(Items!H136)&gt;N(Items!K136)),"NOTE: customs value above standard cost (check unit of measure)",IF(AND($L136="Y",$Q136&gt;1),"NOTE: current rate above 100% (check it was entered as a percentage)","OK")))))))))))))))))))))))</f>
        <v/>
      </c>
      <c r="AK136" s="20">
        <f>IF($A136="","",IF(AND($L136="Y",$AE136&lt;&gt;0),ABS($AE136)+ROW()/1000000000,""))</f>
        <v/>
      </c>
      <c r="AL136" s="10">
        <f>IF($A136="","",UPPER($A136)&amp;"/"&amp;UPPER(TRIM(CLEAN(SUBSTITUTE(Items!C136&amp;""," "," ")))))</f>
        <v/>
      </c>
      <c r="AM136" s="13">
        <f>IF($A136="",0,SUMPRODUCT(MAX((scope_HTS&lt;&gt;"")*(LEFT($C136,LEN(scope_HTS))=scope_HTS)*(LEN(scope_HTS)*1000+ROW(scope_HTS)-4))))</f>
        <v/>
      </c>
      <c r="AN136" s="13">
        <f>IF($AM136=0,0,SUMPRODUCT((scope_HTS&lt;&gt;"")*(LEFT($C136,LEN(scope_HTS))=scope_HTS)*(LEN(scope_HTS)=INT($AM136/1000))))</f>
        <v/>
      </c>
      <c r="AO136" s="13">
        <f>IF($L136&lt;&gt;"Y",0,SUMPRODUCT(MAX(ISNUMBER(rate_Rate)*((UPPER(TRIM(CLEAN(SUBSTITUTE(rate_Group&amp;""," "," "))))="")+(UPPER(TRIM(CLEAN(SUBSTITUTE(rate_Group&amp;""," "," "))))=$N136)&gt;0)*((UPPER(TRIM(CLEAN(SUBSTITUTE(rate_COO&amp;""," "," "))))="")+(UPPER(TRIM(CLEAN(SUBSTITUTE(rate_COO&amp;""," "," "))))=$E136)&gt;0)*((UPPER(TRIM(CLEAN(SUBSTITUTE(rate_USMCA&amp;""," "," "))))="")+(UPPER(TRIM(CLEAN(SUBSTITUTE(rate_USMCA&amp;""," "," "))))=IF(UPPER(TRIM(CLEAN(SUBSTITUTE(Items!F136&amp;""," "," "))))="Y","Y","N"))&gt;0)*((1+(UPPER(TRIM(CLEAN(SUBSTITUTE(rate_Group&amp;""," "," "))))&lt;&gt;"")+2*(UPPER(TRIM(CLEAN(SUBSTITUTE(rate_USMCA&amp;""," "," "))))&lt;&gt;"")+4*(UPPER(TRIM(CLEAN(SUBSTITUTE(rate_COO&amp;""," "," "))))&lt;&gt;""))*100+ROW(rate_Rate)-4))))</f>
        <v/>
      </c>
      <c r="AP136" s="13">
        <f>IF($AO136=0,0,SUMPRODUCT(ISNUMBER(rate_Rate)*((UPPER(TRIM(CLEAN(SUBSTITUTE(rate_Group&amp;""," "," "))))="")+(UPPER(TRIM(CLEAN(SUBSTITUTE(rate_Group&amp;""," "," "))))=$N136)&gt;0)*((UPPER(TRIM(CLEAN(SUBSTITUTE(rate_COO&amp;""," "," "))))="")+(UPPER(TRIM(CLEAN(SUBSTITUTE(rate_COO&amp;""," "," "))))=$E136)&gt;0)*((UPPER(TRIM(CLEAN(SUBSTITUTE(rate_USMCA&amp;""," "," "))))="")+(UPPER(TRIM(CLEAN(SUBSTITUTE(rate_USMCA&amp;""," "," "))))=IF(UPPER(TRIM(CLEAN(SUBSTITUTE(Items!F136&amp;""," "," "))))="Y","Y","N"))&gt;0)*((1+(UPPER(TRIM(CLEAN(SUBSTITUTE(rate_Group&amp;""," "," "))))&lt;&gt;"")+2*(UPPER(TRIM(CLEAN(SUBSTITUTE(rate_USMCA&amp;""," "," "))))&lt;&gt;"")+4*(UPPER(TRIM(CLEAN(SUBSTITUTE(rate_COO&amp;""," "," "))))&lt;&gt;""))=INT($AO136/100))))</f>
        <v/>
      </c>
      <c r="AQ136" s="13">
        <f>IF($A136="",0,IFERROR(MATCH($AL136,det_Key,0),0))</f>
        <v/>
      </c>
    </row>
    <row r="137">
      <c r="A137" s="10">
        <f>IF(TRIM(CLEAN(SUBSTITUTE(Items!A137&amp;""," "," ")))="","",TRIM(CLEAN(SUBSTITUTE(Items!A137&amp;""," "," "))))</f>
        <v/>
      </c>
      <c r="B137" s="10">
        <f>IF($A137="","",Items!B137&amp;"")</f>
        <v/>
      </c>
      <c r="C137" s="10">
        <f>IF($A137="","",SUBSTITUTE(SUBSTITUTE(SUBSTITUTE(SUBSTITUTE(CLEAN(Items!D137&amp;"")," ",""),".","")," ",""),"-",""))</f>
        <v/>
      </c>
      <c r="D137" s="10">
        <f>IF($A137="","",LEFT($C137,2))</f>
        <v/>
      </c>
      <c r="E137" s="10">
        <f>IF($A137="","",UPPER(TRIM(CLEAN(SUBSTITUTE(Items!E137&amp;""," "," ")))))</f>
        <v/>
      </c>
      <c r="F137" s="10">
        <f>IF($A137="","",IF(UPPER(TRIM(CLEAN(SUBSTITUTE(Items!C137&amp;""," "," "))))=UPPER(TRIM(CLEAN(SUBSTITUTE(act_Country&amp;""," "," ")))),"Y","N"))</f>
        <v/>
      </c>
      <c r="G137" s="10">
        <f>IF($A137="","",IF($AM137&gt;0,"Y","N"))</f>
        <v/>
      </c>
      <c r="H137" s="10">
        <f>IF($A137="","",IF(SUMPRODUCT((excl_HTS&lt;&gt;"")*(LEFT($C137,LEN(excl_HTS))=excl_HTS))&gt;0,"Y","N"))</f>
        <v/>
      </c>
      <c r="I137" s="10">
        <f>IF($A137="","",IF($E137="","N",IF(SUMPRODUCT(--(UPPER(TRIM(CLEAN(SUBSTITUTE(scope_COO&amp;""," "," "))))=$E137))&gt;0,"Y","N")))</f>
        <v/>
      </c>
      <c r="J137" s="10">
        <f>IF($A137="","",IF(AND(UPPER(TRIM(CLEAN(SUBSTITUTE(act_USMCAExempt&amp;""," "," "))))="Y",UPPER(TRIM(CLEAN(SUBSTITUTE(Items!F137&amp;""," "," "))))="Y"),"Y","N"))</f>
        <v/>
      </c>
      <c r="K137" s="10">
        <f>IF($A137="","",IF($AQ137=0,"",UPPER(TRIM(CLEAN(SUBSTITUTE(INDEX(det_Status,$AQ137)&amp;""," "," "))))))</f>
        <v/>
      </c>
      <c r="L137" s="10">
        <f>IF($A137="","",IF($F137="N","N",IF($K137="IN","Y",IF($K137="OUT","N",IF(AND($G137="Y",$H137="N",$I137="Y",$J137="N"),"Y","N")))))</f>
        <v/>
      </c>
      <c r="M137" s="10">
        <f>IF($A137="","",IF($F137="N","Out: different import country",IF($K137="IN","In: Research determination",IF($K137="OUT","Out: Research determination",IF($G137="N","Out: HTS not on scope list",IF($H137="Y","Out: HTS on exclusion list",IF($I137="N","Out: origin not on scope list",IF($J137="Y","Out: USMCA-qualifying, exempt","In: matches scope rules"))))))))</f>
        <v/>
      </c>
      <c r="N137" s="10">
        <f>IF(OR($A137="",$AM137=0),"",UPPER(TRIM(CLEAN(SUBSTITUTE(INDEX(scope_Group,MOD($AM137,1000))&amp;""," "," ")))))</f>
        <v/>
      </c>
      <c r="O137" s="10">
        <f>IF($L137&lt;&gt;"Y","",IF($AO137=0,"Default (B15)",UPPER(TRIM(CLEAN(SUBSTITUTE(INDEX(rate_ID,MOD($AO137,100))&amp;""," "," "))))))</f>
        <v/>
      </c>
      <c r="P137" s="10">
        <f>IF($L137&lt;&gt;"Y","",IF($AO137=0,IF(UPPER(TRIM(CLEAN(SUBSTITUTE(act_DefaultBase&amp;""," "," "))))="PART","PART","FULL"),IF(UPPER(TRIM(CLEAN(SUBSTITUTE(INDEX(rate_Base,MOD($AO137,100))&amp;""," "," "))))="PART","PART","FULL")))</f>
        <v/>
      </c>
      <c r="Q137" s="17">
        <f>IF($A137="","",N(Items!J137))</f>
        <v/>
      </c>
      <c r="R137" s="17">
        <f>IF($A137="","",IF($L137&lt;&gt;"Y",0,IF($AO137=0,N(act_Rate),N(INDEX(rate_Rate,MOD($AO137,100))))))</f>
        <v/>
      </c>
      <c r="S137" s="17">
        <f>IF($A137="","",IF($L137&lt;&gt;"Y",0,IF($AO137=0,IF(UPPER(TRIM(CLEAN(SUBSTITUTE(act_RateType&amp;""," "," "))))="REPLACE",N(act_PriorRate),0),IF(ISNUMBER(INDEX(rate_Prior,MOD($AO137,100))),INDEX(rate_Prior,MOD($AO137,100)),IF(UPPER(TRIM(CLEAN(SUBSTITUTE(act_RateType&amp;""," "," "))))="REPLACE",N(act_PriorRate),0)))))</f>
        <v/>
      </c>
      <c r="T137" s="17">
        <f>IF($A137="","",IF(AND($L137="Y",$P137="PART",ISNUMBER(Items!M137)),Items!M137,1))</f>
        <v/>
      </c>
      <c r="U137" s="17">
        <f>IF($A137="","",IF($L137&lt;&gt;"Y",0,IF($AQ137&gt;0,IF(ISNUMBER(INDEX(det_Displaced,$AQ137)),INDEX(det_Displaced,$AQ137),IF($AO137=0,0,N(INDEX(rate_Displaced,MOD($AO137,100))))),IF($AO137=0,0,N(INDEX(rate_Displaced,MOD($AO137,100)))))))</f>
        <v/>
      </c>
      <c r="V137" s="17">
        <f>IF($A137="","",IF($L137="Y",$Q137+$T137*($R137-$S137)-$U137,$Q137))</f>
        <v/>
      </c>
      <c r="W137" s="18">
        <f>IF($A137="","",N(Items!H137)*$Q137)</f>
        <v/>
      </c>
      <c r="X137" s="18">
        <f>IF($A137="","",N(Items!H137)*$V137)</f>
        <v/>
      </c>
      <c r="Y137" s="18">
        <f>IF($A137="","",$X137-$W137)</f>
        <v/>
      </c>
      <c r="Z137" s="18">
        <f>IF($A137="","",N(Items!K137)+$Y137)</f>
        <v/>
      </c>
      <c r="AA137" s="17">
        <f>IF($A137="","",IF(N(Items!L137)=0,"",(N(Items!L137)-N(Items!K137))/N(Items!L137)))</f>
        <v/>
      </c>
      <c r="AB137" s="17">
        <f>IF($A137="","",IF(N(Items!L137)=0,"",(N(Items!L137)-$Z137)/N(Items!L137)))</f>
        <v/>
      </c>
      <c r="AC137" s="17">
        <f>IF(OR($AA137="",$AB137=""),"",$AB137-$AA137)</f>
        <v/>
      </c>
      <c r="AD137" s="13">
        <f>IF($A137="","",N(Items!I137))</f>
        <v/>
      </c>
      <c r="AE137" s="19">
        <f>IF($A137="","",$Y137*$AD137)</f>
        <v/>
      </c>
      <c r="AF137" s="10">
        <f>IF($A137="","",IF(N(Items!L137)&gt;0,"Y","N"))</f>
        <v/>
      </c>
      <c r="AG137" s="19">
        <f>IF($A137="","",IF($AF137="Y",N(Items!L137)*$AD137,0))</f>
        <v/>
      </c>
      <c r="AH137" s="19">
        <f>IF($A137="","",IF($AF137="Y",(N(Items!L137)-N(Items!K137))*$AD137,0))</f>
        <v/>
      </c>
      <c r="AI137" s="19">
        <f>IF($A137="","",IF($AF137="Y",$AH137-$AE137,0))</f>
        <v/>
      </c>
      <c r="AJ137" s="10">
        <f>IF($A137="","",IF(COUNTIF($AL$5:$AL$254,$AL137)&gt;1,"CHECK: duplicate item and import country",IF(TRIM(CLEAN(SUBSTITUTE(Items!C137&amp;""," "," ")))="","CHECK: import country missing",IF(AND(UPPER(TRIM(CLEAN(SUBSTITUTE(Items!C137&amp;""," "," "))))&lt;&gt;"US",UPPER(TRIM(CLEAN(SUBSTITUTE(Items!C137&amp;""," "," "))))&lt;&gt;"CA",UPPER(TRIM(CLEAN(SUBSTITUTE(Items!C137&amp;""," "," "))))&lt;&gt;"MX"),"CHECK: import country must be US, CA or MX",IF(NOT(AND(LEN($C137)=10,IFERROR(TEXT(VALUE($C137),REPT("0",LEN($C137)))=$C137,FALSE))),"CHECK: HTS must be 10 digits",IF(LEN($E137)&lt;&gt;2,"CHECK: origin code missing or not 2 letters",IF(TRIM(CLEAN(SUBSTITUTE(Items!G137&amp;""," "," ")))="","CHECK: unit of measure missing",IF(OR(Items!H137="",Items!J137="",Items!K137=""),"CHECK: value, rate or cost missing",IF(OR(NOT(ISNUMBER(Items!H137)),NOT(ISNUMBER(Items!J137)),NOT(ISNUMBER(Items!K137)),AND(Items!I137&lt;&gt;"",NOT(ISNUMBER(Items!I137))),AND(Items!L137&lt;&gt;"",NOT(ISNUMBER(Items!L137))),AND(Items!M137&lt;&gt;"",NOT(ISNUMBER(Items!M137)))),"CHECK: text in a number column",IF(AND(ISNUMBER(Items!M137),OR(N(Items!M137)&lt;0,N(Items!M137)&gt;1)),"CHECK: dutiable share must be 0% to 100%",IF(AND(UPPER(TRIM(CLEAN(SUBSTITUTE(Items!F137&amp;""," "," "))))&lt;&gt;"",UPPER(TRIM(CLEAN(SUBSTITUTE(Items!F137&amp;""," "," "))))&lt;&gt;"Y",UPPER(TRIM(CLEAN(SUBSTITUTE(Items!F137&amp;""," "," "))))&lt;&gt;"N"),"CHECK: USMCA flag must be Y, N or blank",IF(AND(UPPER(TRIM(CLEAN(SUBSTITUTE(Items!F137&amp;""," "," "))))="Y",$E137&lt;&gt;"US",$E137&lt;&gt;"CA",$E137&lt;&gt;"MX"),"CHECK: USMCA flag on an origin other than US, CA or MX",IF(AND($L137="Y",$AO137=0,NOT(ISNUMBER(act_Rate))),"CHECK: in scope but no rate (add a rate line or B15)",IF(AND($L137="Y",UPPER(TRIM(CLEAN(SUBSTITUTE(act_RateType&amp;""," "," "))))="REPLACE",NOT(ISNUMBER(act_PriorRate)),IF($AO137=0,TRUE,NOT(ISNUMBER(INDEX(rate_Prior,MOD($AO137,100)))))),"CHECK: REPLACE but no earlier rate (B17 or the rate line's AD)",IF(AND($L137="Y",$AP137&gt;1),"CHECK: two rate lines match equally",IF(AND($L137="Y",$AN137&gt;1),"CHECK: HTS prefix listed twice on the scope list",IF(AND($L137="Y",$P137="PART",NOT(ISNUMBER(Items!M137))),"CHECK: dutiable share missing (PART base)",IF(AND($L137="Y",$P137="FULL",ISNUMBER(Items!M137),N(Items!M137)&lt;&gt;1),"CHECK: dutiable share entered, but the rate taxes the full value",IF(AND($L137="Y",$Q137+0.0000001&lt;$T137*$S137+$U137),"CHECK: current rate is below the duty being replaced or displaced",IF(AND($L137="Y",$AD137=0),"NOTE: in scope, no quantity",IF(AND($L137="Y",$AF137="N"),"NOTE: in scope, no sell price (left out of margin %)",IF(AND($L137="Y",N(Items!H137)&gt;N(Items!K137)),"NOTE: customs value above standard cost (check unit of measure)",IF(AND($L137="Y",$Q137&gt;1),"NOTE: current rate above 100% (check it was entered as a percentage)","OK")))))))))))))))))))))))</f>
        <v/>
      </c>
      <c r="AK137" s="20">
        <f>IF($A137="","",IF(AND($L137="Y",$AE137&lt;&gt;0),ABS($AE137)+ROW()/1000000000,""))</f>
        <v/>
      </c>
      <c r="AL137" s="10">
        <f>IF($A137="","",UPPER($A137)&amp;"/"&amp;UPPER(TRIM(CLEAN(SUBSTITUTE(Items!C137&amp;""," "," ")))))</f>
        <v/>
      </c>
      <c r="AM137" s="13">
        <f>IF($A137="",0,SUMPRODUCT(MAX((scope_HTS&lt;&gt;"")*(LEFT($C137,LEN(scope_HTS))=scope_HTS)*(LEN(scope_HTS)*1000+ROW(scope_HTS)-4))))</f>
        <v/>
      </c>
      <c r="AN137" s="13">
        <f>IF($AM137=0,0,SUMPRODUCT((scope_HTS&lt;&gt;"")*(LEFT($C137,LEN(scope_HTS))=scope_HTS)*(LEN(scope_HTS)=INT($AM137/1000))))</f>
        <v/>
      </c>
      <c r="AO137" s="13">
        <f>IF($L137&lt;&gt;"Y",0,SUMPRODUCT(MAX(ISNUMBER(rate_Rate)*((UPPER(TRIM(CLEAN(SUBSTITUTE(rate_Group&amp;""," "," "))))="")+(UPPER(TRIM(CLEAN(SUBSTITUTE(rate_Group&amp;""," "," "))))=$N137)&gt;0)*((UPPER(TRIM(CLEAN(SUBSTITUTE(rate_COO&amp;""," "," "))))="")+(UPPER(TRIM(CLEAN(SUBSTITUTE(rate_COO&amp;""," "," "))))=$E137)&gt;0)*((UPPER(TRIM(CLEAN(SUBSTITUTE(rate_USMCA&amp;""," "," "))))="")+(UPPER(TRIM(CLEAN(SUBSTITUTE(rate_USMCA&amp;""," "," "))))=IF(UPPER(TRIM(CLEAN(SUBSTITUTE(Items!F137&amp;""," "," "))))="Y","Y","N"))&gt;0)*((1+(UPPER(TRIM(CLEAN(SUBSTITUTE(rate_Group&amp;""," "," "))))&lt;&gt;"")+2*(UPPER(TRIM(CLEAN(SUBSTITUTE(rate_USMCA&amp;""," "," "))))&lt;&gt;"")+4*(UPPER(TRIM(CLEAN(SUBSTITUTE(rate_COO&amp;""," "," "))))&lt;&gt;""))*100+ROW(rate_Rate)-4))))</f>
        <v/>
      </c>
      <c r="AP137" s="13">
        <f>IF($AO137=0,0,SUMPRODUCT(ISNUMBER(rate_Rate)*((UPPER(TRIM(CLEAN(SUBSTITUTE(rate_Group&amp;""," "," "))))="")+(UPPER(TRIM(CLEAN(SUBSTITUTE(rate_Group&amp;""," "," "))))=$N137)&gt;0)*((UPPER(TRIM(CLEAN(SUBSTITUTE(rate_COO&amp;""," "," "))))="")+(UPPER(TRIM(CLEAN(SUBSTITUTE(rate_COO&amp;""," "," "))))=$E137)&gt;0)*((UPPER(TRIM(CLEAN(SUBSTITUTE(rate_USMCA&amp;""," "," "))))="")+(UPPER(TRIM(CLEAN(SUBSTITUTE(rate_USMCA&amp;""," "," "))))=IF(UPPER(TRIM(CLEAN(SUBSTITUTE(Items!F137&amp;""," "," "))))="Y","Y","N"))&gt;0)*((1+(UPPER(TRIM(CLEAN(SUBSTITUTE(rate_Group&amp;""," "," "))))&lt;&gt;"")+2*(UPPER(TRIM(CLEAN(SUBSTITUTE(rate_USMCA&amp;""," "," "))))&lt;&gt;"")+4*(UPPER(TRIM(CLEAN(SUBSTITUTE(rate_COO&amp;""," "," "))))&lt;&gt;""))=INT($AO137/100))))</f>
        <v/>
      </c>
      <c r="AQ137" s="13">
        <f>IF($A137="",0,IFERROR(MATCH($AL137,det_Key,0),0))</f>
        <v/>
      </c>
    </row>
    <row r="138">
      <c r="A138" s="10">
        <f>IF(TRIM(CLEAN(SUBSTITUTE(Items!A138&amp;""," "," ")))="","",TRIM(CLEAN(SUBSTITUTE(Items!A138&amp;""," "," "))))</f>
        <v/>
      </c>
      <c r="B138" s="10">
        <f>IF($A138="","",Items!B138&amp;"")</f>
        <v/>
      </c>
      <c r="C138" s="10">
        <f>IF($A138="","",SUBSTITUTE(SUBSTITUTE(SUBSTITUTE(SUBSTITUTE(CLEAN(Items!D138&amp;"")," ",""),".","")," ",""),"-",""))</f>
        <v/>
      </c>
      <c r="D138" s="10">
        <f>IF($A138="","",LEFT($C138,2))</f>
        <v/>
      </c>
      <c r="E138" s="10">
        <f>IF($A138="","",UPPER(TRIM(CLEAN(SUBSTITUTE(Items!E138&amp;""," "," ")))))</f>
        <v/>
      </c>
      <c r="F138" s="10">
        <f>IF($A138="","",IF(UPPER(TRIM(CLEAN(SUBSTITUTE(Items!C138&amp;""," "," "))))=UPPER(TRIM(CLEAN(SUBSTITUTE(act_Country&amp;""," "," ")))),"Y","N"))</f>
        <v/>
      </c>
      <c r="G138" s="10">
        <f>IF($A138="","",IF($AM138&gt;0,"Y","N"))</f>
        <v/>
      </c>
      <c r="H138" s="10">
        <f>IF($A138="","",IF(SUMPRODUCT((excl_HTS&lt;&gt;"")*(LEFT($C138,LEN(excl_HTS))=excl_HTS))&gt;0,"Y","N"))</f>
        <v/>
      </c>
      <c r="I138" s="10">
        <f>IF($A138="","",IF($E138="","N",IF(SUMPRODUCT(--(UPPER(TRIM(CLEAN(SUBSTITUTE(scope_COO&amp;""," "," "))))=$E138))&gt;0,"Y","N")))</f>
        <v/>
      </c>
      <c r="J138" s="10">
        <f>IF($A138="","",IF(AND(UPPER(TRIM(CLEAN(SUBSTITUTE(act_USMCAExempt&amp;""," "," "))))="Y",UPPER(TRIM(CLEAN(SUBSTITUTE(Items!F138&amp;""," "," "))))="Y"),"Y","N"))</f>
        <v/>
      </c>
      <c r="K138" s="10">
        <f>IF($A138="","",IF($AQ138=0,"",UPPER(TRIM(CLEAN(SUBSTITUTE(INDEX(det_Status,$AQ138)&amp;""," "," "))))))</f>
        <v/>
      </c>
      <c r="L138" s="10">
        <f>IF($A138="","",IF($F138="N","N",IF($K138="IN","Y",IF($K138="OUT","N",IF(AND($G138="Y",$H138="N",$I138="Y",$J138="N"),"Y","N")))))</f>
        <v/>
      </c>
      <c r="M138" s="10">
        <f>IF($A138="","",IF($F138="N","Out: different import country",IF($K138="IN","In: Research determination",IF($K138="OUT","Out: Research determination",IF($G138="N","Out: HTS not on scope list",IF($H138="Y","Out: HTS on exclusion list",IF($I138="N","Out: origin not on scope list",IF($J138="Y","Out: USMCA-qualifying, exempt","In: matches scope rules"))))))))</f>
        <v/>
      </c>
      <c r="N138" s="10">
        <f>IF(OR($A138="",$AM138=0),"",UPPER(TRIM(CLEAN(SUBSTITUTE(INDEX(scope_Group,MOD($AM138,1000))&amp;""," "," ")))))</f>
        <v/>
      </c>
      <c r="O138" s="10">
        <f>IF($L138&lt;&gt;"Y","",IF($AO138=0,"Default (B15)",UPPER(TRIM(CLEAN(SUBSTITUTE(INDEX(rate_ID,MOD($AO138,100))&amp;""," "," "))))))</f>
        <v/>
      </c>
      <c r="P138" s="10">
        <f>IF($L138&lt;&gt;"Y","",IF($AO138=0,IF(UPPER(TRIM(CLEAN(SUBSTITUTE(act_DefaultBase&amp;""," "," "))))="PART","PART","FULL"),IF(UPPER(TRIM(CLEAN(SUBSTITUTE(INDEX(rate_Base,MOD($AO138,100))&amp;""," "," "))))="PART","PART","FULL")))</f>
        <v/>
      </c>
      <c r="Q138" s="17">
        <f>IF($A138="","",N(Items!J138))</f>
        <v/>
      </c>
      <c r="R138" s="17">
        <f>IF($A138="","",IF($L138&lt;&gt;"Y",0,IF($AO138=0,N(act_Rate),N(INDEX(rate_Rate,MOD($AO138,100))))))</f>
        <v/>
      </c>
      <c r="S138" s="17">
        <f>IF($A138="","",IF($L138&lt;&gt;"Y",0,IF($AO138=0,IF(UPPER(TRIM(CLEAN(SUBSTITUTE(act_RateType&amp;""," "," "))))="REPLACE",N(act_PriorRate),0),IF(ISNUMBER(INDEX(rate_Prior,MOD($AO138,100))),INDEX(rate_Prior,MOD($AO138,100)),IF(UPPER(TRIM(CLEAN(SUBSTITUTE(act_RateType&amp;""," "," "))))="REPLACE",N(act_PriorRate),0)))))</f>
        <v/>
      </c>
      <c r="T138" s="17">
        <f>IF($A138="","",IF(AND($L138="Y",$P138="PART",ISNUMBER(Items!M138)),Items!M138,1))</f>
        <v/>
      </c>
      <c r="U138" s="17">
        <f>IF($A138="","",IF($L138&lt;&gt;"Y",0,IF($AQ138&gt;0,IF(ISNUMBER(INDEX(det_Displaced,$AQ138)),INDEX(det_Displaced,$AQ138),IF($AO138=0,0,N(INDEX(rate_Displaced,MOD($AO138,100))))),IF($AO138=0,0,N(INDEX(rate_Displaced,MOD($AO138,100)))))))</f>
        <v/>
      </c>
      <c r="V138" s="17">
        <f>IF($A138="","",IF($L138="Y",$Q138+$T138*($R138-$S138)-$U138,$Q138))</f>
        <v/>
      </c>
      <c r="W138" s="18">
        <f>IF($A138="","",N(Items!H138)*$Q138)</f>
        <v/>
      </c>
      <c r="X138" s="18">
        <f>IF($A138="","",N(Items!H138)*$V138)</f>
        <v/>
      </c>
      <c r="Y138" s="18">
        <f>IF($A138="","",$X138-$W138)</f>
        <v/>
      </c>
      <c r="Z138" s="18">
        <f>IF($A138="","",N(Items!K138)+$Y138)</f>
        <v/>
      </c>
      <c r="AA138" s="17">
        <f>IF($A138="","",IF(N(Items!L138)=0,"",(N(Items!L138)-N(Items!K138))/N(Items!L138)))</f>
        <v/>
      </c>
      <c r="AB138" s="17">
        <f>IF($A138="","",IF(N(Items!L138)=0,"",(N(Items!L138)-$Z138)/N(Items!L138)))</f>
        <v/>
      </c>
      <c r="AC138" s="17">
        <f>IF(OR($AA138="",$AB138=""),"",$AB138-$AA138)</f>
        <v/>
      </c>
      <c r="AD138" s="13">
        <f>IF($A138="","",N(Items!I138))</f>
        <v/>
      </c>
      <c r="AE138" s="19">
        <f>IF($A138="","",$Y138*$AD138)</f>
        <v/>
      </c>
      <c r="AF138" s="10">
        <f>IF($A138="","",IF(N(Items!L138)&gt;0,"Y","N"))</f>
        <v/>
      </c>
      <c r="AG138" s="19">
        <f>IF($A138="","",IF($AF138="Y",N(Items!L138)*$AD138,0))</f>
        <v/>
      </c>
      <c r="AH138" s="19">
        <f>IF($A138="","",IF($AF138="Y",(N(Items!L138)-N(Items!K138))*$AD138,0))</f>
        <v/>
      </c>
      <c r="AI138" s="19">
        <f>IF($A138="","",IF($AF138="Y",$AH138-$AE138,0))</f>
        <v/>
      </c>
      <c r="AJ138" s="10">
        <f>IF($A138="","",IF(COUNTIF($AL$5:$AL$254,$AL138)&gt;1,"CHECK: duplicate item and import country",IF(TRIM(CLEAN(SUBSTITUTE(Items!C138&amp;""," "," ")))="","CHECK: import country missing",IF(AND(UPPER(TRIM(CLEAN(SUBSTITUTE(Items!C138&amp;""," "," "))))&lt;&gt;"US",UPPER(TRIM(CLEAN(SUBSTITUTE(Items!C138&amp;""," "," "))))&lt;&gt;"CA",UPPER(TRIM(CLEAN(SUBSTITUTE(Items!C138&amp;""," "," "))))&lt;&gt;"MX"),"CHECK: import country must be US, CA or MX",IF(NOT(AND(LEN($C138)=10,IFERROR(TEXT(VALUE($C138),REPT("0",LEN($C138)))=$C138,FALSE))),"CHECK: HTS must be 10 digits",IF(LEN($E138)&lt;&gt;2,"CHECK: origin code missing or not 2 letters",IF(TRIM(CLEAN(SUBSTITUTE(Items!G138&amp;""," "," ")))="","CHECK: unit of measure missing",IF(OR(Items!H138="",Items!J138="",Items!K138=""),"CHECK: value, rate or cost missing",IF(OR(NOT(ISNUMBER(Items!H138)),NOT(ISNUMBER(Items!J138)),NOT(ISNUMBER(Items!K138)),AND(Items!I138&lt;&gt;"",NOT(ISNUMBER(Items!I138))),AND(Items!L138&lt;&gt;"",NOT(ISNUMBER(Items!L138))),AND(Items!M138&lt;&gt;"",NOT(ISNUMBER(Items!M138)))),"CHECK: text in a number column",IF(AND(ISNUMBER(Items!M138),OR(N(Items!M138)&lt;0,N(Items!M138)&gt;1)),"CHECK: dutiable share must be 0% to 100%",IF(AND(UPPER(TRIM(CLEAN(SUBSTITUTE(Items!F138&amp;""," "," "))))&lt;&gt;"",UPPER(TRIM(CLEAN(SUBSTITUTE(Items!F138&amp;""," "," "))))&lt;&gt;"Y",UPPER(TRIM(CLEAN(SUBSTITUTE(Items!F138&amp;""," "," "))))&lt;&gt;"N"),"CHECK: USMCA flag must be Y, N or blank",IF(AND(UPPER(TRIM(CLEAN(SUBSTITUTE(Items!F138&amp;""," "," "))))="Y",$E138&lt;&gt;"US",$E138&lt;&gt;"CA",$E138&lt;&gt;"MX"),"CHECK: USMCA flag on an origin other than US, CA or MX",IF(AND($L138="Y",$AO138=0,NOT(ISNUMBER(act_Rate))),"CHECK: in scope but no rate (add a rate line or B15)",IF(AND($L138="Y",UPPER(TRIM(CLEAN(SUBSTITUTE(act_RateType&amp;""," "," "))))="REPLACE",NOT(ISNUMBER(act_PriorRate)),IF($AO138=0,TRUE,NOT(ISNUMBER(INDEX(rate_Prior,MOD($AO138,100)))))),"CHECK: REPLACE but no earlier rate (B17 or the rate line's AD)",IF(AND($L138="Y",$AP138&gt;1),"CHECK: two rate lines match equally",IF(AND($L138="Y",$AN138&gt;1),"CHECK: HTS prefix listed twice on the scope list",IF(AND($L138="Y",$P138="PART",NOT(ISNUMBER(Items!M138))),"CHECK: dutiable share missing (PART base)",IF(AND($L138="Y",$P138="FULL",ISNUMBER(Items!M138),N(Items!M138)&lt;&gt;1),"CHECK: dutiable share entered, but the rate taxes the full value",IF(AND($L138="Y",$Q138+0.0000001&lt;$T138*$S138+$U138),"CHECK: current rate is below the duty being replaced or displaced",IF(AND($L138="Y",$AD138=0),"NOTE: in scope, no quantity",IF(AND($L138="Y",$AF138="N"),"NOTE: in scope, no sell price (left out of margin %)",IF(AND($L138="Y",N(Items!H138)&gt;N(Items!K138)),"NOTE: customs value above standard cost (check unit of measure)",IF(AND($L138="Y",$Q138&gt;1),"NOTE: current rate above 100% (check it was entered as a percentage)","OK")))))))))))))))))))))))</f>
        <v/>
      </c>
      <c r="AK138" s="20">
        <f>IF($A138="","",IF(AND($L138="Y",$AE138&lt;&gt;0),ABS($AE138)+ROW()/1000000000,""))</f>
        <v/>
      </c>
      <c r="AL138" s="10">
        <f>IF($A138="","",UPPER($A138)&amp;"/"&amp;UPPER(TRIM(CLEAN(SUBSTITUTE(Items!C138&amp;""," "," ")))))</f>
        <v/>
      </c>
      <c r="AM138" s="13">
        <f>IF($A138="",0,SUMPRODUCT(MAX((scope_HTS&lt;&gt;"")*(LEFT($C138,LEN(scope_HTS))=scope_HTS)*(LEN(scope_HTS)*1000+ROW(scope_HTS)-4))))</f>
        <v/>
      </c>
      <c r="AN138" s="13">
        <f>IF($AM138=0,0,SUMPRODUCT((scope_HTS&lt;&gt;"")*(LEFT($C138,LEN(scope_HTS))=scope_HTS)*(LEN(scope_HTS)=INT($AM138/1000))))</f>
        <v/>
      </c>
      <c r="AO138" s="13">
        <f>IF($L138&lt;&gt;"Y",0,SUMPRODUCT(MAX(ISNUMBER(rate_Rate)*((UPPER(TRIM(CLEAN(SUBSTITUTE(rate_Group&amp;""," "," "))))="")+(UPPER(TRIM(CLEAN(SUBSTITUTE(rate_Group&amp;""," "," "))))=$N138)&gt;0)*((UPPER(TRIM(CLEAN(SUBSTITUTE(rate_COO&amp;""," "," "))))="")+(UPPER(TRIM(CLEAN(SUBSTITUTE(rate_COO&amp;""," "," "))))=$E138)&gt;0)*((UPPER(TRIM(CLEAN(SUBSTITUTE(rate_USMCA&amp;""," "," "))))="")+(UPPER(TRIM(CLEAN(SUBSTITUTE(rate_USMCA&amp;""," "," "))))=IF(UPPER(TRIM(CLEAN(SUBSTITUTE(Items!F138&amp;""," "," "))))="Y","Y","N"))&gt;0)*((1+(UPPER(TRIM(CLEAN(SUBSTITUTE(rate_Group&amp;""," "," "))))&lt;&gt;"")+2*(UPPER(TRIM(CLEAN(SUBSTITUTE(rate_USMCA&amp;""," "," "))))&lt;&gt;"")+4*(UPPER(TRIM(CLEAN(SUBSTITUTE(rate_COO&amp;""," "," "))))&lt;&gt;""))*100+ROW(rate_Rate)-4))))</f>
        <v/>
      </c>
      <c r="AP138" s="13">
        <f>IF($AO138=0,0,SUMPRODUCT(ISNUMBER(rate_Rate)*((UPPER(TRIM(CLEAN(SUBSTITUTE(rate_Group&amp;""," "," "))))="")+(UPPER(TRIM(CLEAN(SUBSTITUTE(rate_Group&amp;""," "," "))))=$N138)&gt;0)*((UPPER(TRIM(CLEAN(SUBSTITUTE(rate_COO&amp;""," "," "))))="")+(UPPER(TRIM(CLEAN(SUBSTITUTE(rate_COO&amp;""," "," "))))=$E138)&gt;0)*((UPPER(TRIM(CLEAN(SUBSTITUTE(rate_USMCA&amp;""," "," "))))="")+(UPPER(TRIM(CLEAN(SUBSTITUTE(rate_USMCA&amp;""," "," "))))=IF(UPPER(TRIM(CLEAN(SUBSTITUTE(Items!F138&amp;""," "," "))))="Y","Y","N"))&gt;0)*((1+(UPPER(TRIM(CLEAN(SUBSTITUTE(rate_Group&amp;""," "," "))))&lt;&gt;"")+2*(UPPER(TRIM(CLEAN(SUBSTITUTE(rate_USMCA&amp;""," "," "))))&lt;&gt;"")+4*(UPPER(TRIM(CLEAN(SUBSTITUTE(rate_COO&amp;""," "," "))))&lt;&gt;""))=INT($AO138/100))))</f>
        <v/>
      </c>
      <c r="AQ138" s="13">
        <f>IF($A138="",0,IFERROR(MATCH($AL138,det_Key,0),0))</f>
        <v/>
      </c>
    </row>
    <row r="139">
      <c r="A139" s="10">
        <f>IF(TRIM(CLEAN(SUBSTITUTE(Items!A139&amp;""," "," ")))="","",TRIM(CLEAN(SUBSTITUTE(Items!A139&amp;""," "," "))))</f>
        <v/>
      </c>
      <c r="B139" s="10">
        <f>IF($A139="","",Items!B139&amp;"")</f>
        <v/>
      </c>
      <c r="C139" s="10">
        <f>IF($A139="","",SUBSTITUTE(SUBSTITUTE(SUBSTITUTE(SUBSTITUTE(CLEAN(Items!D139&amp;"")," ",""),".","")," ",""),"-",""))</f>
        <v/>
      </c>
      <c r="D139" s="10">
        <f>IF($A139="","",LEFT($C139,2))</f>
        <v/>
      </c>
      <c r="E139" s="10">
        <f>IF($A139="","",UPPER(TRIM(CLEAN(SUBSTITUTE(Items!E139&amp;""," "," ")))))</f>
        <v/>
      </c>
      <c r="F139" s="10">
        <f>IF($A139="","",IF(UPPER(TRIM(CLEAN(SUBSTITUTE(Items!C139&amp;""," "," "))))=UPPER(TRIM(CLEAN(SUBSTITUTE(act_Country&amp;""," "," ")))),"Y","N"))</f>
        <v/>
      </c>
      <c r="G139" s="10">
        <f>IF($A139="","",IF($AM139&gt;0,"Y","N"))</f>
        <v/>
      </c>
      <c r="H139" s="10">
        <f>IF($A139="","",IF(SUMPRODUCT((excl_HTS&lt;&gt;"")*(LEFT($C139,LEN(excl_HTS))=excl_HTS))&gt;0,"Y","N"))</f>
        <v/>
      </c>
      <c r="I139" s="10">
        <f>IF($A139="","",IF($E139="","N",IF(SUMPRODUCT(--(UPPER(TRIM(CLEAN(SUBSTITUTE(scope_COO&amp;""," "," "))))=$E139))&gt;0,"Y","N")))</f>
        <v/>
      </c>
      <c r="J139" s="10">
        <f>IF($A139="","",IF(AND(UPPER(TRIM(CLEAN(SUBSTITUTE(act_USMCAExempt&amp;""," "," "))))="Y",UPPER(TRIM(CLEAN(SUBSTITUTE(Items!F139&amp;""," "," "))))="Y"),"Y","N"))</f>
        <v/>
      </c>
      <c r="K139" s="10">
        <f>IF($A139="","",IF($AQ139=0,"",UPPER(TRIM(CLEAN(SUBSTITUTE(INDEX(det_Status,$AQ139)&amp;""," "," "))))))</f>
        <v/>
      </c>
      <c r="L139" s="10">
        <f>IF($A139="","",IF($F139="N","N",IF($K139="IN","Y",IF($K139="OUT","N",IF(AND($G139="Y",$H139="N",$I139="Y",$J139="N"),"Y","N")))))</f>
        <v/>
      </c>
      <c r="M139" s="10">
        <f>IF($A139="","",IF($F139="N","Out: different import country",IF($K139="IN","In: Research determination",IF($K139="OUT","Out: Research determination",IF($G139="N","Out: HTS not on scope list",IF($H139="Y","Out: HTS on exclusion list",IF($I139="N","Out: origin not on scope list",IF($J139="Y","Out: USMCA-qualifying, exempt","In: matches scope rules"))))))))</f>
        <v/>
      </c>
      <c r="N139" s="10">
        <f>IF(OR($A139="",$AM139=0),"",UPPER(TRIM(CLEAN(SUBSTITUTE(INDEX(scope_Group,MOD($AM139,1000))&amp;""," "," ")))))</f>
        <v/>
      </c>
      <c r="O139" s="10">
        <f>IF($L139&lt;&gt;"Y","",IF($AO139=0,"Default (B15)",UPPER(TRIM(CLEAN(SUBSTITUTE(INDEX(rate_ID,MOD($AO139,100))&amp;""," "," "))))))</f>
        <v/>
      </c>
      <c r="P139" s="10">
        <f>IF($L139&lt;&gt;"Y","",IF($AO139=0,IF(UPPER(TRIM(CLEAN(SUBSTITUTE(act_DefaultBase&amp;""," "," "))))="PART","PART","FULL"),IF(UPPER(TRIM(CLEAN(SUBSTITUTE(INDEX(rate_Base,MOD($AO139,100))&amp;""," "," "))))="PART","PART","FULL")))</f>
        <v/>
      </c>
      <c r="Q139" s="17">
        <f>IF($A139="","",N(Items!J139))</f>
        <v/>
      </c>
      <c r="R139" s="17">
        <f>IF($A139="","",IF($L139&lt;&gt;"Y",0,IF($AO139=0,N(act_Rate),N(INDEX(rate_Rate,MOD($AO139,100))))))</f>
        <v/>
      </c>
      <c r="S139" s="17">
        <f>IF($A139="","",IF($L139&lt;&gt;"Y",0,IF($AO139=0,IF(UPPER(TRIM(CLEAN(SUBSTITUTE(act_RateType&amp;""," "," "))))="REPLACE",N(act_PriorRate),0),IF(ISNUMBER(INDEX(rate_Prior,MOD($AO139,100))),INDEX(rate_Prior,MOD($AO139,100)),IF(UPPER(TRIM(CLEAN(SUBSTITUTE(act_RateType&amp;""," "," "))))="REPLACE",N(act_PriorRate),0)))))</f>
        <v/>
      </c>
      <c r="T139" s="17">
        <f>IF($A139="","",IF(AND($L139="Y",$P139="PART",ISNUMBER(Items!M139)),Items!M139,1))</f>
        <v/>
      </c>
      <c r="U139" s="17">
        <f>IF($A139="","",IF($L139&lt;&gt;"Y",0,IF($AQ139&gt;0,IF(ISNUMBER(INDEX(det_Displaced,$AQ139)),INDEX(det_Displaced,$AQ139),IF($AO139=0,0,N(INDEX(rate_Displaced,MOD($AO139,100))))),IF($AO139=0,0,N(INDEX(rate_Displaced,MOD($AO139,100)))))))</f>
        <v/>
      </c>
      <c r="V139" s="17">
        <f>IF($A139="","",IF($L139="Y",$Q139+$T139*($R139-$S139)-$U139,$Q139))</f>
        <v/>
      </c>
      <c r="W139" s="18">
        <f>IF($A139="","",N(Items!H139)*$Q139)</f>
        <v/>
      </c>
      <c r="X139" s="18">
        <f>IF($A139="","",N(Items!H139)*$V139)</f>
        <v/>
      </c>
      <c r="Y139" s="18">
        <f>IF($A139="","",$X139-$W139)</f>
        <v/>
      </c>
      <c r="Z139" s="18">
        <f>IF($A139="","",N(Items!K139)+$Y139)</f>
        <v/>
      </c>
      <c r="AA139" s="17">
        <f>IF($A139="","",IF(N(Items!L139)=0,"",(N(Items!L139)-N(Items!K139))/N(Items!L139)))</f>
        <v/>
      </c>
      <c r="AB139" s="17">
        <f>IF($A139="","",IF(N(Items!L139)=0,"",(N(Items!L139)-$Z139)/N(Items!L139)))</f>
        <v/>
      </c>
      <c r="AC139" s="17">
        <f>IF(OR($AA139="",$AB139=""),"",$AB139-$AA139)</f>
        <v/>
      </c>
      <c r="AD139" s="13">
        <f>IF($A139="","",N(Items!I139))</f>
        <v/>
      </c>
      <c r="AE139" s="19">
        <f>IF($A139="","",$Y139*$AD139)</f>
        <v/>
      </c>
      <c r="AF139" s="10">
        <f>IF($A139="","",IF(N(Items!L139)&gt;0,"Y","N"))</f>
        <v/>
      </c>
      <c r="AG139" s="19">
        <f>IF($A139="","",IF($AF139="Y",N(Items!L139)*$AD139,0))</f>
        <v/>
      </c>
      <c r="AH139" s="19">
        <f>IF($A139="","",IF($AF139="Y",(N(Items!L139)-N(Items!K139))*$AD139,0))</f>
        <v/>
      </c>
      <c r="AI139" s="19">
        <f>IF($A139="","",IF($AF139="Y",$AH139-$AE139,0))</f>
        <v/>
      </c>
      <c r="AJ139" s="10">
        <f>IF($A139="","",IF(COUNTIF($AL$5:$AL$254,$AL139)&gt;1,"CHECK: duplicate item and import country",IF(TRIM(CLEAN(SUBSTITUTE(Items!C139&amp;""," "," ")))="","CHECK: import country missing",IF(AND(UPPER(TRIM(CLEAN(SUBSTITUTE(Items!C139&amp;""," "," "))))&lt;&gt;"US",UPPER(TRIM(CLEAN(SUBSTITUTE(Items!C139&amp;""," "," "))))&lt;&gt;"CA",UPPER(TRIM(CLEAN(SUBSTITUTE(Items!C139&amp;""," "," "))))&lt;&gt;"MX"),"CHECK: import country must be US, CA or MX",IF(NOT(AND(LEN($C139)=10,IFERROR(TEXT(VALUE($C139),REPT("0",LEN($C139)))=$C139,FALSE))),"CHECK: HTS must be 10 digits",IF(LEN($E139)&lt;&gt;2,"CHECK: origin code missing or not 2 letters",IF(TRIM(CLEAN(SUBSTITUTE(Items!G139&amp;""," "," ")))="","CHECK: unit of measure missing",IF(OR(Items!H139="",Items!J139="",Items!K139=""),"CHECK: value, rate or cost missing",IF(OR(NOT(ISNUMBER(Items!H139)),NOT(ISNUMBER(Items!J139)),NOT(ISNUMBER(Items!K139)),AND(Items!I139&lt;&gt;"",NOT(ISNUMBER(Items!I139))),AND(Items!L139&lt;&gt;"",NOT(ISNUMBER(Items!L139))),AND(Items!M139&lt;&gt;"",NOT(ISNUMBER(Items!M139)))),"CHECK: text in a number column",IF(AND(ISNUMBER(Items!M139),OR(N(Items!M139)&lt;0,N(Items!M139)&gt;1)),"CHECK: dutiable share must be 0% to 100%",IF(AND(UPPER(TRIM(CLEAN(SUBSTITUTE(Items!F139&amp;""," "," "))))&lt;&gt;"",UPPER(TRIM(CLEAN(SUBSTITUTE(Items!F139&amp;""," "," "))))&lt;&gt;"Y",UPPER(TRIM(CLEAN(SUBSTITUTE(Items!F139&amp;""," "," "))))&lt;&gt;"N"),"CHECK: USMCA flag must be Y, N or blank",IF(AND(UPPER(TRIM(CLEAN(SUBSTITUTE(Items!F139&amp;""," "," "))))="Y",$E139&lt;&gt;"US",$E139&lt;&gt;"CA",$E139&lt;&gt;"MX"),"CHECK: USMCA flag on an origin other than US, CA or MX",IF(AND($L139="Y",$AO139=0,NOT(ISNUMBER(act_Rate))),"CHECK: in scope but no rate (add a rate line or B15)",IF(AND($L139="Y",UPPER(TRIM(CLEAN(SUBSTITUTE(act_RateType&amp;""," "," "))))="REPLACE",NOT(ISNUMBER(act_PriorRate)),IF($AO139=0,TRUE,NOT(ISNUMBER(INDEX(rate_Prior,MOD($AO139,100)))))),"CHECK: REPLACE but no earlier rate (B17 or the rate line's AD)",IF(AND($L139="Y",$AP139&gt;1),"CHECK: two rate lines match equally",IF(AND($L139="Y",$AN139&gt;1),"CHECK: HTS prefix listed twice on the scope list",IF(AND($L139="Y",$P139="PART",NOT(ISNUMBER(Items!M139))),"CHECK: dutiable share missing (PART base)",IF(AND($L139="Y",$P139="FULL",ISNUMBER(Items!M139),N(Items!M139)&lt;&gt;1),"CHECK: dutiable share entered, but the rate taxes the full value",IF(AND($L139="Y",$Q139+0.0000001&lt;$T139*$S139+$U139),"CHECK: current rate is below the duty being replaced or displaced",IF(AND($L139="Y",$AD139=0),"NOTE: in scope, no quantity",IF(AND($L139="Y",$AF139="N"),"NOTE: in scope, no sell price (left out of margin %)",IF(AND($L139="Y",N(Items!H139)&gt;N(Items!K139)),"NOTE: customs value above standard cost (check unit of measure)",IF(AND($L139="Y",$Q139&gt;1),"NOTE: current rate above 100% (check it was entered as a percentage)","OK")))))))))))))))))))))))</f>
        <v/>
      </c>
      <c r="AK139" s="20">
        <f>IF($A139="","",IF(AND($L139="Y",$AE139&lt;&gt;0),ABS($AE139)+ROW()/1000000000,""))</f>
        <v/>
      </c>
      <c r="AL139" s="10">
        <f>IF($A139="","",UPPER($A139)&amp;"/"&amp;UPPER(TRIM(CLEAN(SUBSTITUTE(Items!C139&amp;""," "," ")))))</f>
        <v/>
      </c>
      <c r="AM139" s="13">
        <f>IF($A139="",0,SUMPRODUCT(MAX((scope_HTS&lt;&gt;"")*(LEFT($C139,LEN(scope_HTS))=scope_HTS)*(LEN(scope_HTS)*1000+ROW(scope_HTS)-4))))</f>
        <v/>
      </c>
      <c r="AN139" s="13">
        <f>IF($AM139=0,0,SUMPRODUCT((scope_HTS&lt;&gt;"")*(LEFT($C139,LEN(scope_HTS))=scope_HTS)*(LEN(scope_HTS)=INT($AM139/1000))))</f>
        <v/>
      </c>
      <c r="AO139" s="13">
        <f>IF($L139&lt;&gt;"Y",0,SUMPRODUCT(MAX(ISNUMBER(rate_Rate)*((UPPER(TRIM(CLEAN(SUBSTITUTE(rate_Group&amp;""," "," "))))="")+(UPPER(TRIM(CLEAN(SUBSTITUTE(rate_Group&amp;""," "," "))))=$N139)&gt;0)*((UPPER(TRIM(CLEAN(SUBSTITUTE(rate_COO&amp;""," "," "))))="")+(UPPER(TRIM(CLEAN(SUBSTITUTE(rate_COO&amp;""," "," "))))=$E139)&gt;0)*((UPPER(TRIM(CLEAN(SUBSTITUTE(rate_USMCA&amp;""," "," "))))="")+(UPPER(TRIM(CLEAN(SUBSTITUTE(rate_USMCA&amp;""," "," "))))=IF(UPPER(TRIM(CLEAN(SUBSTITUTE(Items!F139&amp;""," "," "))))="Y","Y","N"))&gt;0)*((1+(UPPER(TRIM(CLEAN(SUBSTITUTE(rate_Group&amp;""," "," "))))&lt;&gt;"")+2*(UPPER(TRIM(CLEAN(SUBSTITUTE(rate_USMCA&amp;""," "," "))))&lt;&gt;"")+4*(UPPER(TRIM(CLEAN(SUBSTITUTE(rate_COO&amp;""," "," "))))&lt;&gt;""))*100+ROW(rate_Rate)-4))))</f>
        <v/>
      </c>
      <c r="AP139" s="13">
        <f>IF($AO139=0,0,SUMPRODUCT(ISNUMBER(rate_Rate)*((UPPER(TRIM(CLEAN(SUBSTITUTE(rate_Group&amp;""," "," "))))="")+(UPPER(TRIM(CLEAN(SUBSTITUTE(rate_Group&amp;""," "," "))))=$N139)&gt;0)*((UPPER(TRIM(CLEAN(SUBSTITUTE(rate_COO&amp;""," "," "))))="")+(UPPER(TRIM(CLEAN(SUBSTITUTE(rate_COO&amp;""," "," "))))=$E139)&gt;0)*((UPPER(TRIM(CLEAN(SUBSTITUTE(rate_USMCA&amp;""," "," "))))="")+(UPPER(TRIM(CLEAN(SUBSTITUTE(rate_USMCA&amp;""," "," "))))=IF(UPPER(TRIM(CLEAN(SUBSTITUTE(Items!F139&amp;""," "," "))))="Y","Y","N"))&gt;0)*((1+(UPPER(TRIM(CLEAN(SUBSTITUTE(rate_Group&amp;""," "," "))))&lt;&gt;"")+2*(UPPER(TRIM(CLEAN(SUBSTITUTE(rate_USMCA&amp;""," "," "))))&lt;&gt;"")+4*(UPPER(TRIM(CLEAN(SUBSTITUTE(rate_COO&amp;""," "," "))))&lt;&gt;""))=INT($AO139/100))))</f>
        <v/>
      </c>
      <c r="AQ139" s="13">
        <f>IF($A139="",0,IFERROR(MATCH($AL139,det_Key,0),0))</f>
        <v/>
      </c>
    </row>
    <row r="140">
      <c r="A140" s="10">
        <f>IF(TRIM(CLEAN(SUBSTITUTE(Items!A140&amp;""," "," ")))="","",TRIM(CLEAN(SUBSTITUTE(Items!A140&amp;""," "," "))))</f>
        <v/>
      </c>
      <c r="B140" s="10">
        <f>IF($A140="","",Items!B140&amp;"")</f>
        <v/>
      </c>
      <c r="C140" s="10">
        <f>IF($A140="","",SUBSTITUTE(SUBSTITUTE(SUBSTITUTE(SUBSTITUTE(CLEAN(Items!D140&amp;"")," ",""),".","")," ",""),"-",""))</f>
        <v/>
      </c>
      <c r="D140" s="10">
        <f>IF($A140="","",LEFT($C140,2))</f>
        <v/>
      </c>
      <c r="E140" s="10">
        <f>IF($A140="","",UPPER(TRIM(CLEAN(SUBSTITUTE(Items!E140&amp;""," "," ")))))</f>
        <v/>
      </c>
      <c r="F140" s="10">
        <f>IF($A140="","",IF(UPPER(TRIM(CLEAN(SUBSTITUTE(Items!C140&amp;""," "," "))))=UPPER(TRIM(CLEAN(SUBSTITUTE(act_Country&amp;""," "," ")))),"Y","N"))</f>
        <v/>
      </c>
      <c r="G140" s="10">
        <f>IF($A140="","",IF($AM140&gt;0,"Y","N"))</f>
        <v/>
      </c>
      <c r="H140" s="10">
        <f>IF($A140="","",IF(SUMPRODUCT((excl_HTS&lt;&gt;"")*(LEFT($C140,LEN(excl_HTS))=excl_HTS))&gt;0,"Y","N"))</f>
        <v/>
      </c>
      <c r="I140" s="10">
        <f>IF($A140="","",IF($E140="","N",IF(SUMPRODUCT(--(UPPER(TRIM(CLEAN(SUBSTITUTE(scope_COO&amp;""," "," "))))=$E140))&gt;0,"Y","N")))</f>
        <v/>
      </c>
      <c r="J140" s="10">
        <f>IF($A140="","",IF(AND(UPPER(TRIM(CLEAN(SUBSTITUTE(act_USMCAExempt&amp;""," "," "))))="Y",UPPER(TRIM(CLEAN(SUBSTITUTE(Items!F140&amp;""," "," "))))="Y"),"Y","N"))</f>
        <v/>
      </c>
      <c r="K140" s="10">
        <f>IF($A140="","",IF($AQ140=0,"",UPPER(TRIM(CLEAN(SUBSTITUTE(INDEX(det_Status,$AQ140)&amp;""," "," "))))))</f>
        <v/>
      </c>
      <c r="L140" s="10">
        <f>IF($A140="","",IF($F140="N","N",IF($K140="IN","Y",IF($K140="OUT","N",IF(AND($G140="Y",$H140="N",$I140="Y",$J140="N"),"Y","N")))))</f>
        <v/>
      </c>
      <c r="M140" s="10">
        <f>IF($A140="","",IF($F140="N","Out: different import country",IF($K140="IN","In: Research determination",IF($K140="OUT","Out: Research determination",IF($G140="N","Out: HTS not on scope list",IF($H140="Y","Out: HTS on exclusion list",IF($I140="N","Out: origin not on scope list",IF($J140="Y","Out: USMCA-qualifying, exempt","In: matches scope rules"))))))))</f>
        <v/>
      </c>
      <c r="N140" s="10">
        <f>IF(OR($A140="",$AM140=0),"",UPPER(TRIM(CLEAN(SUBSTITUTE(INDEX(scope_Group,MOD($AM140,1000))&amp;""," "," ")))))</f>
        <v/>
      </c>
      <c r="O140" s="10">
        <f>IF($L140&lt;&gt;"Y","",IF($AO140=0,"Default (B15)",UPPER(TRIM(CLEAN(SUBSTITUTE(INDEX(rate_ID,MOD($AO140,100))&amp;""," "," "))))))</f>
        <v/>
      </c>
      <c r="P140" s="10">
        <f>IF($L140&lt;&gt;"Y","",IF($AO140=0,IF(UPPER(TRIM(CLEAN(SUBSTITUTE(act_DefaultBase&amp;""," "," "))))="PART","PART","FULL"),IF(UPPER(TRIM(CLEAN(SUBSTITUTE(INDEX(rate_Base,MOD($AO140,100))&amp;""," "," "))))="PART","PART","FULL")))</f>
        <v/>
      </c>
      <c r="Q140" s="17">
        <f>IF($A140="","",N(Items!J140))</f>
        <v/>
      </c>
      <c r="R140" s="17">
        <f>IF($A140="","",IF($L140&lt;&gt;"Y",0,IF($AO140=0,N(act_Rate),N(INDEX(rate_Rate,MOD($AO140,100))))))</f>
        <v/>
      </c>
      <c r="S140" s="17">
        <f>IF($A140="","",IF($L140&lt;&gt;"Y",0,IF($AO140=0,IF(UPPER(TRIM(CLEAN(SUBSTITUTE(act_RateType&amp;""," "," "))))="REPLACE",N(act_PriorRate),0),IF(ISNUMBER(INDEX(rate_Prior,MOD($AO140,100))),INDEX(rate_Prior,MOD($AO140,100)),IF(UPPER(TRIM(CLEAN(SUBSTITUTE(act_RateType&amp;""," "," "))))="REPLACE",N(act_PriorRate),0)))))</f>
        <v/>
      </c>
      <c r="T140" s="17">
        <f>IF($A140="","",IF(AND($L140="Y",$P140="PART",ISNUMBER(Items!M140)),Items!M140,1))</f>
        <v/>
      </c>
      <c r="U140" s="17">
        <f>IF($A140="","",IF($L140&lt;&gt;"Y",0,IF($AQ140&gt;0,IF(ISNUMBER(INDEX(det_Displaced,$AQ140)),INDEX(det_Displaced,$AQ140),IF($AO140=0,0,N(INDEX(rate_Displaced,MOD($AO140,100))))),IF($AO140=0,0,N(INDEX(rate_Displaced,MOD($AO140,100)))))))</f>
        <v/>
      </c>
      <c r="V140" s="17">
        <f>IF($A140="","",IF($L140="Y",$Q140+$T140*($R140-$S140)-$U140,$Q140))</f>
        <v/>
      </c>
      <c r="W140" s="18">
        <f>IF($A140="","",N(Items!H140)*$Q140)</f>
        <v/>
      </c>
      <c r="X140" s="18">
        <f>IF($A140="","",N(Items!H140)*$V140)</f>
        <v/>
      </c>
      <c r="Y140" s="18">
        <f>IF($A140="","",$X140-$W140)</f>
        <v/>
      </c>
      <c r="Z140" s="18">
        <f>IF($A140="","",N(Items!K140)+$Y140)</f>
        <v/>
      </c>
      <c r="AA140" s="17">
        <f>IF($A140="","",IF(N(Items!L140)=0,"",(N(Items!L140)-N(Items!K140))/N(Items!L140)))</f>
        <v/>
      </c>
      <c r="AB140" s="17">
        <f>IF($A140="","",IF(N(Items!L140)=0,"",(N(Items!L140)-$Z140)/N(Items!L140)))</f>
        <v/>
      </c>
      <c r="AC140" s="17">
        <f>IF(OR($AA140="",$AB140=""),"",$AB140-$AA140)</f>
        <v/>
      </c>
      <c r="AD140" s="13">
        <f>IF($A140="","",N(Items!I140))</f>
        <v/>
      </c>
      <c r="AE140" s="19">
        <f>IF($A140="","",$Y140*$AD140)</f>
        <v/>
      </c>
      <c r="AF140" s="10">
        <f>IF($A140="","",IF(N(Items!L140)&gt;0,"Y","N"))</f>
        <v/>
      </c>
      <c r="AG140" s="19">
        <f>IF($A140="","",IF($AF140="Y",N(Items!L140)*$AD140,0))</f>
        <v/>
      </c>
      <c r="AH140" s="19">
        <f>IF($A140="","",IF($AF140="Y",(N(Items!L140)-N(Items!K140))*$AD140,0))</f>
        <v/>
      </c>
      <c r="AI140" s="19">
        <f>IF($A140="","",IF($AF140="Y",$AH140-$AE140,0))</f>
        <v/>
      </c>
      <c r="AJ140" s="10">
        <f>IF($A140="","",IF(COUNTIF($AL$5:$AL$254,$AL140)&gt;1,"CHECK: duplicate item and import country",IF(TRIM(CLEAN(SUBSTITUTE(Items!C140&amp;""," "," ")))="","CHECK: import country missing",IF(AND(UPPER(TRIM(CLEAN(SUBSTITUTE(Items!C140&amp;""," "," "))))&lt;&gt;"US",UPPER(TRIM(CLEAN(SUBSTITUTE(Items!C140&amp;""," "," "))))&lt;&gt;"CA",UPPER(TRIM(CLEAN(SUBSTITUTE(Items!C140&amp;""," "," "))))&lt;&gt;"MX"),"CHECK: import country must be US, CA or MX",IF(NOT(AND(LEN($C140)=10,IFERROR(TEXT(VALUE($C140),REPT("0",LEN($C140)))=$C140,FALSE))),"CHECK: HTS must be 10 digits",IF(LEN($E140)&lt;&gt;2,"CHECK: origin code missing or not 2 letters",IF(TRIM(CLEAN(SUBSTITUTE(Items!G140&amp;""," "," ")))="","CHECK: unit of measure missing",IF(OR(Items!H140="",Items!J140="",Items!K140=""),"CHECK: value, rate or cost missing",IF(OR(NOT(ISNUMBER(Items!H140)),NOT(ISNUMBER(Items!J140)),NOT(ISNUMBER(Items!K140)),AND(Items!I140&lt;&gt;"",NOT(ISNUMBER(Items!I140))),AND(Items!L140&lt;&gt;"",NOT(ISNUMBER(Items!L140))),AND(Items!M140&lt;&gt;"",NOT(ISNUMBER(Items!M140)))),"CHECK: text in a number column",IF(AND(ISNUMBER(Items!M140),OR(N(Items!M140)&lt;0,N(Items!M140)&gt;1)),"CHECK: dutiable share must be 0% to 100%",IF(AND(UPPER(TRIM(CLEAN(SUBSTITUTE(Items!F140&amp;""," "," "))))&lt;&gt;"",UPPER(TRIM(CLEAN(SUBSTITUTE(Items!F140&amp;""," "," "))))&lt;&gt;"Y",UPPER(TRIM(CLEAN(SUBSTITUTE(Items!F140&amp;""," "," "))))&lt;&gt;"N"),"CHECK: USMCA flag must be Y, N or blank",IF(AND(UPPER(TRIM(CLEAN(SUBSTITUTE(Items!F140&amp;""," "," "))))="Y",$E140&lt;&gt;"US",$E140&lt;&gt;"CA",$E140&lt;&gt;"MX"),"CHECK: USMCA flag on an origin other than US, CA or MX",IF(AND($L140="Y",$AO140=0,NOT(ISNUMBER(act_Rate))),"CHECK: in scope but no rate (add a rate line or B15)",IF(AND($L140="Y",UPPER(TRIM(CLEAN(SUBSTITUTE(act_RateType&amp;""," "," "))))="REPLACE",NOT(ISNUMBER(act_PriorRate)),IF($AO140=0,TRUE,NOT(ISNUMBER(INDEX(rate_Prior,MOD($AO140,100)))))),"CHECK: REPLACE but no earlier rate (B17 or the rate line's AD)",IF(AND($L140="Y",$AP140&gt;1),"CHECK: two rate lines match equally",IF(AND($L140="Y",$AN140&gt;1),"CHECK: HTS prefix listed twice on the scope list",IF(AND($L140="Y",$P140="PART",NOT(ISNUMBER(Items!M140))),"CHECK: dutiable share missing (PART base)",IF(AND($L140="Y",$P140="FULL",ISNUMBER(Items!M140),N(Items!M140)&lt;&gt;1),"CHECK: dutiable share entered, but the rate taxes the full value",IF(AND($L140="Y",$Q140+0.0000001&lt;$T140*$S140+$U140),"CHECK: current rate is below the duty being replaced or displaced",IF(AND($L140="Y",$AD140=0),"NOTE: in scope, no quantity",IF(AND($L140="Y",$AF140="N"),"NOTE: in scope, no sell price (left out of margin %)",IF(AND($L140="Y",N(Items!H140)&gt;N(Items!K140)),"NOTE: customs value above standard cost (check unit of measure)",IF(AND($L140="Y",$Q140&gt;1),"NOTE: current rate above 100% (check it was entered as a percentage)","OK")))))))))))))))))))))))</f>
        <v/>
      </c>
      <c r="AK140" s="20">
        <f>IF($A140="","",IF(AND($L140="Y",$AE140&lt;&gt;0),ABS($AE140)+ROW()/1000000000,""))</f>
        <v/>
      </c>
      <c r="AL140" s="10">
        <f>IF($A140="","",UPPER($A140)&amp;"/"&amp;UPPER(TRIM(CLEAN(SUBSTITUTE(Items!C140&amp;""," "," ")))))</f>
        <v/>
      </c>
      <c r="AM140" s="13">
        <f>IF($A140="",0,SUMPRODUCT(MAX((scope_HTS&lt;&gt;"")*(LEFT($C140,LEN(scope_HTS))=scope_HTS)*(LEN(scope_HTS)*1000+ROW(scope_HTS)-4))))</f>
        <v/>
      </c>
      <c r="AN140" s="13">
        <f>IF($AM140=0,0,SUMPRODUCT((scope_HTS&lt;&gt;"")*(LEFT($C140,LEN(scope_HTS))=scope_HTS)*(LEN(scope_HTS)=INT($AM140/1000))))</f>
        <v/>
      </c>
      <c r="AO140" s="13">
        <f>IF($L140&lt;&gt;"Y",0,SUMPRODUCT(MAX(ISNUMBER(rate_Rate)*((UPPER(TRIM(CLEAN(SUBSTITUTE(rate_Group&amp;""," "," "))))="")+(UPPER(TRIM(CLEAN(SUBSTITUTE(rate_Group&amp;""," "," "))))=$N140)&gt;0)*((UPPER(TRIM(CLEAN(SUBSTITUTE(rate_COO&amp;""," "," "))))="")+(UPPER(TRIM(CLEAN(SUBSTITUTE(rate_COO&amp;""," "," "))))=$E140)&gt;0)*((UPPER(TRIM(CLEAN(SUBSTITUTE(rate_USMCA&amp;""," "," "))))="")+(UPPER(TRIM(CLEAN(SUBSTITUTE(rate_USMCA&amp;""," "," "))))=IF(UPPER(TRIM(CLEAN(SUBSTITUTE(Items!F140&amp;""," "," "))))="Y","Y","N"))&gt;0)*((1+(UPPER(TRIM(CLEAN(SUBSTITUTE(rate_Group&amp;""," "," "))))&lt;&gt;"")+2*(UPPER(TRIM(CLEAN(SUBSTITUTE(rate_USMCA&amp;""," "," "))))&lt;&gt;"")+4*(UPPER(TRIM(CLEAN(SUBSTITUTE(rate_COO&amp;""," "," "))))&lt;&gt;""))*100+ROW(rate_Rate)-4))))</f>
        <v/>
      </c>
      <c r="AP140" s="13">
        <f>IF($AO140=0,0,SUMPRODUCT(ISNUMBER(rate_Rate)*((UPPER(TRIM(CLEAN(SUBSTITUTE(rate_Group&amp;""," "," "))))="")+(UPPER(TRIM(CLEAN(SUBSTITUTE(rate_Group&amp;""," "," "))))=$N140)&gt;0)*((UPPER(TRIM(CLEAN(SUBSTITUTE(rate_COO&amp;""," "," "))))="")+(UPPER(TRIM(CLEAN(SUBSTITUTE(rate_COO&amp;""," "," "))))=$E140)&gt;0)*((UPPER(TRIM(CLEAN(SUBSTITUTE(rate_USMCA&amp;""," "," "))))="")+(UPPER(TRIM(CLEAN(SUBSTITUTE(rate_USMCA&amp;""," "," "))))=IF(UPPER(TRIM(CLEAN(SUBSTITUTE(Items!F140&amp;""," "," "))))="Y","Y","N"))&gt;0)*((1+(UPPER(TRIM(CLEAN(SUBSTITUTE(rate_Group&amp;""," "," "))))&lt;&gt;"")+2*(UPPER(TRIM(CLEAN(SUBSTITUTE(rate_USMCA&amp;""," "," "))))&lt;&gt;"")+4*(UPPER(TRIM(CLEAN(SUBSTITUTE(rate_COO&amp;""," "," "))))&lt;&gt;""))=INT($AO140/100))))</f>
        <v/>
      </c>
      <c r="AQ140" s="13">
        <f>IF($A140="",0,IFERROR(MATCH($AL140,det_Key,0),0))</f>
        <v/>
      </c>
    </row>
    <row r="141">
      <c r="A141" s="10">
        <f>IF(TRIM(CLEAN(SUBSTITUTE(Items!A141&amp;""," "," ")))="","",TRIM(CLEAN(SUBSTITUTE(Items!A141&amp;""," "," "))))</f>
        <v/>
      </c>
      <c r="B141" s="10">
        <f>IF($A141="","",Items!B141&amp;"")</f>
        <v/>
      </c>
      <c r="C141" s="10">
        <f>IF($A141="","",SUBSTITUTE(SUBSTITUTE(SUBSTITUTE(SUBSTITUTE(CLEAN(Items!D141&amp;"")," ",""),".","")," ",""),"-",""))</f>
        <v/>
      </c>
      <c r="D141" s="10">
        <f>IF($A141="","",LEFT($C141,2))</f>
        <v/>
      </c>
      <c r="E141" s="10">
        <f>IF($A141="","",UPPER(TRIM(CLEAN(SUBSTITUTE(Items!E141&amp;""," "," ")))))</f>
        <v/>
      </c>
      <c r="F141" s="10">
        <f>IF($A141="","",IF(UPPER(TRIM(CLEAN(SUBSTITUTE(Items!C141&amp;""," "," "))))=UPPER(TRIM(CLEAN(SUBSTITUTE(act_Country&amp;""," "," ")))),"Y","N"))</f>
        <v/>
      </c>
      <c r="G141" s="10">
        <f>IF($A141="","",IF($AM141&gt;0,"Y","N"))</f>
        <v/>
      </c>
      <c r="H141" s="10">
        <f>IF($A141="","",IF(SUMPRODUCT((excl_HTS&lt;&gt;"")*(LEFT($C141,LEN(excl_HTS))=excl_HTS))&gt;0,"Y","N"))</f>
        <v/>
      </c>
      <c r="I141" s="10">
        <f>IF($A141="","",IF($E141="","N",IF(SUMPRODUCT(--(UPPER(TRIM(CLEAN(SUBSTITUTE(scope_COO&amp;""," "," "))))=$E141))&gt;0,"Y","N")))</f>
        <v/>
      </c>
      <c r="J141" s="10">
        <f>IF($A141="","",IF(AND(UPPER(TRIM(CLEAN(SUBSTITUTE(act_USMCAExempt&amp;""," "," "))))="Y",UPPER(TRIM(CLEAN(SUBSTITUTE(Items!F141&amp;""," "," "))))="Y"),"Y","N"))</f>
        <v/>
      </c>
      <c r="K141" s="10">
        <f>IF($A141="","",IF($AQ141=0,"",UPPER(TRIM(CLEAN(SUBSTITUTE(INDEX(det_Status,$AQ141)&amp;""," "," "))))))</f>
        <v/>
      </c>
      <c r="L141" s="10">
        <f>IF($A141="","",IF($F141="N","N",IF($K141="IN","Y",IF($K141="OUT","N",IF(AND($G141="Y",$H141="N",$I141="Y",$J141="N"),"Y","N")))))</f>
        <v/>
      </c>
      <c r="M141" s="10">
        <f>IF($A141="","",IF($F141="N","Out: different import country",IF($K141="IN","In: Research determination",IF($K141="OUT","Out: Research determination",IF($G141="N","Out: HTS not on scope list",IF($H141="Y","Out: HTS on exclusion list",IF($I141="N","Out: origin not on scope list",IF($J141="Y","Out: USMCA-qualifying, exempt","In: matches scope rules"))))))))</f>
        <v/>
      </c>
      <c r="N141" s="10">
        <f>IF(OR($A141="",$AM141=0),"",UPPER(TRIM(CLEAN(SUBSTITUTE(INDEX(scope_Group,MOD($AM141,1000))&amp;""," "," ")))))</f>
        <v/>
      </c>
      <c r="O141" s="10">
        <f>IF($L141&lt;&gt;"Y","",IF($AO141=0,"Default (B15)",UPPER(TRIM(CLEAN(SUBSTITUTE(INDEX(rate_ID,MOD($AO141,100))&amp;""," "," "))))))</f>
        <v/>
      </c>
      <c r="P141" s="10">
        <f>IF($L141&lt;&gt;"Y","",IF($AO141=0,IF(UPPER(TRIM(CLEAN(SUBSTITUTE(act_DefaultBase&amp;""," "," "))))="PART","PART","FULL"),IF(UPPER(TRIM(CLEAN(SUBSTITUTE(INDEX(rate_Base,MOD($AO141,100))&amp;""," "," "))))="PART","PART","FULL")))</f>
        <v/>
      </c>
      <c r="Q141" s="17">
        <f>IF($A141="","",N(Items!J141))</f>
        <v/>
      </c>
      <c r="R141" s="17">
        <f>IF($A141="","",IF($L141&lt;&gt;"Y",0,IF($AO141=0,N(act_Rate),N(INDEX(rate_Rate,MOD($AO141,100))))))</f>
        <v/>
      </c>
      <c r="S141" s="17">
        <f>IF($A141="","",IF($L141&lt;&gt;"Y",0,IF($AO141=0,IF(UPPER(TRIM(CLEAN(SUBSTITUTE(act_RateType&amp;""," "," "))))="REPLACE",N(act_PriorRate),0),IF(ISNUMBER(INDEX(rate_Prior,MOD($AO141,100))),INDEX(rate_Prior,MOD($AO141,100)),IF(UPPER(TRIM(CLEAN(SUBSTITUTE(act_RateType&amp;""," "," "))))="REPLACE",N(act_PriorRate),0)))))</f>
        <v/>
      </c>
      <c r="T141" s="17">
        <f>IF($A141="","",IF(AND($L141="Y",$P141="PART",ISNUMBER(Items!M141)),Items!M141,1))</f>
        <v/>
      </c>
      <c r="U141" s="17">
        <f>IF($A141="","",IF($L141&lt;&gt;"Y",0,IF($AQ141&gt;0,IF(ISNUMBER(INDEX(det_Displaced,$AQ141)),INDEX(det_Displaced,$AQ141),IF($AO141=0,0,N(INDEX(rate_Displaced,MOD($AO141,100))))),IF($AO141=0,0,N(INDEX(rate_Displaced,MOD($AO141,100)))))))</f>
        <v/>
      </c>
      <c r="V141" s="17">
        <f>IF($A141="","",IF($L141="Y",$Q141+$T141*($R141-$S141)-$U141,$Q141))</f>
        <v/>
      </c>
      <c r="W141" s="18">
        <f>IF($A141="","",N(Items!H141)*$Q141)</f>
        <v/>
      </c>
      <c r="X141" s="18">
        <f>IF($A141="","",N(Items!H141)*$V141)</f>
        <v/>
      </c>
      <c r="Y141" s="18">
        <f>IF($A141="","",$X141-$W141)</f>
        <v/>
      </c>
      <c r="Z141" s="18">
        <f>IF($A141="","",N(Items!K141)+$Y141)</f>
        <v/>
      </c>
      <c r="AA141" s="17">
        <f>IF($A141="","",IF(N(Items!L141)=0,"",(N(Items!L141)-N(Items!K141))/N(Items!L141)))</f>
        <v/>
      </c>
      <c r="AB141" s="17">
        <f>IF($A141="","",IF(N(Items!L141)=0,"",(N(Items!L141)-$Z141)/N(Items!L141)))</f>
        <v/>
      </c>
      <c r="AC141" s="17">
        <f>IF(OR($AA141="",$AB141=""),"",$AB141-$AA141)</f>
        <v/>
      </c>
      <c r="AD141" s="13">
        <f>IF($A141="","",N(Items!I141))</f>
        <v/>
      </c>
      <c r="AE141" s="19">
        <f>IF($A141="","",$Y141*$AD141)</f>
        <v/>
      </c>
      <c r="AF141" s="10">
        <f>IF($A141="","",IF(N(Items!L141)&gt;0,"Y","N"))</f>
        <v/>
      </c>
      <c r="AG141" s="19">
        <f>IF($A141="","",IF($AF141="Y",N(Items!L141)*$AD141,0))</f>
        <v/>
      </c>
      <c r="AH141" s="19">
        <f>IF($A141="","",IF($AF141="Y",(N(Items!L141)-N(Items!K141))*$AD141,0))</f>
        <v/>
      </c>
      <c r="AI141" s="19">
        <f>IF($A141="","",IF($AF141="Y",$AH141-$AE141,0))</f>
        <v/>
      </c>
      <c r="AJ141" s="10">
        <f>IF($A141="","",IF(COUNTIF($AL$5:$AL$254,$AL141)&gt;1,"CHECK: duplicate item and import country",IF(TRIM(CLEAN(SUBSTITUTE(Items!C141&amp;""," "," ")))="","CHECK: import country missing",IF(AND(UPPER(TRIM(CLEAN(SUBSTITUTE(Items!C141&amp;""," "," "))))&lt;&gt;"US",UPPER(TRIM(CLEAN(SUBSTITUTE(Items!C141&amp;""," "," "))))&lt;&gt;"CA",UPPER(TRIM(CLEAN(SUBSTITUTE(Items!C141&amp;""," "," "))))&lt;&gt;"MX"),"CHECK: import country must be US, CA or MX",IF(NOT(AND(LEN($C141)=10,IFERROR(TEXT(VALUE($C141),REPT("0",LEN($C141)))=$C141,FALSE))),"CHECK: HTS must be 10 digits",IF(LEN($E141)&lt;&gt;2,"CHECK: origin code missing or not 2 letters",IF(TRIM(CLEAN(SUBSTITUTE(Items!G141&amp;""," "," ")))="","CHECK: unit of measure missing",IF(OR(Items!H141="",Items!J141="",Items!K141=""),"CHECK: value, rate or cost missing",IF(OR(NOT(ISNUMBER(Items!H141)),NOT(ISNUMBER(Items!J141)),NOT(ISNUMBER(Items!K141)),AND(Items!I141&lt;&gt;"",NOT(ISNUMBER(Items!I141))),AND(Items!L141&lt;&gt;"",NOT(ISNUMBER(Items!L141))),AND(Items!M141&lt;&gt;"",NOT(ISNUMBER(Items!M141)))),"CHECK: text in a number column",IF(AND(ISNUMBER(Items!M141),OR(N(Items!M141)&lt;0,N(Items!M141)&gt;1)),"CHECK: dutiable share must be 0% to 100%",IF(AND(UPPER(TRIM(CLEAN(SUBSTITUTE(Items!F141&amp;""," "," "))))&lt;&gt;"",UPPER(TRIM(CLEAN(SUBSTITUTE(Items!F141&amp;""," "," "))))&lt;&gt;"Y",UPPER(TRIM(CLEAN(SUBSTITUTE(Items!F141&amp;""," "," "))))&lt;&gt;"N"),"CHECK: USMCA flag must be Y, N or blank",IF(AND(UPPER(TRIM(CLEAN(SUBSTITUTE(Items!F141&amp;""," "," "))))="Y",$E141&lt;&gt;"US",$E141&lt;&gt;"CA",$E141&lt;&gt;"MX"),"CHECK: USMCA flag on an origin other than US, CA or MX",IF(AND($L141="Y",$AO141=0,NOT(ISNUMBER(act_Rate))),"CHECK: in scope but no rate (add a rate line or B15)",IF(AND($L141="Y",UPPER(TRIM(CLEAN(SUBSTITUTE(act_RateType&amp;""," "," "))))="REPLACE",NOT(ISNUMBER(act_PriorRate)),IF($AO141=0,TRUE,NOT(ISNUMBER(INDEX(rate_Prior,MOD($AO141,100)))))),"CHECK: REPLACE but no earlier rate (B17 or the rate line's AD)",IF(AND($L141="Y",$AP141&gt;1),"CHECK: two rate lines match equally",IF(AND($L141="Y",$AN141&gt;1),"CHECK: HTS prefix listed twice on the scope list",IF(AND($L141="Y",$P141="PART",NOT(ISNUMBER(Items!M141))),"CHECK: dutiable share missing (PART base)",IF(AND($L141="Y",$P141="FULL",ISNUMBER(Items!M141),N(Items!M141)&lt;&gt;1),"CHECK: dutiable share entered, but the rate taxes the full value",IF(AND($L141="Y",$Q141+0.0000001&lt;$T141*$S141+$U141),"CHECK: current rate is below the duty being replaced or displaced",IF(AND($L141="Y",$AD141=0),"NOTE: in scope, no quantity",IF(AND($L141="Y",$AF141="N"),"NOTE: in scope, no sell price (left out of margin %)",IF(AND($L141="Y",N(Items!H141)&gt;N(Items!K141)),"NOTE: customs value above standard cost (check unit of measure)",IF(AND($L141="Y",$Q141&gt;1),"NOTE: current rate above 100% (check it was entered as a percentage)","OK")))))))))))))))))))))))</f>
        <v/>
      </c>
      <c r="AK141" s="20">
        <f>IF($A141="","",IF(AND($L141="Y",$AE141&lt;&gt;0),ABS($AE141)+ROW()/1000000000,""))</f>
        <v/>
      </c>
      <c r="AL141" s="10">
        <f>IF($A141="","",UPPER($A141)&amp;"/"&amp;UPPER(TRIM(CLEAN(SUBSTITUTE(Items!C141&amp;""," "," ")))))</f>
        <v/>
      </c>
      <c r="AM141" s="13">
        <f>IF($A141="",0,SUMPRODUCT(MAX((scope_HTS&lt;&gt;"")*(LEFT($C141,LEN(scope_HTS))=scope_HTS)*(LEN(scope_HTS)*1000+ROW(scope_HTS)-4))))</f>
        <v/>
      </c>
      <c r="AN141" s="13">
        <f>IF($AM141=0,0,SUMPRODUCT((scope_HTS&lt;&gt;"")*(LEFT($C141,LEN(scope_HTS))=scope_HTS)*(LEN(scope_HTS)=INT($AM141/1000))))</f>
        <v/>
      </c>
      <c r="AO141" s="13">
        <f>IF($L141&lt;&gt;"Y",0,SUMPRODUCT(MAX(ISNUMBER(rate_Rate)*((UPPER(TRIM(CLEAN(SUBSTITUTE(rate_Group&amp;""," "," "))))="")+(UPPER(TRIM(CLEAN(SUBSTITUTE(rate_Group&amp;""," "," "))))=$N141)&gt;0)*((UPPER(TRIM(CLEAN(SUBSTITUTE(rate_COO&amp;""," "," "))))="")+(UPPER(TRIM(CLEAN(SUBSTITUTE(rate_COO&amp;""," "," "))))=$E141)&gt;0)*((UPPER(TRIM(CLEAN(SUBSTITUTE(rate_USMCA&amp;""," "," "))))="")+(UPPER(TRIM(CLEAN(SUBSTITUTE(rate_USMCA&amp;""," "," "))))=IF(UPPER(TRIM(CLEAN(SUBSTITUTE(Items!F141&amp;""," "," "))))="Y","Y","N"))&gt;0)*((1+(UPPER(TRIM(CLEAN(SUBSTITUTE(rate_Group&amp;""," "," "))))&lt;&gt;"")+2*(UPPER(TRIM(CLEAN(SUBSTITUTE(rate_USMCA&amp;""," "," "))))&lt;&gt;"")+4*(UPPER(TRIM(CLEAN(SUBSTITUTE(rate_COO&amp;""," "," "))))&lt;&gt;""))*100+ROW(rate_Rate)-4))))</f>
        <v/>
      </c>
      <c r="AP141" s="13">
        <f>IF($AO141=0,0,SUMPRODUCT(ISNUMBER(rate_Rate)*((UPPER(TRIM(CLEAN(SUBSTITUTE(rate_Group&amp;""," "," "))))="")+(UPPER(TRIM(CLEAN(SUBSTITUTE(rate_Group&amp;""," "," "))))=$N141)&gt;0)*((UPPER(TRIM(CLEAN(SUBSTITUTE(rate_COO&amp;""," "," "))))="")+(UPPER(TRIM(CLEAN(SUBSTITUTE(rate_COO&amp;""," "," "))))=$E141)&gt;0)*((UPPER(TRIM(CLEAN(SUBSTITUTE(rate_USMCA&amp;""," "," "))))="")+(UPPER(TRIM(CLEAN(SUBSTITUTE(rate_USMCA&amp;""," "," "))))=IF(UPPER(TRIM(CLEAN(SUBSTITUTE(Items!F141&amp;""," "," "))))="Y","Y","N"))&gt;0)*((1+(UPPER(TRIM(CLEAN(SUBSTITUTE(rate_Group&amp;""," "," "))))&lt;&gt;"")+2*(UPPER(TRIM(CLEAN(SUBSTITUTE(rate_USMCA&amp;""," "," "))))&lt;&gt;"")+4*(UPPER(TRIM(CLEAN(SUBSTITUTE(rate_COO&amp;""," "," "))))&lt;&gt;""))=INT($AO141/100))))</f>
        <v/>
      </c>
      <c r="AQ141" s="13">
        <f>IF($A141="",0,IFERROR(MATCH($AL141,det_Key,0),0))</f>
        <v/>
      </c>
    </row>
    <row r="142">
      <c r="A142" s="10">
        <f>IF(TRIM(CLEAN(SUBSTITUTE(Items!A142&amp;""," "," ")))="","",TRIM(CLEAN(SUBSTITUTE(Items!A142&amp;""," "," "))))</f>
        <v/>
      </c>
      <c r="B142" s="10">
        <f>IF($A142="","",Items!B142&amp;"")</f>
        <v/>
      </c>
      <c r="C142" s="10">
        <f>IF($A142="","",SUBSTITUTE(SUBSTITUTE(SUBSTITUTE(SUBSTITUTE(CLEAN(Items!D142&amp;"")," ",""),".","")," ",""),"-",""))</f>
        <v/>
      </c>
      <c r="D142" s="10">
        <f>IF($A142="","",LEFT($C142,2))</f>
        <v/>
      </c>
      <c r="E142" s="10">
        <f>IF($A142="","",UPPER(TRIM(CLEAN(SUBSTITUTE(Items!E142&amp;""," "," ")))))</f>
        <v/>
      </c>
      <c r="F142" s="10">
        <f>IF($A142="","",IF(UPPER(TRIM(CLEAN(SUBSTITUTE(Items!C142&amp;""," "," "))))=UPPER(TRIM(CLEAN(SUBSTITUTE(act_Country&amp;""," "," ")))),"Y","N"))</f>
        <v/>
      </c>
      <c r="G142" s="10">
        <f>IF($A142="","",IF($AM142&gt;0,"Y","N"))</f>
        <v/>
      </c>
      <c r="H142" s="10">
        <f>IF($A142="","",IF(SUMPRODUCT((excl_HTS&lt;&gt;"")*(LEFT($C142,LEN(excl_HTS))=excl_HTS))&gt;0,"Y","N"))</f>
        <v/>
      </c>
      <c r="I142" s="10">
        <f>IF($A142="","",IF($E142="","N",IF(SUMPRODUCT(--(UPPER(TRIM(CLEAN(SUBSTITUTE(scope_COO&amp;""," "," "))))=$E142))&gt;0,"Y","N")))</f>
        <v/>
      </c>
      <c r="J142" s="10">
        <f>IF($A142="","",IF(AND(UPPER(TRIM(CLEAN(SUBSTITUTE(act_USMCAExempt&amp;""," "," "))))="Y",UPPER(TRIM(CLEAN(SUBSTITUTE(Items!F142&amp;""," "," "))))="Y"),"Y","N"))</f>
        <v/>
      </c>
      <c r="K142" s="10">
        <f>IF($A142="","",IF($AQ142=0,"",UPPER(TRIM(CLEAN(SUBSTITUTE(INDEX(det_Status,$AQ142)&amp;""," "," "))))))</f>
        <v/>
      </c>
      <c r="L142" s="10">
        <f>IF($A142="","",IF($F142="N","N",IF($K142="IN","Y",IF($K142="OUT","N",IF(AND($G142="Y",$H142="N",$I142="Y",$J142="N"),"Y","N")))))</f>
        <v/>
      </c>
      <c r="M142" s="10">
        <f>IF($A142="","",IF($F142="N","Out: different import country",IF($K142="IN","In: Research determination",IF($K142="OUT","Out: Research determination",IF($G142="N","Out: HTS not on scope list",IF($H142="Y","Out: HTS on exclusion list",IF($I142="N","Out: origin not on scope list",IF($J142="Y","Out: USMCA-qualifying, exempt","In: matches scope rules"))))))))</f>
        <v/>
      </c>
      <c r="N142" s="10">
        <f>IF(OR($A142="",$AM142=0),"",UPPER(TRIM(CLEAN(SUBSTITUTE(INDEX(scope_Group,MOD($AM142,1000))&amp;""," "," ")))))</f>
        <v/>
      </c>
      <c r="O142" s="10">
        <f>IF($L142&lt;&gt;"Y","",IF($AO142=0,"Default (B15)",UPPER(TRIM(CLEAN(SUBSTITUTE(INDEX(rate_ID,MOD($AO142,100))&amp;""," "," "))))))</f>
        <v/>
      </c>
      <c r="P142" s="10">
        <f>IF($L142&lt;&gt;"Y","",IF($AO142=0,IF(UPPER(TRIM(CLEAN(SUBSTITUTE(act_DefaultBase&amp;""," "," "))))="PART","PART","FULL"),IF(UPPER(TRIM(CLEAN(SUBSTITUTE(INDEX(rate_Base,MOD($AO142,100))&amp;""," "," "))))="PART","PART","FULL")))</f>
        <v/>
      </c>
      <c r="Q142" s="17">
        <f>IF($A142="","",N(Items!J142))</f>
        <v/>
      </c>
      <c r="R142" s="17">
        <f>IF($A142="","",IF($L142&lt;&gt;"Y",0,IF($AO142=0,N(act_Rate),N(INDEX(rate_Rate,MOD($AO142,100))))))</f>
        <v/>
      </c>
      <c r="S142" s="17">
        <f>IF($A142="","",IF($L142&lt;&gt;"Y",0,IF($AO142=0,IF(UPPER(TRIM(CLEAN(SUBSTITUTE(act_RateType&amp;""," "," "))))="REPLACE",N(act_PriorRate),0),IF(ISNUMBER(INDEX(rate_Prior,MOD($AO142,100))),INDEX(rate_Prior,MOD($AO142,100)),IF(UPPER(TRIM(CLEAN(SUBSTITUTE(act_RateType&amp;""," "," "))))="REPLACE",N(act_PriorRate),0)))))</f>
        <v/>
      </c>
      <c r="T142" s="17">
        <f>IF($A142="","",IF(AND($L142="Y",$P142="PART",ISNUMBER(Items!M142)),Items!M142,1))</f>
        <v/>
      </c>
      <c r="U142" s="17">
        <f>IF($A142="","",IF($L142&lt;&gt;"Y",0,IF($AQ142&gt;0,IF(ISNUMBER(INDEX(det_Displaced,$AQ142)),INDEX(det_Displaced,$AQ142),IF($AO142=0,0,N(INDEX(rate_Displaced,MOD($AO142,100))))),IF($AO142=0,0,N(INDEX(rate_Displaced,MOD($AO142,100)))))))</f>
        <v/>
      </c>
      <c r="V142" s="17">
        <f>IF($A142="","",IF($L142="Y",$Q142+$T142*($R142-$S142)-$U142,$Q142))</f>
        <v/>
      </c>
      <c r="W142" s="18">
        <f>IF($A142="","",N(Items!H142)*$Q142)</f>
        <v/>
      </c>
      <c r="X142" s="18">
        <f>IF($A142="","",N(Items!H142)*$V142)</f>
        <v/>
      </c>
      <c r="Y142" s="18">
        <f>IF($A142="","",$X142-$W142)</f>
        <v/>
      </c>
      <c r="Z142" s="18">
        <f>IF($A142="","",N(Items!K142)+$Y142)</f>
        <v/>
      </c>
      <c r="AA142" s="17">
        <f>IF($A142="","",IF(N(Items!L142)=0,"",(N(Items!L142)-N(Items!K142))/N(Items!L142)))</f>
        <v/>
      </c>
      <c r="AB142" s="17">
        <f>IF($A142="","",IF(N(Items!L142)=0,"",(N(Items!L142)-$Z142)/N(Items!L142)))</f>
        <v/>
      </c>
      <c r="AC142" s="17">
        <f>IF(OR($AA142="",$AB142=""),"",$AB142-$AA142)</f>
        <v/>
      </c>
      <c r="AD142" s="13">
        <f>IF($A142="","",N(Items!I142))</f>
        <v/>
      </c>
      <c r="AE142" s="19">
        <f>IF($A142="","",$Y142*$AD142)</f>
        <v/>
      </c>
      <c r="AF142" s="10">
        <f>IF($A142="","",IF(N(Items!L142)&gt;0,"Y","N"))</f>
        <v/>
      </c>
      <c r="AG142" s="19">
        <f>IF($A142="","",IF($AF142="Y",N(Items!L142)*$AD142,0))</f>
        <v/>
      </c>
      <c r="AH142" s="19">
        <f>IF($A142="","",IF($AF142="Y",(N(Items!L142)-N(Items!K142))*$AD142,0))</f>
        <v/>
      </c>
      <c r="AI142" s="19">
        <f>IF($A142="","",IF($AF142="Y",$AH142-$AE142,0))</f>
        <v/>
      </c>
      <c r="AJ142" s="10">
        <f>IF($A142="","",IF(COUNTIF($AL$5:$AL$254,$AL142)&gt;1,"CHECK: duplicate item and import country",IF(TRIM(CLEAN(SUBSTITUTE(Items!C142&amp;""," "," ")))="","CHECK: import country missing",IF(AND(UPPER(TRIM(CLEAN(SUBSTITUTE(Items!C142&amp;""," "," "))))&lt;&gt;"US",UPPER(TRIM(CLEAN(SUBSTITUTE(Items!C142&amp;""," "," "))))&lt;&gt;"CA",UPPER(TRIM(CLEAN(SUBSTITUTE(Items!C142&amp;""," "," "))))&lt;&gt;"MX"),"CHECK: import country must be US, CA or MX",IF(NOT(AND(LEN($C142)=10,IFERROR(TEXT(VALUE($C142),REPT("0",LEN($C142)))=$C142,FALSE))),"CHECK: HTS must be 10 digits",IF(LEN($E142)&lt;&gt;2,"CHECK: origin code missing or not 2 letters",IF(TRIM(CLEAN(SUBSTITUTE(Items!G142&amp;""," "," ")))="","CHECK: unit of measure missing",IF(OR(Items!H142="",Items!J142="",Items!K142=""),"CHECK: value, rate or cost missing",IF(OR(NOT(ISNUMBER(Items!H142)),NOT(ISNUMBER(Items!J142)),NOT(ISNUMBER(Items!K142)),AND(Items!I142&lt;&gt;"",NOT(ISNUMBER(Items!I142))),AND(Items!L142&lt;&gt;"",NOT(ISNUMBER(Items!L142))),AND(Items!M142&lt;&gt;"",NOT(ISNUMBER(Items!M142)))),"CHECK: text in a number column",IF(AND(ISNUMBER(Items!M142),OR(N(Items!M142)&lt;0,N(Items!M142)&gt;1)),"CHECK: dutiable share must be 0% to 100%",IF(AND(UPPER(TRIM(CLEAN(SUBSTITUTE(Items!F142&amp;""," "," "))))&lt;&gt;"",UPPER(TRIM(CLEAN(SUBSTITUTE(Items!F142&amp;""," "," "))))&lt;&gt;"Y",UPPER(TRIM(CLEAN(SUBSTITUTE(Items!F142&amp;""," "," "))))&lt;&gt;"N"),"CHECK: USMCA flag must be Y, N or blank",IF(AND(UPPER(TRIM(CLEAN(SUBSTITUTE(Items!F142&amp;""," "," "))))="Y",$E142&lt;&gt;"US",$E142&lt;&gt;"CA",$E142&lt;&gt;"MX"),"CHECK: USMCA flag on an origin other than US, CA or MX",IF(AND($L142="Y",$AO142=0,NOT(ISNUMBER(act_Rate))),"CHECK: in scope but no rate (add a rate line or B15)",IF(AND($L142="Y",UPPER(TRIM(CLEAN(SUBSTITUTE(act_RateType&amp;""," "," "))))="REPLACE",NOT(ISNUMBER(act_PriorRate)),IF($AO142=0,TRUE,NOT(ISNUMBER(INDEX(rate_Prior,MOD($AO142,100)))))),"CHECK: REPLACE but no earlier rate (B17 or the rate line's AD)",IF(AND($L142="Y",$AP142&gt;1),"CHECK: two rate lines match equally",IF(AND($L142="Y",$AN142&gt;1),"CHECK: HTS prefix listed twice on the scope list",IF(AND($L142="Y",$P142="PART",NOT(ISNUMBER(Items!M142))),"CHECK: dutiable share missing (PART base)",IF(AND($L142="Y",$P142="FULL",ISNUMBER(Items!M142),N(Items!M142)&lt;&gt;1),"CHECK: dutiable share entered, but the rate taxes the full value",IF(AND($L142="Y",$Q142+0.0000001&lt;$T142*$S142+$U142),"CHECK: current rate is below the duty being replaced or displaced",IF(AND($L142="Y",$AD142=0),"NOTE: in scope, no quantity",IF(AND($L142="Y",$AF142="N"),"NOTE: in scope, no sell price (left out of margin %)",IF(AND($L142="Y",N(Items!H142)&gt;N(Items!K142)),"NOTE: customs value above standard cost (check unit of measure)",IF(AND($L142="Y",$Q142&gt;1),"NOTE: current rate above 100% (check it was entered as a percentage)","OK")))))))))))))))))))))))</f>
        <v/>
      </c>
      <c r="AK142" s="20">
        <f>IF($A142="","",IF(AND($L142="Y",$AE142&lt;&gt;0),ABS($AE142)+ROW()/1000000000,""))</f>
        <v/>
      </c>
      <c r="AL142" s="10">
        <f>IF($A142="","",UPPER($A142)&amp;"/"&amp;UPPER(TRIM(CLEAN(SUBSTITUTE(Items!C142&amp;""," "," ")))))</f>
        <v/>
      </c>
      <c r="AM142" s="13">
        <f>IF($A142="",0,SUMPRODUCT(MAX((scope_HTS&lt;&gt;"")*(LEFT($C142,LEN(scope_HTS))=scope_HTS)*(LEN(scope_HTS)*1000+ROW(scope_HTS)-4))))</f>
        <v/>
      </c>
      <c r="AN142" s="13">
        <f>IF($AM142=0,0,SUMPRODUCT((scope_HTS&lt;&gt;"")*(LEFT($C142,LEN(scope_HTS))=scope_HTS)*(LEN(scope_HTS)=INT($AM142/1000))))</f>
        <v/>
      </c>
      <c r="AO142" s="13">
        <f>IF($L142&lt;&gt;"Y",0,SUMPRODUCT(MAX(ISNUMBER(rate_Rate)*((UPPER(TRIM(CLEAN(SUBSTITUTE(rate_Group&amp;""," "," "))))="")+(UPPER(TRIM(CLEAN(SUBSTITUTE(rate_Group&amp;""," "," "))))=$N142)&gt;0)*((UPPER(TRIM(CLEAN(SUBSTITUTE(rate_COO&amp;""," "," "))))="")+(UPPER(TRIM(CLEAN(SUBSTITUTE(rate_COO&amp;""," "," "))))=$E142)&gt;0)*((UPPER(TRIM(CLEAN(SUBSTITUTE(rate_USMCA&amp;""," "," "))))="")+(UPPER(TRIM(CLEAN(SUBSTITUTE(rate_USMCA&amp;""," "," "))))=IF(UPPER(TRIM(CLEAN(SUBSTITUTE(Items!F142&amp;""," "," "))))="Y","Y","N"))&gt;0)*((1+(UPPER(TRIM(CLEAN(SUBSTITUTE(rate_Group&amp;""," "," "))))&lt;&gt;"")+2*(UPPER(TRIM(CLEAN(SUBSTITUTE(rate_USMCA&amp;""," "," "))))&lt;&gt;"")+4*(UPPER(TRIM(CLEAN(SUBSTITUTE(rate_COO&amp;""," "," "))))&lt;&gt;""))*100+ROW(rate_Rate)-4))))</f>
        <v/>
      </c>
      <c r="AP142" s="13">
        <f>IF($AO142=0,0,SUMPRODUCT(ISNUMBER(rate_Rate)*((UPPER(TRIM(CLEAN(SUBSTITUTE(rate_Group&amp;""," "," "))))="")+(UPPER(TRIM(CLEAN(SUBSTITUTE(rate_Group&amp;""," "," "))))=$N142)&gt;0)*((UPPER(TRIM(CLEAN(SUBSTITUTE(rate_COO&amp;""," "," "))))="")+(UPPER(TRIM(CLEAN(SUBSTITUTE(rate_COO&amp;""," "," "))))=$E142)&gt;0)*((UPPER(TRIM(CLEAN(SUBSTITUTE(rate_USMCA&amp;""," "," "))))="")+(UPPER(TRIM(CLEAN(SUBSTITUTE(rate_USMCA&amp;""," "," "))))=IF(UPPER(TRIM(CLEAN(SUBSTITUTE(Items!F142&amp;""," "," "))))="Y","Y","N"))&gt;0)*((1+(UPPER(TRIM(CLEAN(SUBSTITUTE(rate_Group&amp;""," "," "))))&lt;&gt;"")+2*(UPPER(TRIM(CLEAN(SUBSTITUTE(rate_USMCA&amp;""," "," "))))&lt;&gt;"")+4*(UPPER(TRIM(CLEAN(SUBSTITUTE(rate_COO&amp;""," "," "))))&lt;&gt;""))=INT($AO142/100))))</f>
        <v/>
      </c>
      <c r="AQ142" s="13">
        <f>IF($A142="",0,IFERROR(MATCH($AL142,det_Key,0),0))</f>
        <v/>
      </c>
    </row>
    <row r="143">
      <c r="A143" s="10">
        <f>IF(TRIM(CLEAN(SUBSTITUTE(Items!A143&amp;""," "," ")))="","",TRIM(CLEAN(SUBSTITUTE(Items!A143&amp;""," "," "))))</f>
        <v/>
      </c>
      <c r="B143" s="10">
        <f>IF($A143="","",Items!B143&amp;"")</f>
        <v/>
      </c>
      <c r="C143" s="10">
        <f>IF($A143="","",SUBSTITUTE(SUBSTITUTE(SUBSTITUTE(SUBSTITUTE(CLEAN(Items!D143&amp;"")," ",""),".","")," ",""),"-",""))</f>
        <v/>
      </c>
      <c r="D143" s="10">
        <f>IF($A143="","",LEFT($C143,2))</f>
        <v/>
      </c>
      <c r="E143" s="10">
        <f>IF($A143="","",UPPER(TRIM(CLEAN(SUBSTITUTE(Items!E143&amp;""," "," ")))))</f>
        <v/>
      </c>
      <c r="F143" s="10">
        <f>IF($A143="","",IF(UPPER(TRIM(CLEAN(SUBSTITUTE(Items!C143&amp;""," "," "))))=UPPER(TRIM(CLEAN(SUBSTITUTE(act_Country&amp;""," "," ")))),"Y","N"))</f>
        <v/>
      </c>
      <c r="G143" s="10">
        <f>IF($A143="","",IF($AM143&gt;0,"Y","N"))</f>
        <v/>
      </c>
      <c r="H143" s="10">
        <f>IF($A143="","",IF(SUMPRODUCT((excl_HTS&lt;&gt;"")*(LEFT($C143,LEN(excl_HTS))=excl_HTS))&gt;0,"Y","N"))</f>
        <v/>
      </c>
      <c r="I143" s="10">
        <f>IF($A143="","",IF($E143="","N",IF(SUMPRODUCT(--(UPPER(TRIM(CLEAN(SUBSTITUTE(scope_COO&amp;""," "," "))))=$E143))&gt;0,"Y","N")))</f>
        <v/>
      </c>
      <c r="J143" s="10">
        <f>IF($A143="","",IF(AND(UPPER(TRIM(CLEAN(SUBSTITUTE(act_USMCAExempt&amp;""," "," "))))="Y",UPPER(TRIM(CLEAN(SUBSTITUTE(Items!F143&amp;""," "," "))))="Y"),"Y","N"))</f>
        <v/>
      </c>
      <c r="K143" s="10">
        <f>IF($A143="","",IF($AQ143=0,"",UPPER(TRIM(CLEAN(SUBSTITUTE(INDEX(det_Status,$AQ143)&amp;""," "," "))))))</f>
        <v/>
      </c>
      <c r="L143" s="10">
        <f>IF($A143="","",IF($F143="N","N",IF($K143="IN","Y",IF($K143="OUT","N",IF(AND($G143="Y",$H143="N",$I143="Y",$J143="N"),"Y","N")))))</f>
        <v/>
      </c>
      <c r="M143" s="10">
        <f>IF($A143="","",IF($F143="N","Out: different import country",IF($K143="IN","In: Research determination",IF($K143="OUT","Out: Research determination",IF($G143="N","Out: HTS not on scope list",IF($H143="Y","Out: HTS on exclusion list",IF($I143="N","Out: origin not on scope list",IF($J143="Y","Out: USMCA-qualifying, exempt","In: matches scope rules"))))))))</f>
        <v/>
      </c>
      <c r="N143" s="10">
        <f>IF(OR($A143="",$AM143=0),"",UPPER(TRIM(CLEAN(SUBSTITUTE(INDEX(scope_Group,MOD($AM143,1000))&amp;""," "," ")))))</f>
        <v/>
      </c>
      <c r="O143" s="10">
        <f>IF($L143&lt;&gt;"Y","",IF($AO143=0,"Default (B15)",UPPER(TRIM(CLEAN(SUBSTITUTE(INDEX(rate_ID,MOD($AO143,100))&amp;""," "," "))))))</f>
        <v/>
      </c>
      <c r="P143" s="10">
        <f>IF($L143&lt;&gt;"Y","",IF($AO143=0,IF(UPPER(TRIM(CLEAN(SUBSTITUTE(act_DefaultBase&amp;""," "," "))))="PART","PART","FULL"),IF(UPPER(TRIM(CLEAN(SUBSTITUTE(INDEX(rate_Base,MOD($AO143,100))&amp;""," "," "))))="PART","PART","FULL")))</f>
        <v/>
      </c>
      <c r="Q143" s="17">
        <f>IF($A143="","",N(Items!J143))</f>
        <v/>
      </c>
      <c r="R143" s="17">
        <f>IF($A143="","",IF($L143&lt;&gt;"Y",0,IF($AO143=0,N(act_Rate),N(INDEX(rate_Rate,MOD($AO143,100))))))</f>
        <v/>
      </c>
      <c r="S143" s="17">
        <f>IF($A143="","",IF($L143&lt;&gt;"Y",0,IF($AO143=0,IF(UPPER(TRIM(CLEAN(SUBSTITUTE(act_RateType&amp;""," "," "))))="REPLACE",N(act_PriorRate),0),IF(ISNUMBER(INDEX(rate_Prior,MOD($AO143,100))),INDEX(rate_Prior,MOD($AO143,100)),IF(UPPER(TRIM(CLEAN(SUBSTITUTE(act_RateType&amp;""," "," "))))="REPLACE",N(act_PriorRate),0)))))</f>
        <v/>
      </c>
      <c r="T143" s="17">
        <f>IF($A143="","",IF(AND($L143="Y",$P143="PART",ISNUMBER(Items!M143)),Items!M143,1))</f>
        <v/>
      </c>
      <c r="U143" s="17">
        <f>IF($A143="","",IF($L143&lt;&gt;"Y",0,IF($AQ143&gt;0,IF(ISNUMBER(INDEX(det_Displaced,$AQ143)),INDEX(det_Displaced,$AQ143),IF($AO143=0,0,N(INDEX(rate_Displaced,MOD($AO143,100))))),IF($AO143=0,0,N(INDEX(rate_Displaced,MOD($AO143,100)))))))</f>
        <v/>
      </c>
      <c r="V143" s="17">
        <f>IF($A143="","",IF($L143="Y",$Q143+$T143*($R143-$S143)-$U143,$Q143))</f>
        <v/>
      </c>
      <c r="W143" s="18">
        <f>IF($A143="","",N(Items!H143)*$Q143)</f>
        <v/>
      </c>
      <c r="X143" s="18">
        <f>IF($A143="","",N(Items!H143)*$V143)</f>
        <v/>
      </c>
      <c r="Y143" s="18">
        <f>IF($A143="","",$X143-$W143)</f>
        <v/>
      </c>
      <c r="Z143" s="18">
        <f>IF($A143="","",N(Items!K143)+$Y143)</f>
        <v/>
      </c>
      <c r="AA143" s="17">
        <f>IF($A143="","",IF(N(Items!L143)=0,"",(N(Items!L143)-N(Items!K143))/N(Items!L143)))</f>
        <v/>
      </c>
      <c r="AB143" s="17">
        <f>IF($A143="","",IF(N(Items!L143)=0,"",(N(Items!L143)-$Z143)/N(Items!L143)))</f>
        <v/>
      </c>
      <c r="AC143" s="17">
        <f>IF(OR($AA143="",$AB143=""),"",$AB143-$AA143)</f>
        <v/>
      </c>
      <c r="AD143" s="13">
        <f>IF($A143="","",N(Items!I143))</f>
        <v/>
      </c>
      <c r="AE143" s="19">
        <f>IF($A143="","",$Y143*$AD143)</f>
        <v/>
      </c>
      <c r="AF143" s="10">
        <f>IF($A143="","",IF(N(Items!L143)&gt;0,"Y","N"))</f>
        <v/>
      </c>
      <c r="AG143" s="19">
        <f>IF($A143="","",IF($AF143="Y",N(Items!L143)*$AD143,0))</f>
        <v/>
      </c>
      <c r="AH143" s="19">
        <f>IF($A143="","",IF($AF143="Y",(N(Items!L143)-N(Items!K143))*$AD143,0))</f>
        <v/>
      </c>
      <c r="AI143" s="19">
        <f>IF($A143="","",IF($AF143="Y",$AH143-$AE143,0))</f>
        <v/>
      </c>
      <c r="AJ143" s="10">
        <f>IF($A143="","",IF(COUNTIF($AL$5:$AL$254,$AL143)&gt;1,"CHECK: duplicate item and import country",IF(TRIM(CLEAN(SUBSTITUTE(Items!C143&amp;""," "," ")))="","CHECK: import country missing",IF(AND(UPPER(TRIM(CLEAN(SUBSTITUTE(Items!C143&amp;""," "," "))))&lt;&gt;"US",UPPER(TRIM(CLEAN(SUBSTITUTE(Items!C143&amp;""," "," "))))&lt;&gt;"CA",UPPER(TRIM(CLEAN(SUBSTITUTE(Items!C143&amp;""," "," "))))&lt;&gt;"MX"),"CHECK: import country must be US, CA or MX",IF(NOT(AND(LEN($C143)=10,IFERROR(TEXT(VALUE($C143),REPT("0",LEN($C143)))=$C143,FALSE))),"CHECK: HTS must be 10 digits",IF(LEN($E143)&lt;&gt;2,"CHECK: origin code missing or not 2 letters",IF(TRIM(CLEAN(SUBSTITUTE(Items!G143&amp;""," "," ")))="","CHECK: unit of measure missing",IF(OR(Items!H143="",Items!J143="",Items!K143=""),"CHECK: value, rate or cost missing",IF(OR(NOT(ISNUMBER(Items!H143)),NOT(ISNUMBER(Items!J143)),NOT(ISNUMBER(Items!K143)),AND(Items!I143&lt;&gt;"",NOT(ISNUMBER(Items!I143))),AND(Items!L143&lt;&gt;"",NOT(ISNUMBER(Items!L143))),AND(Items!M143&lt;&gt;"",NOT(ISNUMBER(Items!M143)))),"CHECK: text in a number column",IF(AND(ISNUMBER(Items!M143),OR(N(Items!M143)&lt;0,N(Items!M143)&gt;1)),"CHECK: dutiable share must be 0% to 100%",IF(AND(UPPER(TRIM(CLEAN(SUBSTITUTE(Items!F143&amp;""," "," "))))&lt;&gt;"",UPPER(TRIM(CLEAN(SUBSTITUTE(Items!F143&amp;""," "," "))))&lt;&gt;"Y",UPPER(TRIM(CLEAN(SUBSTITUTE(Items!F143&amp;""," "," "))))&lt;&gt;"N"),"CHECK: USMCA flag must be Y, N or blank",IF(AND(UPPER(TRIM(CLEAN(SUBSTITUTE(Items!F143&amp;""," "," "))))="Y",$E143&lt;&gt;"US",$E143&lt;&gt;"CA",$E143&lt;&gt;"MX"),"CHECK: USMCA flag on an origin other than US, CA or MX",IF(AND($L143="Y",$AO143=0,NOT(ISNUMBER(act_Rate))),"CHECK: in scope but no rate (add a rate line or B15)",IF(AND($L143="Y",UPPER(TRIM(CLEAN(SUBSTITUTE(act_RateType&amp;""," "," "))))="REPLACE",NOT(ISNUMBER(act_PriorRate)),IF($AO143=0,TRUE,NOT(ISNUMBER(INDEX(rate_Prior,MOD($AO143,100)))))),"CHECK: REPLACE but no earlier rate (B17 or the rate line's AD)",IF(AND($L143="Y",$AP143&gt;1),"CHECK: two rate lines match equally",IF(AND($L143="Y",$AN143&gt;1),"CHECK: HTS prefix listed twice on the scope list",IF(AND($L143="Y",$P143="PART",NOT(ISNUMBER(Items!M143))),"CHECK: dutiable share missing (PART base)",IF(AND($L143="Y",$P143="FULL",ISNUMBER(Items!M143),N(Items!M143)&lt;&gt;1),"CHECK: dutiable share entered, but the rate taxes the full value",IF(AND($L143="Y",$Q143+0.0000001&lt;$T143*$S143+$U143),"CHECK: current rate is below the duty being replaced or displaced",IF(AND($L143="Y",$AD143=0),"NOTE: in scope, no quantity",IF(AND($L143="Y",$AF143="N"),"NOTE: in scope, no sell price (left out of margin %)",IF(AND($L143="Y",N(Items!H143)&gt;N(Items!K143)),"NOTE: customs value above standard cost (check unit of measure)",IF(AND($L143="Y",$Q143&gt;1),"NOTE: current rate above 100% (check it was entered as a percentage)","OK")))))))))))))))))))))))</f>
        <v/>
      </c>
      <c r="AK143" s="20">
        <f>IF($A143="","",IF(AND($L143="Y",$AE143&lt;&gt;0),ABS($AE143)+ROW()/1000000000,""))</f>
        <v/>
      </c>
      <c r="AL143" s="10">
        <f>IF($A143="","",UPPER($A143)&amp;"/"&amp;UPPER(TRIM(CLEAN(SUBSTITUTE(Items!C143&amp;""," "," ")))))</f>
        <v/>
      </c>
      <c r="AM143" s="13">
        <f>IF($A143="",0,SUMPRODUCT(MAX((scope_HTS&lt;&gt;"")*(LEFT($C143,LEN(scope_HTS))=scope_HTS)*(LEN(scope_HTS)*1000+ROW(scope_HTS)-4))))</f>
        <v/>
      </c>
      <c r="AN143" s="13">
        <f>IF($AM143=0,0,SUMPRODUCT((scope_HTS&lt;&gt;"")*(LEFT($C143,LEN(scope_HTS))=scope_HTS)*(LEN(scope_HTS)=INT($AM143/1000))))</f>
        <v/>
      </c>
      <c r="AO143" s="13">
        <f>IF($L143&lt;&gt;"Y",0,SUMPRODUCT(MAX(ISNUMBER(rate_Rate)*((UPPER(TRIM(CLEAN(SUBSTITUTE(rate_Group&amp;""," "," "))))="")+(UPPER(TRIM(CLEAN(SUBSTITUTE(rate_Group&amp;""," "," "))))=$N143)&gt;0)*((UPPER(TRIM(CLEAN(SUBSTITUTE(rate_COO&amp;""," "," "))))="")+(UPPER(TRIM(CLEAN(SUBSTITUTE(rate_COO&amp;""," "," "))))=$E143)&gt;0)*((UPPER(TRIM(CLEAN(SUBSTITUTE(rate_USMCA&amp;""," "," "))))="")+(UPPER(TRIM(CLEAN(SUBSTITUTE(rate_USMCA&amp;""," "," "))))=IF(UPPER(TRIM(CLEAN(SUBSTITUTE(Items!F143&amp;""," "," "))))="Y","Y","N"))&gt;0)*((1+(UPPER(TRIM(CLEAN(SUBSTITUTE(rate_Group&amp;""," "," "))))&lt;&gt;"")+2*(UPPER(TRIM(CLEAN(SUBSTITUTE(rate_USMCA&amp;""," "," "))))&lt;&gt;"")+4*(UPPER(TRIM(CLEAN(SUBSTITUTE(rate_COO&amp;""," "," "))))&lt;&gt;""))*100+ROW(rate_Rate)-4))))</f>
        <v/>
      </c>
      <c r="AP143" s="13">
        <f>IF($AO143=0,0,SUMPRODUCT(ISNUMBER(rate_Rate)*((UPPER(TRIM(CLEAN(SUBSTITUTE(rate_Group&amp;""," "," "))))="")+(UPPER(TRIM(CLEAN(SUBSTITUTE(rate_Group&amp;""," "," "))))=$N143)&gt;0)*((UPPER(TRIM(CLEAN(SUBSTITUTE(rate_COO&amp;""," "," "))))="")+(UPPER(TRIM(CLEAN(SUBSTITUTE(rate_COO&amp;""," "," "))))=$E143)&gt;0)*((UPPER(TRIM(CLEAN(SUBSTITUTE(rate_USMCA&amp;""," "," "))))="")+(UPPER(TRIM(CLEAN(SUBSTITUTE(rate_USMCA&amp;""," "," "))))=IF(UPPER(TRIM(CLEAN(SUBSTITUTE(Items!F143&amp;""," "," "))))="Y","Y","N"))&gt;0)*((1+(UPPER(TRIM(CLEAN(SUBSTITUTE(rate_Group&amp;""," "," "))))&lt;&gt;"")+2*(UPPER(TRIM(CLEAN(SUBSTITUTE(rate_USMCA&amp;""," "," "))))&lt;&gt;"")+4*(UPPER(TRIM(CLEAN(SUBSTITUTE(rate_COO&amp;""," "," "))))&lt;&gt;""))=INT($AO143/100))))</f>
        <v/>
      </c>
      <c r="AQ143" s="13">
        <f>IF($A143="",0,IFERROR(MATCH($AL143,det_Key,0),0))</f>
        <v/>
      </c>
    </row>
    <row r="144">
      <c r="A144" s="10">
        <f>IF(TRIM(CLEAN(SUBSTITUTE(Items!A144&amp;""," "," ")))="","",TRIM(CLEAN(SUBSTITUTE(Items!A144&amp;""," "," "))))</f>
        <v/>
      </c>
      <c r="B144" s="10">
        <f>IF($A144="","",Items!B144&amp;"")</f>
        <v/>
      </c>
      <c r="C144" s="10">
        <f>IF($A144="","",SUBSTITUTE(SUBSTITUTE(SUBSTITUTE(SUBSTITUTE(CLEAN(Items!D144&amp;"")," ",""),".","")," ",""),"-",""))</f>
        <v/>
      </c>
      <c r="D144" s="10">
        <f>IF($A144="","",LEFT($C144,2))</f>
        <v/>
      </c>
      <c r="E144" s="10">
        <f>IF($A144="","",UPPER(TRIM(CLEAN(SUBSTITUTE(Items!E144&amp;""," "," ")))))</f>
        <v/>
      </c>
      <c r="F144" s="10">
        <f>IF($A144="","",IF(UPPER(TRIM(CLEAN(SUBSTITUTE(Items!C144&amp;""," "," "))))=UPPER(TRIM(CLEAN(SUBSTITUTE(act_Country&amp;""," "," ")))),"Y","N"))</f>
        <v/>
      </c>
      <c r="G144" s="10">
        <f>IF($A144="","",IF($AM144&gt;0,"Y","N"))</f>
        <v/>
      </c>
      <c r="H144" s="10">
        <f>IF($A144="","",IF(SUMPRODUCT((excl_HTS&lt;&gt;"")*(LEFT($C144,LEN(excl_HTS))=excl_HTS))&gt;0,"Y","N"))</f>
        <v/>
      </c>
      <c r="I144" s="10">
        <f>IF($A144="","",IF($E144="","N",IF(SUMPRODUCT(--(UPPER(TRIM(CLEAN(SUBSTITUTE(scope_COO&amp;""," "," "))))=$E144))&gt;0,"Y","N")))</f>
        <v/>
      </c>
      <c r="J144" s="10">
        <f>IF($A144="","",IF(AND(UPPER(TRIM(CLEAN(SUBSTITUTE(act_USMCAExempt&amp;""," "," "))))="Y",UPPER(TRIM(CLEAN(SUBSTITUTE(Items!F144&amp;""," "," "))))="Y"),"Y","N"))</f>
        <v/>
      </c>
      <c r="K144" s="10">
        <f>IF($A144="","",IF($AQ144=0,"",UPPER(TRIM(CLEAN(SUBSTITUTE(INDEX(det_Status,$AQ144)&amp;""," "," "))))))</f>
        <v/>
      </c>
      <c r="L144" s="10">
        <f>IF($A144="","",IF($F144="N","N",IF($K144="IN","Y",IF($K144="OUT","N",IF(AND($G144="Y",$H144="N",$I144="Y",$J144="N"),"Y","N")))))</f>
        <v/>
      </c>
      <c r="M144" s="10">
        <f>IF($A144="","",IF($F144="N","Out: different import country",IF($K144="IN","In: Research determination",IF($K144="OUT","Out: Research determination",IF($G144="N","Out: HTS not on scope list",IF($H144="Y","Out: HTS on exclusion list",IF($I144="N","Out: origin not on scope list",IF($J144="Y","Out: USMCA-qualifying, exempt","In: matches scope rules"))))))))</f>
        <v/>
      </c>
      <c r="N144" s="10">
        <f>IF(OR($A144="",$AM144=0),"",UPPER(TRIM(CLEAN(SUBSTITUTE(INDEX(scope_Group,MOD($AM144,1000))&amp;""," "," ")))))</f>
        <v/>
      </c>
      <c r="O144" s="10">
        <f>IF($L144&lt;&gt;"Y","",IF($AO144=0,"Default (B15)",UPPER(TRIM(CLEAN(SUBSTITUTE(INDEX(rate_ID,MOD($AO144,100))&amp;""," "," "))))))</f>
        <v/>
      </c>
      <c r="P144" s="10">
        <f>IF($L144&lt;&gt;"Y","",IF($AO144=0,IF(UPPER(TRIM(CLEAN(SUBSTITUTE(act_DefaultBase&amp;""," "," "))))="PART","PART","FULL"),IF(UPPER(TRIM(CLEAN(SUBSTITUTE(INDEX(rate_Base,MOD($AO144,100))&amp;""," "," "))))="PART","PART","FULL")))</f>
        <v/>
      </c>
      <c r="Q144" s="17">
        <f>IF($A144="","",N(Items!J144))</f>
        <v/>
      </c>
      <c r="R144" s="17">
        <f>IF($A144="","",IF($L144&lt;&gt;"Y",0,IF($AO144=0,N(act_Rate),N(INDEX(rate_Rate,MOD($AO144,100))))))</f>
        <v/>
      </c>
      <c r="S144" s="17">
        <f>IF($A144="","",IF($L144&lt;&gt;"Y",0,IF($AO144=0,IF(UPPER(TRIM(CLEAN(SUBSTITUTE(act_RateType&amp;""," "," "))))="REPLACE",N(act_PriorRate),0),IF(ISNUMBER(INDEX(rate_Prior,MOD($AO144,100))),INDEX(rate_Prior,MOD($AO144,100)),IF(UPPER(TRIM(CLEAN(SUBSTITUTE(act_RateType&amp;""," "," "))))="REPLACE",N(act_PriorRate),0)))))</f>
        <v/>
      </c>
      <c r="T144" s="17">
        <f>IF($A144="","",IF(AND($L144="Y",$P144="PART",ISNUMBER(Items!M144)),Items!M144,1))</f>
        <v/>
      </c>
      <c r="U144" s="17">
        <f>IF($A144="","",IF($L144&lt;&gt;"Y",0,IF($AQ144&gt;0,IF(ISNUMBER(INDEX(det_Displaced,$AQ144)),INDEX(det_Displaced,$AQ144),IF($AO144=0,0,N(INDEX(rate_Displaced,MOD($AO144,100))))),IF($AO144=0,0,N(INDEX(rate_Displaced,MOD($AO144,100)))))))</f>
        <v/>
      </c>
      <c r="V144" s="17">
        <f>IF($A144="","",IF($L144="Y",$Q144+$T144*($R144-$S144)-$U144,$Q144))</f>
        <v/>
      </c>
      <c r="W144" s="18">
        <f>IF($A144="","",N(Items!H144)*$Q144)</f>
        <v/>
      </c>
      <c r="X144" s="18">
        <f>IF($A144="","",N(Items!H144)*$V144)</f>
        <v/>
      </c>
      <c r="Y144" s="18">
        <f>IF($A144="","",$X144-$W144)</f>
        <v/>
      </c>
      <c r="Z144" s="18">
        <f>IF($A144="","",N(Items!K144)+$Y144)</f>
        <v/>
      </c>
      <c r="AA144" s="17">
        <f>IF($A144="","",IF(N(Items!L144)=0,"",(N(Items!L144)-N(Items!K144))/N(Items!L144)))</f>
        <v/>
      </c>
      <c r="AB144" s="17">
        <f>IF($A144="","",IF(N(Items!L144)=0,"",(N(Items!L144)-$Z144)/N(Items!L144)))</f>
        <v/>
      </c>
      <c r="AC144" s="17">
        <f>IF(OR($AA144="",$AB144=""),"",$AB144-$AA144)</f>
        <v/>
      </c>
      <c r="AD144" s="13">
        <f>IF($A144="","",N(Items!I144))</f>
        <v/>
      </c>
      <c r="AE144" s="19">
        <f>IF($A144="","",$Y144*$AD144)</f>
        <v/>
      </c>
      <c r="AF144" s="10">
        <f>IF($A144="","",IF(N(Items!L144)&gt;0,"Y","N"))</f>
        <v/>
      </c>
      <c r="AG144" s="19">
        <f>IF($A144="","",IF($AF144="Y",N(Items!L144)*$AD144,0))</f>
        <v/>
      </c>
      <c r="AH144" s="19">
        <f>IF($A144="","",IF($AF144="Y",(N(Items!L144)-N(Items!K144))*$AD144,0))</f>
        <v/>
      </c>
      <c r="AI144" s="19">
        <f>IF($A144="","",IF($AF144="Y",$AH144-$AE144,0))</f>
        <v/>
      </c>
      <c r="AJ144" s="10">
        <f>IF($A144="","",IF(COUNTIF($AL$5:$AL$254,$AL144)&gt;1,"CHECK: duplicate item and import country",IF(TRIM(CLEAN(SUBSTITUTE(Items!C144&amp;""," "," ")))="","CHECK: import country missing",IF(AND(UPPER(TRIM(CLEAN(SUBSTITUTE(Items!C144&amp;""," "," "))))&lt;&gt;"US",UPPER(TRIM(CLEAN(SUBSTITUTE(Items!C144&amp;""," "," "))))&lt;&gt;"CA",UPPER(TRIM(CLEAN(SUBSTITUTE(Items!C144&amp;""," "," "))))&lt;&gt;"MX"),"CHECK: import country must be US, CA or MX",IF(NOT(AND(LEN($C144)=10,IFERROR(TEXT(VALUE($C144),REPT("0",LEN($C144)))=$C144,FALSE))),"CHECK: HTS must be 10 digits",IF(LEN($E144)&lt;&gt;2,"CHECK: origin code missing or not 2 letters",IF(TRIM(CLEAN(SUBSTITUTE(Items!G144&amp;""," "," ")))="","CHECK: unit of measure missing",IF(OR(Items!H144="",Items!J144="",Items!K144=""),"CHECK: value, rate or cost missing",IF(OR(NOT(ISNUMBER(Items!H144)),NOT(ISNUMBER(Items!J144)),NOT(ISNUMBER(Items!K144)),AND(Items!I144&lt;&gt;"",NOT(ISNUMBER(Items!I144))),AND(Items!L144&lt;&gt;"",NOT(ISNUMBER(Items!L144))),AND(Items!M144&lt;&gt;"",NOT(ISNUMBER(Items!M144)))),"CHECK: text in a number column",IF(AND(ISNUMBER(Items!M144),OR(N(Items!M144)&lt;0,N(Items!M144)&gt;1)),"CHECK: dutiable share must be 0% to 100%",IF(AND(UPPER(TRIM(CLEAN(SUBSTITUTE(Items!F144&amp;""," "," "))))&lt;&gt;"",UPPER(TRIM(CLEAN(SUBSTITUTE(Items!F144&amp;""," "," "))))&lt;&gt;"Y",UPPER(TRIM(CLEAN(SUBSTITUTE(Items!F144&amp;""," "," "))))&lt;&gt;"N"),"CHECK: USMCA flag must be Y, N or blank",IF(AND(UPPER(TRIM(CLEAN(SUBSTITUTE(Items!F144&amp;""," "," "))))="Y",$E144&lt;&gt;"US",$E144&lt;&gt;"CA",$E144&lt;&gt;"MX"),"CHECK: USMCA flag on an origin other than US, CA or MX",IF(AND($L144="Y",$AO144=0,NOT(ISNUMBER(act_Rate))),"CHECK: in scope but no rate (add a rate line or B15)",IF(AND($L144="Y",UPPER(TRIM(CLEAN(SUBSTITUTE(act_RateType&amp;""," "," "))))="REPLACE",NOT(ISNUMBER(act_PriorRate)),IF($AO144=0,TRUE,NOT(ISNUMBER(INDEX(rate_Prior,MOD($AO144,100)))))),"CHECK: REPLACE but no earlier rate (B17 or the rate line's AD)",IF(AND($L144="Y",$AP144&gt;1),"CHECK: two rate lines match equally",IF(AND($L144="Y",$AN144&gt;1),"CHECK: HTS prefix listed twice on the scope list",IF(AND($L144="Y",$P144="PART",NOT(ISNUMBER(Items!M144))),"CHECK: dutiable share missing (PART base)",IF(AND($L144="Y",$P144="FULL",ISNUMBER(Items!M144),N(Items!M144)&lt;&gt;1),"CHECK: dutiable share entered, but the rate taxes the full value",IF(AND($L144="Y",$Q144+0.0000001&lt;$T144*$S144+$U144),"CHECK: current rate is below the duty being replaced or displaced",IF(AND($L144="Y",$AD144=0),"NOTE: in scope, no quantity",IF(AND($L144="Y",$AF144="N"),"NOTE: in scope, no sell price (left out of margin %)",IF(AND($L144="Y",N(Items!H144)&gt;N(Items!K144)),"NOTE: customs value above standard cost (check unit of measure)",IF(AND($L144="Y",$Q144&gt;1),"NOTE: current rate above 100% (check it was entered as a percentage)","OK")))))))))))))))))))))))</f>
        <v/>
      </c>
      <c r="AK144" s="20">
        <f>IF($A144="","",IF(AND($L144="Y",$AE144&lt;&gt;0),ABS($AE144)+ROW()/1000000000,""))</f>
        <v/>
      </c>
      <c r="AL144" s="10">
        <f>IF($A144="","",UPPER($A144)&amp;"/"&amp;UPPER(TRIM(CLEAN(SUBSTITUTE(Items!C144&amp;""," "," ")))))</f>
        <v/>
      </c>
      <c r="AM144" s="13">
        <f>IF($A144="",0,SUMPRODUCT(MAX((scope_HTS&lt;&gt;"")*(LEFT($C144,LEN(scope_HTS))=scope_HTS)*(LEN(scope_HTS)*1000+ROW(scope_HTS)-4))))</f>
        <v/>
      </c>
      <c r="AN144" s="13">
        <f>IF($AM144=0,0,SUMPRODUCT((scope_HTS&lt;&gt;"")*(LEFT($C144,LEN(scope_HTS))=scope_HTS)*(LEN(scope_HTS)=INT($AM144/1000))))</f>
        <v/>
      </c>
      <c r="AO144" s="13">
        <f>IF($L144&lt;&gt;"Y",0,SUMPRODUCT(MAX(ISNUMBER(rate_Rate)*((UPPER(TRIM(CLEAN(SUBSTITUTE(rate_Group&amp;""," "," "))))="")+(UPPER(TRIM(CLEAN(SUBSTITUTE(rate_Group&amp;""," "," "))))=$N144)&gt;0)*((UPPER(TRIM(CLEAN(SUBSTITUTE(rate_COO&amp;""," "," "))))="")+(UPPER(TRIM(CLEAN(SUBSTITUTE(rate_COO&amp;""," "," "))))=$E144)&gt;0)*((UPPER(TRIM(CLEAN(SUBSTITUTE(rate_USMCA&amp;""," "," "))))="")+(UPPER(TRIM(CLEAN(SUBSTITUTE(rate_USMCA&amp;""," "," "))))=IF(UPPER(TRIM(CLEAN(SUBSTITUTE(Items!F144&amp;""," "," "))))="Y","Y","N"))&gt;0)*((1+(UPPER(TRIM(CLEAN(SUBSTITUTE(rate_Group&amp;""," "," "))))&lt;&gt;"")+2*(UPPER(TRIM(CLEAN(SUBSTITUTE(rate_USMCA&amp;""," "," "))))&lt;&gt;"")+4*(UPPER(TRIM(CLEAN(SUBSTITUTE(rate_COO&amp;""," "," "))))&lt;&gt;""))*100+ROW(rate_Rate)-4))))</f>
        <v/>
      </c>
      <c r="AP144" s="13">
        <f>IF($AO144=0,0,SUMPRODUCT(ISNUMBER(rate_Rate)*((UPPER(TRIM(CLEAN(SUBSTITUTE(rate_Group&amp;""," "," "))))="")+(UPPER(TRIM(CLEAN(SUBSTITUTE(rate_Group&amp;""," "," "))))=$N144)&gt;0)*((UPPER(TRIM(CLEAN(SUBSTITUTE(rate_COO&amp;""," "," "))))="")+(UPPER(TRIM(CLEAN(SUBSTITUTE(rate_COO&amp;""," "," "))))=$E144)&gt;0)*((UPPER(TRIM(CLEAN(SUBSTITUTE(rate_USMCA&amp;""," "," "))))="")+(UPPER(TRIM(CLEAN(SUBSTITUTE(rate_USMCA&amp;""," "," "))))=IF(UPPER(TRIM(CLEAN(SUBSTITUTE(Items!F144&amp;""," "," "))))="Y","Y","N"))&gt;0)*((1+(UPPER(TRIM(CLEAN(SUBSTITUTE(rate_Group&amp;""," "," "))))&lt;&gt;"")+2*(UPPER(TRIM(CLEAN(SUBSTITUTE(rate_USMCA&amp;""," "," "))))&lt;&gt;"")+4*(UPPER(TRIM(CLEAN(SUBSTITUTE(rate_COO&amp;""," "," "))))&lt;&gt;""))=INT($AO144/100))))</f>
        <v/>
      </c>
      <c r="AQ144" s="13">
        <f>IF($A144="",0,IFERROR(MATCH($AL144,det_Key,0),0))</f>
        <v/>
      </c>
    </row>
    <row r="145">
      <c r="A145" s="10">
        <f>IF(TRIM(CLEAN(SUBSTITUTE(Items!A145&amp;""," "," ")))="","",TRIM(CLEAN(SUBSTITUTE(Items!A145&amp;""," "," "))))</f>
        <v/>
      </c>
      <c r="B145" s="10">
        <f>IF($A145="","",Items!B145&amp;"")</f>
        <v/>
      </c>
      <c r="C145" s="10">
        <f>IF($A145="","",SUBSTITUTE(SUBSTITUTE(SUBSTITUTE(SUBSTITUTE(CLEAN(Items!D145&amp;"")," ",""),".","")," ",""),"-",""))</f>
        <v/>
      </c>
      <c r="D145" s="10">
        <f>IF($A145="","",LEFT($C145,2))</f>
        <v/>
      </c>
      <c r="E145" s="10">
        <f>IF($A145="","",UPPER(TRIM(CLEAN(SUBSTITUTE(Items!E145&amp;""," "," ")))))</f>
        <v/>
      </c>
      <c r="F145" s="10">
        <f>IF($A145="","",IF(UPPER(TRIM(CLEAN(SUBSTITUTE(Items!C145&amp;""," "," "))))=UPPER(TRIM(CLEAN(SUBSTITUTE(act_Country&amp;""," "," ")))),"Y","N"))</f>
        <v/>
      </c>
      <c r="G145" s="10">
        <f>IF($A145="","",IF($AM145&gt;0,"Y","N"))</f>
        <v/>
      </c>
      <c r="H145" s="10">
        <f>IF($A145="","",IF(SUMPRODUCT((excl_HTS&lt;&gt;"")*(LEFT($C145,LEN(excl_HTS))=excl_HTS))&gt;0,"Y","N"))</f>
        <v/>
      </c>
      <c r="I145" s="10">
        <f>IF($A145="","",IF($E145="","N",IF(SUMPRODUCT(--(UPPER(TRIM(CLEAN(SUBSTITUTE(scope_COO&amp;""," "," "))))=$E145))&gt;0,"Y","N")))</f>
        <v/>
      </c>
      <c r="J145" s="10">
        <f>IF($A145="","",IF(AND(UPPER(TRIM(CLEAN(SUBSTITUTE(act_USMCAExempt&amp;""," "," "))))="Y",UPPER(TRIM(CLEAN(SUBSTITUTE(Items!F145&amp;""," "," "))))="Y"),"Y","N"))</f>
        <v/>
      </c>
      <c r="K145" s="10">
        <f>IF($A145="","",IF($AQ145=0,"",UPPER(TRIM(CLEAN(SUBSTITUTE(INDEX(det_Status,$AQ145)&amp;""," "," "))))))</f>
        <v/>
      </c>
      <c r="L145" s="10">
        <f>IF($A145="","",IF($F145="N","N",IF($K145="IN","Y",IF($K145="OUT","N",IF(AND($G145="Y",$H145="N",$I145="Y",$J145="N"),"Y","N")))))</f>
        <v/>
      </c>
      <c r="M145" s="10">
        <f>IF($A145="","",IF($F145="N","Out: different import country",IF($K145="IN","In: Research determination",IF($K145="OUT","Out: Research determination",IF($G145="N","Out: HTS not on scope list",IF($H145="Y","Out: HTS on exclusion list",IF($I145="N","Out: origin not on scope list",IF($J145="Y","Out: USMCA-qualifying, exempt","In: matches scope rules"))))))))</f>
        <v/>
      </c>
      <c r="N145" s="10">
        <f>IF(OR($A145="",$AM145=0),"",UPPER(TRIM(CLEAN(SUBSTITUTE(INDEX(scope_Group,MOD($AM145,1000))&amp;""," "," ")))))</f>
        <v/>
      </c>
      <c r="O145" s="10">
        <f>IF($L145&lt;&gt;"Y","",IF($AO145=0,"Default (B15)",UPPER(TRIM(CLEAN(SUBSTITUTE(INDEX(rate_ID,MOD($AO145,100))&amp;""," "," "))))))</f>
        <v/>
      </c>
      <c r="P145" s="10">
        <f>IF($L145&lt;&gt;"Y","",IF($AO145=0,IF(UPPER(TRIM(CLEAN(SUBSTITUTE(act_DefaultBase&amp;""," "," "))))="PART","PART","FULL"),IF(UPPER(TRIM(CLEAN(SUBSTITUTE(INDEX(rate_Base,MOD($AO145,100))&amp;""," "," "))))="PART","PART","FULL")))</f>
        <v/>
      </c>
      <c r="Q145" s="17">
        <f>IF($A145="","",N(Items!J145))</f>
        <v/>
      </c>
      <c r="R145" s="17">
        <f>IF($A145="","",IF($L145&lt;&gt;"Y",0,IF($AO145=0,N(act_Rate),N(INDEX(rate_Rate,MOD($AO145,100))))))</f>
        <v/>
      </c>
      <c r="S145" s="17">
        <f>IF($A145="","",IF($L145&lt;&gt;"Y",0,IF($AO145=0,IF(UPPER(TRIM(CLEAN(SUBSTITUTE(act_RateType&amp;""," "," "))))="REPLACE",N(act_PriorRate),0),IF(ISNUMBER(INDEX(rate_Prior,MOD($AO145,100))),INDEX(rate_Prior,MOD($AO145,100)),IF(UPPER(TRIM(CLEAN(SUBSTITUTE(act_RateType&amp;""," "," "))))="REPLACE",N(act_PriorRate),0)))))</f>
        <v/>
      </c>
      <c r="T145" s="17">
        <f>IF($A145="","",IF(AND($L145="Y",$P145="PART",ISNUMBER(Items!M145)),Items!M145,1))</f>
        <v/>
      </c>
      <c r="U145" s="17">
        <f>IF($A145="","",IF($L145&lt;&gt;"Y",0,IF($AQ145&gt;0,IF(ISNUMBER(INDEX(det_Displaced,$AQ145)),INDEX(det_Displaced,$AQ145),IF($AO145=0,0,N(INDEX(rate_Displaced,MOD($AO145,100))))),IF($AO145=0,0,N(INDEX(rate_Displaced,MOD($AO145,100)))))))</f>
        <v/>
      </c>
      <c r="V145" s="17">
        <f>IF($A145="","",IF($L145="Y",$Q145+$T145*($R145-$S145)-$U145,$Q145))</f>
        <v/>
      </c>
      <c r="W145" s="18">
        <f>IF($A145="","",N(Items!H145)*$Q145)</f>
        <v/>
      </c>
      <c r="X145" s="18">
        <f>IF($A145="","",N(Items!H145)*$V145)</f>
        <v/>
      </c>
      <c r="Y145" s="18">
        <f>IF($A145="","",$X145-$W145)</f>
        <v/>
      </c>
      <c r="Z145" s="18">
        <f>IF($A145="","",N(Items!K145)+$Y145)</f>
        <v/>
      </c>
      <c r="AA145" s="17">
        <f>IF($A145="","",IF(N(Items!L145)=0,"",(N(Items!L145)-N(Items!K145))/N(Items!L145)))</f>
        <v/>
      </c>
      <c r="AB145" s="17">
        <f>IF($A145="","",IF(N(Items!L145)=0,"",(N(Items!L145)-$Z145)/N(Items!L145)))</f>
        <v/>
      </c>
      <c r="AC145" s="17">
        <f>IF(OR($AA145="",$AB145=""),"",$AB145-$AA145)</f>
        <v/>
      </c>
      <c r="AD145" s="13">
        <f>IF($A145="","",N(Items!I145))</f>
        <v/>
      </c>
      <c r="AE145" s="19">
        <f>IF($A145="","",$Y145*$AD145)</f>
        <v/>
      </c>
      <c r="AF145" s="10">
        <f>IF($A145="","",IF(N(Items!L145)&gt;0,"Y","N"))</f>
        <v/>
      </c>
      <c r="AG145" s="19">
        <f>IF($A145="","",IF($AF145="Y",N(Items!L145)*$AD145,0))</f>
        <v/>
      </c>
      <c r="AH145" s="19">
        <f>IF($A145="","",IF($AF145="Y",(N(Items!L145)-N(Items!K145))*$AD145,0))</f>
        <v/>
      </c>
      <c r="AI145" s="19">
        <f>IF($A145="","",IF($AF145="Y",$AH145-$AE145,0))</f>
        <v/>
      </c>
      <c r="AJ145" s="10">
        <f>IF($A145="","",IF(COUNTIF($AL$5:$AL$254,$AL145)&gt;1,"CHECK: duplicate item and import country",IF(TRIM(CLEAN(SUBSTITUTE(Items!C145&amp;""," "," ")))="","CHECK: import country missing",IF(AND(UPPER(TRIM(CLEAN(SUBSTITUTE(Items!C145&amp;""," "," "))))&lt;&gt;"US",UPPER(TRIM(CLEAN(SUBSTITUTE(Items!C145&amp;""," "," "))))&lt;&gt;"CA",UPPER(TRIM(CLEAN(SUBSTITUTE(Items!C145&amp;""," "," "))))&lt;&gt;"MX"),"CHECK: import country must be US, CA or MX",IF(NOT(AND(LEN($C145)=10,IFERROR(TEXT(VALUE($C145),REPT("0",LEN($C145)))=$C145,FALSE))),"CHECK: HTS must be 10 digits",IF(LEN($E145)&lt;&gt;2,"CHECK: origin code missing or not 2 letters",IF(TRIM(CLEAN(SUBSTITUTE(Items!G145&amp;""," "," ")))="","CHECK: unit of measure missing",IF(OR(Items!H145="",Items!J145="",Items!K145=""),"CHECK: value, rate or cost missing",IF(OR(NOT(ISNUMBER(Items!H145)),NOT(ISNUMBER(Items!J145)),NOT(ISNUMBER(Items!K145)),AND(Items!I145&lt;&gt;"",NOT(ISNUMBER(Items!I145))),AND(Items!L145&lt;&gt;"",NOT(ISNUMBER(Items!L145))),AND(Items!M145&lt;&gt;"",NOT(ISNUMBER(Items!M145)))),"CHECK: text in a number column",IF(AND(ISNUMBER(Items!M145),OR(N(Items!M145)&lt;0,N(Items!M145)&gt;1)),"CHECK: dutiable share must be 0% to 100%",IF(AND(UPPER(TRIM(CLEAN(SUBSTITUTE(Items!F145&amp;""," "," "))))&lt;&gt;"",UPPER(TRIM(CLEAN(SUBSTITUTE(Items!F145&amp;""," "," "))))&lt;&gt;"Y",UPPER(TRIM(CLEAN(SUBSTITUTE(Items!F145&amp;""," "," "))))&lt;&gt;"N"),"CHECK: USMCA flag must be Y, N or blank",IF(AND(UPPER(TRIM(CLEAN(SUBSTITUTE(Items!F145&amp;""," "," "))))="Y",$E145&lt;&gt;"US",$E145&lt;&gt;"CA",$E145&lt;&gt;"MX"),"CHECK: USMCA flag on an origin other than US, CA or MX",IF(AND($L145="Y",$AO145=0,NOT(ISNUMBER(act_Rate))),"CHECK: in scope but no rate (add a rate line or B15)",IF(AND($L145="Y",UPPER(TRIM(CLEAN(SUBSTITUTE(act_RateType&amp;""," "," "))))="REPLACE",NOT(ISNUMBER(act_PriorRate)),IF($AO145=0,TRUE,NOT(ISNUMBER(INDEX(rate_Prior,MOD($AO145,100)))))),"CHECK: REPLACE but no earlier rate (B17 or the rate line's AD)",IF(AND($L145="Y",$AP145&gt;1),"CHECK: two rate lines match equally",IF(AND($L145="Y",$AN145&gt;1),"CHECK: HTS prefix listed twice on the scope list",IF(AND($L145="Y",$P145="PART",NOT(ISNUMBER(Items!M145))),"CHECK: dutiable share missing (PART base)",IF(AND($L145="Y",$P145="FULL",ISNUMBER(Items!M145),N(Items!M145)&lt;&gt;1),"CHECK: dutiable share entered, but the rate taxes the full value",IF(AND($L145="Y",$Q145+0.0000001&lt;$T145*$S145+$U145),"CHECK: current rate is below the duty being replaced or displaced",IF(AND($L145="Y",$AD145=0),"NOTE: in scope, no quantity",IF(AND($L145="Y",$AF145="N"),"NOTE: in scope, no sell price (left out of margin %)",IF(AND($L145="Y",N(Items!H145)&gt;N(Items!K145)),"NOTE: customs value above standard cost (check unit of measure)",IF(AND($L145="Y",$Q145&gt;1),"NOTE: current rate above 100% (check it was entered as a percentage)","OK")))))))))))))))))))))))</f>
        <v/>
      </c>
      <c r="AK145" s="20">
        <f>IF($A145="","",IF(AND($L145="Y",$AE145&lt;&gt;0),ABS($AE145)+ROW()/1000000000,""))</f>
        <v/>
      </c>
      <c r="AL145" s="10">
        <f>IF($A145="","",UPPER($A145)&amp;"/"&amp;UPPER(TRIM(CLEAN(SUBSTITUTE(Items!C145&amp;""," "," ")))))</f>
        <v/>
      </c>
      <c r="AM145" s="13">
        <f>IF($A145="",0,SUMPRODUCT(MAX((scope_HTS&lt;&gt;"")*(LEFT($C145,LEN(scope_HTS))=scope_HTS)*(LEN(scope_HTS)*1000+ROW(scope_HTS)-4))))</f>
        <v/>
      </c>
      <c r="AN145" s="13">
        <f>IF($AM145=0,0,SUMPRODUCT((scope_HTS&lt;&gt;"")*(LEFT($C145,LEN(scope_HTS))=scope_HTS)*(LEN(scope_HTS)=INT($AM145/1000))))</f>
        <v/>
      </c>
      <c r="AO145" s="13">
        <f>IF($L145&lt;&gt;"Y",0,SUMPRODUCT(MAX(ISNUMBER(rate_Rate)*((UPPER(TRIM(CLEAN(SUBSTITUTE(rate_Group&amp;""," "," "))))="")+(UPPER(TRIM(CLEAN(SUBSTITUTE(rate_Group&amp;""," "," "))))=$N145)&gt;0)*((UPPER(TRIM(CLEAN(SUBSTITUTE(rate_COO&amp;""," "," "))))="")+(UPPER(TRIM(CLEAN(SUBSTITUTE(rate_COO&amp;""," "," "))))=$E145)&gt;0)*((UPPER(TRIM(CLEAN(SUBSTITUTE(rate_USMCA&amp;""," "," "))))="")+(UPPER(TRIM(CLEAN(SUBSTITUTE(rate_USMCA&amp;""," "," "))))=IF(UPPER(TRIM(CLEAN(SUBSTITUTE(Items!F145&amp;""," "," "))))="Y","Y","N"))&gt;0)*((1+(UPPER(TRIM(CLEAN(SUBSTITUTE(rate_Group&amp;""," "," "))))&lt;&gt;"")+2*(UPPER(TRIM(CLEAN(SUBSTITUTE(rate_USMCA&amp;""," "," "))))&lt;&gt;"")+4*(UPPER(TRIM(CLEAN(SUBSTITUTE(rate_COO&amp;""," "," "))))&lt;&gt;""))*100+ROW(rate_Rate)-4))))</f>
        <v/>
      </c>
      <c r="AP145" s="13">
        <f>IF($AO145=0,0,SUMPRODUCT(ISNUMBER(rate_Rate)*((UPPER(TRIM(CLEAN(SUBSTITUTE(rate_Group&amp;""," "," "))))="")+(UPPER(TRIM(CLEAN(SUBSTITUTE(rate_Group&amp;""," "," "))))=$N145)&gt;0)*((UPPER(TRIM(CLEAN(SUBSTITUTE(rate_COO&amp;""," "," "))))="")+(UPPER(TRIM(CLEAN(SUBSTITUTE(rate_COO&amp;""," "," "))))=$E145)&gt;0)*((UPPER(TRIM(CLEAN(SUBSTITUTE(rate_USMCA&amp;""," "," "))))="")+(UPPER(TRIM(CLEAN(SUBSTITUTE(rate_USMCA&amp;""," "," "))))=IF(UPPER(TRIM(CLEAN(SUBSTITUTE(Items!F145&amp;""," "," "))))="Y","Y","N"))&gt;0)*((1+(UPPER(TRIM(CLEAN(SUBSTITUTE(rate_Group&amp;""," "," "))))&lt;&gt;"")+2*(UPPER(TRIM(CLEAN(SUBSTITUTE(rate_USMCA&amp;""," "," "))))&lt;&gt;"")+4*(UPPER(TRIM(CLEAN(SUBSTITUTE(rate_COO&amp;""," "," "))))&lt;&gt;""))=INT($AO145/100))))</f>
        <v/>
      </c>
      <c r="AQ145" s="13">
        <f>IF($A145="",0,IFERROR(MATCH($AL145,det_Key,0),0))</f>
        <v/>
      </c>
    </row>
    <row r="146">
      <c r="A146" s="10">
        <f>IF(TRIM(CLEAN(SUBSTITUTE(Items!A146&amp;""," "," ")))="","",TRIM(CLEAN(SUBSTITUTE(Items!A146&amp;""," "," "))))</f>
        <v/>
      </c>
      <c r="B146" s="10">
        <f>IF($A146="","",Items!B146&amp;"")</f>
        <v/>
      </c>
      <c r="C146" s="10">
        <f>IF($A146="","",SUBSTITUTE(SUBSTITUTE(SUBSTITUTE(SUBSTITUTE(CLEAN(Items!D146&amp;"")," ",""),".","")," ",""),"-",""))</f>
        <v/>
      </c>
      <c r="D146" s="10">
        <f>IF($A146="","",LEFT($C146,2))</f>
        <v/>
      </c>
      <c r="E146" s="10">
        <f>IF($A146="","",UPPER(TRIM(CLEAN(SUBSTITUTE(Items!E146&amp;""," "," ")))))</f>
        <v/>
      </c>
      <c r="F146" s="10">
        <f>IF($A146="","",IF(UPPER(TRIM(CLEAN(SUBSTITUTE(Items!C146&amp;""," "," "))))=UPPER(TRIM(CLEAN(SUBSTITUTE(act_Country&amp;""," "," ")))),"Y","N"))</f>
        <v/>
      </c>
      <c r="G146" s="10">
        <f>IF($A146="","",IF($AM146&gt;0,"Y","N"))</f>
        <v/>
      </c>
      <c r="H146" s="10">
        <f>IF($A146="","",IF(SUMPRODUCT((excl_HTS&lt;&gt;"")*(LEFT($C146,LEN(excl_HTS))=excl_HTS))&gt;0,"Y","N"))</f>
        <v/>
      </c>
      <c r="I146" s="10">
        <f>IF($A146="","",IF($E146="","N",IF(SUMPRODUCT(--(UPPER(TRIM(CLEAN(SUBSTITUTE(scope_COO&amp;""," "," "))))=$E146))&gt;0,"Y","N")))</f>
        <v/>
      </c>
      <c r="J146" s="10">
        <f>IF($A146="","",IF(AND(UPPER(TRIM(CLEAN(SUBSTITUTE(act_USMCAExempt&amp;""," "," "))))="Y",UPPER(TRIM(CLEAN(SUBSTITUTE(Items!F146&amp;""," "," "))))="Y"),"Y","N"))</f>
        <v/>
      </c>
      <c r="K146" s="10">
        <f>IF($A146="","",IF($AQ146=0,"",UPPER(TRIM(CLEAN(SUBSTITUTE(INDEX(det_Status,$AQ146)&amp;""," "," "))))))</f>
        <v/>
      </c>
      <c r="L146" s="10">
        <f>IF($A146="","",IF($F146="N","N",IF($K146="IN","Y",IF($K146="OUT","N",IF(AND($G146="Y",$H146="N",$I146="Y",$J146="N"),"Y","N")))))</f>
        <v/>
      </c>
      <c r="M146" s="10">
        <f>IF($A146="","",IF($F146="N","Out: different import country",IF($K146="IN","In: Research determination",IF($K146="OUT","Out: Research determination",IF($G146="N","Out: HTS not on scope list",IF($H146="Y","Out: HTS on exclusion list",IF($I146="N","Out: origin not on scope list",IF($J146="Y","Out: USMCA-qualifying, exempt","In: matches scope rules"))))))))</f>
        <v/>
      </c>
      <c r="N146" s="10">
        <f>IF(OR($A146="",$AM146=0),"",UPPER(TRIM(CLEAN(SUBSTITUTE(INDEX(scope_Group,MOD($AM146,1000))&amp;""," "," ")))))</f>
        <v/>
      </c>
      <c r="O146" s="10">
        <f>IF($L146&lt;&gt;"Y","",IF($AO146=0,"Default (B15)",UPPER(TRIM(CLEAN(SUBSTITUTE(INDEX(rate_ID,MOD($AO146,100))&amp;""," "," "))))))</f>
        <v/>
      </c>
      <c r="P146" s="10">
        <f>IF($L146&lt;&gt;"Y","",IF($AO146=0,IF(UPPER(TRIM(CLEAN(SUBSTITUTE(act_DefaultBase&amp;""," "," "))))="PART","PART","FULL"),IF(UPPER(TRIM(CLEAN(SUBSTITUTE(INDEX(rate_Base,MOD($AO146,100))&amp;""," "," "))))="PART","PART","FULL")))</f>
        <v/>
      </c>
      <c r="Q146" s="17">
        <f>IF($A146="","",N(Items!J146))</f>
        <v/>
      </c>
      <c r="R146" s="17">
        <f>IF($A146="","",IF($L146&lt;&gt;"Y",0,IF($AO146=0,N(act_Rate),N(INDEX(rate_Rate,MOD($AO146,100))))))</f>
        <v/>
      </c>
      <c r="S146" s="17">
        <f>IF($A146="","",IF($L146&lt;&gt;"Y",0,IF($AO146=0,IF(UPPER(TRIM(CLEAN(SUBSTITUTE(act_RateType&amp;""," "," "))))="REPLACE",N(act_PriorRate),0),IF(ISNUMBER(INDEX(rate_Prior,MOD($AO146,100))),INDEX(rate_Prior,MOD($AO146,100)),IF(UPPER(TRIM(CLEAN(SUBSTITUTE(act_RateType&amp;""," "," "))))="REPLACE",N(act_PriorRate),0)))))</f>
        <v/>
      </c>
      <c r="T146" s="17">
        <f>IF($A146="","",IF(AND($L146="Y",$P146="PART",ISNUMBER(Items!M146)),Items!M146,1))</f>
        <v/>
      </c>
      <c r="U146" s="17">
        <f>IF($A146="","",IF($L146&lt;&gt;"Y",0,IF($AQ146&gt;0,IF(ISNUMBER(INDEX(det_Displaced,$AQ146)),INDEX(det_Displaced,$AQ146),IF($AO146=0,0,N(INDEX(rate_Displaced,MOD($AO146,100))))),IF($AO146=0,0,N(INDEX(rate_Displaced,MOD($AO146,100)))))))</f>
        <v/>
      </c>
      <c r="V146" s="17">
        <f>IF($A146="","",IF($L146="Y",$Q146+$T146*($R146-$S146)-$U146,$Q146))</f>
        <v/>
      </c>
      <c r="W146" s="18">
        <f>IF($A146="","",N(Items!H146)*$Q146)</f>
        <v/>
      </c>
      <c r="X146" s="18">
        <f>IF($A146="","",N(Items!H146)*$V146)</f>
        <v/>
      </c>
      <c r="Y146" s="18">
        <f>IF($A146="","",$X146-$W146)</f>
        <v/>
      </c>
      <c r="Z146" s="18">
        <f>IF($A146="","",N(Items!K146)+$Y146)</f>
        <v/>
      </c>
      <c r="AA146" s="17">
        <f>IF($A146="","",IF(N(Items!L146)=0,"",(N(Items!L146)-N(Items!K146))/N(Items!L146)))</f>
        <v/>
      </c>
      <c r="AB146" s="17">
        <f>IF($A146="","",IF(N(Items!L146)=0,"",(N(Items!L146)-$Z146)/N(Items!L146)))</f>
        <v/>
      </c>
      <c r="AC146" s="17">
        <f>IF(OR($AA146="",$AB146=""),"",$AB146-$AA146)</f>
        <v/>
      </c>
      <c r="AD146" s="13">
        <f>IF($A146="","",N(Items!I146))</f>
        <v/>
      </c>
      <c r="AE146" s="19">
        <f>IF($A146="","",$Y146*$AD146)</f>
        <v/>
      </c>
      <c r="AF146" s="10">
        <f>IF($A146="","",IF(N(Items!L146)&gt;0,"Y","N"))</f>
        <v/>
      </c>
      <c r="AG146" s="19">
        <f>IF($A146="","",IF($AF146="Y",N(Items!L146)*$AD146,0))</f>
        <v/>
      </c>
      <c r="AH146" s="19">
        <f>IF($A146="","",IF($AF146="Y",(N(Items!L146)-N(Items!K146))*$AD146,0))</f>
        <v/>
      </c>
      <c r="AI146" s="19">
        <f>IF($A146="","",IF($AF146="Y",$AH146-$AE146,0))</f>
        <v/>
      </c>
      <c r="AJ146" s="10">
        <f>IF($A146="","",IF(COUNTIF($AL$5:$AL$254,$AL146)&gt;1,"CHECK: duplicate item and import country",IF(TRIM(CLEAN(SUBSTITUTE(Items!C146&amp;""," "," ")))="","CHECK: import country missing",IF(AND(UPPER(TRIM(CLEAN(SUBSTITUTE(Items!C146&amp;""," "," "))))&lt;&gt;"US",UPPER(TRIM(CLEAN(SUBSTITUTE(Items!C146&amp;""," "," "))))&lt;&gt;"CA",UPPER(TRIM(CLEAN(SUBSTITUTE(Items!C146&amp;""," "," "))))&lt;&gt;"MX"),"CHECK: import country must be US, CA or MX",IF(NOT(AND(LEN($C146)=10,IFERROR(TEXT(VALUE($C146),REPT("0",LEN($C146)))=$C146,FALSE))),"CHECK: HTS must be 10 digits",IF(LEN($E146)&lt;&gt;2,"CHECK: origin code missing or not 2 letters",IF(TRIM(CLEAN(SUBSTITUTE(Items!G146&amp;""," "," ")))="","CHECK: unit of measure missing",IF(OR(Items!H146="",Items!J146="",Items!K146=""),"CHECK: value, rate or cost missing",IF(OR(NOT(ISNUMBER(Items!H146)),NOT(ISNUMBER(Items!J146)),NOT(ISNUMBER(Items!K146)),AND(Items!I146&lt;&gt;"",NOT(ISNUMBER(Items!I146))),AND(Items!L146&lt;&gt;"",NOT(ISNUMBER(Items!L146))),AND(Items!M146&lt;&gt;"",NOT(ISNUMBER(Items!M146)))),"CHECK: text in a number column",IF(AND(ISNUMBER(Items!M146),OR(N(Items!M146)&lt;0,N(Items!M146)&gt;1)),"CHECK: dutiable share must be 0% to 100%",IF(AND(UPPER(TRIM(CLEAN(SUBSTITUTE(Items!F146&amp;""," "," "))))&lt;&gt;"",UPPER(TRIM(CLEAN(SUBSTITUTE(Items!F146&amp;""," "," "))))&lt;&gt;"Y",UPPER(TRIM(CLEAN(SUBSTITUTE(Items!F146&amp;""," "," "))))&lt;&gt;"N"),"CHECK: USMCA flag must be Y, N or blank",IF(AND(UPPER(TRIM(CLEAN(SUBSTITUTE(Items!F146&amp;""," "," "))))="Y",$E146&lt;&gt;"US",$E146&lt;&gt;"CA",$E146&lt;&gt;"MX"),"CHECK: USMCA flag on an origin other than US, CA or MX",IF(AND($L146="Y",$AO146=0,NOT(ISNUMBER(act_Rate))),"CHECK: in scope but no rate (add a rate line or B15)",IF(AND($L146="Y",UPPER(TRIM(CLEAN(SUBSTITUTE(act_RateType&amp;""," "," "))))="REPLACE",NOT(ISNUMBER(act_PriorRate)),IF($AO146=0,TRUE,NOT(ISNUMBER(INDEX(rate_Prior,MOD($AO146,100)))))),"CHECK: REPLACE but no earlier rate (B17 or the rate line's AD)",IF(AND($L146="Y",$AP146&gt;1),"CHECK: two rate lines match equally",IF(AND($L146="Y",$AN146&gt;1),"CHECK: HTS prefix listed twice on the scope list",IF(AND($L146="Y",$P146="PART",NOT(ISNUMBER(Items!M146))),"CHECK: dutiable share missing (PART base)",IF(AND($L146="Y",$P146="FULL",ISNUMBER(Items!M146),N(Items!M146)&lt;&gt;1),"CHECK: dutiable share entered, but the rate taxes the full value",IF(AND($L146="Y",$Q146+0.0000001&lt;$T146*$S146+$U146),"CHECK: current rate is below the duty being replaced or displaced",IF(AND($L146="Y",$AD146=0),"NOTE: in scope, no quantity",IF(AND($L146="Y",$AF146="N"),"NOTE: in scope, no sell price (left out of margin %)",IF(AND($L146="Y",N(Items!H146)&gt;N(Items!K146)),"NOTE: customs value above standard cost (check unit of measure)",IF(AND($L146="Y",$Q146&gt;1),"NOTE: current rate above 100% (check it was entered as a percentage)","OK")))))))))))))))))))))))</f>
        <v/>
      </c>
      <c r="AK146" s="20">
        <f>IF($A146="","",IF(AND($L146="Y",$AE146&lt;&gt;0),ABS($AE146)+ROW()/1000000000,""))</f>
        <v/>
      </c>
      <c r="AL146" s="10">
        <f>IF($A146="","",UPPER($A146)&amp;"/"&amp;UPPER(TRIM(CLEAN(SUBSTITUTE(Items!C146&amp;""," "," ")))))</f>
        <v/>
      </c>
      <c r="AM146" s="13">
        <f>IF($A146="",0,SUMPRODUCT(MAX((scope_HTS&lt;&gt;"")*(LEFT($C146,LEN(scope_HTS))=scope_HTS)*(LEN(scope_HTS)*1000+ROW(scope_HTS)-4))))</f>
        <v/>
      </c>
      <c r="AN146" s="13">
        <f>IF($AM146=0,0,SUMPRODUCT((scope_HTS&lt;&gt;"")*(LEFT($C146,LEN(scope_HTS))=scope_HTS)*(LEN(scope_HTS)=INT($AM146/1000))))</f>
        <v/>
      </c>
      <c r="AO146" s="13">
        <f>IF($L146&lt;&gt;"Y",0,SUMPRODUCT(MAX(ISNUMBER(rate_Rate)*((UPPER(TRIM(CLEAN(SUBSTITUTE(rate_Group&amp;""," "," "))))="")+(UPPER(TRIM(CLEAN(SUBSTITUTE(rate_Group&amp;""," "," "))))=$N146)&gt;0)*((UPPER(TRIM(CLEAN(SUBSTITUTE(rate_COO&amp;""," "," "))))="")+(UPPER(TRIM(CLEAN(SUBSTITUTE(rate_COO&amp;""," "," "))))=$E146)&gt;0)*((UPPER(TRIM(CLEAN(SUBSTITUTE(rate_USMCA&amp;""," "," "))))="")+(UPPER(TRIM(CLEAN(SUBSTITUTE(rate_USMCA&amp;""," "," "))))=IF(UPPER(TRIM(CLEAN(SUBSTITUTE(Items!F146&amp;""," "," "))))="Y","Y","N"))&gt;0)*((1+(UPPER(TRIM(CLEAN(SUBSTITUTE(rate_Group&amp;""," "," "))))&lt;&gt;"")+2*(UPPER(TRIM(CLEAN(SUBSTITUTE(rate_USMCA&amp;""," "," "))))&lt;&gt;"")+4*(UPPER(TRIM(CLEAN(SUBSTITUTE(rate_COO&amp;""," "," "))))&lt;&gt;""))*100+ROW(rate_Rate)-4))))</f>
        <v/>
      </c>
      <c r="AP146" s="13">
        <f>IF($AO146=0,0,SUMPRODUCT(ISNUMBER(rate_Rate)*((UPPER(TRIM(CLEAN(SUBSTITUTE(rate_Group&amp;""," "," "))))="")+(UPPER(TRIM(CLEAN(SUBSTITUTE(rate_Group&amp;""," "," "))))=$N146)&gt;0)*((UPPER(TRIM(CLEAN(SUBSTITUTE(rate_COO&amp;""," "," "))))="")+(UPPER(TRIM(CLEAN(SUBSTITUTE(rate_COO&amp;""," "," "))))=$E146)&gt;0)*((UPPER(TRIM(CLEAN(SUBSTITUTE(rate_USMCA&amp;""," "," "))))="")+(UPPER(TRIM(CLEAN(SUBSTITUTE(rate_USMCA&amp;""," "," "))))=IF(UPPER(TRIM(CLEAN(SUBSTITUTE(Items!F146&amp;""," "," "))))="Y","Y","N"))&gt;0)*((1+(UPPER(TRIM(CLEAN(SUBSTITUTE(rate_Group&amp;""," "," "))))&lt;&gt;"")+2*(UPPER(TRIM(CLEAN(SUBSTITUTE(rate_USMCA&amp;""," "," "))))&lt;&gt;"")+4*(UPPER(TRIM(CLEAN(SUBSTITUTE(rate_COO&amp;""," "," "))))&lt;&gt;""))=INT($AO146/100))))</f>
        <v/>
      </c>
      <c r="AQ146" s="13">
        <f>IF($A146="",0,IFERROR(MATCH($AL146,det_Key,0),0))</f>
        <v/>
      </c>
    </row>
    <row r="147">
      <c r="A147" s="10">
        <f>IF(TRIM(CLEAN(SUBSTITUTE(Items!A147&amp;""," "," ")))="","",TRIM(CLEAN(SUBSTITUTE(Items!A147&amp;""," "," "))))</f>
        <v/>
      </c>
      <c r="B147" s="10">
        <f>IF($A147="","",Items!B147&amp;"")</f>
        <v/>
      </c>
      <c r="C147" s="10">
        <f>IF($A147="","",SUBSTITUTE(SUBSTITUTE(SUBSTITUTE(SUBSTITUTE(CLEAN(Items!D147&amp;"")," ",""),".","")," ",""),"-",""))</f>
        <v/>
      </c>
      <c r="D147" s="10">
        <f>IF($A147="","",LEFT($C147,2))</f>
        <v/>
      </c>
      <c r="E147" s="10">
        <f>IF($A147="","",UPPER(TRIM(CLEAN(SUBSTITUTE(Items!E147&amp;""," "," ")))))</f>
        <v/>
      </c>
      <c r="F147" s="10">
        <f>IF($A147="","",IF(UPPER(TRIM(CLEAN(SUBSTITUTE(Items!C147&amp;""," "," "))))=UPPER(TRIM(CLEAN(SUBSTITUTE(act_Country&amp;""," "," ")))),"Y","N"))</f>
        <v/>
      </c>
      <c r="G147" s="10">
        <f>IF($A147="","",IF($AM147&gt;0,"Y","N"))</f>
        <v/>
      </c>
      <c r="H147" s="10">
        <f>IF($A147="","",IF(SUMPRODUCT((excl_HTS&lt;&gt;"")*(LEFT($C147,LEN(excl_HTS))=excl_HTS))&gt;0,"Y","N"))</f>
        <v/>
      </c>
      <c r="I147" s="10">
        <f>IF($A147="","",IF($E147="","N",IF(SUMPRODUCT(--(UPPER(TRIM(CLEAN(SUBSTITUTE(scope_COO&amp;""," "," "))))=$E147))&gt;0,"Y","N")))</f>
        <v/>
      </c>
      <c r="J147" s="10">
        <f>IF($A147="","",IF(AND(UPPER(TRIM(CLEAN(SUBSTITUTE(act_USMCAExempt&amp;""," "," "))))="Y",UPPER(TRIM(CLEAN(SUBSTITUTE(Items!F147&amp;""," "," "))))="Y"),"Y","N"))</f>
        <v/>
      </c>
      <c r="K147" s="10">
        <f>IF($A147="","",IF($AQ147=0,"",UPPER(TRIM(CLEAN(SUBSTITUTE(INDEX(det_Status,$AQ147)&amp;""," "," "))))))</f>
        <v/>
      </c>
      <c r="L147" s="10">
        <f>IF($A147="","",IF($F147="N","N",IF($K147="IN","Y",IF($K147="OUT","N",IF(AND($G147="Y",$H147="N",$I147="Y",$J147="N"),"Y","N")))))</f>
        <v/>
      </c>
      <c r="M147" s="10">
        <f>IF($A147="","",IF($F147="N","Out: different import country",IF($K147="IN","In: Research determination",IF($K147="OUT","Out: Research determination",IF($G147="N","Out: HTS not on scope list",IF($H147="Y","Out: HTS on exclusion list",IF($I147="N","Out: origin not on scope list",IF($J147="Y","Out: USMCA-qualifying, exempt","In: matches scope rules"))))))))</f>
        <v/>
      </c>
      <c r="N147" s="10">
        <f>IF(OR($A147="",$AM147=0),"",UPPER(TRIM(CLEAN(SUBSTITUTE(INDEX(scope_Group,MOD($AM147,1000))&amp;""," "," ")))))</f>
        <v/>
      </c>
      <c r="O147" s="10">
        <f>IF($L147&lt;&gt;"Y","",IF($AO147=0,"Default (B15)",UPPER(TRIM(CLEAN(SUBSTITUTE(INDEX(rate_ID,MOD($AO147,100))&amp;""," "," "))))))</f>
        <v/>
      </c>
      <c r="P147" s="10">
        <f>IF($L147&lt;&gt;"Y","",IF($AO147=0,IF(UPPER(TRIM(CLEAN(SUBSTITUTE(act_DefaultBase&amp;""," "," "))))="PART","PART","FULL"),IF(UPPER(TRIM(CLEAN(SUBSTITUTE(INDEX(rate_Base,MOD($AO147,100))&amp;""," "," "))))="PART","PART","FULL")))</f>
        <v/>
      </c>
      <c r="Q147" s="17">
        <f>IF($A147="","",N(Items!J147))</f>
        <v/>
      </c>
      <c r="R147" s="17">
        <f>IF($A147="","",IF($L147&lt;&gt;"Y",0,IF($AO147=0,N(act_Rate),N(INDEX(rate_Rate,MOD($AO147,100))))))</f>
        <v/>
      </c>
      <c r="S147" s="17">
        <f>IF($A147="","",IF($L147&lt;&gt;"Y",0,IF($AO147=0,IF(UPPER(TRIM(CLEAN(SUBSTITUTE(act_RateType&amp;""," "," "))))="REPLACE",N(act_PriorRate),0),IF(ISNUMBER(INDEX(rate_Prior,MOD($AO147,100))),INDEX(rate_Prior,MOD($AO147,100)),IF(UPPER(TRIM(CLEAN(SUBSTITUTE(act_RateType&amp;""," "," "))))="REPLACE",N(act_PriorRate),0)))))</f>
        <v/>
      </c>
      <c r="T147" s="17">
        <f>IF($A147="","",IF(AND($L147="Y",$P147="PART",ISNUMBER(Items!M147)),Items!M147,1))</f>
        <v/>
      </c>
      <c r="U147" s="17">
        <f>IF($A147="","",IF($L147&lt;&gt;"Y",0,IF($AQ147&gt;0,IF(ISNUMBER(INDEX(det_Displaced,$AQ147)),INDEX(det_Displaced,$AQ147),IF($AO147=0,0,N(INDEX(rate_Displaced,MOD($AO147,100))))),IF($AO147=0,0,N(INDEX(rate_Displaced,MOD($AO147,100)))))))</f>
        <v/>
      </c>
      <c r="V147" s="17">
        <f>IF($A147="","",IF($L147="Y",$Q147+$T147*($R147-$S147)-$U147,$Q147))</f>
        <v/>
      </c>
      <c r="W147" s="18">
        <f>IF($A147="","",N(Items!H147)*$Q147)</f>
        <v/>
      </c>
      <c r="X147" s="18">
        <f>IF($A147="","",N(Items!H147)*$V147)</f>
        <v/>
      </c>
      <c r="Y147" s="18">
        <f>IF($A147="","",$X147-$W147)</f>
        <v/>
      </c>
      <c r="Z147" s="18">
        <f>IF($A147="","",N(Items!K147)+$Y147)</f>
        <v/>
      </c>
      <c r="AA147" s="17">
        <f>IF($A147="","",IF(N(Items!L147)=0,"",(N(Items!L147)-N(Items!K147))/N(Items!L147)))</f>
        <v/>
      </c>
      <c r="AB147" s="17">
        <f>IF($A147="","",IF(N(Items!L147)=0,"",(N(Items!L147)-$Z147)/N(Items!L147)))</f>
        <v/>
      </c>
      <c r="AC147" s="17">
        <f>IF(OR($AA147="",$AB147=""),"",$AB147-$AA147)</f>
        <v/>
      </c>
      <c r="AD147" s="13">
        <f>IF($A147="","",N(Items!I147))</f>
        <v/>
      </c>
      <c r="AE147" s="19">
        <f>IF($A147="","",$Y147*$AD147)</f>
        <v/>
      </c>
      <c r="AF147" s="10">
        <f>IF($A147="","",IF(N(Items!L147)&gt;0,"Y","N"))</f>
        <v/>
      </c>
      <c r="AG147" s="19">
        <f>IF($A147="","",IF($AF147="Y",N(Items!L147)*$AD147,0))</f>
        <v/>
      </c>
      <c r="AH147" s="19">
        <f>IF($A147="","",IF($AF147="Y",(N(Items!L147)-N(Items!K147))*$AD147,0))</f>
        <v/>
      </c>
      <c r="AI147" s="19">
        <f>IF($A147="","",IF($AF147="Y",$AH147-$AE147,0))</f>
        <v/>
      </c>
      <c r="AJ147" s="10">
        <f>IF($A147="","",IF(COUNTIF($AL$5:$AL$254,$AL147)&gt;1,"CHECK: duplicate item and import country",IF(TRIM(CLEAN(SUBSTITUTE(Items!C147&amp;""," "," ")))="","CHECK: import country missing",IF(AND(UPPER(TRIM(CLEAN(SUBSTITUTE(Items!C147&amp;""," "," "))))&lt;&gt;"US",UPPER(TRIM(CLEAN(SUBSTITUTE(Items!C147&amp;""," "," "))))&lt;&gt;"CA",UPPER(TRIM(CLEAN(SUBSTITUTE(Items!C147&amp;""," "," "))))&lt;&gt;"MX"),"CHECK: import country must be US, CA or MX",IF(NOT(AND(LEN($C147)=10,IFERROR(TEXT(VALUE($C147),REPT("0",LEN($C147)))=$C147,FALSE))),"CHECK: HTS must be 10 digits",IF(LEN($E147)&lt;&gt;2,"CHECK: origin code missing or not 2 letters",IF(TRIM(CLEAN(SUBSTITUTE(Items!G147&amp;""," "," ")))="","CHECK: unit of measure missing",IF(OR(Items!H147="",Items!J147="",Items!K147=""),"CHECK: value, rate or cost missing",IF(OR(NOT(ISNUMBER(Items!H147)),NOT(ISNUMBER(Items!J147)),NOT(ISNUMBER(Items!K147)),AND(Items!I147&lt;&gt;"",NOT(ISNUMBER(Items!I147))),AND(Items!L147&lt;&gt;"",NOT(ISNUMBER(Items!L147))),AND(Items!M147&lt;&gt;"",NOT(ISNUMBER(Items!M147)))),"CHECK: text in a number column",IF(AND(ISNUMBER(Items!M147),OR(N(Items!M147)&lt;0,N(Items!M147)&gt;1)),"CHECK: dutiable share must be 0% to 100%",IF(AND(UPPER(TRIM(CLEAN(SUBSTITUTE(Items!F147&amp;""," "," "))))&lt;&gt;"",UPPER(TRIM(CLEAN(SUBSTITUTE(Items!F147&amp;""," "," "))))&lt;&gt;"Y",UPPER(TRIM(CLEAN(SUBSTITUTE(Items!F147&amp;""," "," "))))&lt;&gt;"N"),"CHECK: USMCA flag must be Y, N or blank",IF(AND(UPPER(TRIM(CLEAN(SUBSTITUTE(Items!F147&amp;""," "," "))))="Y",$E147&lt;&gt;"US",$E147&lt;&gt;"CA",$E147&lt;&gt;"MX"),"CHECK: USMCA flag on an origin other than US, CA or MX",IF(AND($L147="Y",$AO147=0,NOT(ISNUMBER(act_Rate))),"CHECK: in scope but no rate (add a rate line or B15)",IF(AND($L147="Y",UPPER(TRIM(CLEAN(SUBSTITUTE(act_RateType&amp;""," "," "))))="REPLACE",NOT(ISNUMBER(act_PriorRate)),IF($AO147=0,TRUE,NOT(ISNUMBER(INDEX(rate_Prior,MOD($AO147,100)))))),"CHECK: REPLACE but no earlier rate (B17 or the rate line's AD)",IF(AND($L147="Y",$AP147&gt;1),"CHECK: two rate lines match equally",IF(AND($L147="Y",$AN147&gt;1),"CHECK: HTS prefix listed twice on the scope list",IF(AND($L147="Y",$P147="PART",NOT(ISNUMBER(Items!M147))),"CHECK: dutiable share missing (PART base)",IF(AND($L147="Y",$P147="FULL",ISNUMBER(Items!M147),N(Items!M147)&lt;&gt;1),"CHECK: dutiable share entered, but the rate taxes the full value",IF(AND($L147="Y",$Q147+0.0000001&lt;$T147*$S147+$U147),"CHECK: current rate is below the duty being replaced or displaced",IF(AND($L147="Y",$AD147=0),"NOTE: in scope, no quantity",IF(AND($L147="Y",$AF147="N"),"NOTE: in scope, no sell price (left out of margin %)",IF(AND($L147="Y",N(Items!H147)&gt;N(Items!K147)),"NOTE: customs value above standard cost (check unit of measure)",IF(AND($L147="Y",$Q147&gt;1),"NOTE: current rate above 100% (check it was entered as a percentage)","OK")))))))))))))))))))))))</f>
        <v/>
      </c>
      <c r="AK147" s="20">
        <f>IF($A147="","",IF(AND($L147="Y",$AE147&lt;&gt;0),ABS($AE147)+ROW()/1000000000,""))</f>
        <v/>
      </c>
      <c r="AL147" s="10">
        <f>IF($A147="","",UPPER($A147)&amp;"/"&amp;UPPER(TRIM(CLEAN(SUBSTITUTE(Items!C147&amp;""," "," ")))))</f>
        <v/>
      </c>
      <c r="AM147" s="13">
        <f>IF($A147="",0,SUMPRODUCT(MAX((scope_HTS&lt;&gt;"")*(LEFT($C147,LEN(scope_HTS))=scope_HTS)*(LEN(scope_HTS)*1000+ROW(scope_HTS)-4))))</f>
        <v/>
      </c>
      <c r="AN147" s="13">
        <f>IF($AM147=0,0,SUMPRODUCT((scope_HTS&lt;&gt;"")*(LEFT($C147,LEN(scope_HTS))=scope_HTS)*(LEN(scope_HTS)=INT($AM147/1000))))</f>
        <v/>
      </c>
      <c r="AO147" s="13">
        <f>IF($L147&lt;&gt;"Y",0,SUMPRODUCT(MAX(ISNUMBER(rate_Rate)*((UPPER(TRIM(CLEAN(SUBSTITUTE(rate_Group&amp;""," "," "))))="")+(UPPER(TRIM(CLEAN(SUBSTITUTE(rate_Group&amp;""," "," "))))=$N147)&gt;0)*((UPPER(TRIM(CLEAN(SUBSTITUTE(rate_COO&amp;""," "," "))))="")+(UPPER(TRIM(CLEAN(SUBSTITUTE(rate_COO&amp;""," "," "))))=$E147)&gt;0)*((UPPER(TRIM(CLEAN(SUBSTITUTE(rate_USMCA&amp;""," "," "))))="")+(UPPER(TRIM(CLEAN(SUBSTITUTE(rate_USMCA&amp;""," "," "))))=IF(UPPER(TRIM(CLEAN(SUBSTITUTE(Items!F147&amp;""," "," "))))="Y","Y","N"))&gt;0)*((1+(UPPER(TRIM(CLEAN(SUBSTITUTE(rate_Group&amp;""," "," "))))&lt;&gt;"")+2*(UPPER(TRIM(CLEAN(SUBSTITUTE(rate_USMCA&amp;""," "," "))))&lt;&gt;"")+4*(UPPER(TRIM(CLEAN(SUBSTITUTE(rate_COO&amp;""," "," "))))&lt;&gt;""))*100+ROW(rate_Rate)-4))))</f>
        <v/>
      </c>
      <c r="AP147" s="13">
        <f>IF($AO147=0,0,SUMPRODUCT(ISNUMBER(rate_Rate)*((UPPER(TRIM(CLEAN(SUBSTITUTE(rate_Group&amp;""," "," "))))="")+(UPPER(TRIM(CLEAN(SUBSTITUTE(rate_Group&amp;""," "," "))))=$N147)&gt;0)*((UPPER(TRIM(CLEAN(SUBSTITUTE(rate_COO&amp;""," "," "))))="")+(UPPER(TRIM(CLEAN(SUBSTITUTE(rate_COO&amp;""," "," "))))=$E147)&gt;0)*((UPPER(TRIM(CLEAN(SUBSTITUTE(rate_USMCA&amp;""," "," "))))="")+(UPPER(TRIM(CLEAN(SUBSTITUTE(rate_USMCA&amp;""," "," "))))=IF(UPPER(TRIM(CLEAN(SUBSTITUTE(Items!F147&amp;""," "," "))))="Y","Y","N"))&gt;0)*((1+(UPPER(TRIM(CLEAN(SUBSTITUTE(rate_Group&amp;""," "," "))))&lt;&gt;"")+2*(UPPER(TRIM(CLEAN(SUBSTITUTE(rate_USMCA&amp;""," "," "))))&lt;&gt;"")+4*(UPPER(TRIM(CLEAN(SUBSTITUTE(rate_COO&amp;""," "," "))))&lt;&gt;""))=INT($AO147/100))))</f>
        <v/>
      </c>
      <c r="AQ147" s="13">
        <f>IF($A147="",0,IFERROR(MATCH($AL147,det_Key,0),0))</f>
        <v/>
      </c>
    </row>
    <row r="148">
      <c r="A148" s="10">
        <f>IF(TRIM(CLEAN(SUBSTITUTE(Items!A148&amp;""," "," ")))="","",TRIM(CLEAN(SUBSTITUTE(Items!A148&amp;""," "," "))))</f>
        <v/>
      </c>
      <c r="B148" s="10">
        <f>IF($A148="","",Items!B148&amp;"")</f>
        <v/>
      </c>
      <c r="C148" s="10">
        <f>IF($A148="","",SUBSTITUTE(SUBSTITUTE(SUBSTITUTE(SUBSTITUTE(CLEAN(Items!D148&amp;"")," ",""),".","")," ",""),"-",""))</f>
        <v/>
      </c>
      <c r="D148" s="10">
        <f>IF($A148="","",LEFT($C148,2))</f>
        <v/>
      </c>
      <c r="E148" s="10">
        <f>IF($A148="","",UPPER(TRIM(CLEAN(SUBSTITUTE(Items!E148&amp;""," "," ")))))</f>
        <v/>
      </c>
      <c r="F148" s="10">
        <f>IF($A148="","",IF(UPPER(TRIM(CLEAN(SUBSTITUTE(Items!C148&amp;""," "," "))))=UPPER(TRIM(CLEAN(SUBSTITUTE(act_Country&amp;""," "," ")))),"Y","N"))</f>
        <v/>
      </c>
      <c r="G148" s="10">
        <f>IF($A148="","",IF($AM148&gt;0,"Y","N"))</f>
        <v/>
      </c>
      <c r="H148" s="10">
        <f>IF($A148="","",IF(SUMPRODUCT((excl_HTS&lt;&gt;"")*(LEFT($C148,LEN(excl_HTS))=excl_HTS))&gt;0,"Y","N"))</f>
        <v/>
      </c>
      <c r="I148" s="10">
        <f>IF($A148="","",IF($E148="","N",IF(SUMPRODUCT(--(UPPER(TRIM(CLEAN(SUBSTITUTE(scope_COO&amp;""," "," "))))=$E148))&gt;0,"Y","N")))</f>
        <v/>
      </c>
      <c r="J148" s="10">
        <f>IF($A148="","",IF(AND(UPPER(TRIM(CLEAN(SUBSTITUTE(act_USMCAExempt&amp;""," "," "))))="Y",UPPER(TRIM(CLEAN(SUBSTITUTE(Items!F148&amp;""," "," "))))="Y"),"Y","N"))</f>
        <v/>
      </c>
      <c r="K148" s="10">
        <f>IF($A148="","",IF($AQ148=0,"",UPPER(TRIM(CLEAN(SUBSTITUTE(INDEX(det_Status,$AQ148)&amp;""," "," "))))))</f>
        <v/>
      </c>
      <c r="L148" s="10">
        <f>IF($A148="","",IF($F148="N","N",IF($K148="IN","Y",IF($K148="OUT","N",IF(AND($G148="Y",$H148="N",$I148="Y",$J148="N"),"Y","N")))))</f>
        <v/>
      </c>
      <c r="M148" s="10">
        <f>IF($A148="","",IF($F148="N","Out: different import country",IF($K148="IN","In: Research determination",IF($K148="OUT","Out: Research determination",IF($G148="N","Out: HTS not on scope list",IF($H148="Y","Out: HTS on exclusion list",IF($I148="N","Out: origin not on scope list",IF($J148="Y","Out: USMCA-qualifying, exempt","In: matches scope rules"))))))))</f>
        <v/>
      </c>
      <c r="N148" s="10">
        <f>IF(OR($A148="",$AM148=0),"",UPPER(TRIM(CLEAN(SUBSTITUTE(INDEX(scope_Group,MOD($AM148,1000))&amp;""," "," ")))))</f>
        <v/>
      </c>
      <c r="O148" s="10">
        <f>IF($L148&lt;&gt;"Y","",IF($AO148=0,"Default (B15)",UPPER(TRIM(CLEAN(SUBSTITUTE(INDEX(rate_ID,MOD($AO148,100))&amp;""," "," "))))))</f>
        <v/>
      </c>
      <c r="P148" s="10">
        <f>IF($L148&lt;&gt;"Y","",IF($AO148=0,IF(UPPER(TRIM(CLEAN(SUBSTITUTE(act_DefaultBase&amp;""," "," "))))="PART","PART","FULL"),IF(UPPER(TRIM(CLEAN(SUBSTITUTE(INDEX(rate_Base,MOD($AO148,100))&amp;""," "," "))))="PART","PART","FULL")))</f>
        <v/>
      </c>
      <c r="Q148" s="17">
        <f>IF($A148="","",N(Items!J148))</f>
        <v/>
      </c>
      <c r="R148" s="17">
        <f>IF($A148="","",IF($L148&lt;&gt;"Y",0,IF($AO148=0,N(act_Rate),N(INDEX(rate_Rate,MOD($AO148,100))))))</f>
        <v/>
      </c>
      <c r="S148" s="17">
        <f>IF($A148="","",IF($L148&lt;&gt;"Y",0,IF($AO148=0,IF(UPPER(TRIM(CLEAN(SUBSTITUTE(act_RateType&amp;""," "," "))))="REPLACE",N(act_PriorRate),0),IF(ISNUMBER(INDEX(rate_Prior,MOD($AO148,100))),INDEX(rate_Prior,MOD($AO148,100)),IF(UPPER(TRIM(CLEAN(SUBSTITUTE(act_RateType&amp;""," "," "))))="REPLACE",N(act_PriorRate),0)))))</f>
        <v/>
      </c>
      <c r="T148" s="17">
        <f>IF($A148="","",IF(AND($L148="Y",$P148="PART",ISNUMBER(Items!M148)),Items!M148,1))</f>
        <v/>
      </c>
      <c r="U148" s="17">
        <f>IF($A148="","",IF($L148&lt;&gt;"Y",0,IF($AQ148&gt;0,IF(ISNUMBER(INDEX(det_Displaced,$AQ148)),INDEX(det_Displaced,$AQ148),IF($AO148=0,0,N(INDEX(rate_Displaced,MOD($AO148,100))))),IF($AO148=0,0,N(INDEX(rate_Displaced,MOD($AO148,100)))))))</f>
        <v/>
      </c>
      <c r="V148" s="17">
        <f>IF($A148="","",IF($L148="Y",$Q148+$T148*($R148-$S148)-$U148,$Q148))</f>
        <v/>
      </c>
      <c r="W148" s="18">
        <f>IF($A148="","",N(Items!H148)*$Q148)</f>
        <v/>
      </c>
      <c r="X148" s="18">
        <f>IF($A148="","",N(Items!H148)*$V148)</f>
        <v/>
      </c>
      <c r="Y148" s="18">
        <f>IF($A148="","",$X148-$W148)</f>
        <v/>
      </c>
      <c r="Z148" s="18">
        <f>IF($A148="","",N(Items!K148)+$Y148)</f>
        <v/>
      </c>
      <c r="AA148" s="17">
        <f>IF($A148="","",IF(N(Items!L148)=0,"",(N(Items!L148)-N(Items!K148))/N(Items!L148)))</f>
        <v/>
      </c>
      <c r="AB148" s="17">
        <f>IF($A148="","",IF(N(Items!L148)=0,"",(N(Items!L148)-$Z148)/N(Items!L148)))</f>
        <v/>
      </c>
      <c r="AC148" s="17">
        <f>IF(OR($AA148="",$AB148=""),"",$AB148-$AA148)</f>
        <v/>
      </c>
      <c r="AD148" s="13">
        <f>IF($A148="","",N(Items!I148))</f>
        <v/>
      </c>
      <c r="AE148" s="19">
        <f>IF($A148="","",$Y148*$AD148)</f>
        <v/>
      </c>
      <c r="AF148" s="10">
        <f>IF($A148="","",IF(N(Items!L148)&gt;0,"Y","N"))</f>
        <v/>
      </c>
      <c r="AG148" s="19">
        <f>IF($A148="","",IF($AF148="Y",N(Items!L148)*$AD148,0))</f>
        <v/>
      </c>
      <c r="AH148" s="19">
        <f>IF($A148="","",IF($AF148="Y",(N(Items!L148)-N(Items!K148))*$AD148,0))</f>
        <v/>
      </c>
      <c r="AI148" s="19">
        <f>IF($A148="","",IF($AF148="Y",$AH148-$AE148,0))</f>
        <v/>
      </c>
      <c r="AJ148" s="10">
        <f>IF($A148="","",IF(COUNTIF($AL$5:$AL$254,$AL148)&gt;1,"CHECK: duplicate item and import country",IF(TRIM(CLEAN(SUBSTITUTE(Items!C148&amp;""," "," ")))="","CHECK: import country missing",IF(AND(UPPER(TRIM(CLEAN(SUBSTITUTE(Items!C148&amp;""," "," "))))&lt;&gt;"US",UPPER(TRIM(CLEAN(SUBSTITUTE(Items!C148&amp;""," "," "))))&lt;&gt;"CA",UPPER(TRIM(CLEAN(SUBSTITUTE(Items!C148&amp;""," "," "))))&lt;&gt;"MX"),"CHECK: import country must be US, CA or MX",IF(NOT(AND(LEN($C148)=10,IFERROR(TEXT(VALUE($C148),REPT("0",LEN($C148)))=$C148,FALSE))),"CHECK: HTS must be 10 digits",IF(LEN($E148)&lt;&gt;2,"CHECK: origin code missing or not 2 letters",IF(TRIM(CLEAN(SUBSTITUTE(Items!G148&amp;""," "," ")))="","CHECK: unit of measure missing",IF(OR(Items!H148="",Items!J148="",Items!K148=""),"CHECK: value, rate or cost missing",IF(OR(NOT(ISNUMBER(Items!H148)),NOT(ISNUMBER(Items!J148)),NOT(ISNUMBER(Items!K148)),AND(Items!I148&lt;&gt;"",NOT(ISNUMBER(Items!I148))),AND(Items!L148&lt;&gt;"",NOT(ISNUMBER(Items!L148))),AND(Items!M148&lt;&gt;"",NOT(ISNUMBER(Items!M148)))),"CHECK: text in a number column",IF(AND(ISNUMBER(Items!M148),OR(N(Items!M148)&lt;0,N(Items!M148)&gt;1)),"CHECK: dutiable share must be 0% to 100%",IF(AND(UPPER(TRIM(CLEAN(SUBSTITUTE(Items!F148&amp;""," "," "))))&lt;&gt;"",UPPER(TRIM(CLEAN(SUBSTITUTE(Items!F148&amp;""," "," "))))&lt;&gt;"Y",UPPER(TRIM(CLEAN(SUBSTITUTE(Items!F148&amp;""," "," "))))&lt;&gt;"N"),"CHECK: USMCA flag must be Y, N or blank",IF(AND(UPPER(TRIM(CLEAN(SUBSTITUTE(Items!F148&amp;""," "," "))))="Y",$E148&lt;&gt;"US",$E148&lt;&gt;"CA",$E148&lt;&gt;"MX"),"CHECK: USMCA flag on an origin other than US, CA or MX",IF(AND($L148="Y",$AO148=0,NOT(ISNUMBER(act_Rate))),"CHECK: in scope but no rate (add a rate line or B15)",IF(AND($L148="Y",UPPER(TRIM(CLEAN(SUBSTITUTE(act_RateType&amp;""," "," "))))="REPLACE",NOT(ISNUMBER(act_PriorRate)),IF($AO148=0,TRUE,NOT(ISNUMBER(INDEX(rate_Prior,MOD($AO148,100)))))),"CHECK: REPLACE but no earlier rate (B17 or the rate line's AD)",IF(AND($L148="Y",$AP148&gt;1),"CHECK: two rate lines match equally",IF(AND($L148="Y",$AN148&gt;1),"CHECK: HTS prefix listed twice on the scope list",IF(AND($L148="Y",$P148="PART",NOT(ISNUMBER(Items!M148))),"CHECK: dutiable share missing (PART base)",IF(AND($L148="Y",$P148="FULL",ISNUMBER(Items!M148),N(Items!M148)&lt;&gt;1),"CHECK: dutiable share entered, but the rate taxes the full value",IF(AND($L148="Y",$Q148+0.0000001&lt;$T148*$S148+$U148),"CHECK: current rate is below the duty being replaced or displaced",IF(AND($L148="Y",$AD148=0),"NOTE: in scope, no quantity",IF(AND($L148="Y",$AF148="N"),"NOTE: in scope, no sell price (left out of margin %)",IF(AND($L148="Y",N(Items!H148)&gt;N(Items!K148)),"NOTE: customs value above standard cost (check unit of measure)",IF(AND($L148="Y",$Q148&gt;1),"NOTE: current rate above 100% (check it was entered as a percentage)","OK")))))))))))))))))))))))</f>
        <v/>
      </c>
      <c r="AK148" s="20">
        <f>IF($A148="","",IF(AND($L148="Y",$AE148&lt;&gt;0),ABS($AE148)+ROW()/1000000000,""))</f>
        <v/>
      </c>
      <c r="AL148" s="10">
        <f>IF($A148="","",UPPER($A148)&amp;"/"&amp;UPPER(TRIM(CLEAN(SUBSTITUTE(Items!C148&amp;""," "," ")))))</f>
        <v/>
      </c>
      <c r="AM148" s="13">
        <f>IF($A148="",0,SUMPRODUCT(MAX((scope_HTS&lt;&gt;"")*(LEFT($C148,LEN(scope_HTS))=scope_HTS)*(LEN(scope_HTS)*1000+ROW(scope_HTS)-4))))</f>
        <v/>
      </c>
      <c r="AN148" s="13">
        <f>IF($AM148=0,0,SUMPRODUCT((scope_HTS&lt;&gt;"")*(LEFT($C148,LEN(scope_HTS))=scope_HTS)*(LEN(scope_HTS)=INT($AM148/1000))))</f>
        <v/>
      </c>
      <c r="AO148" s="13">
        <f>IF($L148&lt;&gt;"Y",0,SUMPRODUCT(MAX(ISNUMBER(rate_Rate)*((UPPER(TRIM(CLEAN(SUBSTITUTE(rate_Group&amp;""," "," "))))="")+(UPPER(TRIM(CLEAN(SUBSTITUTE(rate_Group&amp;""," "," "))))=$N148)&gt;0)*((UPPER(TRIM(CLEAN(SUBSTITUTE(rate_COO&amp;""," "," "))))="")+(UPPER(TRIM(CLEAN(SUBSTITUTE(rate_COO&amp;""," "," "))))=$E148)&gt;0)*((UPPER(TRIM(CLEAN(SUBSTITUTE(rate_USMCA&amp;""," "," "))))="")+(UPPER(TRIM(CLEAN(SUBSTITUTE(rate_USMCA&amp;""," "," "))))=IF(UPPER(TRIM(CLEAN(SUBSTITUTE(Items!F148&amp;""," "," "))))="Y","Y","N"))&gt;0)*((1+(UPPER(TRIM(CLEAN(SUBSTITUTE(rate_Group&amp;""," "," "))))&lt;&gt;"")+2*(UPPER(TRIM(CLEAN(SUBSTITUTE(rate_USMCA&amp;""," "," "))))&lt;&gt;"")+4*(UPPER(TRIM(CLEAN(SUBSTITUTE(rate_COO&amp;""," "," "))))&lt;&gt;""))*100+ROW(rate_Rate)-4))))</f>
        <v/>
      </c>
      <c r="AP148" s="13">
        <f>IF($AO148=0,0,SUMPRODUCT(ISNUMBER(rate_Rate)*((UPPER(TRIM(CLEAN(SUBSTITUTE(rate_Group&amp;""," "," "))))="")+(UPPER(TRIM(CLEAN(SUBSTITUTE(rate_Group&amp;""," "," "))))=$N148)&gt;0)*((UPPER(TRIM(CLEAN(SUBSTITUTE(rate_COO&amp;""," "," "))))="")+(UPPER(TRIM(CLEAN(SUBSTITUTE(rate_COO&amp;""," "," "))))=$E148)&gt;0)*((UPPER(TRIM(CLEAN(SUBSTITUTE(rate_USMCA&amp;""," "," "))))="")+(UPPER(TRIM(CLEAN(SUBSTITUTE(rate_USMCA&amp;""," "," "))))=IF(UPPER(TRIM(CLEAN(SUBSTITUTE(Items!F148&amp;""," "," "))))="Y","Y","N"))&gt;0)*((1+(UPPER(TRIM(CLEAN(SUBSTITUTE(rate_Group&amp;""," "," "))))&lt;&gt;"")+2*(UPPER(TRIM(CLEAN(SUBSTITUTE(rate_USMCA&amp;""," "," "))))&lt;&gt;"")+4*(UPPER(TRIM(CLEAN(SUBSTITUTE(rate_COO&amp;""," "," "))))&lt;&gt;""))=INT($AO148/100))))</f>
        <v/>
      </c>
      <c r="AQ148" s="13">
        <f>IF($A148="",0,IFERROR(MATCH($AL148,det_Key,0),0))</f>
        <v/>
      </c>
    </row>
    <row r="149">
      <c r="A149" s="10">
        <f>IF(TRIM(CLEAN(SUBSTITUTE(Items!A149&amp;""," "," ")))="","",TRIM(CLEAN(SUBSTITUTE(Items!A149&amp;""," "," "))))</f>
        <v/>
      </c>
      <c r="B149" s="10">
        <f>IF($A149="","",Items!B149&amp;"")</f>
        <v/>
      </c>
      <c r="C149" s="10">
        <f>IF($A149="","",SUBSTITUTE(SUBSTITUTE(SUBSTITUTE(SUBSTITUTE(CLEAN(Items!D149&amp;"")," ",""),".","")," ",""),"-",""))</f>
        <v/>
      </c>
      <c r="D149" s="10">
        <f>IF($A149="","",LEFT($C149,2))</f>
        <v/>
      </c>
      <c r="E149" s="10">
        <f>IF($A149="","",UPPER(TRIM(CLEAN(SUBSTITUTE(Items!E149&amp;""," "," ")))))</f>
        <v/>
      </c>
      <c r="F149" s="10">
        <f>IF($A149="","",IF(UPPER(TRIM(CLEAN(SUBSTITUTE(Items!C149&amp;""," "," "))))=UPPER(TRIM(CLEAN(SUBSTITUTE(act_Country&amp;""," "," ")))),"Y","N"))</f>
        <v/>
      </c>
      <c r="G149" s="10">
        <f>IF($A149="","",IF($AM149&gt;0,"Y","N"))</f>
        <v/>
      </c>
      <c r="H149" s="10">
        <f>IF($A149="","",IF(SUMPRODUCT((excl_HTS&lt;&gt;"")*(LEFT($C149,LEN(excl_HTS))=excl_HTS))&gt;0,"Y","N"))</f>
        <v/>
      </c>
      <c r="I149" s="10">
        <f>IF($A149="","",IF($E149="","N",IF(SUMPRODUCT(--(UPPER(TRIM(CLEAN(SUBSTITUTE(scope_COO&amp;""," "," "))))=$E149))&gt;0,"Y","N")))</f>
        <v/>
      </c>
      <c r="J149" s="10">
        <f>IF($A149="","",IF(AND(UPPER(TRIM(CLEAN(SUBSTITUTE(act_USMCAExempt&amp;""," "," "))))="Y",UPPER(TRIM(CLEAN(SUBSTITUTE(Items!F149&amp;""," "," "))))="Y"),"Y","N"))</f>
        <v/>
      </c>
      <c r="K149" s="10">
        <f>IF($A149="","",IF($AQ149=0,"",UPPER(TRIM(CLEAN(SUBSTITUTE(INDEX(det_Status,$AQ149)&amp;""," "," "))))))</f>
        <v/>
      </c>
      <c r="L149" s="10">
        <f>IF($A149="","",IF($F149="N","N",IF($K149="IN","Y",IF($K149="OUT","N",IF(AND($G149="Y",$H149="N",$I149="Y",$J149="N"),"Y","N")))))</f>
        <v/>
      </c>
      <c r="M149" s="10">
        <f>IF($A149="","",IF($F149="N","Out: different import country",IF($K149="IN","In: Research determination",IF($K149="OUT","Out: Research determination",IF($G149="N","Out: HTS not on scope list",IF($H149="Y","Out: HTS on exclusion list",IF($I149="N","Out: origin not on scope list",IF($J149="Y","Out: USMCA-qualifying, exempt","In: matches scope rules"))))))))</f>
        <v/>
      </c>
      <c r="N149" s="10">
        <f>IF(OR($A149="",$AM149=0),"",UPPER(TRIM(CLEAN(SUBSTITUTE(INDEX(scope_Group,MOD($AM149,1000))&amp;""," "," ")))))</f>
        <v/>
      </c>
      <c r="O149" s="10">
        <f>IF($L149&lt;&gt;"Y","",IF($AO149=0,"Default (B15)",UPPER(TRIM(CLEAN(SUBSTITUTE(INDEX(rate_ID,MOD($AO149,100))&amp;""," "," "))))))</f>
        <v/>
      </c>
      <c r="P149" s="10">
        <f>IF($L149&lt;&gt;"Y","",IF($AO149=0,IF(UPPER(TRIM(CLEAN(SUBSTITUTE(act_DefaultBase&amp;""," "," "))))="PART","PART","FULL"),IF(UPPER(TRIM(CLEAN(SUBSTITUTE(INDEX(rate_Base,MOD($AO149,100))&amp;""," "," "))))="PART","PART","FULL")))</f>
        <v/>
      </c>
      <c r="Q149" s="17">
        <f>IF($A149="","",N(Items!J149))</f>
        <v/>
      </c>
      <c r="R149" s="17">
        <f>IF($A149="","",IF($L149&lt;&gt;"Y",0,IF($AO149=0,N(act_Rate),N(INDEX(rate_Rate,MOD($AO149,100))))))</f>
        <v/>
      </c>
      <c r="S149" s="17">
        <f>IF($A149="","",IF($L149&lt;&gt;"Y",0,IF($AO149=0,IF(UPPER(TRIM(CLEAN(SUBSTITUTE(act_RateType&amp;""," "," "))))="REPLACE",N(act_PriorRate),0),IF(ISNUMBER(INDEX(rate_Prior,MOD($AO149,100))),INDEX(rate_Prior,MOD($AO149,100)),IF(UPPER(TRIM(CLEAN(SUBSTITUTE(act_RateType&amp;""," "," "))))="REPLACE",N(act_PriorRate),0)))))</f>
        <v/>
      </c>
      <c r="T149" s="17">
        <f>IF($A149="","",IF(AND($L149="Y",$P149="PART",ISNUMBER(Items!M149)),Items!M149,1))</f>
        <v/>
      </c>
      <c r="U149" s="17">
        <f>IF($A149="","",IF($L149&lt;&gt;"Y",0,IF($AQ149&gt;0,IF(ISNUMBER(INDEX(det_Displaced,$AQ149)),INDEX(det_Displaced,$AQ149),IF($AO149=0,0,N(INDEX(rate_Displaced,MOD($AO149,100))))),IF($AO149=0,0,N(INDEX(rate_Displaced,MOD($AO149,100)))))))</f>
        <v/>
      </c>
      <c r="V149" s="17">
        <f>IF($A149="","",IF($L149="Y",$Q149+$T149*($R149-$S149)-$U149,$Q149))</f>
        <v/>
      </c>
      <c r="W149" s="18">
        <f>IF($A149="","",N(Items!H149)*$Q149)</f>
        <v/>
      </c>
      <c r="X149" s="18">
        <f>IF($A149="","",N(Items!H149)*$V149)</f>
        <v/>
      </c>
      <c r="Y149" s="18">
        <f>IF($A149="","",$X149-$W149)</f>
        <v/>
      </c>
      <c r="Z149" s="18">
        <f>IF($A149="","",N(Items!K149)+$Y149)</f>
        <v/>
      </c>
      <c r="AA149" s="17">
        <f>IF($A149="","",IF(N(Items!L149)=0,"",(N(Items!L149)-N(Items!K149))/N(Items!L149)))</f>
        <v/>
      </c>
      <c r="AB149" s="17">
        <f>IF($A149="","",IF(N(Items!L149)=0,"",(N(Items!L149)-$Z149)/N(Items!L149)))</f>
        <v/>
      </c>
      <c r="AC149" s="17">
        <f>IF(OR($AA149="",$AB149=""),"",$AB149-$AA149)</f>
        <v/>
      </c>
      <c r="AD149" s="13">
        <f>IF($A149="","",N(Items!I149))</f>
        <v/>
      </c>
      <c r="AE149" s="19">
        <f>IF($A149="","",$Y149*$AD149)</f>
        <v/>
      </c>
      <c r="AF149" s="10">
        <f>IF($A149="","",IF(N(Items!L149)&gt;0,"Y","N"))</f>
        <v/>
      </c>
      <c r="AG149" s="19">
        <f>IF($A149="","",IF($AF149="Y",N(Items!L149)*$AD149,0))</f>
        <v/>
      </c>
      <c r="AH149" s="19">
        <f>IF($A149="","",IF($AF149="Y",(N(Items!L149)-N(Items!K149))*$AD149,0))</f>
        <v/>
      </c>
      <c r="AI149" s="19">
        <f>IF($A149="","",IF($AF149="Y",$AH149-$AE149,0))</f>
        <v/>
      </c>
      <c r="AJ149" s="10">
        <f>IF($A149="","",IF(COUNTIF($AL$5:$AL$254,$AL149)&gt;1,"CHECK: duplicate item and import country",IF(TRIM(CLEAN(SUBSTITUTE(Items!C149&amp;""," "," ")))="","CHECK: import country missing",IF(AND(UPPER(TRIM(CLEAN(SUBSTITUTE(Items!C149&amp;""," "," "))))&lt;&gt;"US",UPPER(TRIM(CLEAN(SUBSTITUTE(Items!C149&amp;""," "," "))))&lt;&gt;"CA",UPPER(TRIM(CLEAN(SUBSTITUTE(Items!C149&amp;""," "," "))))&lt;&gt;"MX"),"CHECK: import country must be US, CA or MX",IF(NOT(AND(LEN($C149)=10,IFERROR(TEXT(VALUE($C149),REPT("0",LEN($C149)))=$C149,FALSE))),"CHECK: HTS must be 10 digits",IF(LEN($E149)&lt;&gt;2,"CHECK: origin code missing or not 2 letters",IF(TRIM(CLEAN(SUBSTITUTE(Items!G149&amp;""," "," ")))="","CHECK: unit of measure missing",IF(OR(Items!H149="",Items!J149="",Items!K149=""),"CHECK: value, rate or cost missing",IF(OR(NOT(ISNUMBER(Items!H149)),NOT(ISNUMBER(Items!J149)),NOT(ISNUMBER(Items!K149)),AND(Items!I149&lt;&gt;"",NOT(ISNUMBER(Items!I149))),AND(Items!L149&lt;&gt;"",NOT(ISNUMBER(Items!L149))),AND(Items!M149&lt;&gt;"",NOT(ISNUMBER(Items!M149)))),"CHECK: text in a number column",IF(AND(ISNUMBER(Items!M149),OR(N(Items!M149)&lt;0,N(Items!M149)&gt;1)),"CHECK: dutiable share must be 0% to 100%",IF(AND(UPPER(TRIM(CLEAN(SUBSTITUTE(Items!F149&amp;""," "," "))))&lt;&gt;"",UPPER(TRIM(CLEAN(SUBSTITUTE(Items!F149&amp;""," "," "))))&lt;&gt;"Y",UPPER(TRIM(CLEAN(SUBSTITUTE(Items!F149&amp;""," "," "))))&lt;&gt;"N"),"CHECK: USMCA flag must be Y, N or blank",IF(AND(UPPER(TRIM(CLEAN(SUBSTITUTE(Items!F149&amp;""," "," "))))="Y",$E149&lt;&gt;"US",$E149&lt;&gt;"CA",$E149&lt;&gt;"MX"),"CHECK: USMCA flag on an origin other than US, CA or MX",IF(AND($L149="Y",$AO149=0,NOT(ISNUMBER(act_Rate))),"CHECK: in scope but no rate (add a rate line or B15)",IF(AND($L149="Y",UPPER(TRIM(CLEAN(SUBSTITUTE(act_RateType&amp;""," "," "))))="REPLACE",NOT(ISNUMBER(act_PriorRate)),IF($AO149=0,TRUE,NOT(ISNUMBER(INDEX(rate_Prior,MOD($AO149,100)))))),"CHECK: REPLACE but no earlier rate (B17 or the rate line's AD)",IF(AND($L149="Y",$AP149&gt;1),"CHECK: two rate lines match equally",IF(AND($L149="Y",$AN149&gt;1),"CHECK: HTS prefix listed twice on the scope list",IF(AND($L149="Y",$P149="PART",NOT(ISNUMBER(Items!M149))),"CHECK: dutiable share missing (PART base)",IF(AND($L149="Y",$P149="FULL",ISNUMBER(Items!M149),N(Items!M149)&lt;&gt;1),"CHECK: dutiable share entered, but the rate taxes the full value",IF(AND($L149="Y",$Q149+0.0000001&lt;$T149*$S149+$U149),"CHECK: current rate is below the duty being replaced or displaced",IF(AND($L149="Y",$AD149=0),"NOTE: in scope, no quantity",IF(AND($L149="Y",$AF149="N"),"NOTE: in scope, no sell price (left out of margin %)",IF(AND($L149="Y",N(Items!H149)&gt;N(Items!K149)),"NOTE: customs value above standard cost (check unit of measure)",IF(AND($L149="Y",$Q149&gt;1),"NOTE: current rate above 100% (check it was entered as a percentage)","OK")))))))))))))))))))))))</f>
        <v/>
      </c>
      <c r="AK149" s="20">
        <f>IF($A149="","",IF(AND($L149="Y",$AE149&lt;&gt;0),ABS($AE149)+ROW()/1000000000,""))</f>
        <v/>
      </c>
      <c r="AL149" s="10">
        <f>IF($A149="","",UPPER($A149)&amp;"/"&amp;UPPER(TRIM(CLEAN(SUBSTITUTE(Items!C149&amp;""," "," ")))))</f>
        <v/>
      </c>
      <c r="AM149" s="13">
        <f>IF($A149="",0,SUMPRODUCT(MAX((scope_HTS&lt;&gt;"")*(LEFT($C149,LEN(scope_HTS))=scope_HTS)*(LEN(scope_HTS)*1000+ROW(scope_HTS)-4))))</f>
        <v/>
      </c>
      <c r="AN149" s="13">
        <f>IF($AM149=0,0,SUMPRODUCT((scope_HTS&lt;&gt;"")*(LEFT($C149,LEN(scope_HTS))=scope_HTS)*(LEN(scope_HTS)=INT($AM149/1000))))</f>
        <v/>
      </c>
      <c r="AO149" s="13">
        <f>IF($L149&lt;&gt;"Y",0,SUMPRODUCT(MAX(ISNUMBER(rate_Rate)*((UPPER(TRIM(CLEAN(SUBSTITUTE(rate_Group&amp;""," "," "))))="")+(UPPER(TRIM(CLEAN(SUBSTITUTE(rate_Group&amp;""," "," "))))=$N149)&gt;0)*((UPPER(TRIM(CLEAN(SUBSTITUTE(rate_COO&amp;""," "," "))))="")+(UPPER(TRIM(CLEAN(SUBSTITUTE(rate_COO&amp;""," "," "))))=$E149)&gt;0)*((UPPER(TRIM(CLEAN(SUBSTITUTE(rate_USMCA&amp;""," "," "))))="")+(UPPER(TRIM(CLEAN(SUBSTITUTE(rate_USMCA&amp;""," "," "))))=IF(UPPER(TRIM(CLEAN(SUBSTITUTE(Items!F149&amp;""," "," "))))="Y","Y","N"))&gt;0)*((1+(UPPER(TRIM(CLEAN(SUBSTITUTE(rate_Group&amp;""," "," "))))&lt;&gt;"")+2*(UPPER(TRIM(CLEAN(SUBSTITUTE(rate_USMCA&amp;""," "," "))))&lt;&gt;"")+4*(UPPER(TRIM(CLEAN(SUBSTITUTE(rate_COO&amp;""," "," "))))&lt;&gt;""))*100+ROW(rate_Rate)-4))))</f>
        <v/>
      </c>
      <c r="AP149" s="13">
        <f>IF($AO149=0,0,SUMPRODUCT(ISNUMBER(rate_Rate)*((UPPER(TRIM(CLEAN(SUBSTITUTE(rate_Group&amp;""," "," "))))="")+(UPPER(TRIM(CLEAN(SUBSTITUTE(rate_Group&amp;""," "," "))))=$N149)&gt;0)*((UPPER(TRIM(CLEAN(SUBSTITUTE(rate_COO&amp;""," "," "))))="")+(UPPER(TRIM(CLEAN(SUBSTITUTE(rate_COO&amp;""," "," "))))=$E149)&gt;0)*((UPPER(TRIM(CLEAN(SUBSTITUTE(rate_USMCA&amp;""," "," "))))="")+(UPPER(TRIM(CLEAN(SUBSTITUTE(rate_USMCA&amp;""," "," "))))=IF(UPPER(TRIM(CLEAN(SUBSTITUTE(Items!F149&amp;""," "," "))))="Y","Y","N"))&gt;0)*((1+(UPPER(TRIM(CLEAN(SUBSTITUTE(rate_Group&amp;""," "," "))))&lt;&gt;"")+2*(UPPER(TRIM(CLEAN(SUBSTITUTE(rate_USMCA&amp;""," "," "))))&lt;&gt;"")+4*(UPPER(TRIM(CLEAN(SUBSTITUTE(rate_COO&amp;""," "," "))))&lt;&gt;""))=INT($AO149/100))))</f>
        <v/>
      </c>
      <c r="AQ149" s="13">
        <f>IF($A149="",0,IFERROR(MATCH($AL149,det_Key,0),0))</f>
        <v/>
      </c>
    </row>
    <row r="150">
      <c r="A150" s="10">
        <f>IF(TRIM(CLEAN(SUBSTITUTE(Items!A150&amp;""," "," ")))="","",TRIM(CLEAN(SUBSTITUTE(Items!A150&amp;""," "," "))))</f>
        <v/>
      </c>
      <c r="B150" s="10">
        <f>IF($A150="","",Items!B150&amp;"")</f>
        <v/>
      </c>
      <c r="C150" s="10">
        <f>IF($A150="","",SUBSTITUTE(SUBSTITUTE(SUBSTITUTE(SUBSTITUTE(CLEAN(Items!D150&amp;"")," ",""),".","")," ",""),"-",""))</f>
        <v/>
      </c>
      <c r="D150" s="10">
        <f>IF($A150="","",LEFT($C150,2))</f>
        <v/>
      </c>
      <c r="E150" s="10">
        <f>IF($A150="","",UPPER(TRIM(CLEAN(SUBSTITUTE(Items!E150&amp;""," "," ")))))</f>
        <v/>
      </c>
      <c r="F150" s="10">
        <f>IF($A150="","",IF(UPPER(TRIM(CLEAN(SUBSTITUTE(Items!C150&amp;""," "," "))))=UPPER(TRIM(CLEAN(SUBSTITUTE(act_Country&amp;""," "," ")))),"Y","N"))</f>
        <v/>
      </c>
      <c r="G150" s="10">
        <f>IF($A150="","",IF($AM150&gt;0,"Y","N"))</f>
        <v/>
      </c>
      <c r="H150" s="10">
        <f>IF($A150="","",IF(SUMPRODUCT((excl_HTS&lt;&gt;"")*(LEFT($C150,LEN(excl_HTS))=excl_HTS))&gt;0,"Y","N"))</f>
        <v/>
      </c>
      <c r="I150" s="10">
        <f>IF($A150="","",IF($E150="","N",IF(SUMPRODUCT(--(UPPER(TRIM(CLEAN(SUBSTITUTE(scope_COO&amp;""," "," "))))=$E150))&gt;0,"Y","N")))</f>
        <v/>
      </c>
      <c r="J150" s="10">
        <f>IF($A150="","",IF(AND(UPPER(TRIM(CLEAN(SUBSTITUTE(act_USMCAExempt&amp;""," "," "))))="Y",UPPER(TRIM(CLEAN(SUBSTITUTE(Items!F150&amp;""," "," "))))="Y"),"Y","N"))</f>
        <v/>
      </c>
      <c r="K150" s="10">
        <f>IF($A150="","",IF($AQ150=0,"",UPPER(TRIM(CLEAN(SUBSTITUTE(INDEX(det_Status,$AQ150)&amp;""," "," "))))))</f>
        <v/>
      </c>
      <c r="L150" s="10">
        <f>IF($A150="","",IF($F150="N","N",IF($K150="IN","Y",IF($K150="OUT","N",IF(AND($G150="Y",$H150="N",$I150="Y",$J150="N"),"Y","N")))))</f>
        <v/>
      </c>
      <c r="M150" s="10">
        <f>IF($A150="","",IF($F150="N","Out: different import country",IF($K150="IN","In: Research determination",IF($K150="OUT","Out: Research determination",IF($G150="N","Out: HTS not on scope list",IF($H150="Y","Out: HTS on exclusion list",IF($I150="N","Out: origin not on scope list",IF($J150="Y","Out: USMCA-qualifying, exempt","In: matches scope rules"))))))))</f>
        <v/>
      </c>
      <c r="N150" s="10">
        <f>IF(OR($A150="",$AM150=0),"",UPPER(TRIM(CLEAN(SUBSTITUTE(INDEX(scope_Group,MOD($AM150,1000))&amp;""," "," ")))))</f>
        <v/>
      </c>
      <c r="O150" s="10">
        <f>IF($L150&lt;&gt;"Y","",IF($AO150=0,"Default (B15)",UPPER(TRIM(CLEAN(SUBSTITUTE(INDEX(rate_ID,MOD($AO150,100))&amp;""," "," "))))))</f>
        <v/>
      </c>
      <c r="P150" s="10">
        <f>IF($L150&lt;&gt;"Y","",IF($AO150=0,IF(UPPER(TRIM(CLEAN(SUBSTITUTE(act_DefaultBase&amp;""," "," "))))="PART","PART","FULL"),IF(UPPER(TRIM(CLEAN(SUBSTITUTE(INDEX(rate_Base,MOD($AO150,100))&amp;""," "," "))))="PART","PART","FULL")))</f>
        <v/>
      </c>
      <c r="Q150" s="17">
        <f>IF($A150="","",N(Items!J150))</f>
        <v/>
      </c>
      <c r="R150" s="17">
        <f>IF($A150="","",IF($L150&lt;&gt;"Y",0,IF($AO150=0,N(act_Rate),N(INDEX(rate_Rate,MOD($AO150,100))))))</f>
        <v/>
      </c>
      <c r="S150" s="17">
        <f>IF($A150="","",IF($L150&lt;&gt;"Y",0,IF($AO150=0,IF(UPPER(TRIM(CLEAN(SUBSTITUTE(act_RateType&amp;""," "," "))))="REPLACE",N(act_PriorRate),0),IF(ISNUMBER(INDEX(rate_Prior,MOD($AO150,100))),INDEX(rate_Prior,MOD($AO150,100)),IF(UPPER(TRIM(CLEAN(SUBSTITUTE(act_RateType&amp;""," "," "))))="REPLACE",N(act_PriorRate),0)))))</f>
        <v/>
      </c>
      <c r="T150" s="17">
        <f>IF($A150="","",IF(AND($L150="Y",$P150="PART",ISNUMBER(Items!M150)),Items!M150,1))</f>
        <v/>
      </c>
      <c r="U150" s="17">
        <f>IF($A150="","",IF($L150&lt;&gt;"Y",0,IF($AQ150&gt;0,IF(ISNUMBER(INDEX(det_Displaced,$AQ150)),INDEX(det_Displaced,$AQ150),IF($AO150=0,0,N(INDEX(rate_Displaced,MOD($AO150,100))))),IF($AO150=0,0,N(INDEX(rate_Displaced,MOD($AO150,100)))))))</f>
        <v/>
      </c>
      <c r="V150" s="17">
        <f>IF($A150="","",IF($L150="Y",$Q150+$T150*($R150-$S150)-$U150,$Q150))</f>
        <v/>
      </c>
      <c r="W150" s="18">
        <f>IF($A150="","",N(Items!H150)*$Q150)</f>
        <v/>
      </c>
      <c r="X150" s="18">
        <f>IF($A150="","",N(Items!H150)*$V150)</f>
        <v/>
      </c>
      <c r="Y150" s="18">
        <f>IF($A150="","",$X150-$W150)</f>
        <v/>
      </c>
      <c r="Z150" s="18">
        <f>IF($A150="","",N(Items!K150)+$Y150)</f>
        <v/>
      </c>
      <c r="AA150" s="17">
        <f>IF($A150="","",IF(N(Items!L150)=0,"",(N(Items!L150)-N(Items!K150))/N(Items!L150)))</f>
        <v/>
      </c>
      <c r="AB150" s="17">
        <f>IF($A150="","",IF(N(Items!L150)=0,"",(N(Items!L150)-$Z150)/N(Items!L150)))</f>
        <v/>
      </c>
      <c r="AC150" s="17">
        <f>IF(OR($AA150="",$AB150=""),"",$AB150-$AA150)</f>
        <v/>
      </c>
      <c r="AD150" s="13">
        <f>IF($A150="","",N(Items!I150))</f>
        <v/>
      </c>
      <c r="AE150" s="19">
        <f>IF($A150="","",$Y150*$AD150)</f>
        <v/>
      </c>
      <c r="AF150" s="10">
        <f>IF($A150="","",IF(N(Items!L150)&gt;0,"Y","N"))</f>
        <v/>
      </c>
      <c r="AG150" s="19">
        <f>IF($A150="","",IF($AF150="Y",N(Items!L150)*$AD150,0))</f>
        <v/>
      </c>
      <c r="AH150" s="19">
        <f>IF($A150="","",IF($AF150="Y",(N(Items!L150)-N(Items!K150))*$AD150,0))</f>
        <v/>
      </c>
      <c r="AI150" s="19">
        <f>IF($A150="","",IF($AF150="Y",$AH150-$AE150,0))</f>
        <v/>
      </c>
      <c r="AJ150" s="10">
        <f>IF($A150="","",IF(COUNTIF($AL$5:$AL$254,$AL150)&gt;1,"CHECK: duplicate item and import country",IF(TRIM(CLEAN(SUBSTITUTE(Items!C150&amp;""," "," ")))="","CHECK: import country missing",IF(AND(UPPER(TRIM(CLEAN(SUBSTITUTE(Items!C150&amp;""," "," "))))&lt;&gt;"US",UPPER(TRIM(CLEAN(SUBSTITUTE(Items!C150&amp;""," "," "))))&lt;&gt;"CA",UPPER(TRIM(CLEAN(SUBSTITUTE(Items!C150&amp;""," "," "))))&lt;&gt;"MX"),"CHECK: import country must be US, CA or MX",IF(NOT(AND(LEN($C150)=10,IFERROR(TEXT(VALUE($C150),REPT("0",LEN($C150)))=$C150,FALSE))),"CHECK: HTS must be 10 digits",IF(LEN($E150)&lt;&gt;2,"CHECK: origin code missing or not 2 letters",IF(TRIM(CLEAN(SUBSTITUTE(Items!G150&amp;""," "," ")))="","CHECK: unit of measure missing",IF(OR(Items!H150="",Items!J150="",Items!K150=""),"CHECK: value, rate or cost missing",IF(OR(NOT(ISNUMBER(Items!H150)),NOT(ISNUMBER(Items!J150)),NOT(ISNUMBER(Items!K150)),AND(Items!I150&lt;&gt;"",NOT(ISNUMBER(Items!I150))),AND(Items!L150&lt;&gt;"",NOT(ISNUMBER(Items!L150))),AND(Items!M150&lt;&gt;"",NOT(ISNUMBER(Items!M150)))),"CHECK: text in a number column",IF(AND(ISNUMBER(Items!M150),OR(N(Items!M150)&lt;0,N(Items!M150)&gt;1)),"CHECK: dutiable share must be 0% to 100%",IF(AND(UPPER(TRIM(CLEAN(SUBSTITUTE(Items!F150&amp;""," "," "))))&lt;&gt;"",UPPER(TRIM(CLEAN(SUBSTITUTE(Items!F150&amp;""," "," "))))&lt;&gt;"Y",UPPER(TRIM(CLEAN(SUBSTITUTE(Items!F150&amp;""," "," "))))&lt;&gt;"N"),"CHECK: USMCA flag must be Y, N or blank",IF(AND(UPPER(TRIM(CLEAN(SUBSTITUTE(Items!F150&amp;""," "," "))))="Y",$E150&lt;&gt;"US",$E150&lt;&gt;"CA",$E150&lt;&gt;"MX"),"CHECK: USMCA flag on an origin other than US, CA or MX",IF(AND($L150="Y",$AO150=0,NOT(ISNUMBER(act_Rate))),"CHECK: in scope but no rate (add a rate line or B15)",IF(AND($L150="Y",UPPER(TRIM(CLEAN(SUBSTITUTE(act_RateType&amp;""," "," "))))="REPLACE",NOT(ISNUMBER(act_PriorRate)),IF($AO150=0,TRUE,NOT(ISNUMBER(INDEX(rate_Prior,MOD($AO150,100)))))),"CHECK: REPLACE but no earlier rate (B17 or the rate line's AD)",IF(AND($L150="Y",$AP150&gt;1),"CHECK: two rate lines match equally",IF(AND($L150="Y",$AN150&gt;1),"CHECK: HTS prefix listed twice on the scope list",IF(AND($L150="Y",$P150="PART",NOT(ISNUMBER(Items!M150))),"CHECK: dutiable share missing (PART base)",IF(AND($L150="Y",$P150="FULL",ISNUMBER(Items!M150),N(Items!M150)&lt;&gt;1),"CHECK: dutiable share entered, but the rate taxes the full value",IF(AND($L150="Y",$Q150+0.0000001&lt;$T150*$S150+$U150),"CHECK: current rate is below the duty being replaced or displaced",IF(AND($L150="Y",$AD150=0),"NOTE: in scope, no quantity",IF(AND($L150="Y",$AF150="N"),"NOTE: in scope, no sell price (left out of margin %)",IF(AND($L150="Y",N(Items!H150)&gt;N(Items!K150)),"NOTE: customs value above standard cost (check unit of measure)",IF(AND($L150="Y",$Q150&gt;1),"NOTE: current rate above 100% (check it was entered as a percentage)","OK")))))))))))))))))))))))</f>
        <v/>
      </c>
      <c r="AK150" s="20">
        <f>IF($A150="","",IF(AND($L150="Y",$AE150&lt;&gt;0),ABS($AE150)+ROW()/1000000000,""))</f>
        <v/>
      </c>
      <c r="AL150" s="10">
        <f>IF($A150="","",UPPER($A150)&amp;"/"&amp;UPPER(TRIM(CLEAN(SUBSTITUTE(Items!C150&amp;""," "," ")))))</f>
        <v/>
      </c>
      <c r="AM150" s="13">
        <f>IF($A150="",0,SUMPRODUCT(MAX((scope_HTS&lt;&gt;"")*(LEFT($C150,LEN(scope_HTS))=scope_HTS)*(LEN(scope_HTS)*1000+ROW(scope_HTS)-4))))</f>
        <v/>
      </c>
      <c r="AN150" s="13">
        <f>IF($AM150=0,0,SUMPRODUCT((scope_HTS&lt;&gt;"")*(LEFT($C150,LEN(scope_HTS))=scope_HTS)*(LEN(scope_HTS)=INT($AM150/1000))))</f>
        <v/>
      </c>
      <c r="AO150" s="13">
        <f>IF($L150&lt;&gt;"Y",0,SUMPRODUCT(MAX(ISNUMBER(rate_Rate)*((UPPER(TRIM(CLEAN(SUBSTITUTE(rate_Group&amp;""," "," "))))="")+(UPPER(TRIM(CLEAN(SUBSTITUTE(rate_Group&amp;""," "," "))))=$N150)&gt;0)*((UPPER(TRIM(CLEAN(SUBSTITUTE(rate_COO&amp;""," "," "))))="")+(UPPER(TRIM(CLEAN(SUBSTITUTE(rate_COO&amp;""," "," "))))=$E150)&gt;0)*((UPPER(TRIM(CLEAN(SUBSTITUTE(rate_USMCA&amp;""," "," "))))="")+(UPPER(TRIM(CLEAN(SUBSTITUTE(rate_USMCA&amp;""," "," "))))=IF(UPPER(TRIM(CLEAN(SUBSTITUTE(Items!F150&amp;""," "," "))))="Y","Y","N"))&gt;0)*((1+(UPPER(TRIM(CLEAN(SUBSTITUTE(rate_Group&amp;""," "," "))))&lt;&gt;"")+2*(UPPER(TRIM(CLEAN(SUBSTITUTE(rate_USMCA&amp;""," "," "))))&lt;&gt;"")+4*(UPPER(TRIM(CLEAN(SUBSTITUTE(rate_COO&amp;""," "," "))))&lt;&gt;""))*100+ROW(rate_Rate)-4))))</f>
        <v/>
      </c>
      <c r="AP150" s="13">
        <f>IF($AO150=0,0,SUMPRODUCT(ISNUMBER(rate_Rate)*((UPPER(TRIM(CLEAN(SUBSTITUTE(rate_Group&amp;""," "," "))))="")+(UPPER(TRIM(CLEAN(SUBSTITUTE(rate_Group&amp;""," "," "))))=$N150)&gt;0)*((UPPER(TRIM(CLEAN(SUBSTITUTE(rate_COO&amp;""," "," "))))="")+(UPPER(TRIM(CLEAN(SUBSTITUTE(rate_COO&amp;""," "," "))))=$E150)&gt;0)*((UPPER(TRIM(CLEAN(SUBSTITUTE(rate_USMCA&amp;""," "," "))))="")+(UPPER(TRIM(CLEAN(SUBSTITUTE(rate_USMCA&amp;""," "," "))))=IF(UPPER(TRIM(CLEAN(SUBSTITUTE(Items!F150&amp;""," "," "))))="Y","Y","N"))&gt;0)*((1+(UPPER(TRIM(CLEAN(SUBSTITUTE(rate_Group&amp;""," "," "))))&lt;&gt;"")+2*(UPPER(TRIM(CLEAN(SUBSTITUTE(rate_USMCA&amp;""," "," "))))&lt;&gt;"")+4*(UPPER(TRIM(CLEAN(SUBSTITUTE(rate_COO&amp;""," "," "))))&lt;&gt;""))=INT($AO150/100))))</f>
        <v/>
      </c>
      <c r="AQ150" s="13">
        <f>IF($A150="",0,IFERROR(MATCH($AL150,det_Key,0),0))</f>
        <v/>
      </c>
    </row>
    <row r="151">
      <c r="A151" s="10">
        <f>IF(TRIM(CLEAN(SUBSTITUTE(Items!A151&amp;""," "," ")))="","",TRIM(CLEAN(SUBSTITUTE(Items!A151&amp;""," "," "))))</f>
        <v/>
      </c>
      <c r="B151" s="10">
        <f>IF($A151="","",Items!B151&amp;"")</f>
        <v/>
      </c>
      <c r="C151" s="10">
        <f>IF($A151="","",SUBSTITUTE(SUBSTITUTE(SUBSTITUTE(SUBSTITUTE(CLEAN(Items!D151&amp;"")," ",""),".","")," ",""),"-",""))</f>
        <v/>
      </c>
      <c r="D151" s="10">
        <f>IF($A151="","",LEFT($C151,2))</f>
        <v/>
      </c>
      <c r="E151" s="10">
        <f>IF($A151="","",UPPER(TRIM(CLEAN(SUBSTITUTE(Items!E151&amp;""," "," ")))))</f>
        <v/>
      </c>
      <c r="F151" s="10">
        <f>IF($A151="","",IF(UPPER(TRIM(CLEAN(SUBSTITUTE(Items!C151&amp;""," "," "))))=UPPER(TRIM(CLEAN(SUBSTITUTE(act_Country&amp;""," "," ")))),"Y","N"))</f>
        <v/>
      </c>
      <c r="G151" s="10">
        <f>IF($A151="","",IF($AM151&gt;0,"Y","N"))</f>
        <v/>
      </c>
      <c r="H151" s="10">
        <f>IF($A151="","",IF(SUMPRODUCT((excl_HTS&lt;&gt;"")*(LEFT($C151,LEN(excl_HTS))=excl_HTS))&gt;0,"Y","N"))</f>
        <v/>
      </c>
      <c r="I151" s="10">
        <f>IF($A151="","",IF($E151="","N",IF(SUMPRODUCT(--(UPPER(TRIM(CLEAN(SUBSTITUTE(scope_COO&amp;""," "," "))))=$E151))&gt;0,"Y","N")))</f>
        <v/>
      </c>
      <c r="J151" s="10">
        <f>IF($A151="","",IF(AND(UPPER(TRIM(CLEAN(SUBSTITUTE(act_USMCAExempt&amp;""," "," "))))="Y",UPPER(TRIM(CLEAN(SUBSTITUTE(Items!F151&amp;""," "," "))))="Y"),"Y","N"))</f>
        <v/>
      </c>
      <c r="K151" s="10">
        <f>IF($A151="","",IF($AQ151=0,"",UPPER(TRIM(CLEAN(SUBSTITUTE(INDEX(det_Status,$AQ151)&amp;""," "," "))))))</f>
        <v/>
      </c>
      <c r="L151" s="10">
        <f>IF($A151="","",IF($F151="N","N",IF($K151="IN","Y",IF($K151="OUT","N",IF(AND($G151="Y",$H151="N",$I151="Y",$J151="N"),"Y","N")))))</f>
        <v/>
      </c>
      <c r="M151" s="10">
        <f>IF($A151="","",IF($F151="N","Out: different import country",IF($K151="IN","In: Research determination",IF($K151="OUT","Out: Research determination",IF($G151="N","Out: HTS not on scope list",IF($H151="Y","Out: HTS on exclusion list",IF($I151="N","Out: origin not on scope list",IF($J151="Y","Out: USMCA-qualifying, exempt","In: matches scope rules"))))))))</f>
        <v/>
      </c>
      <c r="N151" s="10">
        <f>IF(OR($A151="",$AM151=0),"",UPPER(TRIM(CLEAN(SUBSTITUTE(INDEX(scope_Group,MOD($AM151,1000))&amp;""," "," ")))))</f>
        <v/>
      </c>
      <c r="O151" s="10">
        <f>IF($L151&lt;&gt;"Y","",IF($AO151=0,"Default (B15)",UPPER(TRIM(CLEAN(SUBSTITUTE(INDEX(rate_ID,MOD($AO151,100))&amp;""," "," "))))))</f>
        <v/>
      </c>
      <c r="P151" s="10">
        <f>IF($L151&lt;&gt;"Y","",IF($AO151=0,IF(UPPER(TRIM(CLEAN(SUBSTITUTE(act_DefaultBase&amp;""," "," "))))="PART","PART","FULL"),IF(UPPER(TRIM(CLEAN(SUBSTITUTE(INDEX(rate_Base,MOD($AO151,100))&amp;""," "," "))))="PART","PART","FULL")))</f>
        <v/>
      </c>
      <c r="Q151" s="17">
        <f>IF($A151="","",N(Items!J151))</f>
        <v/>
      </c>
      <c r="R151" s="17">
        <f>IF($A151="","",IF($L151&lt;&gt;"Y",0,IF($AO151=0,N(act_Rate),N(INDEX(rate_Rate,MOD($AO151,100))))))</f>
        <v/>
      </c>
      <c r="S151" s="17">
        <f>IF($A151="","",IF($L151&lt;&gt;"Y",0,IF($AO151=0,IF(UPPER(TRIM(CLEAN(SUBSTITUTE(act_RateType&amp;""," "," "))))="REPLACE",N(act_PriorRate),0),IF(ISNUMBER(INDEX(rate_Prior,MOD($AO151,100))),INDEX(rate_Prior,MOD($AO151,100)),IF(UPPER(TRIM(CLEAN(SUBSTITUTE(act_RateType&amp;""," "," "))))="REPLACE",N(act_PriorRate),0)))))</f>
        <v/>
      </c>
      <c r="T151" s="17">
        <f>IF($A151="","",IF(AND($L151="Y",$P151="PART",ISNUMBER(Items!M151)),Items!M151,1))</f>
        <v/>
      </c>
      <c r="U151" s="17">
        <f>IF($A151="","",IF($L151&lt;&gt;"Y",0,IF($AQ151&gt;0,IF(ISNUMBER(INDEX(det_Displaced,$AQ151)),INDEX(det_Displaced,$AQ151),IF($AO151=0,0,N(INDEX(rate_Displaced,MOD($AO151,100))))),IF($AO151=0,0,N(INDEX(rate_Displaced,MOD($AO151,100)))))))</f>
        <v/>
      </c>
      <c r="V151" s="17">
        <f>IF($A151="","",IF($L151="Y",$Q151+$T151*($R151-$S151)-$U151,$Q151))</f>
        <v/>
      </c>
      <c r="W151" s="18">
        <f>IF($A151="","",N(Items!H151)*$Q151)</f>
        <v/>
      </c>
      <c r="X151" s="18">
        <f>IF($A151="","",N(Items!H151)*$V151)</f>
        <v/>
      </c>
      <c r="Y151" s="18">
        <f>IF($A151="","",$X151-$W151)</f>
        <v/>
      </c>
      <c r="Z151" s="18">
        <f>IF($A151="","",N(Items!K151)+$Y151)</f>
        <v/>
      </c>
      <c r="AA151" s="17">
        <f>IF($A151="","",IF(N(Items!L151)=0,"",(N(Items!L151)-N(Items!K151))/N(Items!L151)))</f>
        <v/>
      </c>
      <c r="AB151" s="17">
        <f>IF($A151="","",IF(N(Items!L151)=0,"",(N(Items!L151)-$Z151)/N(Items!L151)))</f>
        <v/>
      </c>
      <c r="AC151" s="17">
        <f>IF(OR($AA151="",$AB151=""),"",$AB151-$AA151)</f>
        <v/>
      </c>
      <c r="AD151" s="13">
        <f>IF($A151="","",N(Items!I151))</f>
        <v/>
      </c>
      <c r="AE151" s="19">
        <f>IF($A151="","",$Y151*$AD151)</f>
        <v/>
      </c>
      <c r="AF151" s="10">
        <f>IF($A151="","",IF(N(Items!L151)&gt;0,"Y","N"))</f>
        <v/>
      </c>
      <c r="AG151" s="19">
        <f>IF($A151="","",IF($AF151="Y",N(Items!L151)*$AD151,0))</f>
        <v/>
      </c>
      <c r="AH151" s="19">
        <f>IF($A151="","",IF($AF151="Y",(N(Items!L151)-N(Items!K151))*$AD151,0))</f>
        <v/>
      </c>
      <c r="AI151" s="19">
        <f>IF($A151="","",IF($AF151="Y",$AH151-$AE151,0))</f>
        <v/>
      </c>
      <c r="AJ151" s="10">
        <f>IF($A151="","",IF(COUNTIF($AL$5:$AL$254,$AL151)&gt;1,"CHECK: duplicate item and import country",IF(TRIM(CLEAN(SUBSTITUTE(Items!C151&amp;""," "," ")))="","CHECK: import country missing",IF(AND(UPPER(TRIM(CLEAN(SUBSTITUTE(Items!C151&amp;""," "," "))))&lt;&gt;"US",UPPER(TRIM(CLEAN(SUBSTITUTE(Items!C151&amp;""," "," "))))&lt;&gt;"CA",UPPER(TRIM(CLEAN(SUBSTITUTE(Items!C151&amp;""," "," "))))&lt;&gt;"MX"),"CHECK: import country must be US, CA or MX",IF(NOT(AND(LEN($C151)=10,IFERROR(TEXT(VALUE($C151),REPT("0",LEN($C151)))=$C151,FALSE))),"CHECK: HTS must be 10 digits",IF(LEN($E151)&lt;&gt;2,"CHECK: origin code missing or not 2 letters",IF(TRIM(CLEAN(SUBSTITUTE(Items!G151&amp;""," "," ")))="","CHECK: unit of measure missing",IF(OR(Items!H151="",Items!J151="",Items!K151=""),"CHECK: value, rate or cost missing",IF(OR(NOT(ISNUMBER(Items!H151)),NOT(ISNUMBER(Items!J151)),NOT(ISNUMBER(Items!K151)),AND(Items!I151&lt;&gt;"",NOT(ISNUMBER(Items!I151))),AND(Items!L151&lt;&gt;"",NOT(ISNUMBER(Items!L151))),AND(Items!M151&lt;&gt;"",NOT(ISNUMBER(Items!M151)))),"CHECK: text in a number column",IF(AND(ISNUMBER(Items!M151),OR(N(Items!M151)&lt;0,N(Items!M151)&gt;1)),"CHECK: dutiable share must be 0% to 100%",IF(AND(UPPER(TRIM(CLEAN(SUBSTITUTE(Items!F151&amp;""," "," "))))&lt;&gt;"",UPPER(TRIM(CLEAN(SUBSTITUTE(Items!F151&amp;""," "," "))))&lt;&gt;"Y",UPPER(TRIM(CLEAN(SUBSTITUTE(Items!F151&amp;""," "," "))))&lt;&gt;"N"),"CHECK: USMCA flag must be Y, N or blank",IF(AND(UPPER(TRIM(CLEAN(SUBSTITUTE(Items!F151&amp;""," "," "))))="Y",$E151&lt;&gt;"US",$E151&lt;&gt;"CA",$E151&lt;&gt;"MX"),"CHECK: USMCA flag on an origin other than US, CA or MX",IF(AND($L151="Y",$AO151=0,NOT(ISNUMBER(act_Rate))),"CHECK: in scope but no rate (add a rate line or B15)",IF(AND($L151="Y",UPPER(TRIM(CLEAN(SUBSTITUTE(act_RateType&amp;""," "," "))))="REPLACE",NOT(ISNUMBER(act_PriorRate)),IF($AO151=0,TRUE,NOT(ISNUMBER(INDEX(rate_Prior,MOD($AO151,100)))))),"CHECK: REPLACE but no earlier rate (B17 or the rate line's AD)",IF(AND($L151="Y",$AP151&gt;1),"CHECK: two rate lines match equally",IF(AND($L151="Y",$AN151&gt;1),"CHECK: HTS prefix listed twice on the scope list",IF(AND($L151="Y",$P151="PART",NOT(ISNUMBER(Items!M151))),"CHECK: dutiable share missing (PART base)",IF(AND($L151="Y",$P151="FULL",ISNUMBER(Items!M151),N(Items!M151)&lt;&gt;1),"CHECK: dutiable share entered, but the rate taxes the full value",IF(AND($L151="Y",$Q151+0.0000001&lt;$T151*$S151+$U151),"CHECK: current rate is below the duty being replaced or displaced",IF(AND($L151="Y",$AD151=0),"NOTE: in scope, no quantity",IF(AND($L151="Y",$AF151="N"),"NOTE: in scope, no sell price (left out of margin %)",IF(AND($L151="Y",N(Items!H151)&gt;N(Items!K151)),"NOTE: customs value above standard cost (check unit of measure)",IF(AND($L151="Y",$Q151&gt;1),"NOTE: current rate above 100% (check it was entered as a percentage)","OK")))))))))))))))))))))))</f>
        <v/>
      </c>
      <c r="AK151" s="20">
        <f>IF($A151="","",IF(AND($L151="Y",$AE151&lt;&gt;0),ABS($AE151)+ROW()/1000000000,""))</f>
        <v/>
      </c>
      <c r="AL151" s="10">
        <f>IF($A151="","",UPPER($A151)&amp;"/"&amp;UPPER(TRIM(CLEAN(SUBSTITUTE(Items!C151&amp;""," "," ")))))</f>
        <v/>
      </c>
      <c r="AM151" s="13">
        <f>IF($A151="",0,SUMPRODUCT(MAX((scope_HTS&lt;&gt;"")*(LEFT($C151,LEN(scope_HTS))=scope_HTS)*(LEN(scope_HTS)*1000+ROW(scope_HTS)-4))))</f>
        <v/>
      </c>
      <c r="AN151" s="13">
        <f>IF($AM151=0,0,SUMPRODUCT((scope_HTS&lt;&gt;"")*(LEFT($C151,LEN(scope_HTS))=scope_HTS)*(LEN(scope_HTS)=INT($AM151/1000))))</f>
        <v/>
      </c>
      <c r="AO151" s="13">
        <f>IF($L151&lt;&gt;"Y",0,SUMPRODUCT(MAX(ISNUMBER(rate_Rate)*((UPPER(TRIM(CLEAN(SUBSTITUTE(rate_Group&amp;""," "," "))))="")+(UPPER(TRIM(CLEAN(SUBSTITUTE(rate_Group&amp;""," "," "))))=$N151)&gt;0)*((UPPER(TRIM(CLEAN(SUBSTITUTE(rate_COO&amp;""," "," "))))="")+(UPPER(TRIM(CLEAN(SUBSTITUTE(rate_COO&amp;""," "," "))))=$E151)&gt;0)*((UPPER(TRIM(CLEAN(SUBSTITUTE(rate_USMCA&amp;""," "," "))))="")+(UPPER(TRIM(CLEAN(SUBSTITUTE(rate_USMCA&amp;""," "," "))))=IF(UPPER(TRIM(CLEAN(SUBSTITUTE(Items!F151&amp;""," "," "))))="Y","Y","N"))&gt;0)*((1+(UPPER(TRIM(CLEAN(SUBSTITUTE(rate_Group&amp;""," "," "))))&lt;&gt;"")+2*(UPPER(TRIM(CLEAN(SUBSTITUTE(rate_USMCA&amp;""," "," "))))&lt;&gt;"")+4*(UPPER(TRIM(CLEAN(SUBSTITUTE(rate_COO&amp;""," "," "))))&lt;&gt;""))*100+ROW(rate_Rate)-4))))</f>
        <v/>
      </c>
      <c r="AP151" s="13">
        <f>IF($AO151=0,0,SUMPRODUCT(ISNUMBER(rate_Rate)*((UPPER(TRIM(CLEAN(SUBSTITUTE(rate_Group&amp;""," "," "))))="")+(UPPER(TRIM(CLEAN(SUBSTITUTE(rate_Group&amp;""," "," "))))=$N151)&gt;0)*((UPPER(TRIM(CLEAN(SUBSTITUTE(rate_COO&amp;""," "," "))))="")+(UPPER(TRIM(CLEAN(SUBSTITUTE(rate_COO&amp;""," "," "))))=$E151)&gt;0)*((UPPER(TRIM(CLEAN(SUBSTITUTE(rate_USMCA&amp;""," "," "))))="")+(UPPER(TRIM(CLEAN(SUBSTITUTE(rate_USMCA&amp;""," "," "))))=IF(UPPER(TRIM(CLEAN(SUBSTITUTE(Items!F151&amp;""," "," "))))="Y","Y","N"))&gt;0)*((1+(UPPER(TRIM(CLEAN(SUBSTITUTE(rate_Group&amp;""," "," "))))&lt;&gt;"")+2*(UPPER(TRIM(CLEAN(SUBSTITUTE(rate_USMCA&amp;""," "," "))))&lt;&gt;"")+4*(UPPER(TRIM(CLEAN(SUBSTITUTE(rate_COO&amp;""," "," "))))&lt;&gt;""))=INT($AO151/100))))</f>
        <v/>
      </c>
      <c r="AQ151" s="13">
        <f>IF($A151="",0,IFERROR(MATCH($AL151,det_Key,0),0))</f>
        <v/>
      </c>
    </row>
    <row r="152">
      <c r="A152" s="10">
        <f>IF(TRIM(CLEAN(SUBSTITUTE(Items!A152&amp;""," "," ")))="","",TRIM(CLEAN(SUBSTITUTE(Items!A152&amp;""," "," "))))</f>
        <v/>
      </c>
      <c r="B152" s="10">
        <f>IF($A152="","",Items!B152&amp;"")</f>
        <v/>
      </c>
      <c r="C152" s="10">
        <f>IF($A152="","",SUBSTITUTE(SUBSTITUTE(SUBSTITUTE(SUBSTITUTE(CLEAN(Items!D152&amp;"")," ",""),".","")," ",""),"-",""))</f>
        <v/>
      </c>
      <c r="D152" s="10">
        <f>IF($A152="","",LEFT($C152,2))</f>
        <v/>
      </c>
      <c r="E152" s="10">
        <f>IF($A152="","",UPPER(TRIM(CLEAN(SUBSTITUTE(Items!E152&amp;""," "," ")))))</f>
        <v/>
      </c>
      <c r="F152" s="10">
        <f>IF($A152="","",IF(UPPER(TRIM(CLEAN(SUBSTITUTE(Items!C152&amp;""," "," "))))=UPPER(TRIM(CLEAN(SUBSTITUTE(act_Country&amp;""," "," ")))),"Y","N"))</f>
        <v/>
      </c>
      <c r="G152" s="10">
        <f>IF($A152="","",IF($AM152&gt;0,"Y","N"))</f>
        <v/>
      </c>
      <c r="H152" s="10">
        <f>IF($A152="","",IF(SUMPRODUCT((excl_HTS&lt;&gt;"")*(LEFT($C152,LEN(excl_HTS))=excl_HTS))&gt;0,"Y","N"))</f>
        <v/>
      </c>
      <c r="I152" s="10">
        <f>IF($A152="","",IF($E152="","N",IF(SUMPRODUCT(--(UPPER(TRIM(CLEAN(SUBSTITUTE(scope_COO&amp;""," "," "))))=$E152))&gt;0,"Y","N")))</f>
        <v/>
      </c>
      <c r="J152" s="10">
        <f>IF($A152="","",IF(AND(UPPER(TRIM(CLEAN(SUBSTITUTE(act_USMCAExempt&amp;""," "," "))))="Y",UPPER(TRIM(CLEAN(SUBSTITUTE(Items!F152&amp;""," "," "))))="Y"),"Y","N"))</f>
        <v/>
      </c>
      <c r="K152" s="10">
        <f>IF($A152="","",IF($AQ152=0,"",UPPER(TRIM(CLEAN(SUBSTITUTE(INDEX(det_Status,$AQ152)&amp;""," "," "))))))</f>
        <v/>
      </c>
      <c r="L152" s="10">
        <f>IF($A152="","",IF($F152="N","N",IF($K152="IN","Y",IF($K152="OUT","N",IF(AND($G152="Y",$H152="N",$I152="Y",$J152="N"),"Y","N")))))</f>
        <v/>
      </c>
      <c r="M152" s="10">
        <f>IF($A152="","",IF($F152="N","Out: different import country",IF($K152="IN","In: Research determination",IF($K152="OUT","Out: Research determination",IF($G152="N","Out: HTS not on scope list",IF($H152="Y","Out: HTS on exclusion list",IF($I152="N","Out: origin not on scope list",IF($J152="Y","Out: USMCA-qualifying, exempt","In: matches scope rules"))))))))</f>
        <v/>
      </c>
      <c r="N152" s="10">
        <f>IF(OR($A152="",$AM152=0),"",UPPER(TRIM(CLEAN(SUBSTITUTE(INDEX(scope_Group,MOD($AM152,1000))&amp;""," "," ")))))</f>
        <v/>
      </c>
      <c r="O152" s="10">
        <f>IF($L152&lt;&gt;"Y","",IF($AO152=0,"Default (B15)",UPPER(TRIM(CLEAN(SUBSTITUTE(INDEX(rate_ID,MOD($AO152,100))&amp;""," "," "))))))</f>
        <v/>
      </c>
      <c r="P152" s="10">
        <f>IF($L152&lt;&gt;"Y","",IF($AO152=0,IF(UPPER(TRIM(CLEAN(SUBSTITUTE(act_DefaultBase&amp;""," "," "))))="PART","PART","FULL"),IF(UPPER(TRIM(CLEAN(SUBSTITUTE(INDEX(rate_Base,MOD($AO152,100))&amp;""," "," "))))="PART","PART","FULL")))</f>
        <v/>
      </c>
      <c r="Q152" s="17">
        <f>IF($A152="","",N(Items!J152))</f>
        <v/>
      </c>
      <c r="R152" s="17">
        <f>IF($A152="","",IF($L152&lt;&gt;"Y",0,IF($AO152=0,N(act_Rate),N(INDEX(rate_Rate,MOD($AO152,100))))))</f>
        <v/>
      </c>
      <c r="S152" s="17">
        <f>IF($A152="","",IF($L152&lt;&gt;"Y",0,IF($AO152=0,IF(UPPER(TRIM(CLEAN(SUBSTITUTE(act_RateType&amp;""," "," "))))="REPLACE",N(act_PriorRate),0),IF(ISNUMBER(INDEX(rate_Prior,MOD($AO152,100))),INDEX(rate_Prior,MOD($AO152,100)),IF(UPPER(TRIM(CLEAN(SUBSTITUTE(act_RateType&amp;""," "," "))))="REPLACE",N(act_PriorRate),0)))))</f>
        <v/>
      </c>
      <c r="T152" s="17">
        <f>IF($A152="","",IF(AND($L152="Y",$P152="PART",ISNUMBER(Items!M152)),Items!M152,1))</f>
        <v/>
      </c>
      <c r="U152" s="17">
        <f>IF($A152="","",IF($L152&lt;&gt;"Y",0,IF($AQ152&gt;0,IF(ISNUMBER(INDEX(det_Displaced,$AQ152)),INDEX(det_Displaced,$AQ152),IF($AO152=0,0,N(INDEX(rate_Displaced,MOD($AO152,100))))),IF($AO152=0,0,N(INDEX(rate_Displaced,MOD($AO152,100)))))))</f>
        <v/>
      </c>
      <c r="V152" s="17">
        <f>IF($A152="","",IF($L152="Y",$Q152+$T152*($R152-$S152)-$U152,$Q152))</f>
        <v/>
      </c>
      <c r="W152" s="18">
        <f>IF($A152="","",N(Items!H152)*$Q152)</f>
        <v/>
      </c>
      <c r="X152" s="18">
        <f>IF($A152="","",N(Items!H152)*$V152)</f>
        <v/>
      </c>
      <c r="Y152" s="18">
        <f>IF($A152="","",$X152-$W152)</f>
        <v/>
      </c>
      <c r="Z152" s="18">
        <f>IF($A152="","",N(Items!K152)+$Y152)</f>
        <v/>
      </c>
      <c r="AA152" s="17">
        <f>IF($A152="","",IF(N(Items!L152)=0,"",(N(Items!L152)-N(Items!K152))/N(Items!L152)))</f>
        <v/>
      </c>
      <c r="AB152" s="17">
        <f>IF($A152="","",IF(N(Items!L152)=0,"",(N(Items!L152)-$Z152)/N(Items!L152)))</f>
        <v/>
      </c>
      <c r="AC152" s="17">
        <f>IF(OR($AA152="",$AB152=""),"",$AB152-$AA152)</f>
        <v/>
      </c>
      <c r="AD152" s="13">
        <f>IF($A152="","",N(Items!I152))</f>
        <v/>
      </c>
      <c r="AE152" s="19">
        <f>IF($A152="","",$Y152*$AD152)</f>
        <v/>
      </c>
      <c r="AF152" s="10">
        <f>IF($A152="","",IF(N(Items!L152)&gt;0,"Y","N"))</f>
        <v/>
      </c>
      <c r="AG152" s="19">
        <f>IF($A152="","",IF($AF152="Y",N(Items!L152)*$AD152,0))</f>
        <v/>
      </c>
      <c r="AH152" s="19">
        <f>IF($A152="","",IF($AF152="Y",(N(Items!L152)-N(Items!K152))*$AD152,0))</f>
        <v/>
      </c>
      <c r="AI152" s="19">
        <f>IF($A152="","",IF($AF152="Y",$AH152-$AE152,0))</f>
        <v/>
      </c>
      <c r="AJ152" s="10">
        <f>IF($A152="","",IF(COUNTIF($AL$5:$AL$254,$AL152)&gt;1,"CHECK: duplicate item and import country",IF(TRIM(CLEAN(SUBSTITUTE(Items!C152&amp;""," "," ")))="","CHECK: import country missing",IF(AND(UPPER(TRIM(CLEAN(SUBSTITUTE(Items!C152&amp;""," "," "))))&lt;&gt;"US",UPPER(TRIM(CLEAN(SUBSTITUTE(Items!C152&amp;""," "," "))))&lt;&gt;"CA",UPPER(TRIM(CLEAN(SUBSTITUTE(Items!C152&amp;""," "," "))))&lt;&gt;"MX"),"CHECK: import country must be US, CA or MX",IF(NOT(AND(LEN($C152)=10,IFERROR(TEXT(VALUE($C152),REPT("0",LEN($C152)))=$C152,FALSE))),"CHECK: HTS must be 10 digits",IF(LEN($E152)&lt;&gt;2,"CHECK: origin code missing or not 2 letters",IF(TRIM(CLEAN(SUBSTITUTE(Items!G152&amp;""," "," ")))="","CHECK: unit of measure missing",IF(OR(Items!H152="",Items!J152="",Items!K152=""),"CHECK: value, rate or cost missing",IF(OR(NOT(ISNUMBER(Items!H152)),NOT(ISNUMBER(Items!J152)),NOT(ISNUMBER(Items!K152)),AND(Items!I152&lt;&gt;"",NOT(ISNUMBER(Items!I152))),AND(Items!L152&lt;&gt;"",NOT(ISNUMBER(Items!L152))),AND(Items!M152&lt;&gt;"",NOT(ISNUMBER(Items!M152)))),"CHECK: text in a number column",IF(AND(ISNUMBER(Items!M152),OR(N(Items!M152)&lt;0,N(Items!M152)&gt;1)),"CHECK: dutiable share must be 0% to 100%",IF(AND(UPPER(TRIM(CLEAN(SUBSTITUTE(Items!F152&amp;""," "," "))))&lt;&gt;"",UPPER(TRIM(CLEAN(SUBSTITUTE(Items!F152&amp;""," "," "))))&lt;&gt;"Y",UPPER(TRIM(CLEAN(SUBSTITUTE(Items!F152&amp;""," "," "))))&lt;&gt;"N"),"CHECK: USMCA flag must be Y, N or blank",IF(AND(UPPER(TRIM(CLEAN(SUBSTITUTE(Items!F152&amp;""," "," "))))="Y",$E152&lt;&gt;"US",$E152&lt;&gt;"CA",$E152&lt;&gt;"MX"),"CHECK: USMCA flag on an origin other than US, CA or MX",IF(AND($L152="Y",$AO152=0,NOT(ISNUMBER(act_Rate))),"CHECK: in scope but no rate (add a rate line or B15)",IF(AND($L152="Y",UPPER(TRIM(CLEAN(SUBSTITUTE(act_RateType&amp;""," "," "))))="REPLACE",NOT(ISNUMBER(act_PriorRate)),IF($AO152=0,TRUE,NOT(ISNUMBER(INDEX(rate_Prior,MOD($AO152,100)))))),"CHECK: REPLACE but no earlier rate (B17 or the rate line's AD)",IF(AND($L152="Y",$AP152&gt;1),"CHECK: two rate lines match equally",IF(AND($L152="Y",$AN152&gt;1),"CHECK: HTS prefix listed twice on the scope list",IF(AND($L152="Y",$P152="PART",NOT(ISNUMBER(Items!M152))),"CHECK: dutiable share missing (PART base)",IF(AND($L152="Y",$P152="FULL",ISNUMBER(Items!M152),N(Items!M152)&lt;&gt;1),"CHECK: dutiable share entered, but the rate taxes the full value",IF(AND($L152="Y",$Q152+0.0000001&lt;$T152*$S152+$U152),"CHECK: current rate is below the duty being replaced or displaced",IF(AND($L152="Y",$AD152=0),"NOTE: in scope, no quantity",IF(AND($L152="Y",$AF152="N"),"NOTE: in scope, no sell price (left out of margin %)",IF(AND($L152="Y",N(Items!H152)&gt;N(Items!K152)),"NOTE: customs value above standard cost (check unit of measure)",IF(AND($L152="Y",$Q152&gt;1),"NOTE: current rate above 100% (check it was entered as a percentage)","OK")))))))))))))))))))))))</f>
        <v/>
      </c>
      <c r="AK152" s="20">
        <f>IF($A152="","",IF(AND($L152="Y",$AE152&lt;&gt;0),ABS($AE152)+ROW()/1000000000,""))</f>
        <v/>
      </c>
      <c r="AL152" s="10">
        <f>IF($A152="","",UPPER($A152)&amp;"/"&amp;UPPER(TRIM(CLEAN(SUBSTITUTE(Items!C152&amp;""," "," ")))))</f>
        <v/>
      </c>
      <c r="AM152" s="13">
        <f>IF($A152="",0,SUMPRODUCT(MAX((scope_HTS&lt;&gt;"")*(LEFT($C152,LEN(scope_HTS))=scope_HTS)*(LEN(scope_HTS)*1000+ROW(scope_HTS)-4))))</f>
        <v/>
      </c>
      <c r="AN152" s="13">
        <f>IF($AM152=0,0,SUMPRODUCT((scope_HTS&lt;&gt;"")*(LEFT($C152,LEN(scope_HTS))=scope_HTS)*(LEN(scope_HTS)=INT($AM152/1000))))</f>
        <v/>
      </c>
      <c r="AO152" s="13">
        <f>IF($L152&lt;&gt;"Y",0,SUMPRODUCT(MAX(ISNUMBER(rate_Rate)*((UPPER(TRIM(CLEAN(SUBSTITUTE(rate_Group&amp;""," "," "))))="")+(UPPER(TRIM(CLEAN(SUBSTITUTE(rate_Group&amp;""," "," "))))=$N152)&gt;0)*((UPPER(TRIM(CLEAN(SUBSTITUTE(rate_COO&amp;""," "," "))))="")+(UPPER(TRIM(CLEAN(SUBSTITUTE(rate_COO&amp;""," "," "))))=$E152)&gt;0)*((UPPER(TRIM(CLEAN(SUBSTITUTE(rate_USMCA&amp;""," "," "))))="")+(UPPER(TRIM(CLEAN(SUBSTITUTE(rate_USMCA&amp;""," "," "))))=IF(UPPER(TRIM(CLEAN(SUBSTITUTE(Items!F152&amp;""," "," "))))="Y","Y","N"))&gt;0)*((1+(UPPER(TRIM(CLEAN(SUBSTITUTE(rate_Group&amp;""," "," "))))&lt;&gt;"")+2*(UPPER(TRIM(CLEAN(SUBSTITUTE(rate_USMCA&amp;""," "," "))))&lt;&gt;"")+4*(UPPER(TRIM(CLEAN(SUBSTITUTE(rate_COO&amp;""," "," "))))&lt;&gt;""))*100+ROW(rate_Rate)-4))))</f>
        <v/>
      </c>
      <c r="AP152" s="13">
        <f>IF($AO152=0,0,SUMPRODUCT(ISNUMBER(rate_Rate)*((UPPER(TRIM(CLEAN(SUBSTITUTE(rate_Group&amp;""," "," "))))="")+(UPPER(TRIM(CLEAN(SUBSTITUTE(rate_Group&amp;""," "," "))))=$N152)&gt;0)*((UPPER(TRIM(CLEAN(SUBSTITUTE(rate_COO&amp;""," "," "))))="")+(UPPER(TRIM(CLEAN(SUBSTITUTE(rate_COO&amp;""," "," "))))=$E152)&gt;0)*((UPPER(TRIM(CLEAN(SUBSTITUTE(rate_USMCA&amp;""," "," "))))="")+(UPPER(TRIM(CLEAN(SUBSTITUTE(rate_USMCA&amp;""," "," "))))=IF(UPPER(TRIM(CLEAN(SUBSTITUTE(Items!F152&amp;""," "," "))))="Y","Y","N"))&gt;0)*((1+(UPPER(TRIM(CLEAN(SUBSTITUTE(rate_Group&amp;""," "," "))))&lt;&gt;"")+2*(UPPER(TRIM(CLEAN(SUBSTITUTE(rate_USMCA&amp;""," "," "))))&lt;&gt;"")+4*(UPPER(TRIM(CLEAN(SUBSTITUTE(rate_COO&amp;""," "," "))))&lt;&gt;""))=INT($AO152/100))))</f>
        <v/>
      </c>
      <c r="AQ152" s="13">
        <f>IF($A152="",0,IFERROR(MATCH($AL152,det_Key,0),0))</f>
        <v/>
      </c>
    </row>
    <row r="153">
      <c r="A153" s="10">
        <f>IF(TRIM(CLEAN(SUBSTITUTE(Items!A153&amp;""," "," ")))="","",TRIM(CLEAN(SUBSTITUTE(Items!A153&amp;""," "," "))))</f>
        <v/>
      </c>
      <c r="B153" s="10">
        <f>IF($A153="","",Items!B153&amp;"")</f>
        <v/>
      </c>
      <c r="C153" s="10">
        <f>IF($A153="","",SUBSTITUTE(SUBSTITUTE(SUBSTITUTE(SUBSTITUTE(CLEAN(Items!D153&amp;"")," ",""),".","")," ",""),"-",""))</f>
        <v/>
      </c>
      <c r="D153" s="10">
        <f>IF($A153="","",LEFT($C153,2))</f>
        <v/>
      </c>
      <c r="E153" s="10">
        <f>IF($A153="","",UPPER(TRIM(CLEAN(SUBSTITUTE(Items!E153&amp;""," "," ")))))</f>
        <v/>
      </c>
      <c r="F153" s="10">
        <f>IF($A153="","",IF(UPPER(TRIM(CLEAN(SUBSTITUTE(Items!C153&amp;""," "," "))))=UPPER(TRIM(CLEAN(SUBSTITUTE(act_Country&amp;""," "," ")))),"Y","N"))</f>
        <v/>
      </c>
      <c r="G153" s="10">
        <f>IF($A153="","",IF($AM153&gt;0,"Y","N"))</f>
        <v/>
      </c>
      <c r="H153" s="10">
        <f>IF($A153="","",IF(SUMPRODUCT((excl_HTS&lt;&gt;"")*(LEFT($C153,LEN(excl_HTS))=excl_HTS))&gt;0,"Y","N"))</f>
        <v/>
      </c>
      <c r="I153" s="10">
        <f>IF($A153="","",IF($E153="","N",IF(SUMPRODUCT(--(UPPER(TRIM(CLEAN(SUBSTITUTE(scope_COO&amp;""," "," "))))=$E153))&gt;0,"Y","N")))</f>
        <v/>
      </c>
      <c r="J153" s="10">
        <f>IF($A153="","",IF(AND(UPPER(TRIM(CLEAN(SUBSTITUTE(act_USMCAExempt&amp;""," "," "))))="Y",UPPER(TRIM(CLEAN(SUBSTITUTE(Items!F153&amp;""," "," "))))="Y"),"Y","N"))</f>
        <v/>
      </c>
      <c r="K153" s="10">
        <f>IF($A153="","",IF($AQ153=0,"",UPPER(TRIM(CLEAN(SUBSTITUTE(INDEX(det_Status,$AQ153)&amp;""," "," "))))))</f>
        <v/>
      </c>
      <c r="L153" s="10">
        <f>IF($A153="","",IF($F153="N","N",IF($K153="IN","Y",IF($K153="OUT","N",IF(AND($G153="Y",$H153="N",$I153="Y",$J153="N"),"Y","N")))))</f>
        <v/>
      </c>
      <c r="M153" s="10">
        <f>IF($A153="","",IF($F153="N","Out: different import country",IF($K153="IN","In: Research determination",IF($K153="OUT","Out: Research determination",IF($G153="N","Out: HTS not on scope list",IF($H153="Y","Out: HTS on exclusion list",IF($I153="N","Out: origin not on scope list",IF($J153="Y","Out: USMCA-qualifying, exempt","In: matches scope rules"))))))))</f>
        <v/>
      </c>
      <c r="N153" s="10">
        <f>IF(OR($A153="",$AM153=0),"",UPPER(TRIM(CLEAN(SUBSTITUTE(INDEX(scope_Group,MOD($AM153,1000))&amp;""," "," ")))))</f>
        <v/>
      </c>
      <c r="O153" s="10">
        <f>IF($L153&lt;&gt;"Y","",IF($AO153=0,"Default (B15)",UPPER(TRIM(CLEAN(SUBSTITUTE(INDEX(rate_ID,MOD($AO153,100))&amp;""," "," "))))))</f>
        <v/>
      </c>
      <c r="P153" s="10">
        <f>IF($L153&lt;&gt;"Y","",IF($AO153=0,IF(UPPER(TRIM(CLEAN(SUBSTITUTE(act_DefaultBase&amp;""," "," "))))="PART","PART","FULL"),IF(UPPER(TRIM(CLEAN(SUBSTITUTE(INDEX(rate_Base,MOD($AO153,100))&amp;""," "," "))))="PART","PART","FULL")))</f>
        <v/>
      </c>
      <c r="Q153" s="17">
        <f>IF($A153="","",N(Items!J153))</f>
        <v/>
      </c>
      <c r="R153" s="17">
        <f>IF($A153="","",IF($L153&lt;&gt;"Y",0,IF($AO153=0,N(act_Rate),N(INDEX(rate_Rate,MOD($AO153,100))))))</f>
        <v/>
      </c>
      <c r="S153" s="17">
        <f>IF($A153="","",IF($L153&lt;&gt;"Y",0,IF($AO153=0,IF(UPPER(TRIM(CLEAN(SUBSTITUTE(act_RateType&amp;""," "," "))))="REPLACE",N(act_PriorRate),0),IF(ISNUMBER(INDEX(rate_Prior,MOD($AO153,100))),INDEX(rate_Prior,MOD($AO153,100)),IF(UPPER(TRIM(CLEAN(SUBSTITUTE(act_RateType&amp;""," "," "))))="REPLACE",N(act_PriorRate),0)))))</f>
        <v/>
      </c>
      <c r="T153" s="17">
        <f>IF($A153="","",IF(AND($L153="Y",$P153="PART",ISNUMBER(Items!M153)),Items!M153,1))</f>
        <v/>
      </c>
      <c r="U153" s="17">
        <f>IF($A153="","",IF($L153&lt;&gt;"Y",0,IF($AQ153&gt;0,IF(ISNUMBER(INDEX(det_Displaced,$AQ153)),INDEX(det_Displaced,$AQ153),IF($AO153=0,0,N(INDEX(rate_Displaced,MOD($AO153,100))))),IF($AO153=0,0,N(INDEX(rate_Displaced,MOD($AO153,100)))))))</f>
        <v/>
      </c>
      <c r="V153" s="17">
        <f>IF($A153="","",IF($L153="Y",$Q153+$T153*($R153-$S153)-$U153,$Q153))</f>
        <v/>
      </c>
      <c r="W153" s="18">
        <f>IF($A153="","",N(Items!H153)*$Q153)</f>
        <v/>
      </c>
      <c r="X153" s="18">
        <f>IF($A153="","",N(Items!H153)*$V153)</f>
        <v/>
      </c>
      <c r="Y153" s="18">
        <f>IF($A153="","",$X153-$W153)</f>
        <v/>
      </c>
      <c r="Z153" s="18">
        <f>IF($A153="","",N(Items!K153)+$Y153)</f>
        <v/>
      </c>
      <c r="AA153" s="17">
        <f>IF($A153="","",IF(N(Items!L153)=0,"",(N(Items!L153)-N(Items!K153))/N(Items!L153)))</f>
        <v/>
      </c>
      <c r="AB153" s="17">
        <f>IF($A153="","",IF(N(Items!L153)=0,"",(N(Items!L153)-$Z153)/N(Items!L153)))</f>
        <v/>
      </c>
      <c r="AC153" s="17">
        <f>IF(OR($AA153="",$AB153=""),"",$AB153-$AA153)</f>
        <v/>
      </c>
      <c r="AD153" s="13">
        <f>IF($A153="","",N(Items!I153))</f>
        <v/>
      </c>
      <c r="AE153" s="19">
        <f>IF($A153="","",$Y153*$AD153)</f>
        <v/>
      </c>
      <c r="AF153" s="10">
        <f>IF($A153="","",IF(N(Items!L153)&gt;0,"Y","N"))</f>
        <v/>
      </c>
      <c r="AG153" s="19">
        <f>IF($A153="","",IF($AF153="Y",N(Items!L153)*$AD153,0))</f>
        <v/>
      </c>
      <c r="AH153" s="19">
        <f>IF($A153="","",IF($AF153="Y",(N(Items!L153)-N(Items!K153))*$AD153,0))</f>
        <v/>
      </c>
      <c r="AI153" s="19">
        <f>IF($A153="","",IF($AF153="Y",$AH153-$AE153,0))</f>
        <v/>
      </c>
      <c r="AJ153" s="10">
        <f>IF($A153="","",IF(COUNTIF($AL$5:$AL$254,$AL153)&gt;1,"CHECK: duplicate item and import country",IF(TRIM(CLEAN(SUBSTITUTE(Items!C153&amp;""," "," ")))="","CHECK: import country missing",IF(AND(UPPER(TRIM(CLEAN(SUBSTITUTE(Items!C153&amp;""," "," "))))&lt;&gt;"US",UPPER(TRIM(CLEAN(SUBSTITUTE(Items!C153&amp;""," "," "))))&lt;&gt;"CA",UPPER(TRIM(CLEAN(SUBSTITUTE(Items!C153&amp;""," "," "))))&lt;&gt;"MX"),"CHECK: import country must be US, CA or MX",IF(NOT(AND(LEN($C153)=10,IFERROR(TEXT(VALUE($C153),REPT("0",LEN($C153)))=$C153,FALSE))),"CHECK: HTS must be 10 digits",IF(LEN($E153)&lt;&gt;2,"CHECK: origin code missing or not 2 letters",IF(TRIM(CLEAN(SUBSTITUTE(Items!G153&amp;""," "," ")))="","CHECK: unit of measure missing",IF(OR(Items!H153="",Items!J153="",Items!K153=""),"CHECK: value, rate or cost missing",IF(OR(NOT(ISNUMBER(Items!H153)),NOT(ISNUMBER(Items!J153)),NOT(ISNUMBER(Items!K153)),AND(Items!I153&lt;&gt;"",NOT(ISNUMBER(Items!I153))),AND(Items!L153&lt;&gt;"",NOT(ISNUMBER(Items!L153))),AND(Items!M153&lt;&gt;"",NOT(ISNUMBER(Items!M153)))),"CHECK: text in a number column",IF(AND(ISNUMBER(Items!M153),OR(N(Items!M153)&lt;0,N(Items!M153)&gt;1)),"CHECK: dutiable share must be 0% to 100%",IF(AND(UPPER(TRIM(CLEAN(SUBSTITUTE(Items!F153&amp;""," "," "))))&lt;&gt;"",UPPER(TRIM(CLEAN(SUBSTITUTE(Items!F153&amp;""," "," "))))&lt;&gt;"Y",UPPER(TRIM(CLEAN(SUBSTITUTE(Items!F153&amp;""," "," "))))&lt;&gt;"N"),"CHECK: USMCA flag must be Y, N or blank",IF(AND(UPPER(TRIM(CLEAN(SUBSTITUTE(Items!F153&amp;""," "," "))))="Y",$E153&lt;&gt;"US",$E153&lt;&gt;"CA",$E153&lt;&gt;"MX"),"CHECK: USMCA flag on an origin other than US, CA or MX",IF(AND($L153="Y",$AO153=0,NOT(ISNUMBER(act_Rate))),"CHECK: in scope but no rate (add a rate line or B15)",IF(AND($L153="Y",UPPER(TRIM(CLEAN(SUBSTITUTE(act_RateType&amp;""," "," "))))="REPLACE",NOT(ISNUMBER(act_PriorRate)),IF($AO153=0,TRUE,NOT(ISNUMBER(INDEX(rate_Prior,MOD($AO153,100)))))),"CHECK: REPLACE but no earlier rate (B17 or the rate line's AD)",IF(AND($L153="Y",$AP153&gt;1),"CHECK: two rate lines match equally",IF(AND($L153="Y",$AN153&gt;1),"CHECK: HTS prefix listed twice on the scope list",IF(AND($L153="Y",$P153="PART",NOT(ISNUMBER(Items!M153))),"CHECK: dutiable share missing (PART base)",IF(AND($L153="Y",$P153="FULL",ISNUMBER(Items!M153),N(Items!M153)&lt;&gt;1),"CHECK: dutiable share entered, but the rate taxes the full value",IF(AND($L153="Y",$Q153+0.0000001&lt;$T153*$S153+$U153),"CHECK: current rate is below the duty being replaced or displaced",IF(AND($L153="Y",$AD153=0),"NOTE: in scope, no quantity",IF(AND($L153="Y",$AF153="N"),"NOTE: in scope, no sell price (left out of margin %)",IF(AND($L153="Y",N(Items!H153)&gt;N(Items!K153)),"NOTE: customs value above standard cost (check unit of measure)",IF(AND($L153="Y",$Q153&gt;1),"NOTE: current rate above 100% (check it was entered as a percentage)","OK")))))))))))))))))))))))</f>
        <v/>
      </c>
      <c r="AK153" s="20">
        <f>IF($A153="","",IF(AND($L153="Y",$AE153&lt;&gt;0),ABS($AE153)+ROW()/1000000000,""))</f>
        <v/>
      </c>
      <c r="AL153" s="10">
        <f>IF($A153="","",UPPER($A153)&amp;"/"&amp;UPPER(TRIM(CLEAN(SUBSTITUTE(Items!C153&amp;""," "," ")))))</f>
        <v/>
      </c>
      <c r="AM153" s="13">
        <f>IF($A153="",0,SUMPRODUCT(MAX((scope_HTS&lt;&gt;"")*(LEFT($C153,LEN(scope_HTS))=scope_HTS)*(LEN(scope_HTS)*1000+ROW(scope_HTS)-4))))</f>
        <v/>
      </c>
      <c r="AN153" s="13">
        <f>IF($AM153=0,0,SUMPRODUCT((scope_HTS&lt;&gt;"")*(LEFT($C153,LEN(scope_HTS))=scope_HTS)*(LEN(scope_HTS)=INT($AM153/1000))))</f>
        <v/>
      </c>
      <c r="AO153" s="13">
        <f>IF($L153&lt;&gt;"Y",0,SUMPRODUCT(MAX(ISNUMBER(rate_Rate)*((UPPER(TRIM(CLEAN(SUBSTITUTE(rate_Group&amp;""," "," "))))="")+(UPPER(TRIM(CLEAN(SUBSTITUTE(rate_Group&amp;""," "," "))))=$N153)&gt;0)*((UPPER(TRIM(CLEAN(SUBSTITUTE(rate_COO&amp;""," "," "))))="")+(UPPER(TRIM(CLEAN(SUBSTITUTE(rate_COO&amp;""," "," "))))=$E153)&gt;0)*((UPPER(TRIM(CLEAN(SUBSTITUTE(rate_USMCA&amp;""," "," "))))="")+(UPPER(TRIM(CLEAN(SUBSTITUTE(rate_USMCA&amp;""," "," "))))=IF(UPPER(TRIM(CLEAN(SUBSTITUTE(Items!F153&amp;""," "," "))))="Y","Y","N"))&gt;0)*((1+(UPPER(TRIM(CLEAN(SUBSTITUTE(rate_Group&amp;""," "," "))))&lt;&gt;"")+2*(UPPER(TRIM(CLEAN(SUBSTITUTE(rate_USMCA&amp;""," "," "))))&lt;&gt;"")+4*(UPPER(TRIM(CLEAN(SUBSTITUTE(rate_COO&amp;""," "," "))))&lt;&gt;""))*100+ROW(rate_Rate)-4))))</f>
        <v/>
      </c>
      <c r="AP153" s="13">
        <f>IF($AO153=0,0,SUMPRODUCT(ISNUMBER(rate_Rate)*((UPPER(TRIM(CLEAN(SUBSTITUTE(rate_Group&amp;""," "," "))))="")+(UPPER(TRIM(CLEAN(SUBSTITUTE(rate_Group&amp;""," "," "))))=$N153)&gt;0)*((UPPER(TRIM(CLEAN(SUBSTITUTE(rate_COO&amp;""," "," "))))="")+(UPPER(TRIM(CLEAN(SUBSTITUTE(rate_COO&amp;""," "," "))))=$E153)&gt;0)*((UPPER(TRIM(CLEAN(SUBSTITUTE(rate_USMCA&amp;""," "," "))))="")+(UPPER(TRIM(CLEAN(SUBSTITUTE(rate_USMCA&amp;""," "," "))))=IF(UPPER(TRIM(CLEAN(SUBSTITUTE(Items!F153&amp;""," "," "))))="Y","Y","N"))&gt;0)*((1+(UPPER(TRIM(CLEAN(SUBSTITUTE(rate_Group&amp;""," "," "))))&lt;&gt;"")+2*(UPPER(TRIM(CLEAN(SUBSTITUTE(rate_USMCA&amp;""," "," "))))&lt;&gt;"")+4*(UPPER(TRIM(CLEAN(SUBSTITUTE(rate_COO&amp;""," "," "))))&lt;&gt;""))=INT($AO153/100))))</f>
        <v/>
      </c>
      <c r="AQ153" s="13">
        <f>IF($A153="",0,IFERROR(MATCH($AL153,det_Key,0),0))</f>
        <v/>
      </c>
    </row>
    <row r="154">
      <c r="A154" s="10">
        <f>IF(TRIM(CLEAN(SUBSTITUTE(Items!A154&amp;""," "," ")))="","",TRIM(CLEAN(SUBSTITUTE(Items!A154&amp;""," "," "))))</f>
        <v/>
      </c>
      <c r="B154" s="10">
        <f>IF($A154="","",Items!B154&amp;"")</f>
        <v/>
      </c>
      <c r="C154" s="10">
        <f>IF($A154="","",SUBSTITUTE(SUBSTITUTE(SUBSTITUTE(SUBSTITUTE(CLEAN(Items!D154&amp;"")," ",""),".","")," ",""),"-",""))</f>
        <v/>
      </c>
      <c r="D154" s="10">
        <f>IF($A154="","",LEFT($C154,2))</f>
        <v/>
      </c>
      <c r="E154" s="10">
        <f>IF($A154="","",UPPER(TRIM(CLEAN(SUBSTITUTE(Items!E154&amp;""," "," ")))))</f>
        <v/>
      </c>
      <c r="F154" s="10">
        <f>IF($A154="","",IF(UPPER(TRIM(CLEAN(SUBSTITUTE(Items!C154&amp;""," "," "))))=UPPER(TRIM(CLEAN(SUBSTITUTE(act_Country&amp;""," "," ")))),"Y","N"))</f>
        <v/>
      </c>
      <c r="G154" s="10">
        <f>IF($A154="","",IF($AM154&gt;0,"Y","N"))</f>
        <v/>
      </c>
      <c r="H154" s="10">
        <f>IF($A154="","",IF(SUMPRODUCT((excl_HTS&lt;&gt;"")*(LEFT($C154,LEN(excl_HTS))=excl_HTS))&gt;0,"Y","N"))</f>
        <v/>
      </c>
      <c r="I154" s="10">
        <f>IF($A154="","",IF($E154="","N",IF(SUMPRODUCT(--(UPPER(TRIM(CLEAN(SUBSTITUTE(scope_COO&amp;""," "," "))))=$E154))&gt;0,"Y","N")))</f>
        <v/>
      </c>
      <c r="J154" s="10">
        <f>IF($A154="","",IF(AND(UPPER(TRIM(CLEAN(SUBSTITUTE(act_USMCAExempt&amp;""," "," "))))="Y",UPPER(TRIM(CLEAN(SUBSTITUTE(Items!F154&amp;""," "," "))))="Y"),"Y","N"))</f>
        <v/>
      </c>
      <c r="K154" s="10">
        <f>IF($A154="","",IF($AQ154=0,"",UPPER(TRIM(CLEAN(SUBSTITUTE(INDEX(det_Status,$AQ154)&amp;""," "," "))))))</f>
        <v/>
      </c>
      <c r="L154" s="10">
        <f>IF($A154="","",IF($F154="N","N",IF($K154="IN","Y",IF($K154="OUT","N",IF(AND($G154="Y",$H154="N",$I154="Y",$J154="N"),"Y","N")))))</f>
        <v/>
      </c>
      <c r="M154" s="10">
        <f>IF($A154="","",IF($F154="N","Out: different import country",IF($K154="IN","In: Research determination",IF($K154="OUT","Out: Research determination",IF($G154="N","Out: HTS not on scope list",IF($H154="Y","Out: HTS on exclusion list",IF($I154="N","Out: origin not on scope list",IF($J154="Y","Out: USMCA-qualifying, exempt","In: matches scope rules"))))))))</f>
        <v/>
      </c>
      <c r="N154" s="10">
        <f>IF(OR($A154="",$AM154=0),"",UPPER(TRIM(CLEAN(SUBSTITUTE(INDEX(scope_Group,MOD($AM154,1000))&amp;""," "," ")))))</f>
        <v/>
      </c>
      <c r="O154" s="10">
        <f>IF($L154&lt;&gt;"Y","",IF($AO154=0,"Default (B15)",UPPER(TRIM(CLEAN(SUBSTITUTE(INDEX(rate_ID,MOD($AO154,100))&amp;""," "," "))))))</f>
        <v/>
      </c>
      <c r="P154" s="10">
        <f>IF($L154&lt;&gt;"Y","",IF($AO154=0,IF(UPPER(TRIM(CLEAN(SUBSTITUTE(act_DefaultBase&amp;""," "," "))))="PART","PART","FULL"),IF(UPPER(TRIM(CLEAN(SUBSTITUTE(INDEX(rate_Base,MOD($AO154,100))&amp;""," "," "))))="PART","PART","FULL")))</f>
        <v/>
      </c>
      <c r="Q154" s="17">
        <f>IF($A154="","",N(Items!J154))</f>
        <v/>
      </c>
      <c r="R154" s="17">
        <f>IF($A154="","",IF($L154&lt;&gt;"Y",0,IF($AO154=0,N(act_Rate),N(INDEX(rate_Rate,MOD($AO154,100))))))</f>
        <v/>
      </c>
      <c r="S154" s="17">
        <f>IF($A154="","",IF($L154&lt;&gt;"Y",0,IF($AO154=0,IF(UPPER(TRIM(CLEAN(SUBSTITUTE(act_RateType&amp;""," "," "))))="REPLACE",N(act_PriorRate),0),IF(ISNUMBER(INDEX(rate_Prior,MOD($AO154,100))),INDEX(rate_Prior,MOD($AO154,100)),IF(UPPER(TRIM(CLEAN(SUBSTITUTE(act_RateType&amp;""," "," "))))="REPLACE",N(act_PriorRate),0)))))</f>
        <v/>
      </c>
      <c r="T154" s="17">
        <f>IF($A154="","",IF(AND($L154="Y",$P154="PART",ISNUMBER(Items!M154)),Items!M154,1))</f>
        <v/>
      </c>
      <c r="U154" s="17">
        <f>IF($A154="","",IF($L154&lt;&gt;"Y",0,IF($AQ154&gt;0,IF(ISNUMBER(INDEX(det_Displaced,$AQ154)),INDEX(det_Displaced,$AQ154),IF($AO154=0,0,N(INDEX(rate_Displaced,MOD($AO154,100))))),IF($AO154=0,0,N(INDEX(rate_Displaced,MOD($AO154,100)))))))</f>
        <v/>
      </c>
      <c r="V154" s="17">
        <f>IF($A154="","",IF($L154="Y",$Q154+$T154*($R154-$S154)-$U154,$Q154))</f>
        <v/>
      </c>
      <c r="W154" s="18">
        <f>IF($A154="","",N(Items!H154)*$Q154)</f>
        <v/>
      </c>
      <c r="X154" s="18">
        <f>IF($A154="","",N(Items!H154)*$V154)</f>
        <v/>
      </c>
      <c r="Y154" s="18">
        <f>IF($A154="","",$X154-$W154)</f>
        <v/>
      </c>
      <c r="Z154" s="18">
        <f>IF($A154="","",N(Items!K154)+$Y154)</f>
        <v/>
      </c>
      <c r="AA154" s="17">
        <f>IF($A154="","",IF(N(Items!L154)=0,"",(N(Items!L154)-N(Items!K154))/N(Items!L154)))</f>
        <v/>
      </c>
      <c r="AB154" s="17">
        <f>IF($A154="","",IF(N(Items!L154)=0,"",(N(Items!L154)-$Z154)/N(Items!L154)))</f>
        <v/>
      </c>
      <c r="AC154" s="17">
        <f>IF(OR($AA154="",$AB154=""),"",$AB154-$AA154)</f>
        <v/>
      </c>
      <c r="AD154" s="13">
        <f>IF($A154="","",N(Items!I154))</f>
        <v/>
      </c>
      <c r="AE154" s="19">
        <f>IF($A154="","",$Y154*$AD154)</f>
        <v/>
      </c>
      <c r="AF154" s="10">
        <f>IF($A154="","",IF(N(Items!L154)&gt;0,"Y","N"))</f>
        <v/>
      </c>
      <c r="AG154" s="19">
        <f>IF($A154="","",IF($AF154="Y",N(Items!L154)*$AD154,0))</f>
        <v/>
      </c>
      <c r="AH154" s="19">
        <f>IF($A154="","",IF($AF154="Y",(N(Items!L154)-N(Items!K154))*$AD154,0))</f>
        <v/>
      </c>
      <c r="AI154" s="19">
        <f>IF($A154="","",IF($AF154="Y",$AH154-$AE154,0))</f>
        <v/>
      </c>
      <c r="AJ154" s="10">
        <f>IF($A154="","",IF(COUNTIF($AL$5:$AL$254,$AL154)&gt;1,"CHECK: duplicate item and import country",IF(TRIM(CLEAN(SUBSTITUTE(Items!C154&amp;""," "," ")))="","CHECK: import country missing",IF(AND(UPPER(TRIM(CLEAN(SUBSTITUTE(Items!C154&amp;""," "," "))))&lt;&gt;"US",UPPER(TRIM(CLEAN(SUBSTITUTE(Items!C154&amp;""," "," "))))&lt;&gt;"CA",UPPER(TRIM(CLEAN(SUBSTITUTE(Items!C154&amp;""," "," "))))&lt;&gt;"MX"),"CHECK: import country must be US, CA or MX",IF(NOT(AND(LEN($C154)=10,IFERROR(TEXT(VALUE($C154),REPT("0",LEN($C154)))=$C154,FALSE))),"CHECK: HTS must be 10 digits",IF(LEN($E154)&lt;&gt;2,"CHECK: origin code missing or not 2 letters",IF(TRIM(CLEAN(SUBSTITUTE(Items!G154&amp;""," "," ")))="","CHECK: unit of measure missing",IF(OR(Items!H154="",Items!J154="",Items!K154=""),"CHECK: value, rate or cost missing",IF(OR(NOT(ISNUMBER(Items!H154)),NOT(ISNUMBER(Items!J154)),NOT(ISNUMBER(Items!K154)),AND(Items!I154&lt;&gt;"",NOT(ISNUMBER(Items!I154))),AND(Items!L154&lt;&gt;"",NOT(ISNUMBER(Items!L154))),AND(Items!M154&lt;&gt;"",NOT(ISNUMBER(Items!M154)))),"CHECK: text in a number column",IF(AND(ISNUMBER(Items!M154),OR(N(Items!M154)&lt;0,N(Items!M154)&gt;1)),"CHECK: dutiable share must be 0% to 100%",IF(AND(UPPER(TRIM(CLEAN(SUBSTITUTE(Items!F154&amp;""," "," "))))&lt;&gt;"",UPPER(TRIM(CLEAN(SUBSTITUTE(Items!F154&amp;""," "," "))))&lt;&gt;"Y",UPPER(TRIM(CLEAN(SUBSTITUTE(Items!F154&amp;""," "," "))))&lt;&gt;"N"),"CHECK: USMCA flag must be Y, N or blank",IF(AND(UPPER(TRIM(CLEAN(SUBSTITUTE(Items!F154&amp;""," "," "))))="Y",$E154&lt;&gt;"US",$E154&lt;&gt;"CA",$E154&lt;&gt;"MX"),"CHECK: USMCA flag on an origin other than US, CA or MX",IF(AND($L154="Y",$AO154=0,NOT(ISNUMBER(act_Rate))),"CHECK: in scope but no rate (add a rate line or B15)",IF(AND($L154="Y",UPPER(TRIM(CLEAN(SUBSTITUTE(act_RateType&amp;""," "," "))))="REPLACE",NOT(ISNUMBER(act_PriorRate)),IF($AO154=0,TRUE,NOT(ISNUMBER(INDEX(rate_Prior,MOD($AO154,100)))))),"CHECK: REPLACE but no earlier rate (B17 or the rate line's AD)",IF(AND($L154="Y",$AP154&gt;1),"CHECK: two rate lines match equally",IF(AND($L154="Y",$AN154&gt;1),"CHECK: HTS prefix listed twice on the scope list",IF(AND($L154="Y",$P154="PART",NOT(ISNUMBER(Items!M154))),"CHECK: dutiable share missing (PART base)",IF(AND($L154="Y",$P154="FULL",ISNUMBER(Items!M154),N(Items!M154)&lt;&gt;1),"CHECK: dutiable share entered, but the rate taxes the full value",IF(AND($L154="Y",$Q154+0.0000001&lt;$T154*$S154+$U154),"CHECK: current rate is below the duty being replaced or displaced",IF(AND($L154="Y",$AD154=0),"NOTE: in scope, no quantity",IF(AND($L154="Y",$AF154="N"),"NOTE: in scope, no sell price (left out of margin %)",IF(AND($L154="Y",N(Items!H154)&gt;N(Items!K154)),"NOTE: customs value above standard cost (check unit of measure)",IF(AND($L154="Y",$Q154&gt;1),"NOTE: current rate above 100% (check it was entered as a percentage)","OK")))))))))))))))))))))))</f>
        <v/>
      </c>
      <c r="AK154" s="20">
        <f>IF($A154="","",IF(AND($L154="Y",$AE154&lt;&gt;0),ABS($AE154)+ROW()/1000000000,""))</f>
        <v/>
      </c>
      <c r="AL154" s="10">
        <f>IF($A154="","",UPPER($A154)&amp;"/"&amp;UPPER(TRIM(CLEAN(SUBSTITUTE(Items!C154&amp;""," "," ")))))</f>
        <v/>
      </c>
      <c r="AM154" s="13">
        <f>IF($A154="",0,SUMPRODUCT(MAX((scope_HTS&lt;&gt;"")*(LEFT($C154,LEN(scope_HTS))=scope_HTS)*(LEN(scope_HTS)*1000+ROW(scope_HTS)-4))))</f>
        <v/>
      </c>
      <c r="AN154" s="13">
        <f>IF($AM154=0,0,SUMPRODUCT((scope_HTS&lt;&gt;"")*(LEFT($C154,LEN(scope_HTS))=scope_HTS)*(LEN(scope_HTS)=INT($AM154/1000))))</f>
        <v/>
      </c>
      <c r="AO154" s="13">
        <f>IF($L154&lt;&gt;"Y",0,SUMPRODUCT(MAX(ISNUMBER(rate_Rate)*((UPPER(TRIM(CLEAN(SUBSTITUTE(rate_Group&amp;""," "," "))))="")+(UPPER(TRIM(CLEAN(SUBSTITUTE(rate_Group&amp;""," "," "))))=$N154)&gt;0)*((UPPER(TRIM(CLEAN(SUBSTITUTE(rate_COO&amp;""," "," "))))="")+(UPPER(TRIM(CLEAN(SUBSTITUTE(rate_COO&amp;""," "," "))))=$E154)&gt;0)*((UPPER(TRIM(CLEAN(SUBSTITUTE(rate_USMCA&amp;""," "," "))))="")+(UPPER(TRIM(CLEAN(SUBSTITUTE(rate_USMCA&amp;""," "," "))))=IF(UPPER(TRIM(CLEAN(SUBSTITUTE(Items!F154&amp;""," "," "))))="Y","Y","N"))&gt;0)*((1+(UPPER(TRIM(CLEAN(SUBSTITUTE(rate_Group&amp;""," "," "))))&lt;&gt;"")+2*(UPPER(TRIM(CLEAN(SUBSTITUTE(rate_USMCA&amp;""," "," "))))&lt;&gt;"")+4*(UPPER(TRIM(CLEAN(SUBSTITUTE(rate_COO&amp;""," "," "))))&lt;&gt;""))*100+ROW(rate_Rate)-4))))</f>
        <v/>
      </c>
      <c r="AP154" s="13">
        <f>IF($AO154=0,0,SUMPRODUCT(ISNUMBER(rate_Rate)*((UPPER(TRIM(CLEAN(SUBSTITUTE(rate_Group&amp;""," "," "))))="")+(UPPER(TRIM(CLEAN(SUBSTITUTE(rate_Group&amp;""," "," "))))=$N154)&gt;0)*((UPPER(TRIM(CLEAN(SUBSTITUTE(rate_COO&amp;""," "," "))))="")+(UPPER(TRIM(CLEAN(SUBSTITUTE(rate_COO&amp;""," "," "))))=$E154)&gt;0)*((UPPER(TRIM(CLEAN(SUBSTITUTE(rate_USMCA&amp;""," "," "))))="")+(UPPER(TRIM(CLEAN(SUBSTITUTE(rate_USMCA&amp;""," "," "))))=IF(UPPER(TRIM(CLEAN(SUBSTITUTE(Items!F154&amp;""," "," "))))="Y","Y","N"))&gt;0)*((1+(UPPER(TRIM(CLEAN(SUBSTITUTE(rate_Group&amp;""," "," "))))&lt;&gt;"")+2*(UPPER(TRIM(CLEAN(SUBSTITUTE(rate_USMCA&amp;""," "," "))))&lt;&gt;"")+4*(UPPER(TRIM(CLEAN(SUBSTITUTE(rate_COO&amp;""," "," "))))&lt;&gt;""))=INT($AO154/100))))</f>
        <v/>
      </c>
      <c r="AQ154" s="13">
        <f>IF($A154="",0,IFERROR(MATCH($AL154,det_Key,0),0))</f>
        <v/>
      </c>
    </row>
    <row r="155">
      <c r="A155" s="10">
        <f>IF(TRIM(CLEAN(SUBSTITUTE(Items!A155&amp;""," "," ")))="","",TRIM(CLEAN(SUBSTITUTE(Items!A155&amp;""," "," "))))</f>
        <v/>
      </c>
      <c r="B155" s="10">
        <f>IF($A155="","",Items!B155&amp;"")</f>
        <v/>
      </c>
      <c r="C155" s="10">
        <f>IF($A155="","",SUBSTITUTE(SUBSTITUTE(SUBSTITUTE(SUBSTITUTE(CLEAN(Items!D155&amp;"")," ",""),".","")," ",""),"-",""))</f>
        <v/>
      </c>
      <c r="D155" s="10">
        <f>IF($A155="","",LEFT($C155,2))</f>
        <v/>
      </c>
      <c r="E155" s="10">
        <f>IF($A155="","",UPPER(TRIM(CLEAN(SUBSTITUTE(Items!E155&amp;""," "," ")))))</f>
        <v/>
      </c>
      <c r="F155" s="10">
        <f>IF($A155="","",IF(UPPER(TRIM(CLEAN(SUBSTITUTE(Items!C155&amp;""," "," "))))=UPPER(TRIM(CLEAN(SUBSTITUTE(act_Country&amp;""," "," ")))),"Y","N"))</f>
        <v/>
      </c>
      <c r="G155" s="10">
        <f>IF($A155="","",IF($AM155&gt;0,"Y","N"))</f>
        <v/>
      </c>
      <c r="H155" s="10">
        <f>IF($A155="","",IF(SUMPRODUCT((excl_HTS&lt;&gt;"")*(LEFT($C155,LEN(excl_HTS))=excl_HTS))&gt;0,"Y","N"))</f>
        <v/>
      </c>
      <c r="I155" s="10">
        <f>IF($A155="","",IF($E155="","N",IF(SUMPRODUCT(--(UPPER(TRIM(CLEAN(SUBSTITUTE(scope_COO&amp;""," "," "))))=$E155))&gt;0,"Y","N")))</f>
        <v/>
      </c>
      <c r="J155" s="10">
        <f>IF($A155="","",IF(AND(UPPER(TRIM(CLEAN(SUBSTITUTE(act_USMCAExempt&amp;""," "," "))))="Y",UPPER(TRIM(CLEAN(SUBSTITUTE(Items!F155&amp;""," "," "))))="Y"),"Y","N"))</f>
        <v/>
      </c>
      <c r="K155" s="10">
        <f>IF($A155="","",IF($AQ155=0,"",UPPER(TRIM(CLEAN(SUBSTITUTE(INDEX(det_Status,$AQ155)&amp;""," "," "))))))</f>
        <v/>
      </c>
      <c r="L155" s="10">
        <f>IF($A155="","",IF($F155="N","N",IF($K155="IN","Y",IF($K155="OUT","N",IF(AND($G155="Y",$H155="N",$I155="Y",$J155="N"),"Y","N")))))</f>
        <v/>
      </c>
      <c r="M155" s="10">
        <f>IF($A155="","",IF($F155="N","Out: different import country",IF($K155="IN","In: Research determination",IF($K155="OUT","Out: Research determination",IF($G155="N","Out: HTS not on scope list",IF($H155="Y","Out: HTS on exclusion list",IF($I155="N","Out: origin not on scope list",IF($J155="Y","Out: USMCA-qualifying, exempt","In: matches scope rules"))))))))</f>
        <v/>
      </c>
      <c r="N155" s="10">
        <f>IF(OR($A155="",$AM155=0),"",UPPER(TRIM(CLEAN(SUBSTITUTE(INDEX(scope_Group,MOD($AM155,1000))&amp;""," "," ")))))</f>
        <v/>
      </c>
      <c r="O155" s="10">
        <f>IF($L155&lt;&gt;"Y","",IF($AO155=0,"Default (B15)",UPPER(TRIM(CLEAN(SUBSTITUTE(INDEX(rate_ID,MOD($AO155,100))&amp;""," "," "))))))</f>
        <v/>
      </c>
      <c r="P155" s="10">
        <f>IF($L155&lt;&gt;"Y","",IF($AO155=0,IF(UPPER(TRIM(CLEAN(SUBSTITUTE(act_DefaultBase&amp;""," "," "))))="PART","PART","FULL"),IF(UPPER(TRIM(CLEAN(SUBSTITUTE(INDEX(rate_Base,MOD($AO155,100))&amp;""," "," "))))="PART","PART","FULL")))</f>
        <v/>
      </c>
      <c r="Q155" s="17">
        <f>IF($A155="","",N(Items!J155))</f>
        <v/>
      </c>
      <c r="R155" s="17">
        <f>IF($A155="","",IF($L155&lt;&gt;"Y",0,IF($AO155=0,N(act_Rate),N(INDEX(rate_Rate,MOD($AO155,100))))))</f>
        <v/>
      </c>
      <c r="S155" s="17">
        <f>IF($A155="","",IF($L155&lt;&gt;"Y",0,IF($AO155=0,IF(UPPER(TRIM(CLEAN(SUBSTITUTE(act_RateType&amp;""," "," "))))="REPLACE",N(act_PriorRate),0),IF(ISNUMBER(INDEX(rate_Prior,MOD($AO155,100))),INDEX(rate_Prior,MOD($AO155,100)),IF(UPPER(TRIM(CLEAN(SUBSTITUTE(act_RateType&amp;""," "," "))))="REPLACE",N(act_PriorRate),0)))))</f>
        <v/>
      </c>
      <c r="T155" s="17">
        <f>IF($A155="","",IF(AND($L155="Y",$P155="PART",ISNUMBER(Items!M155)),Items!M155,1))</f>
        <v/>
      </c>
      <c r="U155" s="17">
        <f>IF($A155="","",IF($L155&lt;&gt;"Y",0,IF($AQ155&gt;0,IF(ISNUMBER(INDEX(det_Displaced,$AQ155)),INDEX(det_Displaced,$AQ155),IF($AO155=0,0,N(INDEX(rate_Displaced,MOD($AO155,100))))),IF($AO155=0,0,N(INDEX(rate_Displaced,MOD($AO155,100)))))))</f>
        <v/>
      </c>
      <c r="V155" s="17">
        <f>IF($A155="","",IF($L155="Y",$Q155+$T155*($R155-$S155)-$U155,$Q155))</f>
        <v/>
      </c>
      <c r="W155" s="18">
        <f>IF($A155="","",N(Items!H155)*$Q155)</f>
        <v/>
      </c>
      <c r="X155" s="18">
        <f>IF($A155="","",N(Items!H155)*$V155)</f>
        <v/>
      </c>
      <c r="Y155" s="18">
        <f>IF($A155="","",$X155-$W155)</f>
        <v/>
      </c>
      <c r="Z155" s="18">
        <f>IF($A155="","",N(Items!K155)+$Y155)</f>
        <v/>
      </c>
      <c r="AA155" s="17">
        <f>IF($A155="","",IF(N(Items!L155)=0,"",(N(Items!L155)-N(Items!K155))/N(Items!L155)))</f>
        <v/>
      </c>
      <c r="AB155" s="17">
        <f>IF($A155="","",IF(N(Items!L155)=0,"",(N(Items!L155)-$Z155)/N(Items!L155)))</f>
        <v/>
      </c>
      <c r="AC155" s="17">
        <f>IF(OR($AA155="",$AB155=""),"",$AB155-$AA155)</f>
        <v/>
      </c>
      <c r="AD155" s="13">
        <f>IF($A155="","",N(Items!I155))</f>
        <v/>
      </c>
      <c r="AE155" s="19">
        <f>IF($A155="","",$Y155*$AD155)</f>
        <v/>
      </c>
      <c r="AF155" s="10">
        <f>IF($A155="","",IF(N(Items!L155)&gt;0,"Y","N"))</f>
        <v/>
      </c>
      <c r="AG155" s="19">
        <f>IF($A155="","",IF($AF155="Y",N(Items!L155)*$AD155,0))</f>
        <v/>
      </c>
      <c r="AH155" s="19">
        <f>IF($A155="","",IF($AF155="Y",(N(Items!L155)-N(Items!K155))*$AD155,0))</f>
        <v/>
      </c>
      <c r="AI155" s="19">
        <f>IF($A155="","",IF($AF155="Y",$AH155-$AE155,0))</f>
        <v/>
      </c>
      <c r="AJ155" s="10">
        <f>IF($A155="","",IF(COUNTIF($AL$5:$AL$254,$AL155)&gt;1,"CHECK: duplicate item and import country",IF(TRIM(CLEAN(SUBSTITUTE(Items!C155&amp;""," "," ")))="","CHECK: import country missing",IF(AND(UPPER(TRIM(CLEAN(SUBSTITUTE(Items!C155&amp;""," "," "))))&lt;&gt;"US",UPPER(TRIM(CLEAN(SUBSTITUTE(Items!C155&amp;""," "," "))))&lt;&gt;"CA",UPPER(TRIM(CLEAN(SUBSTITUTE(Items!C155&amp;""," "," "))))&lt;&gt;"MX"),"CHECK: import country must be US, CA or MX",IF(NOT(AND(LEN($C155)=10,IFERROR(TEXT(VALUE($C155),REPT("0",LEN($C155)))=$C155,FALSE))),"CHECK: HTS must be 10 digits",IF(LEN($E155)&lt;&gt;2,"CHECK: origin code missing or not 2 letters",IF(TRIM(CLEAN(SUBSTITUTE(Items!G155&amp;""," "," ")))="","CHECK: unit of measure missing",IF(OR(Items!H155="",Items!J155="",Items!K155=""),"CHECK: value, rate or cost missing",IF(OR(NOT(ISNUMBER(Items!H155)),NOT(ISNUMBER(Items!J155)),NOT(ISNUMBER(Items!K155)),AND(Items!I155&lt;&gt;"",NOT(ISNUMBER(Items!I155))),AND(Items!L155&lt;&gt;"",NOT(ISNUMBER(Items!L155))),AND(Items!M155&lt;&gt;"",NOT(ISNUMBER(Items!M155)))),"CHECK: text in a number column",IF(AND(ISNUMBER(Items!M155),OR(N(Items!M155)&lt;0,N(Items!M155)&gt;1)),"CHECK: dutiable share must be 0% to 100%",IF(AND(UPPER(TRIM(CLEAN(SUBSTITUTE(Items!F155&amp;""," "," "))))&lt;&gt;"",UPPER(TRIM(CLEAN(SUBSTITUTE(Items!F155&amp;""," "," "))))&lt;&gt;"Y",UPPER(TRIM(CLEAN(SUBSTITUTE(Items!F155&amp;""," "," "))))&lt;&gt;"N"),"CHECK: USMCA flag must be Y, N or blank",IF(AND(UPPER(TRIM(CLEAN(SUBSTITUTE(Items!F155&amp;""," "," "))))="Y",$E155&lt;&gt;"US",$E155&lt;&gt;"CA",$E155&lt;&gt;"MX"),"CHECK: USMCA flag on an origin other than US, CA or MX",IF(AND($L155="Y",$AO155=0,NOT(ISNUMBER(act_Rate))),"CHECK: in scope but no rate (add a rate line or B15)",IF(AND($L155="Y",UPPER(TRIM(CLEAN(SUBSTITUTE(act_RateType&amp;""," "," "))))="REPLACE",NOT(ISNUMBER(act_PriorRate)),IF($AO155=0,TRUE,NOT(ISNUMBER(INDEX(rate_Prior,MOD($AO155,100)))))),"CHECK: REPLACE but no earlier rate (B17 or the rate line's AD)",IF(AND($L155="Y",$AP155&gt;1),"CHECK: two rate lines match equally",IF(AND($L155="Y",$AN155&gt;1),"CHECK: HTS prefix listed twice on the scope list",IF(AND($L155="Y",$P155="PART",NOT(ISNUMBER(Items!M155))),"CHECK: dutiable share missing (PART base)",IF(AND($L155="Y",$P155="FULL",ISNUMBER(Items!M155),N(Items!M155)&lt;&gt;1),"CHECK: dutiable share entered, but the rate taxes the full value",IF(AND($L155="Y",$Q155+0.0000001&lt;$T155*$S155+$U155),"CHECK: current rate is below the duty being replaced or displaced",IF(AND($L155="Y",$AD155=0),"NOTE: in scope, no quantity",IF(AND($L155="Y",$AF155="N"),"NOTE: in scope, no sell price (left out of margin %)",IF(AND($L155="Y",N(Items!H155)&gt;N(Items!K155)),"NOTE: customs value above standard cost (check unit of measure)",IF(AND($L155="Y",$Q155&gt;1),"NOTE: current rate above 100% (check it was entered as a percentage)","OK")))))))))))))))))))))))</f>
        <v/>
      </c>
      <c r="AK155" s="20">
        <f>IF($A155="","",IF(AND($L155="Y",$AE155&lt;&gt;0),ABS($AE155)+ROW()/1000000000,""))</f>
        <v/>
      </c>
      <c r="AL155" s="10">
        <f>IF($A155="","",UPPER($A155)&amp;"/"&amp;UPPER(TRIM(CLEAN(SUBSTITUTE(Items!C155&amp;""," "," ")))))</f>
        <v/>
      </c>
      <c r="AM155" s="13">
        <f>IF($A155="",0,SUMPRODUCT(MAX((scope_HTS&lt;&gt;"")*(LEFT($C155,LEN(scope_HTS))=scope_HTS)*(LEN(scope_HTS)*1000+ROW(scope_HTS)-4))))</f>
        <v/>
      </c>
      <c r="AN155" s="13">
        <f>IF($AM155=0,0,SUMPRODUCT((scope_HTS&lt;&gt;"")*(LEFT($C155,LEN(scope_HTS))=scope_HTS)*(LEN(scope_HTS)=INT($AM155/1000))))</f>
        <v/>
      </c>
      <c r="AO155" s="13">
        <f>IF($L155&lt;&gt;"Y",0,SUMPRODUCT(MAX(ISNUMBER(rate_Rate)*((UPPER(TRIM(CLEAN(SUBSTITUTE(rate_Group&amp;""," "," "))))="")+(UPPER(TRIM(CLEAN(SUBSTITUTE(rate_Group&amp;""," "," "))))=$N155)&gt;0)*((UPPER(TRIM(CLEAN(SUBSTITUTE(rate_COO&amp;""," "," "))))="")+(UPPER(TRIM(CLEAN(SUBSTITUTE(rate_COO&amp;""," "," "))))=$E155)&gt;0)*((UPPER(TRIM(CLEAN(SUBSTITUTE(rate_USMCA&amp;""," "," "))))="")+(UPPER(TRIM(CLEAN(SUBSTITUTE(rate_USMCA&amp;""," "," "))))=IF(UPPER(TRIM(CLEAN(SUBSTITUTE(Items!F155&amp;""," "," "))))="Y","Y","N"))&gt;0)*((1+(UPPER(TRIM(CLEAN(SUBSTITUTE(rate_Group&amp;""," "," "))))&lt;&gt;"")+2*(UPPER(TRIM(CLEAN(SUBSTITUTE(rate_USMCA&amp;""," "," "))))&lt;&gt;"")+4*(UPPER(TRIM(CLEAN(SUBSTITUTE(rate_COO&amp;""," "," "))))&lt;&gt;""))*100+ROW(rate_Rate)-4))))</f>
        <v/>
      </c>
      <c r="AP155" s="13">
        <f>IF($AO155=0,0,SUMPRODUCT(ISNUMBER(rate_Rate)*((UPPER(TRIM(CLEAN(SUBSTITUTE(rate_Group&amp;""," "," "))))="")+(UPPER(TRIM(CLEAN(SUBSTITUTE(rate_Group&amp;""," "," "))))=$N155)&gt;0)*((UPPER(TRIM(CLEAN(SUBSTITUTE(rate_COO&amp;""," "," "))))="")+(UPPER(TRIM(CLEAN(SUBSTITUTE(rate_COO&amp;""," "," "))))=$E155)&gt;0)*((UPPER(TRIM(CLEAN(SUBSTITUTE(rate_USMCA&amp;""," "," "))))="")+(UPPER(TRIM(CLEAN(SUBSTITUTE(rate_USMCA&amp;""," "," "))))=IF(UPPER(TRIM(CLEAN(SUBSTITUTE(Items!F155&amp;""," "," "))))="Y","Y","N"))&gt;0)*((1+(UPPER(TRIM(CLEAN(SUBSTITUTE(rate_Group&amp;""," "," "))))&lt;&gt;"")+2*(UPPER(TRIM(CLEAN(SUBSTITUTE(rate_USMCA&amp;""," "," "))))&lt;&gt;"")+4*(UPPER(TRIM(CLEAN(SUBSTITUTE(rate_COO&amp;""," "," "))))&lt;&gt;""))=INT($AO155/100))))</f>
        <v/>
      </c>
      <c r="AQ155" s="13">
        <f>IF($A155="",0,IFERROR(MATCH($AL155,det_Key,0),0))</f>
        <v/>
      </c>
    </row>
    <row r="156">
      <c r="A156" s="10">
        <f>IF(TRIM(CLEAN(SUBSTITUTE(Items!A156&amp;""," "," ")))="","",TRIM(CLEAN(SUBSTITUTE(Items!A156&amp;""," "," "))))</f>
        <v/>
      </c>
      <c r="B156" s="10">
        <f>IF($A156="","",Items!B156&amp;"")</f>
        <v/>
      </c>
      <c r="C156" s="10">
        <f>IF($A156="","",SUBSTITUTE(SUBSTITUTE(SUBSTITUTE(SUBSTITUTE(CLEAN(Items!D156&amp;"")," ",""),".","")," ",""),"-",""))</f>
        <v/>
      </c>
      <c r="D156" s="10">
        <f>IF($A156="","",LEFT($C156,2))</f>
        <v/>
      </c>
      <c r="E156" s="10">
        <f>IF($A156="","",UPPER(TRIM(CLEAN(SUBSTITUTE(Items!E156&amp;""," "," ")))))</f>
        <v/>
      </c>
      <c r="F156" s="10">
        <f>IF($A156="","",IF(UPPER(TRIM(CLEAN(SUBSTITUTE(Items!C156&amp;""," "," "))))=UPPER(TRIM(CLEAN(SUBSTITUTE(act_Country&amp;""," "," ")))),"Y","N"))</f>
        <v/>
      </c>
      <c r="G156" s="10">
        <f>IF($A156="","",IF($AM156&gt;0,"Y","N"))</f>
        <v/>
      </c>
      <c r="H156" s="10">
        <f>IF($A156="","",IF(SUMPRODUCT((excl_HTS&lt;&gt;"")*(LEFT($C156,LEN(excl_HTS))=excl_HTS))&gt;0,"Y","N"))</f>
        <v/>
      </c>
      <c r="I156" s="10">
        <f>IF($A156="","",IF($E156="","N",IF(SUMPRODUCT(--(UPPER(TRIM(CLEAN(SUBSTITUTE(scope_COO&amp;""," "," "))))=$E156))&gt;0,"Y","N")))</f>
        <v/>
      </c>
      <c r="J156" s="10">
        <f>IF($A156="","",IF(AND(UPPER(TRIM(CLEAN(SUBSTITUTE(act_USMCAExempt&amp;""," "," "))))="Y",UPPER(TRIM(CLEAN(SUBSTITUTE(Items!F156&amp;""," "," "))))="Y"),"Y","N"))</f>
        <v/>
      </c>
      <c r="K156" s="10">
        <f>IF($A156="","",IF($AQ156=0,"",UPPER(TRIM(CLEAN(SUBSTITUTE(INDEX(det_Status,$AQ156)&amp;""," "," "))))))</f>
        <v/>
      </c>
      <c r="L156" s="10">
        <f>IF($A156="","",IF($F156="N","N",IF($K156="IN","Y",IF($K156="OUT","N",IF(AND($G156="Y",$H156="N",$I156="Y",$J156="N"),"Y","N")))))</f>
        <v/>
      </c>
      <c r="M156" s="10">
        <f>IF($A156="","",IF($F156="N","Out: different import country",IF($K156="IN","In: Research determination",IF($K156="OUT","Out: Research determination",IF($G156="N","Out: HTS not on scope list",IF($H156="Y","Out: HTS on exclusion list",IF($I156="N","Out: origin not on scope list",IF($J156="Y","Out: USMCA-qualifying, exempt","In: matches scope rules"))))))))</f>
        <v/>
      </c>
      <c r="N156" s="10">
        <f>IF(OR($A156="",$AM156=0),"",UPPER(TRIM(CLEAN(SUBSTITUTE(INDEX(scope_Group,MOD($AM156,1000))&amp;""," "," ")))))</f>
        <v/>
      </c>
      <c r="O156" s="10">
        <f>IF($L156&lt;&gt;"Y","",IF($AO156=0,"Default (B15)",UPPER(TRIM(CLEAN(SUBSTITUTE(INDEX(rate_ID,MOD($AO156,100))&amp;""," "," "))))))</f>
        <v/>
      </c>
      <c r="P156" s="10">
        <f>IF($L156&lt;&gt;"Y","",IF($AO156=0,IF(UPPER(TRIM(CLEAN(SUBSTITUTE(act_DefaultBase&amp;""," "," "))))="PART","PART","FULL"),IF(UPPER(TRIM(CLEAN(SUBSTITUTE(INDEX(rate_Base,MOD($AO156,100))&amp;""," "," "))))="PART","PART","FULL")))</f>
        <v/>
      </c>
      <c r="Q156" s="17">
        <f>IF($A156="","",N(Items!J156))</f>
        <v/>
      </c>
      <c r="R156" s="17">
        <f>IF($A156="","",IF($L156&lt;&gt;"Y",0,IF($AO156=0,N(act_Rate),N(INDEX(rate_Rate,MOD($AO156,100))))))</f>
        <v/>
      </c>
      <c r="S156" s="17">
        <f>IF($A156="","",IF($L156&lt;&gt;"Y",0,IF($AO156=0,IF(UPPER(TRIM(CLEAN(SUBSTITUTE(act_RateType&amp;""," "," "))))="REPLACE",N(act_PriorRate),0),IF(ISNUMBER(INDEX(rate_Prior,MOD($AO156,100))),INDEX(rate_Prior,MOD($AO156,100)),IF(UPPER(TRIM(CLEAN(SUBSTITUTE(act_RateType&amp;""," "," "))))="REPLACE",N(act_PriorRate),0)))))</f>
        <v/>
      </c>
      <c r="T156" s="17">
        <f>IF($A156="","",IF(AND($L156="Y",$P156="PART",ISNUMBER(Items!M156)),Items!M156,1))</f>
        <v/>
      </c>
      <c r="U156" s="17">
        <f>IF($A156="","",IF($L156&lt;&gt;"Y",0,IF($AQ156&gt;0,IF(ISNUMBER(INDEX(det_Displaced,$AQ156)),INDEX(det_Displaced,$AQ156),IF($AO156=0,0,N(INDEX(rate_Displaced,MOD($AO156,100))))),IF($AO156=0,0,N(INDEX(rate_Displaced,MOD($AO156,100)))))))</f>
        <v/>
      </c>
      <c r="V156" s="17">
        <f>IF($A156="","",IF($L156="Y",$Q156+$T156*($R156-$S156)-$U156,$Q156))</f>
        <v/>
      </c>
      <c r="W156" s="18">
        <f>IF($A156="","",N(Items!H156)*$Q156)</f>
        <v/>
      </c>
      <c r="X156" s="18">
        <f>IF($A156="","",N(Items!H156)*$V156)</f>
        <v/>
      </c>
      <c r="Y156" s="18">
        <f>IF($A156="","",$X156-$W156)</f>
        <v/>
      </c>
      <c r="Z156" s="18">
        <f>IF($A156="","",N(Items!K156)+$Y156)</f>
        <v/>
      </c>
      <c r="AA156" s="17">
        <f>IF($A156="","",IF(N(Items!L156)=0,"",(N(Items!L156)-N(Items!K156))/N(Items!L156)))</f>
        <v/>
      </c>
      <c r="AB156" s="17">
        <f>IF($A156="","",IF(N(Items!L156)=0,"",(N(Items!L156)-$Z156)/N(Items!L156)))</f>
        <v/>
      </c>
      <c r="AC156" s="17">
        <f>IF(OR($AA156="",$AB156=""),"",$AB156-$AA156)</f>
        <v/>
      </c>
      <c r="AD156" s="13">
        <f>IF($A156="","",N(Items!I156))</f>
        <v/>
      </c>
      <c r="AE156" s="19">
        <f>IF($A156="","",$Y156*$AD156)</f>
        <v/>
      </c>
      <c r="AF156" s="10">
        <f>IF($A156="","",IF(N(Items!L156)&gt;0,"Y","N"))</f>
        <v/>
      </c>
      <c r="AG156" s="19">
        <f>IF($A156="","",IF($AF156="Y",N(Items!L156)*$AD156,0))</f>
        <v/>
      </c>
      <c r="AH156" s="19">
        <f>IF($A156="","",IF($AF156="Y",(N(Items!L156)-N(Items!K156))*$AD156,0))</f>
        <v/>
      </c>
      <c r="AI156" s="19">
        <f>IF($A156="","",IF($AF156="Y",$AH156-$AE156,0))</f>
        <v/>
      </c>
      <c r="AJ156" s="10">
        <f>IF($A156="","",IF(COUNTIF($AL$5:$AL$254,$AL156)&gt;1,"CHECK: duplicate item and import country",IF(TRIM(CLEAN(SUBSTITUTE(Items!C156&amp;""," "," ")))="","CHECK: import country missing",IF(AND(UPPER(TRIM(CLEAN(SUBSTITUTE(Items!C156&amp;""," "," "))))&lt;&gt;"US",UPPER(TRIM(CLEAN(SUBSTITUTE(Items!C156&amp;""," "," "))))&lt;&gt;"CA",UPPER(TRIM(CLEAN(SUBSTITUTE(Items!C156&amp;""," "," "))))&lt;&gt;"MX"),"CHECK: import country must be US, CA or MX",IF(NOT(AND(LEN($C156)=10,IFERROR(TEXT(VALUE($C156),REPT("0",LEN($C156)))=$C156,FALSE))),"CHECK: HTS must be 10 digits",IF(LEN($E156)&lt;&gt;2,"CHECK: origin code missing or not 2 letters",IF(TRIM(CLEAN(SUBSTITUTE(Items!G156&amp;""," "," ")))="","CHECK: unit of measure missing",IF(OR(Items!H156="",Items!J156="",Items!K156=""),"CHECK: value, rate or cost missing",IF(OR(NOT(ISNUMBER(Items!H156)),NOT(ISNUMBER(Items!J156)),NOT(ISNUMBER(Items!K156)),AND(Items!I156&lt;&gt;"",NOT(ISNUMBER(Items!I156))),AND(Items!L156&lt;&gt;"",NOT(ISNUMBER(Items!L156))),AND(Items!M156&lt;&gt;"",NOT(ISNUMBER(Items!M156)))),"CHECK: text in a number column",IF(AND(ISNUMBER(Items!M156),OR(N(Items!M156)&lt;0,N(Items!M156)&gt;1)),"CHECK: dutiable share must be 0% to 100%",IF(AND(UPPER(TRIM(CLEAN(SUBSTITUTE(Items!F156&amp;""," "," "))))&lt;&gt;"",UPPER(TRIM(CLEAN(SUBSTITUTE(Items!F156&amp;""," "," "))))&lt;&gt;"Y",UPPER(TRIM(CLEAN(SUBSTITUTE(Items!F156&amp;""," "," "))))&lt;&gt;"N"),"CHECK: USMCA flag must be Y, N or blank",IF(AND(UPPER(TRIM(CLEAN(SUBSTITUTE(Items!F156&amp;""," "," "))))="Y",$E156&lt;&gt;"US",$E156&lt;&gt;"CA",$E156&lt;&gt;"MX"),"CHECK: USMCA flag on an origin other than US, CA or MX",IF(AND($L156="Y",$AO156=0,NOT(ISNUMBER(act_Rate))),"CHECK: in scope but no rate (add a rate line or B15)",IF(AND($L156="Y",UPPER(TRIM(CLEAN(SUBSTITUTE(act_RateType&amp;""," "," "))))="REPLACE",NOT(ISNUMBER(act_PriorRate)),IF($AO156=0,TRUE,NOT(ISNUMBER(INDEX(rate_Prior,MOD($AO156,100)))))),"CHECK: REPLACE but no earlier rate (B17 or the rate line's AD)",IF(AND($L156="Y",$AP156&gt;1),"CHECK: two rate lines match equally",IF(AND($L156="Y",$AN156&gt;1),"CHECK: HTS prefix listed twice on the scope list",IF(AND($L156="Y",$P156="PART",NOT(ISNUMBER(Items!M156))),"CHECK: dutiable share missing (PART base)",IF(AND($L156="Y",$P156="FULL",ISNUMBER(Items!M156),N(Items!M156)&lt;&gt;1),"CHECK: dutiable share entered, but the rate taxes the full value",IF(AND($L156="Y",$Q156+0.0000001&lt;$T156*$S156+$U156),"CHECK: current rate is below the duty being replaced or displaced",IF(AND($L156="Y",$AD156=0),"NOTE: in scope, no quantity",IF(AND($L156="Y",$AF156="N"),"NOTE: in scope, no sell price (left out of margin %)",IF(AND($L156="Y",N(Items!H156)&gt;N(Items!K156)),"NOTE: customs value above standard cost (check unit of measure)",IF(AND($L156="Y",$Q156&gt;1),"NOTE: current rate above 100% (check it was entered as a percentage)","OK")))))))))))))))))))))))</f>
        <v/>
      </c>
      <c r="AK156" s="20">
        <f>IF($A156="","",IF(AND($L156="Y",$AE156&lt;&gt;0),ABS($AE156)+ROW()/1000000000,""))</f>
        <v/>
      </c>
      <c r="AL156" s="10">
        <f>IF($A156="","",UPPER($A156)&amp;"/"&amp;UPPER(TRIM(CLEAN(SUBSTITUTE(Items!C156&amp;""," "," ")))))</f>
        <v/>
      </c>
      <c r="AM156" s="13">
        <f>IF($A156="",0,SUMPRODUCT(MAX((scope_HTS&lt;&gt;"")*(LEFT($C156,LEN(scope_HTS))=scope_HTS)*(LEN(scope_HTS)*1000+ROW(scope_HTS)-4))))</f>
        <v/>
      </c>
      <c r="AN156" s="13">
        <f>IF($AM156=0,0,SUMPRODUCT((scope_HTS&lt;&gt;"")*(LEFT($C156,LEN(scope_HTS))=scope_HTS)*(LEN(scope_HTS)=INT($AM156/1000))))</f>
        <v/>
      </c>
      <c r="AO156" s="13">
        <f>IF($L156&lt;&gt;"Y",0,SUMPRODUCT(MAX(ISNUMBER(rate_Rate)*((UPPER(TRIM(CLEAN(SUBSTITUTE(rate_Group&amp;""," "," "))))="")+(UPPER(TRIM(CLEAN(SUBSTITUTE(rate_Group&amp;""," "," "))))=$N156)&gt;0)*((UPPER(TRIM(CLEAN(SUBSTITUTE(rate_COO&amp;""," "," "))))="")+(UPPER(TRIM(CLEAN(SUBSTITUTE(rate_COO&amp;""," "," "))))=$E156)&gt;0)*((UPPER(TRIM(CLEAN(SUBSTITUTE(rate_USMCA&amp;""," "," "))))="")+(UPPER(TRIM(CLEAN(SUBSTITUTE(rate_USMCA&amp;""," "," "))))=IF(UPPER(TRIM(CLEAN(SUBSTITUTE(Items!F156&amp;""," "," "))))="Y","Y","N"))&gt;0)*((1+(UPPER(TRIM(CLEAN(SUBSTITUTE(rate_Group&amp;""," "," "))))&lt;&gt;"")+2*(UPPER(TRIM(CLEAN(SUBSTITUTE(rate_USMCA&amp;""," "," "))))&lt;&gt;"")+4*(UPPER(TRIM(CLEAN(SUBSTITUTE(rate_COO&amp;""," "," "))))&lt;&gt;""))*100+ROW(rate_Rate)-4))))</f>
        <v/>
      </c>
      <c r="AP156" s="13">
        <f>IF($AO156=0,0,SUMPRODUCT(ISNUMBER(rate_Rate)*((UPPER(TRIM(CLEAN(SUBSTITUTE(rate_Group&amp;""," "," "))))="")+(UPPER(TRIM(CLEAN(SUBSTITUTE(rate_Group&amp;""," "," "))))=$N156)&gt;0)*((UPPER(TRIM(CLEAN(SUBSTITUTE(rate_COO&amp;""," "," "))))="")+(UPPER(TRIM(CLEAN(SUBSTITUTE(rate_COO&amp;""," "," "))))=$E156)&gt;0)*((UPPER(TRIM(CLEAN(SUBSTITUTE(rate_USMCA&amp;""," "," "))))="")+(UPPER(TRIM(CLEAN(SUBSTITUTE(rate_USMCA&amp;""," "," "))))=IF(UPPER(TRIM(CLEAN(SUBSTITUTE(Items!F156&amp;""," "," "))))="Y","Y","N"))&gt;0)*((1+(UPPER(TRIM(CLEAN(SUBSTITUTE(rate_Group&amp;""," "," "))))&lt;&gt;"")+2*(UPPER(TRIM(CLEAN(SUBSTITUTE(rate_USMCA&amp;""," "," "))))&lt;&gt;"")+4*(UPPER(TRIM(CLEAN(SUBSTITUTE(rate_COO&amp;""," "," "))))&lt;&gt;""))=INT($AO156/100))))</f>
        <v/>
      </c>
      <c r="AQ156" s="13">
        <f>IF($A156="",0,IFERROR(MATCH($AL156,det_Key,0),0))</f>
        <v/>
      </c>
    </row>
    <row r="157">
      <c r="A157" s="10">
        <f>IF(TRIM(CLEAN(SUBSTITUTE(Items!A157&amp;""," "," ")))="","",TRIM(CLEAN(SUBSTITUTE(Items!A157&amp;""," "," "))))</f>
        <v/>
      </c>
      <c r="B157" s="10">
        <f>IF($A157="","",Items!B157&amp;"")</f>
        <v/>
      </c>
      <c r="C157" s="10">
        <f>IF($A157="","",SUBSTITUTE(SUBSTITUTE(SUBSTITUTE(SUBSTITUTE(CLEAN(Items!D157&amp;"")," ",""),".","")," ",""),"-",""))</f>
        <v/>
      </c>
      <c r="D157" s="10">
        <f>IF($A157="","",LEFT($C157,2))</f>
        <v/>
      </c>
      <c r="E157" s="10">
        <f>IF($A157="","",UPPER(TRIM(CLEAN(SUBSTITUTE(Items!E157&amp;""," "," ")))))</f>
        <v/>
      </c>
      <c r="F157" s="10">
        <f>IF($A157="","",IF(UPPER(TRIM(CLEAN(SUBSTITUTE(Items!C157&amp;""," "," "))))=UPPER(TRIM(CLEAN(SUBSTITUTE(act_Country&amp;""," "," ")))),"Y","N"))</f>
        <v/>
      </c>
      <c r="G157" s="10">
        <f>IF($A157="","",IF($AM157&gt;0,"Y","N"))</f>
        <v/>
      </c>
      <c r="H157" s="10">
        <f>IF($A157="","",IF(SUMPRODUCT((excl_HTS&lt;&gt;"")*(LEFT($C157,LEN(excl_HTS))=excl_HTS))&gt;0,"Y","N"))</f>
        <v/>
      </c>
      <c r="I157" s="10">
        <f>IF($A157="","",IF($E157="","N",IF(SUMPRODUCT(--(UPPER(TRIM(CLEAN(SUBSTITUTE(scope_COO&amp;""," "," "))))=$E157))&gt;0,"Y","N")))</f>
        <v/>
      </c>
      <c r="J157" s="10">
        <f>IF($A157="","",IF(AND(UPPER(TRIM(CLEAN(SUBSTITUTE(act_USMCAExempt&amp;""," "," "))))="Y",UPPER(TRIM(CLEAN(SUBSTITUTE(Items!F157&amp;""," "," "))))="Y"),"Y","N"))</f>
        <v/>
      </c>
      <c r="K157" s="10">
        <f>IF($A157="","",IF($AQ157=0,"",UPPER(TRIM(CLEAN(SUBSTITUTE(INDEX(det_Status,$AQ157)&amp;""," "," "))))))</f>
        <v/>
      </c>
      <c r="L157" s="10">
        <f>IF($A157="","",IF($F157="N","N",IF($K157="IN","Y",IF($K157="OUT","N",IF(AND($G157="Y",$H157="N",$I157="Y",$J157="N"),"Y","N")))))</f>
        <v/>
      </c>
      <c r="M157" s="10">
        <f>IF($A157="","",IF($F157="N","Out: different import country",IF($K157="IN","In: Research determination",IF($K157="OUT","Out: Research determination",IF($G157="N","Out: HTS not on scope list",IF($H157="Y","Out: HTS on exclusion list",IF($I157="N","Out: origin not on scope list",IF($J157="Y","Out: USMCA-qualifying, exempt","In: matches scope rules"))))))))</f>
        <v/>
      </c>
      <c r="N157" s="10">
        <f>IF(OR($A157="",$AM157=0),"",UPPER(TRIM(CLEAN(SUBSTITUTE(INDEX(scope_Group,MOD($AM157,1000))&amp;""," "," ")))))</f>
        <v/>
      </c>
      <c r="O157" s="10">
        <f>IF($L157&lt;&gt;"Y","",IF($AO157=0,"Default (B15)",UPPER(TRIM(CLEAN(SUBSTITUTE(INDEX(rate_ID,MOD($AO157,100))&amp;""," "," "))))))</f>
        <v/>
      </c>
      <c r="P157" s="10">
        <f>IF($L157&lt;&gt;"Y","",IF($AO157=0,IF(UPPER(TRIM(CLEAN(SUBSTITUTE(act_DefaultBase&amp;""," "," "))))="PART","PART","FULL"),IF(UPPER(TRIM(CLEAN(SUBSTITUTE(INDEX(rate_Base,MOD($AO157,100))&amp;""," "," "))))="PART","PART","FULL")))</f>
        <v/>
      </c>
      <c r="Q157" s="17">
        <f>IF($A157="","",N(Items!J157))</f>
        <v/>
      </c>
      <c r="R157" s="17">
        <f>IF($A157="","",IF($L157&lt;&gt;"Y",0,IF($AO157=0,N(act_Rate),N(INDEX(rate_Rate,MOD($AO157,100))))))</f>
        <v/>
      </c>
      <c r="S157" s="17">
        <f>IF($A157="","",IF($L157&lt;&gt;"Y",0,IF($AO157=0,IF(UPPER(TRIM(CLEAN(SUBSTITUTE(act_RateType&amp;""," "," "))))="REPLACE",N(act_PriorRate),0),IF(ISNUMBER(INDEX(rate_Prior,MOD($AO157,100))),INDEX(rate_Prior,MOD($AO157,100)),IF(UPPER(TRIM(CLEAN(SUBSTITUTE(act_RateType&amp;""," "," "))))="REPLACE",N(act_PriorRate),0)))))</f>
        <v/>
      </c>
      <c r="T157" s="17">
        <f>IF($A157="","",IF(AND($L157="Y",$P157="PART",ISNUMBER(Items!M157)),Items!M157,1))</f>
        <v/>
      </c>
      <c r="U157" s="17">
        <f>IF($A157="","",IF($L157&lt;&gt;"Y",0,IF($AQ157&gt;0,IF(ISNUMBER(INDEX(det_Displaced,$AQ157)),INDEX(det_Displaced,$AQ157),IF($AO157=0,0,N(INDEX(rate_Displaced,MOD($AO157,100))))),IF($AO157=0,0,N(INDEX(rate_Displaced,MOD($AO157,100)))))))</f>
        <v/>
      </c>
      <c r="V157" s="17">
        <f>IF($A157="","",IF($L157="Y",$Q157+$T157*($R157-$S157)-$U157,$Q157))</f>
        <v/>
      </c>
      <c r="W157" s="18">
        <f>IF($A157="","",N(Items!H157)*$Q157)</f>
        <v/>
      </c>
      <c r="X157" s="18">
        <f>IF($A157="","",N(Items!H157)*$V157)</f>
        <v/>
      </c>
      <c r="Y157" s="18">
        <f>IF($A157="","",$X157-$W157)</f>
        <v/>
      </c>
      <c r="Z157" s="18">
        <f>IF($A157="","",N(Items!K157)+$Y157)</f>
        <v/>
      </c>
      <c r="AA157" s="17">
        <f>IF($A157="","",IF(N(Items!L157)=0,"",(N(Items!L157)-N(Items!K157))/N(Items!L157)))</f>
        <v/>
      </c>
      <c r="AB157" s="17">
        <f>IF($A157="","",IF(N(Items!L157)=0,"",(N(Items!L157)-$Z157)/N(Items!L157)))</f>
        <v/>
      </c>
      <c r="AC157" s="17">
        <f>IF(OR($AA157="",$AB157=""),"",$AB157-$AA157)</f>
        <v/>
      </c>
      <c r="AD157" s="13">
        <f>IF($A157="","",N(Items!I157))</f>
        <v/>
      </c>
      <c r="AE157" s="19">
        <f>IF($A157="","",$Y157*$AD157)</f>
        <v/>
      </c>
      <c r="AF157" s="10">
        <f>IF($A157="","",IF(N(Items!L157)&gt;0,"Y","N"))</f>
        <v/>
      </c>
      <c r="AG157" s="19">
        <f>IF($A157="","",IF($AF157="Y",N(Items!L157)*$AD157,0))</f>
        <v/>
      </c>
      <c r="AH157" s="19">
        <f>IF($A157="","",IF($AF157="Y",(N(Items!L157)-N(Items!K157))*$AD157,0))</f>
        <v/>
      </c>
      <c r="AI157" s="19">
        <f>IF($A157="","",IF($AF157="Y",$AH157-$AE157,0))</f>
        <v/>
      </c>
      <c r="AJ157" s="10">
        <f>IF($A157="","",IF(COUNTIF($AL$5:$AL$254,$AL157)&gt;1,"CHECK: duplicate item and import country",IF(TRIM(CLEAN(SUBSTITUTE(Items!C157&amp;""," "," ")))="","CHECK: import country missing",IF(AND(UPPER(TRIM(CLEAN(SUBSTITUTE(Items!C157&amp;""," "," "))))&lt;&gt;"US",UPPER(TRIM(CLEAN(SUBSTITUTE(Items!C157&amp;""," "," "))))&lt;&gt;"CA",UPPER(TRIM(CLEAN(SUBSTITUTE(Items!C157&amp;""," "," "))))&lt;&gt;"MX"),"CHECK: import country must be US, CA or MX",IF(NOT(AND(LEN($C157)=10,IFERROR(TEXT(VALUE($C157),REPT("0",LEN($C157)))=$C157,FALSE))),"CHECK: HTS must be 10 digits",IF(LEN($E157)&lt;&gt;2,"CHECK: origin code missing or not 2 letters",IF(TRIM(CLEAN(SUBSTITUTE(Items!G157&amp;""," "," ")))="","CHECK: unit of measure missing",IF(OR(Items!H157="",Items!J157="",Items!K157=""),"CHECK: value, rate or cost missing",IF(OR(NOT(ISNUMBER(Items!H157)),NOT(ISNUMBER(Items!J157)),NOT(ISNUMBER(Items!K157)),AND(Items!I157&lt;&gt;"",NOT(ISNUMBER(Items!I157))),AND(Items!L157&lt;&gt;"",NOT(ISNUMBER(Items!L157))),AND(Items!M157&lt;&gt;"",NOT(ISNUMBER(Items!M157)))),"CHECK: text in a number column",IF(AND(ISNUMBER(Items!M157),OR(N(Items!M157)&lt;0,N(Items!M157)&gt;1)),"CHECK: dutiable share must be 0% to 100%",IF(AND(UPPER(TRIM(CLEAN(SUBSTITUTE(Items!F157&amp;""," "," "))))&lt;&gt;"",UPPER(TRIM(CLEAN(SUBSTITUTE(Items!F157&amp;""," "," "))))&lt;&gt;"Y",UPPER(TRIM(CLEAN(SUBSTITUTE(Items!F157&amp;""," "," "))))&lt;&gt;"N"),"CHECK: USMCA flag must be Y, N or blank",IF(AND(UPPER(TRIM(CLEAN(SUBSTITUTE(Items!F157&amp;""," "," "))))="Y",$E157&lt;&gt;"US",$E157&lt;&gt;"CA",$E157&lt;&gt;"MX"),"CHECK: USMCA flag on an origin other than US, CA or MX",IF(AND($L157="Y",$AO157=0,NOT(ISNUMBER(act_Rate))),"CHECK: in scope but no rate (add a rate line or B15)",IF(AND($L157="Y",UPPER(TRIM(CLEAN(SUBSTITUTE(act_RateType&amp;""," "," "))))="REPLACE",NOT(ISNUMBER(act_PriorRate)),IF($AO157=0,TRUE,NOT(ISNUMBER(INDEX(rate_Prior,MOD($AO157,100)))))),"CHECK: REPLACE but no earlier rate (B17 or the rate line's AD)",IF(AND($L157="Y",$AP157&gt;1),"CHECK: two rate lines match equally",IF(AND($L157="Y",$AN157&gt;1),"CHECK: HTS prefix listed twice on the scope list",IF(AND($L157="Y",$P157="PART",NOT(ISNUMBER(Items!M157))),"CHECK: dutiable share missing (PART base)",IF(AND($L157="Y",$P157="FULL",ISNUMBER(Items!M157),N(Items!M157)&lt;&gt;1),"CHECK: dutiable share entered, but the rate taxes the full value",IF(AND($L157="Y",$Q157+0.0000001&lt;$T157*$S157+$U157),"CHECK: current rate is below the duty being replaced or displaced",IF(AND($L157="Y",$AD157=0),"NOTE: in scope, no quantity",IF(AND($L157="Y",$AF157="N"),"NOTE: in scope, no sell price (left out of margin %)",IF(AND($L157="Y",N(Items!H157)&gt;N(Items!K157)),"NOTE: customs value above standard cost (check unit of measure)",IF(AND($L157="Y",$Q157&gt;1),"NOTE: current rate above 100% (check it was entered as a percentage)","OK")))))))))))))))))))))))</f>
        <v/>
      </c>
      <c r="AK157" s="20">
        <f>IF($A157="","",IF(AND($L157="Y",$AE157&lt;&gt;0),ABS($AE157)+ROW()/1000000000,""))</f>
        <v/>
      </c>
      <c r="AL157" s="10">
        <f>IF($A157="","",UPPER($A157)&amp;"/"&amp;UPPER(TRIM(CLEAN(SUBSTITUTE(Items!C157&amp;""," "," ")))))</f>
        <v/>
      </c>
      <c r="AM157" s="13">
        <f>IF($A157="",0,SUMPRODUCT(MAX((scope_HTS&lt;&gt;"")*(LEFT($C157,LEN(scope_HTS))=scope_HTS)*(LEN(scope_HTS)*1000+ROW(scope_HTS)-4))))</f>
        <v/>
      </c>
      <c r="AN157" s="13">
        <f>IF($AM157=0,0,SUMPRODUCT((scope_HTS&lt;&gt;"")*(LEFT($C157,LEN(scope_HTS))=scope_HTS)*(LEN(scope_HTS)=INT($AM157/1000))))</f>
        <v/>
      </c>
      <c r="AO157" s="13">
        <f>IF($L157&lt;&gt;"Y",0,SUMPRODUCT(MAX(ISNUMBER(rate_Rate)*((UPPER(TRIM(CLEAN(SUBSTITUTE(rate_Group&amp;""," "," "))))="")+(UPPER(TRIM(CLEAN(SUBSTITUTE(rate_Group&amp;""," "," "))))=$N157)&gt;0)*((UPPER(TRIM(CLEAN(SUBSTITUTE(rate_COO&amp;""," "," "))))="")+(UPPER(TRIM(CLEAN(SUBSTITUTE(rate_COO&amp;""," "," "))))=$E157)&gt;0)*((UPPER(TRIM(CLEAN(SUBSTITUTE(rate_USMCA&amp;""," "," "))))="")+(UPPER(TRIM(CLEAN(SUBSTITUTE(rate_USMCA&amp;""," "," "))))=IF(UPPER(TRIM(CLEAN(SUBSTITUTE(Items!F157&amp;""," "," "))))="Y","Y","N"))&gt;0)*((1+(UPPER(TRIM(CLEAN(SUBSTITUTE(rate_Group&amp;""," "," "))))&lt;&gt;"")+2*(UPPER(TRIM(CLEAN(SUBSTITUTE(rate_USMCA&amp;""," "," "))))&lt;&gt;"")+4*(UPPER(TRIM(CLEAN(SUBSTITUTE(rate_COO&amp;""," "," "))))&lt;&gt;""))*100+ROW(rate_Rate)-4))))</f>
        <v/>
      </c>
      <c r="AP157" s="13">
        <f>IF($AO157=0,0,SUMPRODUCT(ISNUMBER(rate_Rate)*((UPPER(TRIM(CLEAN(SUBSTITUTE(rate_Group&amp;""," "," "))))="")+(UPPER(TRIM(CLEAN(SUBSTITUTE(rate_Group&amp;""," "," "))))=$N157)&gt;0)*((UPPER(TRIM(CLEAN(SUBSTITUTE(rate_COO&amp;""," "," "))))="")+(UPPER(TRIM(CLEAN(SUBSTITUTE(rate_COO&amp;""," "," "))))=$E157)&gt;0)*((UPPER(TRIM(CLEAN(SUBSTITUTE(rate_USMCA&amp;""," "," "))))="")+(UPPER(TRIM(CLEAN(SUBSTITUTE(rate_USMCA&amp;""," "," "))))=IF(UPPER(TRIM(CLEAN(SUBSTITUTE(Items!F157&amp;""," "," "))))="Y","Y","N"))&gt;0)*((1+(UPPER(TRIM(CLEAN(SUBSTITUTE(rate_Group&amp;""," "," "))))&lt;&gt;"")+2*(UPPER(TRIM(CLEAN(SUBSTITUTE(rate_USMCA&amp;""," "," "))))&lt;&gt;"")+4*(UPPER(TRIM(CLEAN(SUBSTITUTE(rate_COO&amp;""," "," "))))&lt;&gt;""))=INT($AO157/100))))</f>
        <v/>
      </c>
      <c r="AQ157" s="13">
        <f>IF($A157="",0,IFERROR(MATCH($AL157,det_Key,0),0))</f>
        <v/>
      </c>
    </row>
    <row r="158">
      <c r="A158" s="10">
        <f>IF(TRIM(CLEAN(SUBSTITUTE(Items!A158&amp;""," "," ")))="","",TRIM(CLEAN(SUBSTITUTE(Items!A158&amp;""," "," "))))</f>
        <v/>
      </c>
      <c r="B158" s="10">
        <f>IF($A158="","",Items!B158&amp;"")</f>
        <v/>
      </c>
      <c r="C158" s="10">
        <f>IF($A158="","",SUBSTITUTE(SUBSTITUTE(SUBSTITUTE(SUBSTITUTE(CLEAN(Items!D158&amp;"")," ",""),".","")," ",""),"-",""))</f>
        <v/>
      </c>
      <c r="D158" s="10">
        <f>IF($A158="","",LEFT($C158,2))</f>
        <v/>
      </c>
      <c r="E158" s="10">
        <f>IF($A158="","",UPPER(TRIM(CLEAN(SUBSTITUTE(Items!E158&amp;""," "," ")))))</f>
        <v/>
      </c>
      <c r="F158" s="10">
        <f>IF($A158="","",IF(UPPER(TRIM(CLEAN(SUBSTITUTE(Items!C158&amp;""," "," "))))=UPPER(TRIM(CLEAN(SUBSTITUTE(act_Country&amp;""," "," ")))),"Y","N"))</f>
        <v/>
      </c>
      <c r="G158" s="10">
        <f>IF($A158="","",IF($AM158&gt;0,"Y","N"))</f>
        <v/>
      </c>
      <c r="H158" s="10">
        <f>IF($A158="","",IF(SUMPRODUCT((excl_HTS&lt;&gt;"")*(LEFT($C158,LEN(excl_HTS))=excl_HTS))&gt;0,"Y","N"))</f>
        <v/>
      </c>
      <c r="I158" s="10">
        <f>IF($A158="","",IF($E158="","N",IF(SUMPRODUCT(--(UPPER(TRIM(CLEAN(SUBSTITUTE(scope_COO&amp;""," "," "))))=$E158))&gt;0,"Y","N")))</f>
        <v/>
      </c>
      <c r="J158" s="10">
        <f>IF($A158="","",IF(AND(UPPER(TRIM(CLEAN(SUBSTITUTE(act_USMCAExempt&amp;""," "," "))))="Y",UPPER(TRIM(CLEAN(SUBSTITUTE(Items!F158&amp;""," "," "))))="Y"),"Y","N"))</f>
        <v/>
      </c>
      <c r="K158" s="10">
        <f>IF($A158="","",IF($AQ158=0,"",UPPER(TRIM(CLEAN(SUBSTITUTE(INDEX(det_Status,$AQ158)&amp;""," "," "))))))</f>
        <v/>
      </c>
      <c r="L158" s="10">
        <f>IF($A158="","",IF($F158="N","N",IF($K158="IN","Y",IF($K158="OUT","N",IF(AND($G158="Y",$H158="N",$I158="Y",$J158="N"),"Y","N")))))</f>
        <v/>
      </c>
      <c r="M158" s="10">
        <f>IF($A158="","",IF($F158="N","Out: different import country",IF($K158="IN","In: Research determination",IF($K158="OUT","Out: Research determination",IF($G158="N","Out: HTS not on scope list",IF($H158="Y","Out: HTS on exclusion list",IF($I158="N","Out: origin not on scope list",IF($J158="Y","Out: USMCA-qualifying, exempt","In: matches scope rules"))))))))</f>
        <v/>
      </c>
      <c r="N158" s="10">
        <f>IF(OR($A158="",$AM158=0),"",UPPER(TRIM(CLEAN(SUBSTITUTE(INDEX(scope_Group,MOD($AM158,1000))&amp;""," "," ")))))</f>
        <v/>
      </c>
      <c r="O158" s="10">
        <f>IF($L158&lt;&gt;"Y","",IF($AO158=0,"Default (B15)",UPPER(TRIM(CLEAN(SUBSTITUTE(INDEX(rate_ID,MOD($AO158,100))&amp;""," "," "))))))</f>
        <v/>
      </c>
      <c r="P158" s="10">
        <f>IF($L158&lt;&gt;"Y","",IF($AO158=0,IF(UPPER(TRIM(CLEAN(SUBSTITUTE(act_DefaultBase&amp;""," "," "))))="PART","PART","FULL"),IF(UPPER(TRIM(CLEAN(SUBSTITUTE(INDEX(rate_Base,MOD($AO158,100))&amp;""," "," "))))="PART","PART","FULL")))</f>
        <v/>
      </c>
      <c r="Q158" s="17">
        <f>IF($A158="","",N(Items!J158))</f>
        <v/>
      </c>
      <c r="R158" s="17">
        <f>IF($A158="","",IF($L158&lt;&gt;"Y",0,IF($AO158=0,N(act_Rate),N(INDEX(rate_Rate,MOD($AO158,100))))))</f>
        <v/>
      </c>
      <c r="S158" s="17">
        <f>IF($A158="","",IF($L158&lt;&gt;"Y",0,IF($AO158=0,IF(UPPER(TRIM(CLEAN(SUBSTITUTE(act_RateType&amp;""," "," "))))="REPLACE",N(act_PriorRate),0),IF(ISNUMBER(INDEX(rate_Prior,MOD($AO158,100))),INDEX(rate_Prior,MOD($AO158,100)),IF(UPPER(TRIM(CLEAN(SUBSTITUTE(act_RateType&amp;""," "," "))))="REPLACE",N(act_PriorRate),0)))))</f>
        <v/>
      </c>
      <c r="T158" s="17">
        <f>IF($A158="","",IF(AND($L158="Y",$P158="PART",ISNUMBER(Items!M158)),Items!M158,1))</f>
        <v/>
      </c>
      <c r="U158" s="17">
        <f>IF($A158="","",IF($L158&lt;&gt;"Y",0,IF($AQ158&gt;0,IF(ISNUMBER(INDEX(det_Displaced,$AQ158)),INDEX(det_Displaced,$AQ158),IF($AO158=0,0,N(INDEX(rate_Displaced,MOD($AO158,100))))),IF($AO158=0,0,N(INDEX(rate_Displaced,MOD($AO158,100)))))))</f>
        <v/>
      </c>
      <c r="V158" s="17">
        <f>IF($A158="","",IF($L158="Y",$Q158+$T158*($R158-$S158)-$U158,$Q158))</f>
        <v/>
      </c>
      <c r="W158" s="18">
        <f>IF($A158="","",N(Items!H158)*$Q158)</f>
        <v/>
      </c>
      <c r="X158" s="18">
        <f>IF($A158="","",N(Items!H158)*$V158)</f>
        <v/>
      </c>
      <c r="Y158" s="18">
        <f>IF($A158="","",$X158-$W158)</f>
        <v/>
      </c>
      <c r="Z158" s="18">
        <f>IF($A158="","",N(Items!K158)+$Y158)</f>
        <v/>
      </c>
      <c r="AA158" s="17">
        <f>IF($A158="","",IF(N(Items!L158)=0,"",(N(Items!L158)-N(Items!K158))/N(Items!L158)))</f>
        <v/>
      </c>
      <c r="AB158" s="17">
        <f>IF($A158="","",IF(N(Items!L158)=0,"",(N(Items!L158)-$Z158)/N(Items!L158)))</f>
        <v/>
      </c>
      <c r="AC158" s="17">
        <f>IF(OR($AA158="",$AB158=""),"",$AB158-$AA158)</f>
        <v/>
      </c>
      <c r="AD158" s="13">
        <f>IF($A158="","",N(Items!I158))</f>
        <v/>
      </c>
      <c r="AE158" s="19">
        <f>IF($A158="","",$Y158*$AD158)</f>
        <v/>
      </c>
      <c r="AF158" s="10">
        <f>IF($A158="","",IF(N(Items!L158)&gt;0,"Y","N"))</f>
        <v/>
      </c>
      <c r="AG158" s="19">
        <f>IF($A158="","",IF($AF158="Y",N(Items!L158)*$AD158,0))</f>
        <v/>
      </c>
      <c r="AH158" s="19">
        <f>IF($A158="","",IF($AF158="Y",(N(Items!L158)-N(Items!K158))*$AD158,0))</f>
        <v/>
      </c>
      <c r="AI158" s="19">
        <f>IF($A158="","",IF($AF158="Y",$AH158-$AE158,0))</f>
        <v/>
      </c>
      <c r="AJ158" s="10">
        <f>IF($A158="","",IF(COUNTIF($AL$5:$AL$254,$AL158)&gt;1,"CHECK: duplicate item and import country",IF(TRIM(CLEAN(SUBSTITUTE(Items!C158&amp;""," "," ")))="","CHECK: import country missing",IF(AND(UPPER(TRIM(CLEAN(SUBSTITUTE(Items!C158&amp;""," "," "))))&lt;&gt;"US",UPPER(TRIM(CLEAN(SUBSTITUTE(Items!C158&amp;""," "," "))))&lt;&gt;"CA",UPPER(TRIM(CLEAN(SUBSTITUTE(Items!C158&amp;""," "," "))))&lt;&gt;"MX"),"CHECK: import country must be US, CA or MX",IF(NOT(AND(LEN($C158)=10,IFERROR(TEXT(VALUE($C158),REPT("0",LEN($C158)))=$C158,FALSE))),"CHECK: HTS must be 10 digits",IF(LEN($E158)&lt;&gt;2,"CHECK: origin code missing or not 2 letters",IF(TRIM(CLEAN(SUBSTITUTE(Items!G158&amp;""," "," ")))="","CHECK: unit of measure missing",IF(OR(Items!H158="",Items!J158="",Items!K158=""),"CHECK: value, rate or cost missing",IF(OR(NOT(ISNUMBER(Items!H158)),NOT(ISNUMBER(Items!J158)),NOT(ISNUMBER(Items!K158)),AND(Items!I158&lt;&gt;"",NOT(ISNUMBER(Items!I158))),AND(Items!L158&lt;&gt;"",NOT(ISNUMBER(Items!L158))),AND(Items!M158&lt;&gt;"",NOT(ISNUMBER(Items!M158)))),"CHECK: text in a number column",IF(AND(ISNUMBER(Items!M158),OR(N(Items!M158)&lt;0,N(Items!M158)&gt;1)),"CHECK: dutiable share must be 0% to 100%",IF(AND(UPPER(TRIM(CLEAN(SUBSTITUTE(Items!F158&amp;""," "," "))))&lt;&gt;"",UPPER(TRIM(CLEAN(SUBSTITUTE(Items!F158&amp;""," "," "))))&lt;&gt;"Y",UPPER(TRIM(CLEAN(SUBSTITUTE(Items!F158&amp;""," "," "))))&lt;&gt;"N"),"CHECK: USMCA flag must be Y, N or blank",IF(AND(UPPER(TRIM(CLEAN(SUBSTITUTE(Items!F158&amp;""," "," "))))="Y",$E158&lt;&gt;"US",$E158&lt;&gt;"CA",$E158&lt;&gt;"MX"),"CHECK: USMCA flag on an origin other than US, CA or MX",IF(AND($L158="Y",$AO158=0,NOT(ISNUMBER(act_Rate))),"CHECK: in scope but no rate (add a rate line or B15)",IF(AND($L158="Y",UPPER(TRIM(CLEAN(SUBSTITUTE(act_RateType&amp;""," "," "))))="REPLACE",NOT(ISNUMBER(act_PriorRate)),IF($AO158=0,TRUE,NOT(ISNUMBER(INDEX(rate_Prior,MOD($AO158,100)))))),"CHECK: REPLACE but no earlier rate (B17 or the rate line's AD)",IF(AND($L158="Y",$AP158&gt;1),"CHECK: two rate lines match equally",IF(AND($L158="Y",$AN158&gt;1),"CHECK: HTS prefix listed twice on the scope list",IF(AND($L158="Y",$P158="PART",NOT(ISNUMBER(Items!M158))),"CHECK: dutiable share missing (PART base)",IF(AND($L158="Y",$P158="FULL",ISNUMBER(Items!M158),N(Items!M158)&lt;&gt;1),"CHECK: dutiable share entered, but the rate taxes the full value",IF(AND($L158="Y",$Q158+0.0000001&lt;$T158*$S158+$U158),"CHECK: current rate is below the duty being replaced or displaced",IF(AND($L158="Y",$AD158=0),"NOTE: in scope, no quantity",IF(AND($L158="Y",$AF158="N"),"NOTE: in scope, no sell price (left out of margin %)",IF(AND($L158="Y",N(Items!H158)&gt;N(Items!K158)),"NOTE: customs value above standard cost (check unit of measure)",IF(AND($L158="Y",$Q158&gt;1),"NOTE: current rate above 100% (check it was entered as a percentage)","OK")))))))))))))))))))))))</f>
        <v/>
      </c>
      <c r="AK158" s="20">
        <f>IF($A158="","",IF(AND($L158="Y",$AE158&lt;&gt;0),ABS($AE158)+ROW()/1000000000,""))</f>
        <v/>
      </c>
      <c r="AL158" s="10">
        <f>IF($A158="","",UPPER($A158)&amp;"/"&amp;UPPER(TRIM(CLEAN(SUBSTITUTE(Items!C158&amp;""," "," ")))))</f>
        <v/>
      </c>
      <c r="AM158" s="13">
        <f>IF($A158="",0,SUMPRODUCT(MAX((scope_HTS&lt;&gt;"")*(LEFT($C158,LEN(scope_HTS))=scope_HTS)*(LEN(scope_HTS)*1000+ROW(scope_HTS)-4))))</f>
        <v/>
      </c>
      <c r="AN158" s="13">
        <f>IF($AM158=0,0,SUMPRODUCT((scope_HTS&lt;&gt;"")*(LEFT($C158,LEN(scope_HTS))=scope_HTS)*(LEN(scope_HTS)=INT($AM158/1000))))</f>
        <v/>
      </c>
      <c r="AO158" s="13">
        <f>IF($L158&lt;&gt;"Y",0,SUMPRODUCT(MAX(ISNUMBER(rate_Rate)*((UPPER(TRIM(CLEAN(SUBSTITUTE(rate_Group&amp;""," "," "))))="")+(UPPER(TRIM(CLEAN(SUBSTITUTE(rate_Group&amp;""," "," "))))=$N158)&gt;0)*((UPPER(TRIM(CLEAN(SUBSTITUTE(rate_COO&amp;""," "," "))))="")+(UPPER(TRIM(CLEAN(SUBSTITUTE(rate_COO&amp;""," "," "))))=$E158)&gt;0)*((UPPER(TRIM(CLEAN(SUBSTITUTE(rate_USMCA&amp;""," "," "))))="")+(UPPER(TRIM(CLEAN(SUBSTITUTE(rate_USMCA&amp;""," "," "))))=IF(UPPER(TRIM(CLEAN(SUBSTITUTE(Items!F158&amp;""," "," "))))="Y","Y","N"))&gt;0)*((1+(UPPER(TRIM(CLEAN(SUBSTITUTE(rate_Group&amp;""," "," "))))&lt;&gt;"")+2*(UPPER(TRIM(CLEAN(SUBSTITUTE(rate_USMCA&amp;""," "," "))))&lt;&gt;"")+4*(UPPER(TRIM(CLEAN(SUBSTITUTE(rate_COO&amp;""," "," "))))&lt;&gt;""))*100+ROW(rate_Rate)-4))))</f>
        <v/>
      </c>
      <c r="AP158" s="13">
        <f>IF($AO158=0,0,SUMPRODUCT(ISNUMBER(rate_Rate)*((UPPER(TRIM(CLEAN(SUBSTITUTE(rate_Group&amp;""," "," "))))="")+(UPPER(TRIM(CLEAN(SUBSTITUTE(rate_Group&amp;""," "," "))))=$N158)&gt;0)*((UPPER(TRIM(CLEAN(SUBSTITUTE(rate_COO&amp;""," "," "))))="")+(UPPER(TRIM(CLEAN(SUBSTITUTE(rate_COO&amp;""," "," "))))=$E158)&gt;0)*((UPPER(TRIM(CLEAN(SUBSTITUTE(rate_USMCA&amp;""," "," "))))="")+(UPPER(TRIM(CLEAN(SUBSTITUTE(rate_USMCA&amp;""," "," "))))=IF(UPPER(TRIM(CLEAN(SUBSTITUTE(Items!F158&amp;""," "," "))))="Y","Y","N"))&gt;0)*((1+(UPPER(TRIM(CLEAN(SUBSTITUTE(rate_Group&amp;""," "," "))))&lt;&gt;"")+2*(UPPER(TRIM(CLEAN(SUBSTITUTE(rate_USMCA&amp;""," "," "))))&lt;&gt;"")+4*(UPPER(TRIM(CLEAN(SUBSTITUTE(rate_COO&amp;""," "," "))))&lt;&gt;""))=INT($AO158/100))))</f>
        <v/>
      </c>
      <c r="AQ158" s="13">
        <f>IF($A158="",0,IFERROR(MATCH($AL158,det_Key,0),0))</f>
        <v/>
      </c>
    </row>
    <row r="159">
      <c r="A159" s="10">
        <f>IF(TRIM(CLEAN(SUBSTITUTE(Items!A159&amp;""," "," ")))="","",TRIM(CLEAN(SUBSTITUTE(Items!A159&amp;""," "," "))))</f>
        <v/>
      </c>
      <c r="B159" s="10">
        <f>IF($A159="","",Items!B159&amp;"")</f>
        <v/>
      </c>
      <c r="C159" s="10">
        <f>IF($A159="","",SUBSTITUTE(SUBSTITUTE(SUBSTITUTE(SUBSTITUTE(CLEAN(Items!D159&amp;"")," ",""),".","")," ",""),"-",""))</f>
        <v/>
      </c>
      <c r="D159" s="10">
        <f>IF($A159="","",LEFT($C159,2))</f>
        <v/>
      </c>
      <c r="E159" s="10">
        <f>IF($A159="","",UPPER(TRIM(CLEAN(SUBSTITUTE(Items!E159&amp;""," "," ")))))</f>
        <v/>
      </c>
      <c r="F159" s="10">
        <f>IF($A159="","",IF(UPPER(TRIM(CLEAN(SUBSTITUTE(Items!C159&amp;""," "," "))))=UPPER(TRIM(CLEAN(SUBSTITUTE(act_Country&amp;""," "," ")))),"Y","N"))</f>
        <v/>
      </c>
      <c r="G159" s="10">
        <f>IF($A159="","",IF($AM159&gt;0,"Y","N"))</f>
        <v/>
      </c>
      <c r="H159" s="10">
        <f>IF($A159="","",IF(SUMPRODUCT((excl_HTS&lt;&gt;"")*(LEFT($C159,LEN(excl_HTS))=excl_HTS))&gt;0,"Y","N"))</f>
        <v/>
      </c>
      <c r="I159" s="10">
        <f>IF($A159="","",IF($E159="","N",IF(SUMPRODUCT(--(UPPER(TRIM(CLEAN(SUBSTITUTE(scope_COO&amp;""," "," "))))=$E159))&gt;0,"Y","N")))</f>
        <v/>
      </c>
      <c r="J159" s="10">
        <f>IF($A159="","",IF(AND(UPPER(TRIM(CLEAN(SUBSTITUTE(act_USMCAExempt&amp;""," "," "))))="Y",UPPER(TRIM(CLEAN(SUBSTITUTE(Items!F159&amp;""," "," "))))="Y"),"Y","N"))</f>
        <v/>
      </c>
      <c r="K159" s="10">
        <f>IF($A159="","",IF($AQ159=0,"",UPPER(TRIM(CLEAN(SUBSTITUTE(INDEX(det_Status,$AQ159)&amp;""," "," "))))))</f>
        <v/>
      </c>
      <c r="L159" s="10">
        <f>IF($A159="","",IF($F159="N","N",IF($K159="IN","Y",IF($K159="OUT","N",IF(AND($G159="Y",$H159="N",$I159="Y",$J159="N"),"Y","N")))))</f>
        <v/>
      </c>
      <c r="M159" s="10">
        <f>IF($A159="","",IF($F159="N","Out: different import country",IF($K159="IN","In: Research determination",IF($K159="OUT","Out: Research determination",IF($G159="N","Out: HTS not on scope list",IF($H159="Y","Out: HTS on exclusion list",IF($I159="N","Out: origin not on scope list",IF($J159="Y","Out: USMCA-qualifying, exempt","In: matches scope rules"))))))))</f>
        <v/>
      </c>
      <c r="N159" s="10">
        <f>IF(OR($A159="",$AM159=0),"",UPPER(TRIM(CLEAN(SUBSTITUTE(INDEX(scope_Group,MOD($AM159,1000))&amp;""," "," ")))))</f>
        <v/>
      </c>
      <c r="O159" s="10">
        <f>IF($L159&lt;&gt;"Y","",IF($AO159=0,"Default (B15)",UPPER(TRIM(CLEAN(SUBSTITUTE(INDEX(rate_ID,MOD($AO159,100))&amp;""," "," "))))))</f>
        <v/>
      </c>
      <c r="P159" s="10">
        <f>IF($L159&lt;&gt;"Y","",IF($AO159=0,IF(UPPER(TRIM(CLEAN(SUBSTITUTE(act_DefaultBase&amp;""," "," "))))="PART","PART","FULL"),IF(UPPER(TRIM(CLEAN(SUBSTITUTE(INDEX(rate_Base,MOD($AO159,100))&amp;""," "," "))))="PART","PART","FULL")))</f>
        <v/>
      </c>
      <c r="Q159" s="17">
        <f>IF($A159="","",N(Items!J159))</f>
        <v/>
      </c>
      <c r="R159" s="17">
        <f>IF($A159="","",IF($L159&lt;&gt;"Y",0,IF($AO159=0,N(act_Rate),N(INDEX(rate_Rate,MOD($AO159,100))))))</f>
        <v/>
      </c>
      <c r="S159" s="17">
        <f>IF($A159="","",IF($L159&lt;&gt;"Y",0,IF($AO159=0,IF(UPPER(TRIM(CLEAN(SUBSTITUTE(act_RateType&amp;""," "," "))))="REPLACE",N(act_PriorRate),0),IF(ISNUMBER(INDEX(rate_Prior,MOD($AO159,100))),INDEX(rate_Prior,MOD($AO159,100)),IF(UPPER(TRIM(CLEAN(SUBSTITUTE(act_RateType&amp;""," "," "))))="REPLACE",N(act_PriorRate),0)))))</f>
        <v/>
      </c>
      <c r="T159" s="17">
        <f>IF($A159="","",IF(AND($L159="Y",$P159="PART",ISNUMBER(Items!M159)),Items!M159,1))</f>
        <v/>
      </c>
      <c r="U159" s="17">
        <f>IF($A159="","",IF($L159&lt;&gt;"Y",0,IF($AQ159&gt;0,IF(ISNUMBER(INDEX(det_Displaced,$AQ159)),INDEX(det_Displaced,$AQ159),IF($AO159=0,0,N(INDEX(rate_Displaced,MOD($AO159,100))))),IF($AO159=0,0,N(INDEX(rate_Displaced,MOD($AO159,100)))))))</f>
        <v/>
      </c>
      <c r="V159" s="17">
        <f>IF($A159="","",IF($L159="Y",$Q159+$T159*($R159-$S159)-$U159,$Q159))</f>
        <v/>
      </c>
      <c r="W159" s="18">
        <f>IF($A159="","",N(Items!H159)*$Q159)</f>
        <v/>
      </c>
      <c r="X159" s="18">
        <f>IF($A159="","",N(Items!H159)*$V159)</f>
        <v/>
      </c>
      <c r="Y159" s="18">
        <f>IF($A159="","",$X159-$W159)</f>
        <v/>
      </c>
      <c r="Z159" s="18">
        <f>IF($A159="","",N(Items!K159)+$Y159)</f>
        <v/>
      </c>
      <c r="AA159" s="17">
        <f>IF($A159="","",IF(N(Items!L159)=0,"",(N(Items!L159)-N(Items!K159))/N(Items!L159)))</f>
        <v/>
      </c>
      <c r="AB159" s="17">
        <f>IF($A159="","",IF(N(Items!L159)=0,"",(N(Items!L159)-$Z159)/N(Items!L159)))</f>
        <v/>
      </c>
      <c r="AC159" s="17">
        <f>IF(OR($AA159="",$AB159=""),"",$AB159-$AA159)</f>
        <v/>
      </c>
      <c r="AD159" s="13">
        <f>IF($A159="","",N(Items!I159))</f>
        <v/>
      </c>
      <c r="AE159" s="19">
        <f>IF($A159="","",$Y159*$AD159)</f>
        <v/>
      </c>
      <c r="AF159" s="10">
        <f>IF($A159="","",IF(N(Items!L159)&gt;0,"Y","N"))</f>
        <v/>
      </c>
      <c r="AG159" s="19">
        <f>IF($A159="","",IF($AF159="Y",N(Items!L159)*$AD159,0))</f>
        <v/>
      </c>
      <c r="AH159" s="19">
        <f>IF($A159="","",IF($AF159="Y",(N(Items!L159)-N(Items!K159))*$AD159,0))</f>
        <v/>
      </c>
      <c r="AI159" s="19">
        <f>IF($A159="","",IF($AF159="Y",$AH159-$AE159,0))</f>
        <v/>
      </c>
      <c r="AJ159" s="10">
        <f>IF($A159="","",IF(COUNTIF($AL$5:$AL$254,$AL159)&gt;1,"CHECK: duplicate item and import country",IF(TRIM(CLEAN(SUBSTITUTE(Items!C159&amp;""," "," ")))="","CHECK: import country missing",IF(AND(UPPER(TRIM(CLEAN(SUBSTITUTE(Items!C159&amp;""," "," "))))&lt;&gt;"US",UPPER(TRIM(CLEAN(SUBSTITUTE(Items!C159&amp;""," "," "))))&lt;&gt;"CA",UPPER(TRIM(CLEAN(SUBSTITUTE(Items!C159&amp;""," "," "))))&lt;&gt;"MX"),"CHECK: import country must be US, CA or MX",IF(NOT(AND(LEN($C159)=10,IFERROR(TEXT(VALUE($C159),REPT("0",LEN($C159)))=$C159,FALSE))),"CHECK: HTS must be 10 digits",IF(LEN($E159)&lt;&gt;2,"CHECK: origin code missing or not 2 letters",IF(TRIM(CLEAN(SUBSTITUTE(Items!G159&amp;""," "," ")))="","CHECK: unit of measure missing",IF(OR(Items!H159="",Items!J159="",Items!K159=""),"CHECK: value, rate or cost missing",IF(OR(NOT(ISNUMBER(Items!H159)),NOT(ISNUMBER(Items!J159)),NOT(ISNUMBER(Items!K159)),AND(Items!I159&lt;&gt;"",NOT(ISNUMBER(Items!I159))),AND(Items!L159&lt;&gt;"",NOT(ISNUMBER(Items!L159))),AND(Items!M159&lt;&gt;"",NOT(ISNUMBER(Items!M159)))),"CHECK: text in a number column",IF(AND(ISNUMBER(Items!M159),OR(N(Items!M159)&lt;0,N(Items!M159)&gt;1)),"CHECK: dutiable share must be 0% to 100%",IF(AND(UPPER(TRIM(CLEAN(SUBSTITUTE(Items!F159&amp;""," "," "))))&lt;&gt;"",UPPER(TRIM(CLEAN(SUBSTITUTE(Items!F159&amp;""," "," "))))&lt;&gt;"Y",UPPER(TRIM(CLEAN(SUBSTITUTE(Items!F159&amp;""," "," "))))&lt;&gt;"N"),"CHECK: USMCA flag must be Y, N or blank",IF(AND(UPPER(TRIM(CLEAN(SUBSTITUTE(Items!F159&amp;""," "," "))))="Y",$E159&lt;&gt;"US",$E159&lt;&gt;"CA",$E159&lt;&gt;"MX"),"CHECK: USMCA flag on an origin other than US, CA or MX",IF(AND($L159="Y",$AO159=0,NOT(ISNUMBER(act_Rate))),"CHECK: in scope but no rate (add a rate line or B15)",IF(AND($L159="Y",UPPER(TRIM(CLEAN(SUBSTITUTE(act_RateType&amp;""," "," "))))="REPLACE",NOT(ISNUMBER(act_PriorRate)),IF($AO159=0,TRUE,NOT(ISNUMBER(INDEX(rate_Prior,MOD($AO159,100)))))),"CHECK: REPLACE but no earlier rate (B17 or the rate line's AD)",IF(AND($L159="Y",$AP159&gt;1),"CHECK: two rate lines match equally",IF(AND($L159="Y",$AN159&gt;1),"CHECK: HTS prefix listed twice on the scope list",IF(AND($L159="Y",$P159="PART",NOT(ISNUMBER(Items!M159))),"CHECK: dutiable share missing (PART base)",IF(AND($L159="Y",$P159="FULL",ISNUMBER(Items!M159),N(Items!M159)&lt;&gt;1),"CHECK: dutiable share entered, but the rate taxes the full value",IF(AND($L159="Y",$Q159+0.0000001&lt;$T159*$S159+$U159),"CHECK: current rate is below the duty being replaced or displaced",IF(AND($L159="Y",$AD159=0),"NOTE: in scope, no quantity",IF(AND($L159="Y",$AF159="N"),"NOTE: in scope, no sell price (left out of margin %)",IF(AND($L159="Y",N(Items!H159)&gt;N(Items!K159)),"NOTE: customs value above standard cost (check unit of measure)",IF(AND($L159="Y",$Q159&gt;1),"NOTE: current rate above 100% (check it was entered as a percentage)","OK")))))))))))))))))))))))</f>
        <v/>
      </c>
      <c r="AK159" s="20">
        <f>IF($A159="","",IF(AND($L159="Y",$AE159&lt;&gt;0),ABS($AE159)+ROW()/1000000000,""))</f>
        <v/>
      </c>
      <c r="AL159" s="10">
        <f>IF($A159="","",UPPER($A159)&amp;"/"&amp;UPPER(TRIM(CLEAN(SUBSTITUTE(Items!C159&amp;""," "," ")))))</f>
        <v/>
      </c>
      <c r="AM159" s="13">
        <f>IF($A159="",0,SUMPRODUCT(MAX((scope_HTS&lt;&gt;"")*(LEFT($C159,LEN(scope_HTS))=scope_HTS)*(LEN(scope_HTS)*1000+ROW(scope_HTS)-4))))</f>
        <v/>
      </c>
      <c r="AN159" s="13">
        <f>IF($AM159=0,0,SUMPRODUCT((scope_HTS&lt;&gt;"")*(LEFT($C159,LEN(scope_HTS))=scope_HTS)*(LEN(scope_HTS)=INT($AM159/1000))))</f>
        <v/>
      </c>
      <c r="AO159" s="13">
        <f>IF($L159&lt;&gt;"Y",0,SUMPRODUCT(MAX(ISNUMBER(rate_Rate)*((UPPER(TRIM(CLEAN(SUBSTITUTE(rate_Group&amp;""," "," "))))="")+(UPPER(TRIM(CLEAN(SUBSTITUTE(rate_Group&amp;""," "," "))))=$N159)&gt;0)*((UPPER(TRIM(CLEAN(SUBSTITUTE(rate_COO&amp;""," "," "))))="")+(UPPER(TRIM(CLEAN(SUBSTITUTE(rate_COO&amp;""," "," "))))=$E159)&gt;0)*((UPPER(TRIM(CLEAN(SUBSTITUTE(rate_USMCA&amp;""," "," "))))="")+(UPPER(TRIM(CLEAN(SUBSTITUTE(rate_USMCA&amp;""," "," "))))=IF(UPPER(TRIM(CLEAN(SUBSTITUTE(Items!F159&amp;""," "," "))))="Y","Y","N"))&gt;0)*((1+(UPPER(TRIM(CLEAN(SUBSTITUTE(rate_Group&amp;""," "," "))))&lt;&gt;"")+2*(UPPER(TRIM(CLEAN(SUBSTITUTE(rate_USMCA&amp;""," "," "))))&lt;&gt;"")+4*(UPPER(TRIM(CLEAN(SUBSTITUTE(rate_COO&amp;""," "," "))))&lt;&gt;""))*100+ROW(rate_Rate)-4))))</f>
        <v/>
      </c>
      <c r="AP159" s="13">
        <f>IF($AO159=0,0,SUMPRODUCT(ISNUMBER(rate_Rate)*((UPPER(TRIM(CLEAN(SUBSTITUTE(rate_Group&amp;""," "," "))))="")+(UPPER(TRIM(CLEAN(SUBSTITUTE(rate_Group&amp;""," "," "))))=$N159)&gt;0)*((UPPER(TRIM(CLEAN(SUBSTITUTE(rate_COO&amp;""," "," "))))="")+(UPPER(TRIM(CLEAN(SUBSTITUTE(rate_COO&amp;""," "," "))))=$E159)&gt;0)*((UPPER(TRIM(CLEAN(SUBSTITUTE(rate_USMCA&amp;""," "," "))))="")+(UPPER(TRIM(CLEAN(SUBSTITUTE(rate_USMCA&amp;""," "," "))))=IF(UPPER(TRIM(CLEAN(SUBSTITUTE(Items!F159&amp;""," "," "))))="Y","Y","N"))&gt;0)*((1+(UPPER(TRIM(CLEAN(SUBSTITUTE(rate_Group&amp;""," "," "))))&lt;&gt;"")+2*(UPPER(TRIM(CLEAN(SUBSTITUTE(rate_USMCA&amp;""," "," "))))&lt;&gt;"")+4*(UPPER(TRIM(CLEAN(SUBSTITUTE(rate_COO&amp;""," "," "))))&lt;&gt;""))=INT($AO159/100))))</f>
        <v/>
      </c>
      <c r="AQ159" s="13">
        <f>IF($A159="",0,IFERROR(MATCH($AL159,det_Key,0),0))</f>
        <v/>
      </c>
    </row>
    <row r="160">
      <c r="A160" s="10">
        <f>IF(TRIM(CLEAN(SUBSTITUTE(Items!A160&amp;""," "," ")))="","",TRIM(CLEAN(SUBSTITUTE(Items!A160&amp;""," "," "))))</f>
        <v/>
      </c>
      <c r="B160" s="10">
        <f>IF($A160="","",Items!B160&amp;"")</f>
        <v/>
      </c>
      <c r="C160" s="10">
        <f>IF($A160="","",SUBSTITUTE(SUBSTITUTE(SUBSTITUTE(SUBSTITUTE(CLEAN(Items!D160&amp;"")," ",""),".","")," ",""),"-",""))</f>
        <v/>
      </c>
      <c r="D160" s="10">
        <f>IF($A160="","",LEFT($C160,2))</f>
        <v/>
      </c>
      <c r="E160" s="10">
        <f>IF($A160="","",UPPER(TRIM(CLEAN(SUBSTITUTE(Items!E160&amp;""," "," ")))))</f>
        <v/>
      </c>
      <c r="F160" s="10">
        <f>IF($A160="","",IF(UPPER(TRIM(CLEAN(SUBSTITUTE(Items!C160&amp;""," "," "))))=UPPER(TRIM(CLEAN(SUBSTITUTE(act_Country&amp;""," "," ")))),"Y","N"))</f>
        <v/>
      </c>
      <c r="G160" s="10">
        <f>IF($A160="","",IF($AM160&gt;0,"Y","N"))</f>
        <v/>
      </c>
      <c r="H160" s="10">
        <f>IF($A160="","",IF(SUMPRODUCT((excl_HTS&lt;&gt;"")*(LEFT($C160,LEN(excl_HTS))=excl_HTS))&gt;0,"Y","N"))</f>
        <v/>
      </c>
      <c r="I160" s="10">
        <f>IF($A160="","",IF($E160="","N",IF(SUMPRODUCT(--(UPPER(TRIM(CLEAN(SUBSTITUTE(scope_COO&amp;""," "," "))))=$E160))&gt;0,"Y","N")))</f>
        <v/>
      </c>
      <c r="J160" s="10">
        <f>IF($A160="","",IF(AND(UPPER(TRIM(CLEAN(SUBSTITUTE(act_USMCAExempt&amp;""," "," "))))="Y",UPPER(TRIM(CLEAN(SUBSTITUTE(Items!F160&amp;""," "," "))))="Y"),"Y","N"))</f>
        <v/>
      </c>
      <c r="K160" s="10">
        <f>IF($A160="","",IF($AQ160=0,"",UPPER(TRIM(CLEAN(SUBSTITUTE(INDEX(det_Status,$AQ160)&amp;""," "," "))))))</f>
        <v/>
      </c>
      <c r="L160" s="10">
        <f>IF($A160="","",IF($F160="N","N",IF($K160="IN","Y",IF($K160="OUT","N",IF(AND($G160="Y",$H160="N",$I160="Y",$J160="N"),"Y","N")))))</f>
        <v/>
      </c>
      <c r="M160" s="10">
        <f>IF($A160="","",IF($F160="N","Out: different import country",IF($K160="IN","In: Research determination",IF($K160="OUT","Out: Research determination",IF($G160="N","Out: HTS not on scope list",IF($H160="Y","Out: HTS on exclusion list",IF($I160="N","Out: origin not on scope list",IF($J160="Y","Out: USMCA-qualifying, exempt","In: matches scope rules"))))))))</f>
        <v/>
      </c>
      <c r="N160" s="10">
        <f>IF(OR($A160="",$AM160=0),"",UPPER(TRIM(CLEAN(SUBSTITUTE(INDEX(scope_Group,MOD($AM160,1000))&amp;""," "," ")))))</f>
        <v/>
      </c>
      <c r="O160" s="10">
        <f>IF($L160&lt;&gt;"Y","",IF($AO160=0,"Default (B15)",UPPER(TRIM(CLEAN(SUBSTITUTE(INDEX(rate_ID,MOD($AO160,100))&amp;""," "," "))))))</f>
        <v/>
      </c>
      <c r="P160" s="10">
        <f>IF($L160&lt;&gt;"Y","",IF($AO160=0,IF(UPPER(TRIM(CLEAN(SUBSTITUTE(act_DefaultBase&amp;""," "," "))))="PART","PART","FULL"),IF(UPPER(TRIM(CLEAN(SUBSTITUTE(INDEX(rate_Base,MOD($AO160,100))&amp;""," "," "))))="PART","PART","FULL")))</f>
        <v/>
      </c>
      <c r="Q160" s="17">
        <f>IF($A160="","",N(Items!J160))</f>
        <v/>
      </c>
      <c r="R160" s="17">
        <f>IF($A160="","",IF($L160&lt;&gt;"Y",0,IF($AO160=0,N(act_Rate),N(INDEX(rate_Rate,MOD($AO160,100))))))</f>
        <v/>
      </c>
      <c r="S160" s="17">
        <f>IF($A160="","",IF($L160&lt;&gt;"Y",0,IF($AO160=0,IF(UPPER(TRIM(CLEAN(SUBSTITUTE(act_RateType&amp;""," "," "))))="REPLACE",N(act_PriorRate),0),IF(ISNUMBER(INDEX(rate_Prior,MOD($AO160,100))),INDEX(rate_Prior,MOD($AO160,100)),IF(UPPER(TRIM(CLEAN(SUBSTITUTE(act_RateType&amp;""," "," "))))="REPLACE",N(act_PriorRate),0)))))</f>
        <v/>
      </c>
      <c r="T160" s="17">
        <f>IF($A160="","",IF(AND($L160="Y",$P160="PART",ISNUMBER(Items!M160)),Items!M160,1))</f>
        <v/>
      </c>
      <c r="U160" s="17">
        <f>IF($A160="","",IF($L160&lt;&gt;"Y",0,IF($AQ160&gt;0,IF(ISNUMBER(INDEX(det_Displaced,$AQ160)),INDEX(det_Displaced,$AQ160),IF($AO160=0,0,N(INDEX(rate_Displaced,MOD($AO160,100))))),IF($AO160=0,0,N(INDEX(rate_Displaced,MOD($AO160,100)))))))</f>
        <v/>
      </c>
      <c r="V160" s="17">
        <f>IF($A160="","",IF($L160="Y",$Q160+$T160*($R160-$S160)-$U160,$Q160))</f>
        <v/>
      </c>
      <c r="W160" s="18">
        <f>IF($A160="","",N(Items!H160)*$Q160)</f>
        <v/>
      </c>
      <c r="X160" s="18">
        <f>IF($A160="","",N(Items!H160)*$V160)</f>
        <v/>
      </c>
      <c r="Y160" s="18">
        <f>IF($A160="","",$X160-$W160)</f>
        <v/>
      </c>
      <c r="Z160" s="18">
        <f>IF($A160="","",N(Items!K160)+$Y160)</f>
        <v/>
      </c>
      <c r="AA160" s="17">
        <f>IF($A160="","",IF(N(Items!L160)=0,"",(N(Items!L160)-N(Items!K160))/N(Items!L160)))</f>
        <v/>
      </c>
      <c r="AB160" s="17">
        <f>IF($A160="","",IF(N(Items!L160)=0,"",(N(Items!L160)-$Z160)/N(Items!L160)))</f>
        <v/>
      </c>
      <c r="AC160" s="17">
        <f>IF(OR($AA160="",$AB160=""),"",$AB160-$AA160)</f>
        <v/>
      </c>
      <c r="AD160" s="13">
        <f>IF($A160="","",N(Items!I160))</f>
        <v/>
      </c>
      <c r="AE160" s="19">
        <f>IF($A160="","",$Y160*$AD160)</f>
        <v/>
      </c>
      <c r="AF160" s="10">
        <f>IF($A160="","",IF(N(Items!L160)&gt;0,"Y","N"))</f>
        <v/>
      </c>
      <c r="AG160" s="19">
        <f>IF($A160="","",IF($AF160="Y",N(Items!L160)*$AD160,0))</f>
        <v/>
      </c>
      <c r="AH160" s="19">
        <f>IF($A160="","",IF($AF160="Y",(N(Items!L160)-N(Items!K160))*$AD160,0))</f>
        <v/>
      </c>
      <c r="AI160" s="19">
        <f>IF($A160="","",IF($AF160="Y",$AH160-$AE160,0))</f>
        <v/>
      </c>
      <c r="AJ160" s="10">
        <f>IF($A160="","",IF(COUNTIF($AL$5:$AL$254,$AL160)&gt;1,"CHECK: duplicate item and import country",IF(TRIM(CLEAN(SUBSTITUTE(Items!C160&amp;""," "," ")))="","CHECK: import country missing",IF(AND(UPPER(TRIM(CLEAN(SUBSTITUTE(Items!C160&amp;""," "," "))))&lt;&gt;"US",UPPER(TRIM(CLEAN(SUBSTITUTE(Items!C160&amp;""," "," "))))&lt;&gt;"CA",UPPER(TRIM(CLEAN(SUBSTITUTE(Items!C160&amp;""," "," "))))&lt;&gt;"MX"),"CHECK: import country must be US, CA or MX",IF(NOT(AND(LEN($C160)=10,IFERROR(TEXT(VALUE($C160),REPT("0",LEN($C160)))=$C160,FALSE))),"CHECK: HTS must be 10 digits",IF(LEN($E160)&lt;&gt;2,"CHECK: origin code missing or not 2 letters",IF(TRIM(CLEAN(SUBSTITUTE(Items!G160&amp;""," "," ")))="","CHECK: unit of measure missing",IF(OR(Items!H160="",Items!J160="",Items!K160=""),"CHECK: value, rate or cost missing",IF(OR(NOT(ISNUMBER(Items!H160)),NOT(ISNUMBER(Items!J160)),NOT(ISNUMBER(Items!K160)),AND(Items!I160&lt;&gt;"",NOT(ISNUMBER(Items!I160))),AND(Items!L160&lt;&gt;"",NOT(ISNUMBER(Items!L160))),AND(Items!M160&lt;&gt;"",NOT(ISNUMBER(Items!M160)))),"CHECK: text in a number column",IF(AND(ISNUMBER(Items!M160),OR(N(Items!M160)&lt;0,N(Items!M160)&gt;1)),"CHECK: dutiable share must be 0% to 100%",IF(AND(UPPER(TRIM(CLEAN(SUBSTITUTE(Items!F160&amp;""," "," "))))&lt;&gt;"",UPPER(TRIM(CLEAN(SUBSTITUTE(Items!F160&amp;""," "," "))))&lt;&gt;"Y",UPPER(TRIM(CLEAN(SUBSTITUTE(Items!F160&amp;""," "," "))))&lt;&gt;"N"),"CHECK: USMCA flag must be Y, N or blank",IF(AND(UPPER(TRIM(CLEAN(SUBSTITUTE(Items!F160&amp;""," "," "))))="Y",$E160&lt;&gt;"US",$E160&lt;&gt;"CA",$E160&lt;&gt;"MX"),"CHECK: USMCA flag on an origin other than US, CA or MX",IF(AND($L160="Y",$AO160=0,NOT(ISNUMBER(act_Rate))),"CHECK: in scope but no rate (add a rate line or B15)",IF(AND($L160="Y",UPPER(TRIM(CLEAN(SUBSTITUTE(act_RateType&amp;""," "," "))))="REPLACE",NOT(ISNUMBER(act_PriorRate)),IF($AO160=0,TRUE,NOT(ISNUMBER(INDEX(rate_Prior,MOD($AO160,100)))))),"CHECK: REPLACE but no earlier rate (B17 or the rate line's AD)",IF(AND($L160="Y",$AP160&gt;1),"CHECK: two rate lines match equally",IF(AND($L160="Y",$AN160&gt;1),"CHECK: HTS prefix listed twice on the scope list",IF(AND($L160="Y",$P160="PART",NOT(ISNUMBER(Items!M160))),"CHECK: dutiable share missing (PART base)",IF(AND($L160="Y",$P160="FULL",ISNUMBER(Items!M160),N(Items!M160)&lt;&gt;1),"CHECK: dutiable share entered, but the rate taxes the full value",IF(AND($L160="Y",$Q160+0.0000001&lt;$T160*$S160+$U160),"CHECK: current rate is below the duty being replaced or displaced",IF(AND($L160="Y",$AD160=0),"NOTE: in scope, no quantity",IF(AND($L160="Y",$AF160="N"),"NOTE: in scope, no sell price (left out of margin %)",IF(AND($L160="Y",N(Items!H160)&gt;N(Items!K160)),"NOTE: customs value above standard cost (check unit of measure)",IF(AND($L160="Y",$Q160&gt;1),"NOTE: current rate above 100% (check it was entered as a percentage)","OK")))))))))))))))))))))))</f>
        <v/>
      </c>
      <c r="AK160" s="20">
        <f>IF($A160="","",IF(AND($L160="Y",$AE160&lt;&gt;0),ABS($AE160)+ROW()/1000000000,""))</f>
        <v/>
      </c>
      <c r="AL160" s="10">
        <f>IF($A160="","",UPPER($A160)&amp;"/"&amp;UPPER(TRIM(CLEAN(SUBSTITUTE(Items!C160&amp;""," "," ")))))</f>
        <v/>
      </c>
      <c r="AM160" s="13">
        <f>IF($A160="",0,SUMPRODUCT(MAX((scope_HTS&lt;&gt;"")*(LEFT($C160,LEN(scope_HTS))=scope_HTS)*(LEN(scope_HTS)*1000+ROW(scope_HTS)-4))))</f>
        <v/>
      </c>
      <c r="AN160" s="13">
        <f>IF($AM160=0,0,SUMPRODUCT((scope_HTS&lt;&gt;"")*(LEFT($C160,LEN(scope_HTS))=scope_HTS)*(LEN(scope_HTS)=INT($AM160/1000))))</f>
        <v/>
      </c>
      <c r="AO160" s="13">
        <f>IF($L160&lt;&gt;"Y",0,SUMPRODUCT(MAX(ISNUMBER(rate_Rate)*((UPPER(TRIM(CLEAN(SUBSTITUTE(rate_Group&amp;""," "," "))))="")+(UPPER(TRIM(CLEAN(SUBSTITUTE(rate_Group&amp;""," "," "))))=$N160)&gt;0)*((UPPER(TRIM(CLEAN(SUBSTITUTE(rate_COO&amp;""," "," "))))="")+(UPPER(TRIM(CLEAN(SUBSTITUTE(rate_COO&amp;""," "," "))))=$E160)&gt;0)*((UPPER(TRIM(CLEAN(SUBSTITUTE(rate_USMCA&amp;""," "," "))))="")+(UPPER(TRIM(CLEAN(SUBSTITUTE(rate_USMCA&amp;""," "," "))))=IF(UPPER(TRIM(CLEAN(SUBSTITUTE(Items!F160&amp;""," "," "))))="Y","Y","N"))&gt;0)*((1+(UPPER(TRIM(CLEAN(SUBSTITUTE(rate_Group&amp;""," "," "))))&lt;&gt;"")+2*(UPPER(TRIM(CLEAN(SUBSTITUTE(rate_USMCA&amp;""," "," "))))&lt;&gt;"")+4*(UPPER(TRIM(CLEAN(SUBSTITUTE(rate_COO&amp;""," "," "))))&lt;&gt;""))*100+ROW(rate_Rate)-4))))</f>
        <v/>
      </c>
      <c r="AP160" s="13">
        <f>IF($AO160=0,0,SUMPRODUCT(ISNUMBER(rate_Rate)*((UPPER(TRIM(CLEAN(SUBSTITUTE(rate_Group&amp;""," "," "))))="")+(UPPER(TRIM(CLEAN(SUBSTITUTE(rate_Group&amp;""," "," "))))=$N160)&gt;0)*((UPPER(TRIM(CLEAN(SUBSTITUTE(rate_COO&amp;""," "," "))))="")+(UPPER(TRIM(CLEAN(SUBSTITUTE(rate_COO&amp;""," "," "))))=$E160)&gt;0)*((UPPER(TRIM(CLEAN(SUBSTITUTE(rate_USMCA&amp;""," "," "))))="")+(UPPER(TRIM(CLEAN(SUBSTITUTE(rate_USMCA&amp;""," "," "))))=IF(UPPER(TRIM(CLEAN(SUBSTITUTE(Items!F160&amp;""," "," "))))="Y","Y","N"))&gt;0)*((1+(UPPER(TRIM(CLEAN(SUBSTITUTE(rate_Group&amp;""," "," "))))&lt;&gt;"")+2*(UPPER(TRIM(CLEAN(SUBSTITUTE(rate_USMCA&amp;""," "," "))))&lt;&gt;"")+4*(UPPER(TRIM(CLEAN(SUBSTITUTE(rate_COO&amp;""," "," "))))&lt;&gt;""))=INT($AO160/100))))</f>
        <v/>
      </c>
      <c r="AQ160" s="13">
        <f>IF($A160="",0,IFERROR(MATCH($AL160,det_Key,0),0))</f>
        <v/>
      </c>
    </row>
    <row r="161">
      <c r="A161" s="10">
        <f>IF(TRIM(CLEAN(SUBSTITUTE(Items!A161&amp;""," "," ")))="","",TRIM(CLEAN(SUBSTITUTE(Items!A161&amp;""," "," "))))</f>
        <v/>
      </c>
      <c r="B161" s="10">
        <f>IF($A161="","",Items!B161&amp;"")</f>
        <v/>
      </c>
      <c r="C161" s="10">
        <f>IF($A161="","",SUBSTITUTE(SUBSTITUTE(SUBSTITUTE(SUBSTITUTE(CLEAN(Items!D161&amp;"")," ",""),".","")," ",""),"-",""))</f>
        <v/>
      </c>
      <c r="D161" s="10">
        <f>IF($A161="","",LEFT($C161,2))</f>
        <v/>
      </c>
      <c r="E161" s="10">
        <f>IF($A161="","",UPPER(TRIM(CLEAN(SUBSTITUTE(Items!E161&amp;""," "," ")))))</f>
        <v/>
      </c>
      <c r="F161" s="10">
        <f>IF($A161="","",IF(UPPER(TRIM(CLEAN(SUBSTITUTE(Items!C161&amp;""," "," "))))=UPPER(TRIM(CLEAN(SUBSTITUTE(act_Country&amp;""," "," ")))),"Y","N"))</f>
        <v/>
      </c>
      <c r="G161" s="10">
        <f>IF($A161="","",IF($AM161&gt;0,"Y","N"))</f>
        <v/>
      </c>
      <c r="H161" s="10">
        <f>IF($A161="","",IF(SUMPRODUCT((excl_HTS&lt;&gt;"")*(LEFT($C161,LEN(excl_HTS))=excl_HTS))&gt;0,"Y","N"))</f>
        <v/>
      </c>
      <c r="I161" s="10">
        <f>IF($A161="","",IF($E161="","N",IF(SUMPRODUCT(--(UPPER(TRIM(CLEAN(SUBSTITUTE(scope_COO&amp;""," "," "))))=$E161))&gt;0,"Y","N")))</f>
        <v/>
      </c>
      <c r="J161" s="10">
        <f>IF($A161="","",IF(AND(UPPER(TRIM(CLEAN(SUBSTITUTE(act_USMCAExempt&amp;""," "," "))))="Y",UPPER(TRIM(CLEAN(SUBSTITUTE(Items!F161&amp;""," "," "))))="Y"),"Y","N"))</f>
        <v/>
      </c>
      <c r="K161" s="10">
        <f>IF($A161="","",IF($AQ161=0,"",UPPER(TRIM(CLEAN(SUBSTITUTE(INDEX(det_Status,$AQ161)&amp;""," "," "))))))</f>
        <v/>
      </c>
      <c r="L161" s="10">
        <f>IF($A161="","",IF($F161="N","N",IF($K161="IN","Y",IF($K161="OUT","N",IF(AND($G161="Y",$H161="N",$I161="Y",$J161="N"),"Y","N")))))</f>
        <v/>
      </c>
      <c r="M161" s="10">
        <f>IF($A161="","",IF($F161="N","Out: different import country",IF($K161="IN","In: Research determination",IF($K161="OUT","Out: Research determination",IF($G161="N","Out: HTS not on scope list",IF($H161="Y","Out: HTS on exclusion list",IF($I161="N","Out: origin not on scope list",IF($J161="Y","Out: USMCA-qualifying, exempt","In: matches scope rules"))))))))</f>
        <v/>
      </c>
      <c r="N161" s="10">
        <f>IF(OR($A161="",$AM161=0),"",UPPER(TRIM(CLEAN(SUBSTITUTE(INDEX(scope_Group,MOD($AM161,1000))&amp;""," "," ")))))</f>
        <v/>
      </c>
      <c r="O161" s="10">
        <f>IF($L161&lt;&gt;"Y","",IF($AO161=0,"Default (B15)",UPPER(TRIM(CLEAN(SUBSTITUTE(INDEX(rate_ID,MOD($AO161,100))&amp;""," "," "))))))</f>
        <v/>
      </c>
      <c r="P161" s="10">
        <f>IF($L161&lt;&gt;"Y","",IF($AO161=0,IF(UPPER(TRIM(CLEAN(SUBSTITUTE(act_DefaultBase&amp;""," "," "))))="PART","PART","FULL"),IF(UPPER(TRIM(CLEAN(SUBSTITUTE(INDEX(rate_Base,MOD($AO161,100))&amp;""," "," "))))="PART","PART","FULL")))</f>
        <v/>
      </c>
      <c r="Q161" s="17">
        <f>IF($A161="","",N(Items!J161))</f>
        <v/>
      </c>
      <c r="R161" s="17">
        <f>IF($A161="","",IF($L161&lt;&gt;"Y",0,IF($AO161=0,N(act_Rate),N(INDEX(rate_Rate,MOD($AO161,100))))))</f>
        <v/>
      </c>
      <c r="S161" s="17">
        <f>IF($A161="","",IF($L161&lt;&gt;"Y",0,IF($AO161=0,IF(UPPER(TRIM(CLEAN(SUBSTITUTE(act_RateType&amp;""," "," "))))="REPLACE",N(act_PriorRate),0),IF(ISNUMBER(INDEX(rate_Prior,MOD($AO161,100))),INDEX(rate_Prior,MOD($AO161,100)),IF(UPPER(TRIM(CLEAN(SUBSTITUTE(act_RateType&amp;""," "," "))))="REPLACE",N(act_PriorRate),0)))))</f>
        <v/>
      </c>
      <c r="T161" s="17">
        <f>IF($A161="","",IF(AND($L161="Y",$P161="PART",ISNUMBER(Items!M161)),Items!M161,1))</f>
        <v/>
      </c>
      <c r="U161" s="17">
        <f>IF($A161="","",IF($L161&lt;&gt;"Y",0,IF($AQ161&gt;0,IF(ISNUMBER(INDEX(det_Displaced,$AQ161)),INDEX(det_Displaced,$AQ161),IF($AO161=0,0,N(INDEX(rate_Displaced,MOD($AO161,100))))),IF($AO161=0,0,N(INDEX(rate_Displaced,MOD($AO161,100)))))))</f>
        <v/>
      </c>
      <c r="V161" s="17">
        <f>IF($A161="","",IF($L161="Y",$Q161+$T161*($R161-$S161)-$U161,$Q161))</f>
        <v/>
      </c>
      <c r="W161" s="18">
        <f>IF($A161="","",N(Items!H161)*$Q161)</f>
        <v/>
      </c>
      <c r="X161" s="18">
        <f>IF($A161="","",N(Items!H161)*$V161)</f>
        <v/>
      </c>
      <c r="Y161" s="18">
        <f>IF($A161="","",$X161-$W161)</f>
        <v/>
      </c>
      <c r="Z161" s="18">
        <f>IF($A161="","",N(Items!K161)+$Y161)</f>
        <v/>
      </c>
      <c r="AA161" s="17">
        <f>IF($A161="","",IF(N(Items!L161)=0,"",(N(Items!L161)-N(Items!K161))/N(Items!L161)))</f>
        <v/>
      </c>
      <c r="AB161" s="17">
        <f>IF($A161="","",IF(N(Items!L161)=0,"",(N(Items!L161)-$Z161)/N(Items!L161)))</f>
        <v/>
      </c>
      <c r="AC161" s="17">
        <f>IF(OR($AA161="",$AB161=""),"",$AB161-$AA161)</f>
        <v/>
      </c>
      <c r="AD161" s="13">
        <f>IF($A161="","",N(Items!I161))</f>
        <v/>
      </c>
      <c r="AE161" s="19">
        <f>IF($A161="","",$Y161*$AD161)</f>
        <v/>
      </c>
      <c r="AF161" s="10">
        <f>IF($A161="","",IF(N(Items!L161)&gt;0,"Y","N"))</f>
        <v/>
      </c>
      <c r="AG161" s="19">
        <f>IF($A161="","",IF($AF161="Y",N(Items!L161)*$AD161,0))</f>
        <v/>
      </c>
      <c r="AH161" s="19">
        <f>IF($A161="","",IF($AF161="Y",(N(Items!L161)-N(Items!K161))*$AD161,0))</f>
        <v/>
      </c>
      <c r="AI161" s="19">
        <f>IF($A161="","",IF($AF161="Y",$AH161-$AE161,0))</f>
        <v/>
      </c>
      <c r="AJ161" s="10">
        <f>IF($A161="","",IF(COUNTIF($AL$5:$AL$254,$AL161)&gt;1,"CHECK: duplicate item and import country",IF(TRIM(CLEAN(SUBSTITUTE(Items!C161&amp;""," "," ")))="","CHECK: import country missing",IF(AND(UPPER(TRIM(CLEAN(SUBSTITUTE(Items!C161&amp;""," "," "))))&lt;&gt;"US",UPPER(TRIM(CLEAN(SUBSTITUTE(Items!C161&amp;""," "," "))))&lt;&gt;"CA",UPPER(TRIM(CLEAN(SUBSTITUTE(Items!C161&amp;""," "," "))))&lt;&gt;"MX"),"CHECK: import country must be US, CA or MX",IF(NOT(AND(LEN($C161)=10,IFERROR(TEXT(VALUE($C161),REPT("0",LEN($C161)))=$C161,FALSE))),"CHECK: HTS must be 10 digits",IF(LEN($E161)&lt;&gt;2,"CHECK: origin code missing or not 2 letters",IF(TRIM(CLEAN(SUBSTITUTE(Items!G161&amp;""," "," ")))="","CHECK: unit of measure missing",IF(OR(Items!H161="",Items!J161="",Items!K161=""),"CHECK: value, rate or cost missing",IF(OR(NOT(ISNUMBER(Items!H161)),NOT(ISNUMBER(Items!J161)),NOT(ISNUMBER(Items!K161)),AND(Items!I161&lt;&gt;"",NOT(ISNUMBER(Items!I161))),AND(Items!L161&lt;&gt;"",NOT(ISNUMBER(Items!L161))),AND(Items!M161&lt;&gt;"",NOT(ISNUMBER(Items!M161)))),"CHECK: text in a number column",IF(AND(ISNUMBER(Items!M161),OR(N(Items!M161)&lt;0,N(Items!M161)&gt;1)),"CHECK: dutiable share must be 0% to 100%",IF(AND(UPPER(TRIM(CLEAN(SUBSTITUTE(Items!F161&amp;""," "," "))))&lt;&gt;"",UPPER(TRIM(CLEAN(SUBSTITUTE(Items!F161&amp;""," "," "))))&lt;&gt;"Y",UPPER(TRIM(CLEAN(SUBSTITUTE(Items!F161&amp;""," "," "))))&lt;&gt;"N"),"CHECK: USMCA flag must be Y, N or blank",IF(AND(UPPER(TRIM(CLEAN(SUBSTITUTE(Items!F161&amp;""," "," "))))="Y",$E161&lt;&gt;"US",$E161&lt;&gt;"CA",$E161&lt;&gt;"MX"),"CHECK: USMCA flag on an origin other than US, CA or MX",IF(AND($L161="Y",$AO161=0,NOT(ISNUMBER(act_Rate))),"CHECK: in scope but no rate (add a rate line or B15)",IF(AND($L161="Y",UPPER(TRIM(CLEAN(SUBSTITUTE(act_RateType&amp;""," "," "))))="REPLACE",NOT(ISNUMBER(act_PriorRate)),IF($AO161=0,TRUE,NOT(ISNUMBER(INDEX(rate_Prior,MOD($AO161,100)))))),"CHECK: REPLACE but no earlier rate (B17 or the rate line's AD)",IF(AND($L161="Y",$AP161&gt;1),"CHECK: two rate lines match equally",IF(AND($L161="Y",$AN161&gt;1),"CHECK: HTS prefix listed twice on the scope list",IF(AND($L161="Y",$P161="PART",NOT(ISNUMBER(Items!M161))),"CHECK: dutiable share missing (PART base)",IF(AND($L161="Y",$P161="FULL",ISNUMBER(Items!M161),N(Items!M161)&lt;&gt;1),"CHECK: dutiable share entered, but the rate taxes the full value",IF(AND($L161="Y",$Q161+0.0000001&lt;$T161*$S161+$U161),"CHECK: current rate is below the duty being replaced or displaced",IF(AND($L161="Y",$AD161=0),"NOTE: in scope, no quantity",IF(AND($L161="Y",$AF161="N"),"NOTE: in scope, no sell price (left out of margin %)",IF(AND($L161="Y",N(Items!H161)&gt;N(Items!K161)),"NOTE: customs value above standard cost (check unit of measure)",IF(AND($L161="Y",$Q161&gt;1),"NOTE: current rate above 100% (check it was entered as a percentage)","OK")))))))))))))))))))))))</f>
        <v/>
      </c>
      <c r="AK161" s="20">
        <f>IF($A161="","",IF(AND($L161="Y",$AE161&lt;&gt;0),ABS($AE161)+ROW()/1000000000,""))</f>
        <v/>
      </c>
      <c r="AL161" s="10">
        <f>IF($A161="","",UPPER($A161)&amp;"/"&amp;UPPER(TRIM(CLEAN(SUBSTITUTE(Items!C161&amp;""," "," ")))))</f>
        <v/>
      </c>
      <c r="AM161" s="13">
        <f>IF($A161="",0,SUMPRODUCT(MAX((scope_HTS&lt;&gt;"")*(LEFT($C161,LEN(scope_HTS))=scope_HTS)*(LEN(scope_HTS)*1000+ROW(scope_HTS)-4))))</f>
        <v/>
      </c>
      <c r="AN161" s="13">
        <f>IF($AM161=0,0,SUMPRODUCT((scope_HTS&lt;&gt;"")*(LEFT($C161,LEN(scope_HTS))=scope_HTS)*(LEN(scope_HTS)=INT($AM161/1000))))</f>
        <v/>
      </c>
      <c r="AO161" s="13">
        <f>IF($L161&lt;&gt;"Y",0,SUMPRODUCT(MAX(ISNUMBER(rate_Rate)*((UPPER(TRIM(CLEAN(SUBSTITUTE(rate_Group&amp;""," "," "))))="")+(UPPER(TRIM(CLEAN(SUBSTITUTE(rate_Group&amp;""," "," "))))=$N161)&gt;0)*((UPPER(TRIM(CLEAN(SUBSTITUTE(rate_COO&amp;""," "," "))))="")+(UPPER(TRIM(CLEAN(SUBSTITUTE(rate_COO&amp;""," "," "))))=$E161)&gt;0)*((UPPER(TRIM(CLEAN(SUBSTITUTE(rate_USMCA&amp;""," "," "))))="")+(UPPER(TRIM(CLEAN(SUBSTITUTE(rate_USMCA&amp;""," "," "))))=IF(UPPER(TRIM(CLEAN(SUBSTITUTE(Items!F161&amp;""," "," "))))="Y","Y","N"))&gt;0)*((1+(UPPER(TRIM(CLEAN(SUBSTITUTE(rate_Group&amp;""," "," "))))&lt;&gt;"")+2*(UPPER(TRIM(CLEAN(SUBSTITUTE(rate_USMCA&amp;""," "," "))))&lt;&gt;"")+4*(UPPER(TRIM(CLEAN(SUBSTITUTE(rate_COO&amp;""," "," "))))&lt;&gt;""))*100+ROW(rate_Rate)-4))))</f>
        <v/>
      </c>
      <c r="AP161" s="13">
        <f>IF($AO161=0,0,SUMPRODUCT(ISNUMBER(rate_Rate)*((UPPER(TRIM(CLEAN(SUBSTITUTE(rate_Group&amp;""," "," "))))="")+(UPPER(TRIM(CLEAN(SUBSTITUTE(rate_Group&amp;""," "," "))))=$N161)&gt;0)*((UPPER(TRIM(CLEAN(SUBSTITUTE(rate_COO&amp;""," "," "))))="")+(UPPER(TRIM(CLEAN(SUBSTITUTE(rate_COO&amp;""," "," "))))=$E161)&gt;0)*((UPPER(TRIM(CLEAN(SUBSTITUTE(rate_USMCA&amp;""," "," "))))="")+(UPPER(TRIM(CLEAN(SUBSTITUTE(rate_USMCA&amp;""," "," "))))=IF(UPPER(TRIM(CLEAN(SUBSTITUTE(Items!F161&amp;""," "," "))))="Y","Y","N"))&gt;0)*((1+(UPPER(TRIM(CLEAN(SUBSTITUTE(rate_Group&amp;""," "," "))))&lt;&gt;"")+2*(UPPER(TRIM(CLEAN(SUBSTITUTE(rate_USMCA&amp;""," "," "))))&lt;&gt;"")+4*(UPPER(TRIM(CLEAN(SUBSTITUTE(rate_COO&amp;""," "," "))))&lt;&gt;""))=INT($AO161/100))))</f>
        <v/>
      </c>
      <c r="AQ161" s="13">
        <f>IF($A161="",0,IFERROR(MATCH($AL161,det_Key,0),0))</f>
        <v/>
      </c>
    </row>
    <row r="162">
      <c r="A162" s="10">
        <f>IF(TRIM(CLEAN(SUBSTITUTE(Items!A162&amp;""," "," ")))="","",TRIM(CLEAN(SUBSTITUTE(Items!A162&amp;""," "," "))))</f>
        <v/>
      </c>
      <c r="B162" s="10">
        <f>IF($A162="","",Items!B162&amp;"")</f>
        <v/>
      </c>
      <c r="C162" s="10">
        <f>IF($A162="","",SUBSTITUTE(SUBSTITUTE(SUBSTITUTE(SUBSTITUTE(CLEAN(Items!D162&amp;"")," ",""),".","")," ",""),"-",""))</f>
        <v/>
      </c>
      <c r="D162" s="10">
        <f>IF($A162="","",LEFT($C162,2))</f>
        <v/>
      </c>
      <c r="E162" s="10">
        <f>IF($A162="","",UPPER(TRIM(CLEAN(SUBSTITUTE(Items!E162&amp;""," "," ")))))</f>
        <v/>
      </c>
      <c r="F162" s="10">
        <f>IF($A162="","",IF(UPPER(TRIM(CLEAN(SUBSTITUTE(Items!C162&amp;""," "," "))))=UPPER(TRIM(CLEAN(SUBSTITUTE(act_Country&amp;""," "," ")))),"Y","N"))</f>
        <v/>
      </c>
      <c r="G162" s="10">
        <f>IF($A162="","",IF($AM162&gt;0,"Y","N"))</f>
        <v/>
      </c>
      <c r="H162" s="10">
        <f>IF($A162="","",IF(SUMPRODUCT((excl_HTS&lt;&gt;"")*(LEFT($C162,LEN(excl_HTS))=excl_HTS))&gt;0,"Y","N"))</f>
        <v/>
      </c>
      <c r="I162" s="10">
        <f>IF($A162="","",IF($E162="","N",IF(SUMPRODUCT(--(UPPER(TRIM(CLEAN(SUBSTITUTE(scope_COO&amp;""," "," "))))=$E162))&gt;0,"Y","N")))</f>
        <v/>
      </c>
      <c r="J162" s="10">
        <f>IF($A162="","",IF(AND(UPPER(TRIM(CLEAN(SUBSTITUTE(act_USMCAExempt&amp;""," "," "))))="Y",UPPER(TRIM(CLEAN(SUBSTITUTE(Items!F162&amp;""," "," "))))="Y"),"Y","N"))</f>
        <v/>
      </c>
      <c r="K162" s="10">
        <f>IF($A162="","",IF($AQ162=0,"",UPPER(TRIM(CLEAN(SUBSTITUTE(INDEX(det_Status,$AQ162)&amp;""," "," "))))))</f>
        <v/>
      </c>
      <c r="L162" s="10">
        <f>IF($A162="","",IF($F162="N","N",IF($K162="IN","Y",IF($K162="OUT","N",IF(AND($G162="Y",$H162="N",$I162="Y",$J162="N"),"Y","N")))))</f>
        <v/>
      </c>
      <c r="M162" s="10">
        <f>IF($A162="","",IF($F162="N","Out: different import country",IF($K162="IN","In: Research determination",IF($K162="OUT","Out: Research determination",IF($G162="N","Out: HTS not on scope list",IF($H162="Y","Out: HTS on exclusion list",IF($I162="N","Out: origin not on scope list",IF($J162="Y","Out: USMCA-qualifying, exempt","In: matches scope rules"))))))))</f>
        <v/>
      </c>
      <c r="N162" s="10">
        <f>IF(OR($A162="",$AM162=0),"",UPPER(TRIM(CLEAN(SUBSTITUTE(INDEX(scope_Group,MOD($AM162,1000))&amp;""," "," ")))))</f>
        <v/>
      </c>
      <c r="O162" s="10">
        <f>IF($L162&lt;&gt;"Y","",IF($AO162=0,"Default (B15)",UPPER(TRIM(CLEAN(SUBSTITUTE(INDEX(rate_ID,MOD($AO162,100))&amp;""," "," "))))))</f>
        <v/>
      </c>
      <c r="P162" s="10">
        <f>IF($L162&lt;&gt;"Y","",IF($AO162=0,IF(UPPER(TRIM(CLEAN(SUBSTITUTE(act_DefaultBase&amp;""," "," "))))="PART","PART","FULL"),IF(UPPER(TRIM(CLEAN(SUBSTITUTE(INDEX(rate_Base,MOD($AO162,100))&amp;""," "," "))))="PART","PART","FULL")))</f>
        <v/>
      </c>
      <c r="Q162" s="17">
        <f>IF($A162="","",N(Items!J162))</f>
        <v/>
      </c>
      <c r="R162" s="17">
        <f>IF($A162="","",IF($L162&lt;&gt;"Y",0,IF($AO162=0,N(act_Rate),N(INDEX(rate_Rate,MOD($AO162,100))))))</f>
        <v/>
      </c>
      <c r="S162" s="17">
        <f>IF($A162="","",IF($L162&lt;&gt;"Y",0,IF($AO162=0,IF(UPPER(TRIM(CLEAN(SUBSTITUTE(act_RateType&amp;""," "," "))))="REPLACE",N(act_PriorRate),0),IF(ISNUMBER(INDEX(rate_Prior,MOD($AO162,100))),INDEX(rate_Prior,MOD($AO162,100)),IF(UPPER(TRIM(CLEAN(SUBSTITUTE(act_RateType&amp;""," "," "))))="REPLACE",N(act_PriorRate),0)))))</f>
        <v/>
      </c>
      <c r="T162" s="17">
        <f>IF($A162="","",IF(AND($L162="Y",$P162="PART",ISNUMBER(Items!M162)),Items!M162,1))</f>
        <v/>
      </c>
      <c r="U162" s="17">
        <f>IF($A162="","",IF($L162&lt;&gt;"Y",0,IF($AQ162&gt;0,IF(ISNUMBER(INDEX(det_Displaced,$AQ162)),INDEX(det_Displaced,$AQ162),IF($AO162=0,0,N(INDEX(rate_Displaced,MOD($AO162,100))))),IF($AO162=0,0,N(INDEX(rate_Displaced,MOD($AO162,100)))))))</f>
        <v/>
      </c>
      <c r="V162" s="17">
        <f>IF($A162="","",IF($L162="Y",$Q162+$T162*($R162-$S162)-$U162,$Q162))</f>
        <v/>
      </c>
      <c r="W162" s="18">
        <f>IF($A162="","",N(Items!H162)*$Q162)</f>
        <v/>
      </c>
      <c r="X162" s="18">
        <f>IF($A162="","",N(Items!H162)*$V162)</f>
        <v/>
      </c>
      <c r="Y162" s="18">
        <f>IF($A162="","",$X162-$W162)</f>
        <v/>
      </c>
      <c r="Z162" s="18">
        <f>IF($A162="","",N(Items!K162)+$Y162)</f>
        <v/>
      </c>
      <c r="AA162" s="17">
        <f>IF($A162="","",IF(N(Items!L162)=0,"",(N(Items!L162)-N(Items!K162))/N(Items!L162)))</f>
        <v/>
      </c>
      <c r="AB162" s="17">
        <f>IF($A162="","",IF(N(Items!L162)=0,"",(N(Items!L162)-$Z162)/N(Items!L162)))</f>
        <v/>
      </c>
      <c r="AC162" s="17">
        <f>IF(OR($AA162="",$AB162=""),"",$AB162-$AA162)</f>
        <v/>
      </c>
      <c r="AD162" s="13">
        <f>IF($A162="","",N(Items!I162))</f>
        <v/>
      </c>
      <c r="AE162" s="19">
        <f>IF($A162="","",$Y162*$AD162)</f>
        <v/>
      </c>
      <c r="AF162" s="10">
        <f>IF($A162="","",IF(N(Items!L162)&gt;0,"Y","N"))</f>
        <v/>
      </c>
      <c r="AG162" s="19">
        <f>IF($A162="","",IF($AF162="Y",N(Items!L162)*$AD162,0))</f>
        <v/>
      </c>
      <c r="AH162" s="19">
        <f>IF($A162="","",IF($AF162="Y",(N(Items!L162)-N(Items!K162))*$AD162,0))</f>
        <v/>
      </c>
      <c r="AI162" s="19">
        <f>IF($A162="","",IF($AF162="Y",$AH162-$AE162,0))</f>
        <v/>
      </c>
      <c r="AJ162" s="10">
        <f>IF($A162="","",IF(COUNTIF($AL$5:$AL$254,$AL162)&gt;1,"CHECK: duplicate item and import country",IF(TRIM(CLEAN(SUBSTITUTE(Items!C162&amp;""," "," ")))="","CHECK: import country missing",IF(AND(UPPER(TRIM(CLEAN(SUBSTITUTE(Items!C162&amp;""," "," "))))&lt;&gt;"US",UPPER(TRIM(CLEAN(SUBSTITUTE(Items!C162&amp;""," "," "))))&lt;&gt;"CA",UPPER(TRIM(CLEAN(SUBSTITUTE(Items!C162&amp;""," "," "))))&lt;&gt;"MX"),"CHECK: import country must be US, CA or MX",IF(NOT(AND(LEN($C162)=10,IFERROR(TEXT(VALUE($C162),REPT("0",LEN($C162)))=$C162,FALSE))),"CHECK: HTS must be 10 digits",IF(LEN($E162)&lt;&gt;2,"CHECK: origin code missing or not 2 letters",IF(TRIM(CLEAN(SUBSTITUTE(Items!G162&amp;""," "," ")))="","CHECK: unit of measure missing",IF(OR(Items!H162="",Items!J162="",Items!K162=""),"CHECK: value, rate or cost missing",IF(OR(NOT(ISNUMBER(Items!H162)),NOT(ISNUMBER(Items!J162)),NOT(ISNUMBER(Items!K162)),AND(Items!I162&lt;&gt;"",NOT(ISNUMBER(Items!I162))),AND(Items!L162&lt;&gt;"",NOT(ISNUMBER(Items!L162))),AND(Items!M162&lt;&gt;"",NOT(ISNUMBER(Items!M162)))),"CHECK: text in a number column",IF(AND(ISNUMBER(Items!M162),OR(N(Items!M162)&lt;0,N(Items!M162)&gt;1)),"CHECK: dutiable share must be 0% to 100%",IF(AND(UPPER(TRIM(CLEAN(SUBSTITUTE(Items!F162&amp;""," "," "))))&lt;&gt;"",UPPER(TRIM(CLEAN(SUBSTITUTE(Items!F162&amp;""," "," "))))&lt;&gt;"Y",UPPER(TRIM(CLEAN(SUBSTITUTE(Items!F162&amp;""," "," "))))&lt;&gt;"N"),"CHECK: USMCA flag must be Y, N or blank",IF(AND(UPPER(TRIM(CLEAN(SUBSTITUTE(Items!F162&amp;""," "," "))))="Y",$E162&lt;&gt;"US",$E162&lt;&gt;"CA",$E162&lt;&gt;"MX"),"CHECK: USMCA flag on an origin other than US, CA or MX",IF(AND($L162="Y",$AO162=0,NOT(ISNUMBER(act_Rate))),"CHECK: in scope but no rate (add a rate line or B15)",IF(AND($L162="Y",UPPER(TRIM(CLEAN(SUBSTITUTE(act_RateType&amp;""," "," "))))="REPLACE",NOT(ISNUMBER(act_PriorRate)),IF($AO162=0,TRUE,NOT(ISNUMBER(INDEX(rate_Prior,MOD($AO162,100)))))),"CHECK: REPLACE but no earlier rate (B17 or the rate line's AD)",IF(AND($L162="Y",$AP162&gt;1),"CHECK: two rate lines match equally",IF(AND($L162="Y",$AN162&gt;1),"CHECK: HTS prefix listed twice on the scope list",IF(AND($L162="Y",$P162="PART",NOT(ISNUMBER(Items!M162))),"CHECK: dutiable share missing (PART base)",IF(AND($L162="Y",$P162="FULL",ISNUMBER(Items!M162),N(Items!M162)&lt;&gt;1),"CHECK: dutiable share entered, but the rate taxes the full value",IF(AND($L162="Y",$Q162+0.0000001&lt;$T162*$S162+$U162),"CHECK: current rate is below the duty being replaced or displaced",IF(AND($L162="Y",$AD162=0),"NOTE: in scope, no quantity",IF(AND($L162="Y",$AF162="N"),"NOTE: in scope, no sell price (left out of margin %)",IF(AND($L162="Y",N(Items!H162)&gt;N(Items!K162)),"NOTE: customs value above standard cost (check unit of measure)",IF(AND($L162="Y",$Q162&gt;1),"NOTE: current rate above 100% (check it was entered as a percentage)","OK")))))))))))))))))))))))</f>
        <v/>
      </c>
      <c r="AK162" s="20">
        <f>IF($A162="","",IF(AND($L162="Y",$AE162&lt;&gt;0),ABS($AE162)+ROW()/1000000000,""))</f>
        <v/>
      </c>
      <c r="AL162" s="10">
        <f>IF($A162="","",UPPER($A162)&amp;"/"&amp;UPPER(TRIM(CLEAN(SUBSTITUTE(Items!C162&amp;""," "," ")))))</f>
        <v/>
      </c>
      <c r="AM162" s="13">
        <f>IF($A162="",0,SUMPRODUCT(MAX((scope_HTS&lt;&gt;"")*(LEFT($C162,LEN(scope_HTS))=scope_HTS)*(LEN(scope_HTS)*1000+ROW(scope_HTS)-4))))</f>
        <v/>
      </c>
      <c r="AN162" s="13">
        <f>IF($AM162=0,0,SUMPRODUCT((scope_HTS&lt;&gt;"")*(LEFT($C162,LEN(scope_HTS))=scope_HTS)*(LEN(scope_HTS)=INT($AM162/1000))))</f>
        <v/>
      </c>
      <c r="AO162" s="13">
        <f>IF($L162&lt;&gt;"Y",0,SUMPRODUCT(MAX(ISNUMBER(rate_Rate)*((UPPER(TRIM(CLEAN(SUBSTITUTE(rate_Group&amp;""," "," "))))="")+(UPPER(TRIM(CLEAN(SUBSTITUTE(rate_Group&amp;""," "," "))))=$N162)&gt;0)*((UPPER(TRIM(CLEAN(SUBSTITUTE(rate_COO&amp;""," "," "))))="")+(UPPER(TRIM(CLEAN(SUBSTITUTE(rate_COO&amp;""," "," "))))=$E162)&gt;0)*((UPPER(TRIM(CLEAN(SUBSTITUTE(rate_USMCA&amp;""," "," "))))="")+(UPPER(TRIM(CLEAN(SUBSTITUTE(rate_USMCA&amp;""," "," "))))=IF(UPPER(TRIM(CLEAN(SUBSTITUTE(Items!F162&amp;""," "," "))))="Y","Y","N"))&gt;0)*((1+(UPPER(TRIM(CLEAN(SUBSTITUTE(rate_Group&amp;""," "," "))))&lt;&gt;"")+2*(UPPER(TRIM(CLEAN(SUBSTITUTE(rate_USMCA&amp;""," "," "))))&lt;&gt;"")+4*(UPPER(TRIM(CLEAN(SUBSTITUTE(rate_COO&amp;""," "," "))))&lt;&gt;""))*100+ROW(rate_Rate)-4))))</f>
        <v/>
      </c>
      <c r="AP162" s="13">
        <f>IF($AO162=0,0,SUMPRODUCT(ISNUMBER(rate_Rate)*((UPPER(TRIM(CLEAN(SUBSTITUTE(rate_Group&amp;""," "," "))))="")+(UPPER(TRIM(CLEAN(SUBSTITUTE(rate_Group&amp;""," "," "))))=$N162)&gt;0)*((UPPER(TRIM(CLEAN(SUBSTITUTE(rate_COO&amp;""," "," "))))="")+(UPPER(TRIM(CLEAN(SUBSTITUTE(rate_COO&amp;""," "," "))))=$E162)&gt;0)*((UPPER(TRIM(CLEAN(SUBSTITUTE(rate_USMCA&amp;""," "," "))))="")+(UPPER(TRIM(CLEAN(SUBSTITUTE(rate_USMCA&amp;""," "," "))))=IF(UPPER(TRIM(CLEAN(SUBSTITUTE(Items!F162&amp;""," "," "))))="Y","Y","N"))&gt;0)*((1+(UPPER(TRIM(CLEAN(SUBSTITUTE(rate_Group&amp;""," "," "))))&lt;&gt;"")+2*(UPPER(TRIM(CLEAN(SUBSTITUTE(rate_USMCA&amp;""," "," "))))&lt;&gt;"")+4*(UPPER(TRIM(CLEAN(SUBSTITUTE(rate_COO&amp;""," "," "))))&lt;&gt;""))=INT($AO162/100))))</f>
        <v/>
      </c>
      <c r="AQ162" s="13">
        <f>IF($A162="",0,IFERROR(MATCH($AL162,det_Key,0),0))</f>
        <v/>
      </c>
    </row>
    <row r="163">
      <c r="A163" s="10">
        <f>IF(TRIM(CLEAN(SUBSTITUTE(Items!A163&amp;""," "," ")))="","",TRIM(CLEAN(SUBSTITUTE(Items!A163&amp;""," "," "))))</f>
        <v/>
      </c>
      <c r="B163" s="10">
        <f>IF($A163="","",Items!B163&amp;"")</f>
        <v/>
      </c>
      <c r="C163" s="10">
        <f>IF($A163="","",SUBSTITUTE(SUBSTITUTE(SUBSTITUTE(SUBSTITUTE(CLEAN(Items!D163&amp;"")," ",""),".","")," ",""),"-",""))</f>
        <v/>
      </c>
      <c r="D163" s="10">
        <f>IF($A163="","",LEFT($C163,2))</f>
        <v/>
      </c>
      <c r="E163" s="10">
        <f>IF($A163="","",UPPER(TRIM(CLEAN(SUBSTITUTE(Items!E163&amp;""," "," ")))))</f>
        <v/>
      </c>
      <c r="F163" s="10">
        <f>IF($A163="","",IF(UPPER(TRIM(CLEAN(SUBSTITUTE(Items!C163&amp;""," "," "))))=UPPER(TRIM(CLEAN(SUBSTITUTE(act_Country&amp;""," "," ")))),"Y","N"))</f>
        <v/>
      </c>
      <c r="G163" s="10">
        <f>IF($A163="","",IF($AM163&gt;0,"Y","N"))</f>
        <v/>
      </c>
      <c r="H163" s="10">
        <f>IF($A163="","",IF(SUMPRODUCT((excl_HTS&lt;&gt;"")*(LEFT($C163,LEN(excl_HTS))=excl_HTS))&gt;0,"Y","N"))</f>
        <v/>
      </c>
      <c r="I163" s="10">
        <f>IF($A163="","",IF($E163="","N",IF(SUMPRODUCT(--(UPPER(TRIM(CLEAN(SUBSTITUTE(scope_COO&amp;""," "," "))))=$E163))&gt;0,"Y","N")))</f>
        <v/>
      </c>
      <c r="J163" s="10">
        <f>IF($A163="","",IF(AND(UPPER(TRIM(CLEAN(SUBSTITUTE(act_USMCAExempt&amp;""," "," "))))="Y",UPPER(TRIM(CLEAN(SUBSTITUTE(Items!F163&amp;""," "," "))))="Y"),"Y","N"))</f>
        <v/>
      </c>
      <c r="K163" s="10">
        <f>IF($A163="","",IF($AQ163=0,"",UPPER(TRIM(CLEAN(SUBSTITUTE(INDEX(det_Status,$AQ163)&amp;""," "," "))))))</f>
        <v/>
      </c>
      <c r="L163" s="10">
        <f>IF($A163="","",IF($F163="N","N",IF($K163="IN","Y",IF($K163="OUT","N",IF(AND($G163="Y",$H163="N",$I163="Y",$J163="N"),"Y","N")))))</f>
        <v/>
      </c>
      <c r="M163" s="10">
        <f>IF($A163="","",IF($F163="N","Out: different import country",IF($K163="IN","In: Research determination",IF($K163="OUT","Out: Research determination",IF($G163="N","Out: HTS not on scope list",IF($H163="Y","Out: HTS on exclusion list",IF($I163="N","Out: origin not on scope list",IF($J163="Y","Out: USMCA-qualifying, exempt","In: matches scope rules"))))))))</f>
        <v/>
      </c>
      <c r="N163" s="10">
        <f>IF(OR($A163="",$AM163=0),"",UPPER(TRIM(CLEAN(SUBSTITUTE(INDEX(scope_Group,MOD($AM163,1000))&amp;""," "," ")))))</f>
        <v/>
      </c>
      <c r="O163" s="10">
        <f>IF($L163&lt;&gt;"Y","",IF($AO163=0,"Default (B15)",UPPER(TRIM(CLEAN(SUBSTITUTE(INDEX(rate_ID,MOD($AO163,100))&amp;""," "," "))))))</f>
        <v/>
      </c>
      <c r="P163" s="10">
        <f>IF($L163&lt;&gt;"Y","",IF($AO163=0,IF(UPPER(TRIM(CLEAN(SUBSTITUTE(act_DefaultBase&amp;""," "," "))))="PART","PART","FULL"),IF(UPPER(TRIM(CLEAN(SUBSTITUTE(INDEX(rate_Base,MOD($AO163,100))&amp;""," "," "))))="PART","PART","FULL")))</f>
        <v/>
      </c>
      <c r="Q163" s="17">
        <f>IF($A163="","",N(Items!J163))</f>
        <v/>
      </c>
      <c r="R163" s="17">
        <f>IF($A163="","",IF($L163&lt;&gt;"Y",0,IF($AO163=0,N(act_Rate),N(INDEX(rate_Rate,MOD($AO163,100))))))</f>
        <v/>
      </c>
      <c r="S163" s="17">
        <f>IF($A163="","",IF($L163&lt;&gt;"Y",0,IF($AO163=0,IF(UPPER(TRIM(CLEAN(SUBSTITUTE(act_RateType&amp;""," "," "))))="REPLACE",N(act_PriorRate),0),IF(ISNUMBER(INDEX(rate_Prior,MOD($AO163,100))),INDEX(rate_Prior,MOD($AO163,100)),IF(UPPER(TRIM(CLEAN(SUBSTITUTE(act_RateType&amp;""," "," "))))="REPLACE",N(act_PriorRate),0)))))</f>
        <v/>
      </c>
      <c r="T163" s="17">
        <f>IF($A163="","",IF(AND($L163="Y",$P163="PART",ISNUMBER(Items!M163)),Items!M163,1))</f>
        <v/>
      </c>
      <c r="U163" s="17">
        <f>IF($A163="","",IF($L163&lt;&gt;"Y",0,IF($AQ163&gt;0,IF(ISNUMBER(INDEX(det_Displaced,$AQ163)),INDEX(det_Displaced,$AQ163),IF($AO163=0,0,N(INDEX(rate_Displaced,MOD($AO163,100))))),IF($AO163=0,0,N(INDEX(rate_Displaced,MOD($AO163,100)))))))</f>
        <v/>
      </c>
      <c r="V163" s="17">
        <f>IF($A163="","",IF($L163="Y",$Q163+$T163*($R163-$S163)-$U163,$Q163))</f>
        <v/>
      </c>
      <c r="W163" s="18">
        <f>IF($A163="","",N(Items!H163)*$Q163)</f>
        <v/>
      </c>
      <c r="X163" s="18">
        <f>IF($A163="","",N(Items!H163)*$V163)</f>
        <v/>
      </c>
      <c r="Y163" s="18">
        <f>IF($A163="","",$X163-$W163)</f>
        <v/>
      </c>
      <c r="Z163" s="18">
        <f>IF($A163="","",N(Items!K163)+$Y163)</f>
        <v/>
      </c>
      <c r="AA163" s="17">
        <f>IF($A163="","",IF(N(Items!L163)=0,"",(N(Items!L163)-N(Items!K163))/N(Items!L163)))</f>
        <v/>
      </c>
      <c r="AB163" s="17">
        <f>IF($A163="","",IF(N(Items!L163)=0,"",(N(Items!L163)-$Z163)/N(Items!L163)))</f>
        <v/>
      </c>
      <c r="AC163" s="17">
        <f>IF(OR($AA163="",$AB163=""),"",$AB163-$AA163)</f>
        <v/>
      </c>
      <c r="AD163" s="13">
        <f>IF($A163="","",N(Items!I163))</f>
        <v/>
      </c>
      <c r="AE163" s="19">
        <f>IF($A163="","",$Y163*$AD163)</f>
        <v/>
      </c>
      <c r="AF163" s="10">
        <f>IF($A163="","",IF(N(Items!L163)&gt;0,"Y","N"))</f>
        <v/>
      </c>
      <c r="AG163" s="19">
        <f>IF($A163="","",IF($AF163="Y",N(Items!L163)*$AD163,0))</f>
        <v/>
      </c>
      <c r="AH163" s="19">
        <f>IF($A163="","",IF($AF163="Y",(N(Items!L163)-N(Items!K163))*$AD163,0))</f>
        <v/>
      </c>
      <c r="AI163" s="19">
        <f>IF($A163="","",IF($AF163="Y",$AH163-$AE163,0))</f>
        <v/>
      </c>
      <c r="AJ163" s="10">
        <f>IF($A163="","",IF(COUNTIF($AL$5:$AL$254,$AL163)&gt;1,"CHECK: duplicate item and import country",IF(TRIM(CLEAN(SUBSTITUTE(Items!C163&amp;""," "," ")))="","CHECK: import country missing",IF(AND(UPPER(TRIM(CLEAN(SUBSTITUTE(Items!C163&amp;""," "," "))))&lt;&gt;"US",UPPER(TRIM(CLEAN(SUBSTITUTE(Items!C163&amp;""," "," "))))&lt;&gt;"CA",UPPER(TRIM(CLEAN(SUBSTITUTE(Items!C163&amp;""," "," "))))&lt;&gt;"MX"),"CHECK: import country must be US, CA or MX",IF(NOT(AND(LEN($C163)=10,IFERROR(TEXT(VALUE($C163),REPT("0",LEN($C163)))=$C163,FALSE))),"CHECK: HTS must be 10 digits",IF(LEN($E163)&lt;&gt;2,"CHECK: origin code missing or not 2 letters",IF(TRIM(CLEAN(SUBSTITUTE(Items!G163&amp;""," "," ")))="","CHECK: unit of measure missing",IF(OR(Items!H163="",Items!J163="",Items!K163=""),"CHECK: value, rate or cost missing",IF(OR(NOT(ISNUMBER(Items!H163)),NOT(ISNUMBER(Items!J163)),NOT(ISNUMBER(Items!K163)),AND(Items!I163&lt;&gt;"",NOT(ISNUMBER(Items!I163))),AND(Items!L163&lt;&gt;"",NOT(ISNUMBER(Items!L163))),AND(Items!M163&lt;&gt;"",NOT(ISNUMBER(Items!M163)))),"CHECK: text in a number column",IF(AND(ISNUMBER(Items!M163),OR(N(Items!M163)&lt;0,N(Items!M163)&gt;1)),"CHECK: dutiable share must be 0% to 100%",IF(AND(UPPER(TRIM(CLEAN(SUBSTITUTE(Items!F163&amp;""," "," "))))&lt;&gt;"",UPPER(TRIM(CLEAN(SUBSTITUTE(Items!F163&amp;""," "," "))))&lt;&gt;"Y",UPPER(TRIM(CLEAN(SUBSTITUTE(Items!F163&amp;""," "," "))))&lt;&gt;"N"),"CHECK: USMCA flag must be Y, N or blank",IF(AND(UPPER(TRIM(CLEAN(SUBSTITUTE(Items!F163&amp;""," "," "))))="Y",$E163&lt;&gt;"US",$E163&lt;&gt;"CA",$E163&lt;&gt;"MX"),"CHECK: USMCA flag on an origin other than US, CA or MX",IF(AND($L163="Y",$AO163=0,NOT(ISNUMBER(act_Rate))),"CHECK: in scope but no rate (add a rate line or B15)",IF(AND($L163="Y",UPPER(TRIM(CLEAN(SUBSTITUTE(act_RateType&amp;""," "," "))))="REPLACE",NOT(ISNUMBER(act_PriorRate)),IF($AO163=0,TRUE,NOT(ISNUMBER(INDEX(rate_Prior,MOD($AO163,100)))))),"CHECK: REPLACE but no earlier rate (B17 or the rate line's AD)",IF(AND($L163="Y",$AP163&gt;1),"CHECK: two rate lines match equally",IF(AND($L163="Y",$AN163&gt;1),"CHECK: HTS prefix listed twice on the scope list",IF(AND($L163="Y",$P163="PART",NOT(ISNUMBER(Items!M163))),"CHECK: dutiable share missing (PART base)",IF(AND($L163="Y",$P163="FULL",ISNUMBER(Items!M163),N(Items!M163)&lt;&gt;1),"CHECK: dutiable share entered, but the rate taxes the full value",IF(AND($L163="Y",$Q163+0.0000001&lt;$T163*$S163+$U163),"CHECK: current rate is below the duty being replaced or displaced",IF(AND($L163="Y",$AD163=0),"NOTE: in scope, no quantity",IF(AND($L163="Y",$AF163="N"),"NOTE: in scope, no sell price (left out of margin %)",IF(AND($L163="Y",N(Items!H163)&gt;N(Items!K163)),"NOTE: customs value above standard cost (check unit of measure)",IF(AND($L163="Y",$Q163&gt;1),"NOTE: current rate above 100% (check it was entered as a percentage)","OK")))))))))))))))))))))))</f>
        <v/>
      </c>
      <c r="AK163" s="20">
        <f>IF($A163="","",IF(AND($L163="Y",$AE163&lt;&gt;0),ABS($AE163)+ROW()/1000000000,""))</f>
        <v/>
      </c>
      <c r="AL163" s="10">
        <f>IF($A163="","",UPPER($A163)&amp;"/"&amp;UPPER(TRIM(CLEAN(SUBSTITUTE(Items!C163&amp;""," "," ")))))</f>
        <v/>
      </c>
      <c r="AM163" s="13">
        <f>IF($A163="",0,SUMPRODUCT(MAX((scope_HTS&lt;&gt;"")*(LEFT($C163,LEN(scope_HTS))=scope_HTS)*(LEN(scope_HTS)*1000+ROW(scope_HTS)-4))))</f>
        <v/>
      </c>
      <c r="AN163" s="13">
        <f>IF($AM163=0,0,SUMPRODUCT((scope_HTS&lt;&gt;"")*(LEFT($C163,LEN(scope_HTS))=scope_HTS)*(LEN(scope_HTS)=INT($AM163/1000))))</f>
        <v/>
      </c>
      <c r="AO163" s="13">
        <f>IF($L163&lt;&gt;"Y",0,SUMPRODUCT(MAX(ISNUMBER(rate_Rate)*((UPPER(TRIM(CLEAN(SUBSTITUTE(rate_Group&amp;""," "," "))))="")+(UPPER(TRIM(CLEAN(SUBSTITUTE(rate_Group&amp;""," "," "))))=$N163)&gt;0)*((UPPER(TRIM(CLEAN(SUBSTITUTE(rate_COO&amp;""," "," "))))="")+(UPPER(TRIM(CLEAN(SUBSTITUTE(rate_COO&amp;""," "," "))))=$E163)&gt;0)*((UPPER(TRIM(CLEAN(SUBSTITUTE(rate_USMCA&amp;""," "," "))))="")+(UPPER(TRIM(CLEAN(SUBSTITUTE(rate_USMCA&amp;""," "," "))))=IF(UPPER(TRIM(CLEAN(SUBSTITUTE(Items!F163&amp;""," "," "))))="Y","Y","N"))&gt;0)*((1+(UPPER(TRIM(CLEAN(SUBSTITUTE(rate_Group&amp;""," "," "))))&lt;&gt;"")+2*(UPPER(TRIM(CLEAN(SUBSTITUTE(rate_USMCA&amp;""," "," "))))&lt;&gt;"")+4*(UPPER(TRIM(CLEAN(SUBSTITUTE(rate_COO&amp;""," "," "))))&lt;&gt;""))*100+ROW(rate_Rate)-4))))</f>
        <v/>
      </c>
      <c r="AP163" s="13">
        <f>IF($AO163=0,0,SUMPRODUCT(ISNUMBER(rate_Rate)*((UPPER(TRIM(CLEAN(SUBSTITUTE(rate_Group&amp;""," "," "))))="")+(UPPER(TRIM(CLEAN(SUBSTITUTE(rate_Group&amp;""," "," "))))=$N163)&gt;0)*((UPPER(TRIM(CLEAN(SUBSTITUTE(rate_COO&amp;""," "," "))))="")+(UPPER(TRIM(CLEAN(SUBSTITUTE(rate_COO&amp;""," "," "))))=$E163)&gt;0)*((UPPER(TRIM(CLEAN(SUBSTITUTE(rate_USMCA&amp;""," "," "))))="")+(UPPER(TRIM(CLEAN(SUBSTITUTE(rate_USMCA&amp;""," "," "))))=IF(UPPER(TRIM(CLEAN(SUBSTITUTE(Items!F163&amp;""," "," "))))="Y","Y","N"))&gt;0)*((1+(UPPER(TRIM(CLEAN(SUBSTITUTE(rate_Group&amp;""," "," "))))&lt;&gt;"")+2*(UPPER(TRIM(CLEAN(SUBSTITUTE(rate_USMCA&amp;""," "," "))))&lt;&gt;"")+4*(UPPER(TRIM(CLEAN(SUBSTITUTE(rate_COO&amp;""," "," "))))&lt;&gt;""))=INT($AO163/100))))</f>
        <v/>
      </c>
      <c r="AQ163" s="13">
        <f>IF($A163="",0,IFERROR(MATCH($AL163,det_Key,0),0))</f>
        <v/>
      </c>
    </row>
    <row r="164">
      <c r="A164" s="10">
        <f>IF(TRIM(CLEAN(SUBSTITUTE(Items!A164&amp;""," "," ")))="","",TRIM(CLEAN(SUBSTITUTE(Items!A164&amp;""," "," "))))</f>
        <v/>
      </c>
      <c r="B164" s="10">
        <f>IF($A164="","",Items!B164&amp;"")</f>
        <v/>
      </c>
      <c r="C164" s="10">
        <f>IF($A164="","",SUBSTITUTE(SUBSTITUTE(SUBSTITUTE(SUBSTITUTE(CLEAN(Items!D164&amp;"")," ",""),".","")," ",""),"-",""))</f>
        <v/>
      </c>
      <c r="D164" s="10">
        <f>IF($A164="","",LEFT($C164,2))</f>
        <v/>
      </c>
      <c r="E164" s="10">
        <f>IF($A164="","",UPPER(TRIM(CLEAN(SUBSTITUTE(Items!E164&amp;""," "," ")))))</f>
        <v/>
      </c>
      <c r="F164" s="10">
        <f>IF($A164="","",IF(UPPER(TRIM(CLEAN(SUBSTITUTE(Items!C164&amp;""," "," "))))=UPPER(TRIM(CLEAN(SUBSTITUTE(act_Country&amp;""," "," ")))),"Y","N"))</f>
        <v/>
      </c>
      <c r="G164" s="10">
        <f>IF($A164="","",IF($AM164&gt;0,"Y","N"))</f>
        <v/>
      </c>
      <c r="H164" s="10">
        <f>IF($A164="","",IF(SUMPRODUCT((excl_HTS&lt;&gt;"")*(LEFT($C164,LEN(excl_HTS))=excl_HTS))&gt;0,"Y","N"))</f>
        <v/>
      </c>
      <c r="I164" s="10">
        <f>IF($A164="","",IF($E164="","N",IF(SUMPRODUCT(--(UPPER(TRIM(CLEAN(SUBSTITUTE(scope_COO&amp;""," "," "))))=$E164))&gt;0,"Y","N")))</f>
        <v/>
      </c>
      <c r="J164" s="10">
        <f>IF($A164="","",IF(AND(UPPER(TRIM(CLEAN(SUBSTITUTE(act_USMCAExempt&amp;""," "," "))))="Y",UPPER(TRIM(CLEAN(SUBSTITUTE(Items!F164&amp;""," "," "))))="Y"),"Y","N"))</f>
        <v/>
      </c>
      <c r="K164" s="10">
        <f>IF($A164="","",IF($AQ164=0,"",UPPER(TRIM(CLEAN(SUBSTITUTE(INDEX(det_Status,$AQ164)&amp;""," "," "))))))</f>
        <v/>
      </c>
      <c r="L164" s="10">
        <f>IF($A164="","",IF($F164="N","N",IF($K164="IN","Y",IF($K164="OUT","N",IF(AND($G164="Y",$H164="N",$I164="Y",$J164="N"),"Y","N")))))</f>
        <v/>
      </c>
      <c r="M164" s="10">
        <f>IF($A164="","",IF($F164="N","Out: different import country",IF($K164="IN","In: Research determination",IF($K164="OUT","Out: Research determination",IF($G164="N","Out: HTS not on scope list",IF($H164="Y","Out: HTS on exclusion list",IF($I164="N","Out: origin not on scope list",IF($J164="Y","Out: USMCA-qualifying, exempt","In: matches scope rules"))))))))</f>
        <v/>
      </c>
      <c r="N164" s="10">
        <f>IF(OR($A164="",$AM164=0),"",UPPER(TRIM(CLEAN(SUBSTITUTE(INDEX(scope_Group,MOD($AM164,1000))&amp;""," "," ")))))</f>
        <v/>
      </c>
      <c r="O164" s="10">
        <f>IF($L164&lt;&gt;"Y","",IF($AO164=0,"Default (B15)",UPPER(TRIM(CLEAN(SUBSTITUTE(INDEX(rate_ID,MOD($AO164,100))&amp;""," "," "))))))</f>
        <v/>
      </c>
      <c r="P164" s="10">
        <f>IF($L164&lt;&gt;"Y","",IF($AO164=0,IF(UPPER(TRIM(CLEAN(SUBSTITUTE(act_DefaultBase&amp;""," "," "))))="PART","PART","FULL"),IF(UPPER(TRIM(CLEAN(SUBSTITUTE(INDEX(rate_Base,MOD($AO164,100))&amp;""," "," "))))="PART","PART","FULL")))</f>
        <v/>
      </c>
      <c r="Q164" s="17">
        <f>IF($A164="","",N(Items!J164))</f>
        <v/>
      </c>
      <c r="R164" s="17">
        <f>IF($A164="","",IF($L164&lt;&gt;"Y",0,IF($AO164=0,N(act_Rate),N(INDEX(rate_Rate,MOD($AO164,100))))))</f>
        <v/>
      </c>
      <c r="S164" s="17">
        <f>IF($A164="","",IF($L164&lt;&gt;"Y",0,IF($AO164=0,IF(UPPER(TRIM(CLEAN(SUBSTITUTE(act_RateType&amp;""," "," "))))="REPLACE",N(act_PriorRate),0),IF(ISNUMBER(INDEX(rate_Prior,MOD($AO164,100))),INDEX(rate_Prior,MOD($AO164,100)),IF(UPPER(TRIM(CLEAN(SUBSTITUTE(act_RateType&amp;""," "," "))))="REPLACE",N(act_PriorRate),0)))))</f>
        <v/>
      </c>
      <c r="T164" s="17">
        <f>IF($A164="","",IF(AND($L164="Y",$P164="PART",ISNUMBER(Items!M164)),Items!M164,1))</f>
        <v/>
      </c>
      <c r="U164" s="17">
        <f>IF($A164="","",IF($L164&lt;&gt;"Y",0,IF($AQ164&gt;0,IF(ISNUMBER(INDEX(det_Displaced,$AQ164)),INDEX(det_Displaced,$AQ164),IF($AO164=0,0,N(INDEX(rate_Displaced,MOD($AO164,100))))),IF($AO164=0,0,N(INDEX(rate_Displaced,MOD($AO164,100)))))))</f>
        <v/>
      </c>
      <c r="V164" s="17">
        <f>IF($A164="","",IF($L164="Y",$Q164+$T164*($R164-$S164)-$U164,$Q164))</f>
        <v/>
      </c>
      <c r="W164" s="18">
        <f>IF($A164="","",N(Items!H164)*$Q164)</f>
        <v/>
      </c>
      <c r="X164" s="18">
        <f>IF($A164="","",N(Items!H164)*$V164)</f>
        <v/>
      </c>
      <c r="Y164" s="18">
        <f>IF($A164="","",$X164-$W164)</f>
        <v/>
      </c>
      <c r="Z164" s="18">
        <f>IF($A164="","",N(Items!K164)+$Y164)</f>
        <v/>
      </c>
      <c r="AA164" s="17">
        <f>IF($A164="","",IF(N(Items!L164)=0,"",(N(Items!L164)-N(Items!K164))/N(Items!L164)))</f>
        <v/>
      </c>
      <c r="AB164" s="17">
        <f>IF($A164="","",IF(N(Items!L164)=0,"",(N(Items!L164)-$Z164)/N(Items!L164)))</f>
        <v/>
      </c>
      <c r="AC164" s="17">
        <f>IF(OR($AA164="",$AB164=""),"",$AB164-$AA164)</f>
        <v/>
      </c>
      <c r="AD164" s="13">
        <f>IF($A164="","",N(Items!I164))</f>
        <v/>
      </c>
      <c r="AE164" s="19">
        <f>IF($A164="","",$Y164*$AD164)</f>
        <v/>
      </c>
      <c r="AF164" s="10">
        <f>IF($A164="","",IF(N(Items!L164)&gt;0,"Y","N"))</f>
        <v/>
      </c>
      <c r="AG164" s="19">
        <f>IF($A164="","",IF($AF164="Y",N(Items!L164)*$AD164,0))</f>
        <v/>
      </c>
      <c r="AH164" s="19">
        <f>IF($A164="","",IF($AF164="Y",(N(Items!L164)-N(Items!K164))*$AD164,0))</f>
        <v/>
      </c>
      <c r="AI164" s="19">
        <f>IF($A164="","",IF($AF164="Y",$AH164-$AE164,0))</f>
        <v/>
      </c>
      <c r="AJ164" s="10">
        <f>IF($A164="","",IF(COUNTIF($AL$5:$AL$254,$AL164)&gt;1,"CHECK: duplicate item and import country",IF(TRIM(CLEAN(SUBSTITUTE(Items!C164&amp;""," "," ")))="","CHECK: import country missing",IF(AND(UPPER(TRIM(CLEAN(SUBSTITUTE(Items!C164&amp;""," "," "))))&lt;&gt;"US",UPPER(TRIM(CLEAN(SUBSTITUTE(Items!C164&amp;""," "," "))))&lt;&gt;"CA",UPPER(TRIM(CLEAN(SUBSTITUTE(Items!C164&amp;""," "," "))))&lt;&gt;"MX"),"CHECK: import country must be US, CA or MX",IF(NOT(AND(LEN($C164)=10,IFERROR(TEXT(VALUE($C164),REPT("0",LEN($C164)))=$C164,FALSE))),"CHECK: HTS must be 10 digits",IF(LEN($E164)&lt;&gt;2,"CHECK: origin code missing or not 2 letters",IF(TRIM(CLEAN(SUBSTITUTE(Items!G164&amp;""," "," ")))="","CHECK: unit of measure missing",IF(OR(Items!H164="",Items!J164="",Items!K164=""),"CHECK: value, rate or cost missing",IF(OR(NOT(ISNUMBER(Items!H164)),NOT(ISNUMBER(Items!J164)),NOT(ISNUMBER(Items!K164)),AND(Items!I164&lt;&gt;"",NOT(ISNUMBER(Items!I164))),AND(Items!L164&lt;&gt;"",NOT(ISNUMBER(Items!L164))),AND(Items!M164&lt;&gt;"",NOT(ISNUMBER(Items!M164)))),"CHECK: text in a number column",IF(AND(ISNUMBER(Items!M164),OR(N(Items!M164)&lt;0,N(Items!M164)&gt;1)),"CHECK: dutiable share must be 0% to 100%",IF(AND(UPPER(TRIM(CLEAN(SUBSTITUTE(Items!F164&amp;""," "," "))))&lt;&gt;"",UPPER(TRIM(CLEAN(SUBSTITUTE(Items!F164&amp;""," "," "))))&lt;&gt;"Y",UPPER(TRIM(CLEAN(SUBSTITUTE(Items!F164&amp;""," "," "))))&lt;&gt;"N"),"CHECK: USMCA flag must be Y, N or blank",IF(AND(UPPER(TRIM(CLEAN(SUBSTITUTE(Items!F164&amp;""," "," "))))="Y",$E164&lt;&gt;"US",$E164&lt;&gt;"CA",$E164&lt;&gt;"MX"),"CHECK: USMCA flag on an origin other than US, CA or MX",IF(AND($L164="Y",$AO164=0,NOT(ISNUMBER(act_Rate))),"CHECK: in scope but no rate (add a rate line or B15)",IF(AND($L164="Y",UPPER(TRIM(CLEAN(SUBSTITUTE(act_RateType&amp;""," "," "))))="REPLACE",NOT(ISNUMBER(act_PriorRate)),IF($AO164=0,TRUE,NOT(ISNUMBER(INDEX(rate_Prior,MOD($AO164,100)))))),"CHECK: REPLACE but no earlier rate (B17 or the rate line's AD)",IF(AND($L164="Y",$AP164&gt;1),"CHECK: two rate lines match equally",IF(AND($L164="Y",$AN164&gt;1),"CHECK: HTS prefix listed twice on the scope list",IF(AND($L164="Y",$P164="PART",NOT(ISNUMBER(Items!M164))),"CHECK: dutiable share missing (PART base)",IF(AND($L164="Y",$P164="FULL",ISNUMBER(Items!M164),N(Items!M164)&lt;&gt;1),"CHECK: dutiable share entered, but the rate taxes the full value",IF(AND($L164="Y",$Q164+0.0000001&lt;$T164*$S164+$U164),"CHECK: current rate is below the duty being replaced or displaced",IF(AND($L164="Y",$AD164=0),"NOTE: in scope, no quantity",IF(AND($L164="Y",$AF164="N"),"NOTE: in scope, no sell price (left out of margin %)",IF(AND($L164="Y",N(Items!H164)&gt;N(Items!K164)),"NOTE: customs value above standard cost (check unit of measure)",IF(AND($L164="Y",$Q164&gt;1),"NOTE: current rate above 100% (check it was entered as a percentage)","OK")))))))))))))))))))))))</f>
        <v/>
      </c>
      <c r="AK164" s="20">
        <f>IF($A164="","",IF(AND($L164="Y",$AE164&lt;&gt;0),ABS($AE164)+ROW()/1000000000,""))</f>
        <v/>
      </c>
      <c r="AL164" s="10">
        <f>IF($A164="","",UPPER($A164)&amp;"/"&amp;UPPER(TRIM(CLEAN(SUBSTITUTE(Items!C164&amp;""," "," ")))))</f>
        <v/>
      </c>
      <c r="AM164" s="13">
        <f>IF($A164="",0,SUMPRODUCT(MAX((scope_HTS&lt;&gt;"")*(LEFT($C164,LEN(scope_HTS))=scope_HTS)*(LEN(scope_HTS)*1000+ROW(scope_HTS)-4))))</f>
        <v/>
      </c>
      <c r="AN164" s="13">
        <f>IF($AM164=0,0,SUMPRODUCT((scope_HTS&lt;&gt;"")*(LEFT($C164,LEN(scope_HTS))=scope_HTS)*(LEN(scope_HTS)=INT($AM164/1000))))</f>
        <v/>
      </c>
      <c r="AO164" s="13">
        <f>IF($L164&lt;&gt;"Y",0,SUMPRODUCT(MAX(ISNUMBER(rate_Rate)*((UPPER(TRIM(CLEAN(SUBSTITUTE(rate_Group&amp;""," "," "))))="")+(UPPER(TRIM(CLEAN(SUBSTITUTE(rate_Group&amp;""," "," "))))=$N164)&gt;0)*((UPPER(TRIM(CLEAN(SUBSTITUTE(rate_COO&amp;""," "," "))))="")+(UPPER(TRIM(CLEAN(SUBSTITUTE(rate_COO&amp;""," "," "))))=$E164)&gt;0)*((UPPER(TRIM(CLEAN(SUBSTITUTE(rate_USMCA&amp;""," "," "))))="")+(UPPER(TRIM(CLEAN(SUBSTITUTE(rate_USMCA&amp;""," "," "))))=IF(UPPER(TRIM(CLEAN(SUBSTITUTE(Items!F164&amp;""," "," "))))="Y","Y","N"))&gt;0)*((1+(UPPER(TRIM(CLEAN(SUBSTITUTE(rate_Group&amp;""," "," "))))&lt;&gt;"")+2*(UPPER(TRIM(CLEAN(SUBSTITUTE(rate_USMCA&amp;""," "," "))))&lt;&gt;"")+4*(UPPER(TRIM(CLEAN(SUBSTITUTE(rate_COO&amp;""," "," "))))&lt;&gt;""))*100+ROW(rate_Rate)-4))))</f>
        <v/>
      </c>
      <c r="AP164" s="13">
        <f>IF($AO164=0,0,SUMPRODUCT(ISNUMBER(rate_Rate)*((UPPER(TRIM(CLEAN(SUBSTITUTE(rate_Group&amp;""," "," "))))="")+(UPPER(TRIM(CLEAN(SUBSTITUTE(rate_Group&amp;""," "," "))))=$N164)&gt;0)*((UPPER(TRIM(CLEAN(SUBSTITUTE(rate_COO&amp;""," "," "))))="")+(UPPER(TRIM(CLEAN(SUBSTITUTE(rate_COO&amp;""," "," "))))=$E164)&gt;0)*((UPPER(TRIM(CLEAN(SUBSTITUTE(rate_USMCA&amp;""," "," "))))="")+(UPPER(TRIM(CLEAN(SUBSTITUTE(rate_USMCA&amp;""," "," "))))=IF(UPPER(TRIM(CLEAN(SUBSTITUTE(Items!F164&amp;""," "," "))))="Y","Y","N"))&gt;0)*((1+(UPPER(TRIM(CLEAN(SUBSTITUTE(rate_Group&amp;""," "," "))))&lt;&gt;"")+2*(UPPER(TRIM(CLEAN(SUBSTITUTE(rate_USMCA&amp;""," "," "))))&lt;&gt;"")+4*(UPPER(TRIM(CLEAN(SUBSTITUTE(rate_COO&amp;""," "," "))))&lt;&gt;""))=INT($AO164/100))))</f>
        <v/>
      </c>
      <c r="AQ164" s="13">
        <f>IF($A164="",0,IFERROR(MATCH($AL164,det_Key,0),0))</f>
        <v/>
      </c>
    </row>
    <row r="165">
      <c r="A165" s="10">
        <f>IF(TRIM(CLEAN(SUBSTITUTE(Items!A165&amp;""," "," ")))="","",TRIM(CLEAN(SUBSTITUTE(Items!A165&amp;""," "," "))))</f>
        <v/>
      </c>
      <c r="B165" s="10">
        <f>IF($A165="","",Items!B165&amp;"")</f>
        <v/>
      </c>
      <c r="C165" s="10">
        <f>IF($A165="","",SUBSTITUTE(SUBSTITUTE(SUBSTITUTE(SUBSTITUTE(CLEAN(Items!D165&amp;"")," ",""),".","")," ",""),"-",""))</f>
        <v/>
      </c>
      <c r="D165" s="10">
        <f>IF($A165="","",LEFT($C165,2))</f>
        <v/>
      </c>
      <c r="E165" s="10">
        <f>IF($A165="","",UPPER(TRIM(CLEAN(SUBSTITUTE(Items!E165&amp;""," "," ")))))</f>
        <v/>
      </c>
      <c r="F165" s="10">
        <f>IF($A165="","",IF(UPPER(TRIM(CLEAN(SUBSTITUTE(Items!C165&amp;""," "," "))))=UPPER(TRIM(CLEAN(SUBSTITUTE(act_Country&amp;""," "," ")))),"Y","N"))</f>
        <v/>
      </c>
      <c r="G165" s="10">
        <f>IF($A165="","",IF($AM165&gt;0,"Y","N"))</f>
        <v/>
      </c>
      <c r="H165" s="10">
        <f>IF($A165="","",IF(SUMPRODUCT((excl_HTS&lt;&gt;"")*(LEFT($C165,LEN(excl_HTS))=excl_HTS))&gt;0,"Y","N"))</f>
        <v/>
      </c>
      <c r="I165" s="10">
        <f>IF($A165="","",IF($E165="","N",IF(SUMPRODUCT(--(UPPER(TRIM(CLEAN(SUBSTITUTE(scope_COO&amp;""," "," "))))=$E165))&gt;0,"Y","N")))</f>
        <v/>
      </c>
      <c r="J165" s="10">
        <f>IF($A165="","",IF(AND(UPPER(TRIM(CLEAN(SUBSTITUTE(act_USMCAExempt&amp;""," "," "))))="Y",UPPER(TRIM(CLEAN(SUBSTITUTE(Items!F165&amp;""," "," "))))="Y"),"Y","N"))</f>
        <v/>
      </c>
      <c r="K165" s="10">
        <f>IF($A165="","",IF($AQ165=0,"",UPPER(TRIM(CLEAN(SUBSTITUTE(INDEX(det_Status,$AQ165)&amp;""," "," "))))))</f>
        <v/>
      </c>
      <c r="L165" s="10">
        <f>IF($A165="","",IF($F165="N","N",IF($K165="IN","Y",IF($K165="OUT","N",IF(AND($G165="Y",$H165="N",$I165="Y",$J165="N"),"Y","N")))))</f>
        <v/>
      </c>
      <c r="M165" s="10">
        <f>IF($A165="","",IF($F165="N","Out: different import country",IF($K165="IN","In: Research determination",IF($K165="OUT","Out: Research determination",IF($G165="N","Out: HTS not on scope list",IF($H165="Y","Out: HTS on exclusion list",IF($I165="N","Out: origin not on scope list",IF($J165="Y","Out: USMCA-qualifying, exempt","In: matches scope rules"))))))))</f>
        <v/>
      </c>
      <c r="N165" s="10">
        <f>IF(OR($A165="",$AM165=0),"",UPPER(TRIM(CLEAN(SUBSTITUTE(INDEX(scope_Group,MOD($AM165,1000))&amp;""," "," ")))))</f>
        <v/>
      </c>
      <c r="O165" s="10">
        <f>IF($L165&lt;&gt;"Y","",IF($AO165=0,"Default (B15)",UPPER(TRIM(CLEAN(SUBSTITUTE(INDEX(rate_ID,MOD($AO165,100))&amp;""," "," "))))))</f>
        <v/>
      </c>
      <c r="P165" s="10">
        <f>IF($L165&lt;&gt;"Y","",IF($AO165=0,IF(UPPER(TRIM(CLEAN(SUBSTITUTE(act_DefaultBase&amp;""," "," "))))="PART","PART","FULL"),IF(UPPER(TRIM(CLEAN(SUBSTITUTE(INDEX(rate_Base,MOD($AO165,100))&amp;""," "," "))))="PART","PART","FULL")))</f>
        <v/>
      </c>
      <c r="Q165" s="17">
        <f>IF($A165="","",N(Items!J165))</f>
        <v/>
      </c>
      <c r="R165" s="17">
        <f>IF($A165="","",IF($L165&lt;&gt;"Y",0,IF($AO165=0,N(act_Rate),N(INDEX(rate_Rate,MOD($AO165,100))))))</f>
        <v/>
      </c>
      <c r="S165" s="17">
        <f>IF($A165="","",IF($L165&lt;&gt;"Y",0,IF($AO165=0,IF(UPPER(TRIM(CLEAN(SUBSTITUTE(act_RateType&amp;""," "," "))))="REPLACE",N(act_PriorRate),0),IF(ISNUMBER(INDEX(rate_Prior,MOD($AO165,100))),INDEX(rate_Prior,MOD($AO165,100)),IF(UPPER(TRIM(CLEAN(SUBSTITUTE(act_RateType&amp;""," "," "))))="REPLACE",N(act_PriorRate),0)))))</f>
        <v/>
      </c>
      <c r="T165" s="17">
        <f>IF($A165="","",IF(AND($L165="Y",$P165="PART",ISNUMBER(Items!M165)),Items!M165,1))</f>
        <v/>
      </c>
      <c r="U165" s="17">
        <f>IF($A165="","",IF($L165&lt;&gt;"Y",0,IF($AQ165&gt;0,IF(ISNUMBER(INDEX(det_Displaced,$AQ165)),INDEX(det_Displaced,$AQ165),IF($AO165=0,0,N(INDEX(rate_Displaced,MOD($AO165,100))))),IF($AO165=0,0,N(INDEX(rate_Displaced,MOD($AO165,100)))))))</f>
        <v/>
      </c>
      <c r="V165" s="17">
        <f>IF($A165="","",IF($L165="Y",$Q165+$T165*($R165-$S165)-$U165,$Q165))</f>
        <v/>
      </c>
      <c r="W165" s="18">
        <f>IF($A165="","",N(Items!H165)*$Q165)</f>
        <v/>
      </c>
      <c r="X165" s="18">
        <f>IF($A165="","",N(Items!H165)*$V165)</f>
        <v/>
      </c>
      <c r="Y165" s="18">
        <f>IF($A165="","",$X165-$W165)</f>
        <v/>
      </c>
      <c r="Z165" s="18">
        <f>IF($A165="","",N(Items!K165)+$Y165)</f>
        <v/>
      </c>
      <c r="AA165" s="17">
        <f>IF($A165="","",IF(N(Items!L165)=0,"",(N(Items!L165)-N(Items!K165))/N(Items!L165)))</f>
        <v/>
      </c>
      <c r="AB165" s="17">
        <f>IF($A165="","",IF(N(Items!L165)=0,"",(N(Items!L165)-$Z165)/N(Items!L165)))</f>
        <v/>
      </c>
      <c r="AC165" s="17">
        <f>IF(OR($AA165="",$AB165=""),"",$AB165-$AA165)</f>
        <v/>
      </c>
      <c r="AD165" s="13">
        <f>IF($A165="","",N(Items!I165))</f>
        <v/>
      </c>
      <c r="AE165" s="19">
        <f>IF($A165="","",$Y165*$AD165)</f>
        <v/>
      </c>
      <c r="AF165" s="10">
        <f>IF($A165="","",IF(N(Items!L165)&gt;0,"Y","N"))</f>
        <v/>
      </c>
      <c r="AG165" s="19">
        <f>IF($A165="","",IF($AF165="Y",N(Items!L165)*$AD165,0))</f>
        <v/>
      </c>
      <c r="AH165" s="19">
        <f>IF($A165="","",IF($AF165="Y",(N(Items!L165)-N(Items!K165))*$AD165,0))</f>
        <v/>
      </c>
      <c r="AI165" s="19">
        <f>IF($A165="","",IF($AF165="Y",$AH165-$AE165,0))</f>
        <v/>
      </c>
      <c r="AJ165" s="10">
        <f>IF($A165="","",IF(COUNTIF($AL$5:$AL$254,$AL165)&gt;1,"CHECK: duplicate item and import country",IF(TRIM(CLEAN(SUBSTITUTE(Items!C165&amp;""," "," ")))="","CHECK: import country missing",IF(AND(UPPER(TRIM(CLEAN(SUBSTITUTE(Items!C165&amp;""," "," "))))&lt;&gt;"US",UPPER(TRIM(CLEAN(SUBSTITUTE(Items!C165&amp;""," "," "))))&lt;&gt;"CA",UPPER(TRIM(CLEAN(SUBSTITUTE(Items!C165&amp;""," "," "))))&lt;&gt;"MX"),"CHECK: import country must be US, CA or MX",IF(NOT(AND(LEN($C165)=10,IFERROR(TEXT(VALUE($C165),REPT("0",LEN($C165)))=$C165,FALSE))),"CHECK: HTS must be 10 digits",IF(LEN($E165)&lt;&gt;2,"CHECK: origin code missing or not 2 letters",IF(TRIM(CLEAN(SUBSTITUTE(Items!G165&amp;""," "," ")))="","CHECK: unit of measure missing",IF(OR(Items!H165="",Items!J165="",Items!K165=""),"CHECK: value, rate or cost missing",IF(OR(NOT(ISNUMBER(Items!H165)),NOT(ISNUMBER(Items!J165)),NOT(ISNUMBER(Items!K165)),AND(Items!I165&lt;&gt;"",NOT(ISNUMBER(Items!I165))),AND(Items!L165&lt;&gt;"",NOT(ISNUMBER(Items!L165))),AND(Items!M165&lt;&gt;"",NOT(ISNUMBER(Items!M165)))),"CHECK: text in a number column",IF(AND(ISNUMBER(Items!M165),OR(N(Items!M165)&lt;0,N(Items!M165)&gt;1)),"CHECK: dutiable share must be 0% to 100%",IF(AND(UPPER(TRIM(CLEAN(SUBSTITUTE(Items!F165&amp;""," "," "))))&lt;&gt;"",UPPER(TRIM(CLEAN(SUBSTITUTE(Items!F165&amp;""," "," "))))&lt;&gt;"Y",UPPER(TRIM(CLEAN(SUBSTITUTE(Items!F165&amp;""," "," "))))&lt;&gt;"N"),"CHECK: USMCA flag must be Y, N or blank",IF(AND(UPPER(TRIM(CLEAN(SUBSTITUTE(Items!F165&amp;""," "," "))))="Y",$E165&lt;&gt;"US",$E165&lt;&gt;"CA",$E165&lt;&gt;"MX"),"CHECK: USMCA flag on an origin other than US, CA or MX",IF(AND($L165="Y",$AO165=0,NOT(ISNUMBER(act_Rate))),"CHECK: in scope but no rate (add a rate line or B15)",IF(AND($L165="Y",UPPER(TRIM(CLEAN(SUBSTITUTE(act_RateType&amp;""," "," "))))="REPLACE",NOT(ISNUMBER(act_PriorRate)),IF($AO165=0,TRUE,NOT(ISNUMBER(INDEX(rate_Prior,MOD($AO165,100)))))),"CHECK: REPLACE but no earlier rate (B17 or the rate line's AD)",IF(AND($L165="Y",$AP165&gt;1),"CHECK: two rate lines match equally",IF(AND($L165="Y",$AN165&gt;1),"CHECK: HTS prefix listed twice on the scope list",IF(AND($L165="Y",$P165="PART",NOT(ISNUMBER(Items!M165))),"CHECK: dutiable share missing (PART base)",IF(AND($L165="Y",$P165="FULL",ISNUMBER(Items!M165),N(Items!M165)&lt;&gt;1),"CHECK: dutiable share entered, but the rate taxes the full value",IF(AND($L165="Y",$Q165+0.0000001&lt;$T165*$S165+$U165),"CHECK: current rate is below the duty being replaced or displaced",IF(AND($L165="Y",$AD165=0),"NOTE: in scope, no quantity",IF(AND($L165="Y",$AF165="N"),"NOTE: in scope, no sell price (left out of margin %)",IF(AND($L165="Y",N(Items!H165)&gt;N(Items!K165)),"NOTE: customs value above standard cost (check unit of measure)",IF(AND($L165="Y",$Q165&gt;1),"NOTE: current rate above 100% (check it was entered as a percentage)","OK")))))))))))))))))))))))</f>
        <v/>
      </c>
      <c r="AK165" s="20">
        <f>IF($A165="","",IF(AND($L165="Y",$AE165&lt;&gt;0),ABS($AE165)+ROW()/1000000000,""))</f>
        <v/>
      </c>
      <c r="AL165" s="10">
        <f>IF($A165="","",UPPER($A165)&amp;"/"&amp;UPPER(TRIM(CLEAN(SUBSTITUTE(Items!C165&amp;""," "," ")))))</f>
        <v/>
      </c>
      <c r="AM165" s="13">
        <f>IF($A165="",0,SUMPRODUCT(MAX((scope_HTS&lt;&gt;"")*(LEFT($C165,LEN(scope_HTS))=scope_HTS)*(LEN(scope_HTS)*1000+ROW(scope_HTS)-4))))</f>
        <v/>
      </c>
      <c r="AN165" s="13">
        <f>IF($AM165=0,0,SUMPRODUCT((scope_HTS&lt;&gt;"")*(LEFT($C165,LEN(scope_HTS))=scope_HTS)*(LEN(scope_HTS)=INT($AM165/1000))))</f>
        <v/>
      </c>
      <c r="AO165" s="13">
        <f>IF($L165&lt;&gt;"Y",0,SUMPRODUCT(MAX(ISNUMBER(rate_Rate)*((UPPER(TRIM(CLEAN(SUBSTITUTE(rate_Group&amp;""," "," "))))="")+(UPPER(TRIM(CLEAN(SUBSTITUTE(rate_Group&amp;""," "," "))))=$N165)&gt;0)*((UPPER(TRIM(CLEAN(SUBSTITUTE(rate_COO&amp;""," "," "))))="")+(UPPER(TRIM(CLEAN(SUBSTITUTE(rate_COO&amp;""," "," "))))=$E165)&gt;0)*((UPPER(TRIM(CLEAN(SUBSTITUTE(rate_USMCA&amp;""," "," "))))="")+(UPPER(TRIM(CLEAN(SUBSTITUTE(rate_USMCA&amp;""," "," "))))=IF(UPPER(TRIM(CLEAN(SUBSTITUTE(Items!F165&amp;""," "," "))))="Y","Y","N"))&gt;0)*((1+(UPPER(TRIM(CLEAN(SUBSTITUTE(rate_Group&amp;""," "," "))))&lt;&gt;"")+2*(UPPER(TRIM(CLEAN(SUBSTITUTE(rate_USMCA&amp;""," "," "))))&lt;&gt;"")+4*(UPPER(TRIM(CLEAN(SUBSTITUTE(rate_COO&amp;""," "," "))))&lt;&gt;""))*100+ROW(rate_Rate)-4))))</f>
        <v/>
      </c>
      <c r="AP165" s="13">
        <f>IF($AO165=0,0,SUMPRODUCT(ISNUMBER(rate_Rate)*((UPPER(TRIM(CLEAN(SUBSTITUTE(rate_Group&amp;""," "," "))))="")+(UPPER(TRIM(CLEAN(SUBSTITUTE(rate_Group&amp;""," "," "))))=$N165)&gt;0)*((UPPER(TRIM(CLEAN(SUBSTITUTE(rate_COO&amp;""," "," "))))="")+(UPPER(TRIM(CLEAN(SUBSTITUTE(rate_COO&amp;""," "," "))))=$E165)&gt;0)*((UPPER(TRIM(CLEAN(SUBSTITUTE(rate_USMCA&amp;""," "," "))))="")+(UPPER(TRIM(CLEAN(SUBSTITUTE(rate_USMCA&amp;""," "," "))))=IF(UPPER(TRIM(CLEAN(SUBSTITUTE(Items!F165&amp;""," "," "))))="Y","Y","N"))&gt;0)*((1+(UPPER(TRIM(CLEAN(SUBSTITUTE(rate_Group&amp;""," "," "))))&lt;&gt;"")+2*(UPPER(TRIM(CLEAN(SUBSTITUTE(rate_USMCA&amp;""," "," "))))&lt;&gt;"")+4*(UPPER(TRIM(CLEAN(SUBSTITUTE(rate_COO&amp;""," "," "))))&lt;&gt;""))=INT($AO165/100))))</f>
        <v/>
      </c>
      <c r="AQ165" s="13">
        <f>IF($A165="",0,IFERROR(MATCH($AL165,det_Key,0),0))</f>
        <v/>
      </c>
    </row>
    <row r="166">
      <c r="A166" s="10">
        <f>IF(TRIM(CLEAN(SUBSTITUTE(Items!A166&amp;""," "," ")))="","",TRIM(CLEAN(SUBSTITUTE(Items!A166&amp;""," "," "))))</f>
        <v/>
      </c>
      <c r="B166" s="10">
        <f>IF($A166="","",Items!B166&amp;"")</f>
        <v/>
      </c>
      <c r="C166" s="10">
        <f>IF($A166="","",SUBSTITUTE(SUBSTITUTE(SUBSTITUTE(SUBSTITUTE(CLEAN(Items!D166&amp;"")," ",""),".","")," ",""),"-",""))</f>
        <v/>
      </c>
      <c r="D166" s="10">
        <f>IF($A166="","",LEFT($C166,2))</f>
        <v/>
      </c>
      <c r="E166" s="10">
        <f>IF($A166="","",UPPER(TRIM(CLEAN(SUBSTITUTE(Items!E166&amp;""," "," ")))))</f>
        <v/>
      </c>
      <c r="F166" s="10">
        <f>IF($A166="","",IF(UPPER(TRIM(CLEAN(SUBSTITUTE(Items!C166&amp;""," "," "))))=UPPER(TRIM(CLEAN(SUBSTITUTE(act_Country&amp;""," "," ")))),"Y","N"))</f>
        <v/>
      </c>
      <c r="G166" s="10">
        <f>IF($A166="","",IF($AM166&gt;0,"Y","N"))</f>
        <v/>
      </c>
      <c r="H166" s="10">
        <f>IF($A166="","",IF(SUMPRODUCT((excl_HTS&lt;&gt;"")*(LEFT($C166,LEN(excl_HTS))=excl_HTS))&gt;0,"Y","N"))</f>
        <v/>
      </c>
      <c r="I166" s="10">
        <f>IF($A166="","",IF($E166="","N",IF(SUMPRODUCT(--(UPPER(TRIM(CLEAN(SUBSTITUTE(scope_COO&amp;""," "," "))))=$E166))&gt;0,"Y","N")))</f>
        <v/>
      </c>
      <c r="J166" s="10">
        <f>IF($A166="","",IF(AND(UPPER(TRIM(CLEAN(SUBSTITUTE(act_USMCAExempt&amp;""," "," "))))="Y",UPPER(TRIM(CLEAN(SUBSTITUTE(Items!F166&amp;""," "," "))))="Y"),"Y","N"))</f>
        <v/>
      </c>
      <c r="K166" s="10">
        <f>IF($A166="","",IF($AQ166=0,"",UPPER(TRIM(CLEAN(SUBSTITUTE(INDEX(det_Status,$AQ166)&amp;""," "," "))))))</f>
        <v/>
      </c>
      <c r="L166" s="10">
        <f>IF($A166="","",IF($F166="N","N",IF($K166="IN","Y",IF($K166="OUT","N",IF(AND($G166="Y",$H166="N",$I166="Y",$J166="N"),"Y","N")))))</f>
        <v/>
      </c>
      <c r="M166" s="10">
        <f>IF($A166="","",IF($F166="N","Out: different import country",IF($K166="IN","In: Research determination",IF($K166="OUT","Out: Research determination",IF($G166="N","Out: HTS not on scope list",IF($H166="Y","Out: HTS on exclusion list",IF($I166="N","Out: origin not on scope list",IF($J166="Y","Out: USMCA-qualifying, exempt","In: matches scope rules"))))))))</f>
        <v/>
      </c>
      <c r="N166" s="10">
        <f>IF(OR($A166="",$AM166=0),"",UPPER(TRIM(CLEAN(SUBSTITUTE(INDEX(scope_Group,MOD($AM166,1000))&amp;""," "," ")))))</f>
        <v/>
      </c>
      <c r="O166" s="10">
        <f>IF($L166&lt;&gt;"Y","",IF($AO166=0,"Default (B15)",UPPER(TRIM(CLEAN(SUBSTITUTE(INDEX(rate_ID,MOD($AO166,100))&amp;""," "," "))))))</f>
        <v/>
      </c>
      <c r="P166" s="10">
        <f>IF($L166&lt;&gt;"Y","",IF($AO166=0,IF(UPPER(TRIM(CLEAN(SUBSTITUTE(act_DefaultBase&amp;""," "," "))))="PART","PART","FULL"),IF(UPPER(TRIM(CLEAN(SUBSTITUTE(INDEX(rate_Base,MOD($AO166,100))&amp;""," "," "))))="PART","PART","FULL")))</f>
        <v/>
      </c>
      <c r="Q166" s="17">
        <f>IF($A166="","",N(Items!J166))</f>
        <v/>
      </c>
      <c r="R166" s="17">
        <f>IF($A166="","",IF($L166&lt;&gt;"Y",0,IF($AO166=0,N(act_Rate),N(INDEX(rate_Rate,MOD($AO166,100))))))</f>
        <v/>
      </c>
      <c r="S166" s="17">
        <f>IF($A166="","",IF($L166&lt;&gt;"Y",0,IF($AO166=0,IF(UPPER(TRIM(CLEAN(SUBSTITUTE(act_RateType&amp;""," "," "))))="REPLACE",N(act_PriorRate),0),IF(ISNUMBER(INDEX(rate_Prior,MOD($AO166,100))),INDEX(rate_Prior,MOD($AO166,100)),IF(UPPER(TRIM(CLEAN(SUBSTITUTE(act_RateType&amp;""," "," "))))="REPLACE",N(act_PriorRate),0)))))</f>
        <v/>
      </c>
      <c r="T166" s="17">
        <f>IF($A166="","",IF(AND($L166="Y",$P166="PART",ISNUMBER(Items!M166)),Items!M166,1))</f>
        <v/>
      </c>
      <c r="U166" s="17">
        <f>IF($A166="","",IF($L166&lt;&gt;"Y",0,IF($AQ166&gt;0,IF(ISNUMBER(INDEX(det_Displaced,$AQ166)),INDEX(det_Displaced,$AQ166),IF($AO166=0,0,N(INDEX(rate_Displaced,MOD($AO166,100))))),IF($AO166=0,0,N(INDEX(rate_Displaced,MOD($AO166,100)))))))</f>
        <v/>
      </c>
      <c r="V166" s="17">
        <f>IF($A166="","",IF($L166="Y",$Q166+$T166*($R166-$S166)-$U166,$Q166))</f>
        <v/>
      </c>
      <c r="W166" s="18">
        <f>IF($A166="","",N(Items!H166)*$Q166)</f>
        <v/>
      </c>
      <c r="X166" s="18">
        <f>IF($A166="","",N(Items!H166)*$V166)</f>
        <v/>
      </c>
      <c r="Y166" s="18">
        <f>IF($A166="","",$X166-$W166)</f>
        <v/>
      </c>
      <c r="Z166" s="18">
        <f>IF($A166="","",N(Items!K166)+$Y166)</f>
        <v/>
      </c>
      <c r="AA166" s="17">
        <f>IF($A166="","",IF(N(Items!L166)=0,"",(N(Items!L166)-N(Items!K166))/N(Items!L166)))</f>
        <v/>
      </c>
      <c r="AB166" s="17">
        <f>IF($A166="","",IF(N(Items!L166)=0,"",(N(Items!L166)-$Z166)/N(Items!L166)))</f>
        <v/>
      </c>
      <c r="AC166" s="17">
        <f>IF(OR($AA166="",$AB166=""),"",$AB166-$AA166)</f>
        <v/>
      </c>
      <c r="AD166" s="13">
        <f>IF($A166="","",N(Items!I166))</f>
        <v/>
      </c>
      <c r="AE166" s="19">
        <f>IF($A166="","",$Y166*$AD166)</f>
        <v/>
      </c>
      <c r="AF166" s="10">
        <f>IF($A166="","",IF(N(Items!L166)&gt;0,"Y","N"))</f>
        <v/>
      </c>
      <c r="AG166" s="19">
        <f>IF($A166="","",IF($AF166="Y",N(Items!L166)*$AD166,0))</f>
        <v/>
      </c>
      <c r="AH166" s="19">
        <f>IF($A166="","",IF($AF166="Y",(N(Items!L166)-N(Items!K166))*$AD166,0))</f>
        <v/>
      </c>
      <c r="AI166" s="19">
        <f>IF($A166="","",IF($AF166="Y",$AH166-$AE166,0))</f>
        <v/>
      </c>
      <c r="AJ166" s="10">
        <f>IF($A166="","",IF(COUNTIF($AL$5:$AL$254,$AL166)&gt;1,"CHECK: duplicate item and import country",IF(TRIM(CLEAN(SUBSTITUTE(Items!C166&amp;""," "," ")))="","CHECK: import country missing",IF(AND(UPPER(TRIM(CLEAN(SUBSTITUTE(Items!C166&amp;""," "," "))))&lt;&gt;"US",UPPER(TRIM(CLEAN(SUBSTITUTE(Items!C166&amp;""," "," "))))&lt;&gt;"CA",UPPER(TRIM(CLEAN(SUBSTITUTE(Items!C166&amp;""," "," "))))&lt;&gt;"MX"),"CHECK: import country must be US, CA or MX",IF(NOT(AND(LEN($C166)=10,IFERROR(TEXT(VALUE($C166),REPT("0",LEN($C166)))=$C166,FALSE))),"CHECK: HTS must be 10 digits",IF(LEN($E166)&lt;&gt;2,"CHECK: origin code missing or not 2 letters",IF(TRIM(CLEAN(SUBSTITUTE(Items!G166&amp;""," "," ")))="","CHECK: unit of measure missing",IF(OR(Items!H166="",Items!J166="",Items!K166=""),"CHECK: value, rate or cost missing",IF(OR(NOT(ISNUMBER(Items!H166)),NOT(ISNUMBER(Items!J166)),NOT(ISNUMBER(Items!K166)),AND(Items!I166&lt;&gt;"",NOT(ISNUMBER(Items!I166))),AND(Items!L166&lt;&gt;"",NOT(ISNUMBER(Items!L166))),AND(Items!M166&lt;&gt;"",NOT(ISNUMBER(Items!M166)))),"CHECK: text in a number column",IF(AND(ISNUMBER(Items!M166),OR(N(Items!M166)&lt;0,N(Items!M166)&gt;1)),"CHECK: dutiable share must be 0% to 100%",IF(AND(UPPER(TRIM(CLEAN(SUBSTITUTE(Items!F166&amp;""," "," "))))&lt;&gt;"",UPPER(TRIM(CLEAN(SUBSTITUTE(Items!F166&amp;""," "," "))))&lt;&gt;"Y",UPPER(TRIM(CLEAN(SUBSTITUTE(Items!F166&amp;""," "," "))))&lt;&gt;"N"),"CHECK: USMCA flag must be Y, N or blank",IF(AND(UPPER(TRIM(CLEAN(SUBSTITUTE(Items!F166&amp;""," "," "))))="Y",$E166&lt;&gt;"US",$E166&lt;&gt;"CA",$E166&lt;&gt;"MX"),"CHECK: USMCA flag on an origin other than US, CA or MX",IF(AND($L166="Y",$AO166=0,NOT(ISNUMBER(act_Rate))),"CHECK: in scope but no rate (add a rate line or B15)",IF(AND($L166="Y",UPPER(TRIM(CLEAN(SUBSTITUTE(act_RateType&amp;""," "," "))))="REPLACE",NOT(ISNUMBER(act_PriorRate)),IF($AO166=0,TRUE,NOT(ISNUMBER(INDEX(rate_Prior,MOD($AO166,100)))))),"CHECK: REPLACE but no earlier rate (B17 or the rate line's AD)",IF(AND($L166="Y",$AP166&gt;1),"CHECK: two rate lines match equally",IF(AND($L166="Y",$AN166&gt;1),"CHECK: HTS prefix listed twice on the scope list",IF(AND($L166="Y",$P166="PART",NOT(ISNUMBER(Items!M166))),"CHECK: dutiable share missing (PART base)",IF(AND($L166="Y",$P166="FULL",ISNUMBER(Items!M166),N(Items!M166)&lt;&gt;1),"CHECK: dutiable share entered, but the rate taxes the full value",IF(AND($L166="Y",$Q166+0.0000001&lt;$T166*$S166+$U166),"CHECK: current rate is below the duty being replaced or displaced",IF(AND($L166="Y",$AD166=0),"NOTE: in scope, no quantity",IF(AND($L166="Y",$AF166="N"),"NOTE: in scope, no sell price (left out of margin %)",IF(AND($L166="Y",N(Items!H166)&gt;N(Items!K166)),"NOTE: customs value above standard cost (check unit of measure)",IF(AND($L166="Y",$Q166&gt;1),"NOTE: current rate above 100% (check it was entered as a percentage)","OK")))))))))))))))))))))))</f>
        <v/>
      </c>
      <c r="AK166" s="20">
        <f>IF($A166="","",IF(AND($L166="Y",$AE166&lt;&gt;0),ABS($AE166)+ROW()/1000000000,""))</f>
        <v/>
      </c>
      <c r="AL166" s="10">
        <f>IF($A166="","",UPPER($A166)&amp;"/"&amp;UPPER(TRIM(CLEAN(SUBSTITUTE(Items!C166&amp;""," "," ")))))</f>
        <v/>
      </c>
      <c r="AM166" s="13">
        <f>IF($A166="",0,SUMPRODUCT(MAX((scope_HTS&lt;&gt;"")*(LEFT($C166,LEN(scope_HTS))=scope_HTS)*(LEN(scope_HTS)*1000+ROW(scope_HTS)-4))))</f>
        <v/>
      </c>
      <c r="AN166" s="13">
        <f>IF($AM166=0,0,SUMPRODUCT((scope_HTS&lt;&gt;"")*(LEFT($C166,LEN(scope_HTS))=scope_HTS)*(LEN(scope_HTS)=INT($AM166/1000))))</f>
        <v/>
      </c>
      <c r="AO166" s="13">
        <f>IF($L166&lt;&gt;"Y",0,SUMPRODUCT(MAX(ISNUMBER(rate_Rate)*((UPPER(TRIM(CLEAN(SUBSTITUTE(rate_Group&amp;""," "," "))))="")+(UPPER(TRIM(CLEAN(SUBSTITUTE(rate_Group&amp;""," "," "))))=$N166)&gt;0)*((UPPER(TRIM(CLEAN(SUBSTITUTE(rate_COO&amp;""," "," "))))="")+(UPPER(TRIM(CLEAN(SUBSTITUTE(rate_COO&amp;""," "," "))))=$E166)&gt;0)*((UPPER(TRIM(CLEAN(SUBSTITUTE(rate_USMCA&amp;""," "," "))))="")+(UPPER(TRIM(CLEAN(SUBSTITUTE(rate_USMCA&amp;""," "," "))))=IF(UPPER(TRIM(CLEAN(SUBSTITUTE(Items!F166&amp;""," "," "))))="Y","Y","N"))&gt;0)*((1+(UPPER(TRIM(CLEAN(SUBSTITUTE(rate_Group&amp;""," "," "))))&lt;&gt;"")+2*(UPPER(TRIM(CLEAN(SUBSTITUTE(rate_USMCA&amp;""," "," "))))&lt;&gt;"")+4*(UPPER(TRIM(CLEAN(SUBSTITUTE(rate_COO&amp;""," "," "))))&lt;&gt;""))*100+ROW(rate_Rate)-4))))</f>
        <v/>
      </c>
      <c r="AP166" s="13">
        <f>IF($AO166=0,0,SUMPRODUCT(ISNUMBER(rate_Rate)*((UPPER(TRIM(CLEAN(SUBSTITUTE(rate_Group&amp;""," "," "))))="")+(UPPER(TRIM(CLEAN(SUBSTITUTE(rate_Group&amp;""," "," "))))=$N166)&gt;0)*((UPPER(TRIM(CLEAN(SUBSTITUTE(rate_COO&amp;""," "," "))))="")+(UPPER(TRIM(CLEAN(SUBSTITUTE(rate_COO&amp;""," "," "))))=$E166)&gt;0)*((UPPER(TRIM(CLEAN(SUBSTITUTE(rate_USMCA&amp;""," "," "))))="")+(UPPER(TRIM(CLEAN(SUBSTITUTE(rate_USMCA&amp;""," "," "))))=IF(UPPER(TRIM(CLEAN(SUBSTITUTE(Items!F166&amp;""," "," "))))="Y","Y","N"))&gt;0)*((1+(UPPER(TRIM(CLEAN(SUBSTITUTE(rate_Group&amp;""," "," "))))&lt;&gt;"")+2*(UPPER(TRIM(CLEAN(SUBSTITUTE(rate_USMCA&amp;""," "," "))))&lt;&gt;"")+4*(UPPER(TRIM(CLEAN(SUBSTITUTE(rate_COO&amp;""," "," "))))&lt;&gt;""))=INT($AO166/100))))</f>
        <v/>
      </c>
      <c r="AQ166" s="13">
        <f>IF($A166="",0,IFERROR(MATCH($AL166,det_Key,0),0))</f>
        <v/>
      </c>
    </row>
    <row r="167">
      <c r="A167" s="10">
        <f>IF(TRIM(CLEAN(SUBSTITUTE(Items!A167&amp;""," "," ")))="","",TRIM(CLEAN(SUBSTITUTE(Items!A167&amp;""," "," "))))</f>
        <v/>
      </c>
      <c r="B167" s="10">
        <f>IF($A167="","",Items!B167&amp;"")</f>
        <v/>
      </c>
      <c r="C167" s="10">
        <f>IF($A167="","",SUBSTITUTE(SUBSTITUTE(SUBSTITUTE(SUBSTITUTE(CLEAN(Items!D167&amp;"")," ",""),".","")," ",""),"-",""))</f>
        <v/>
      </c>
      <c r="D167" s="10">
        <f>IF($A167="","",LEFT($C167,2))</f>
        <v/>
      </c>
      <c r="E167" s="10">
        <f>IF($A167="","",UPPER(TRIM(CLEAN(SUBSTITUTE(Items!E167&amp;""," "," ")))))</f>
        <v/>
      </c>
      <c r="F167" s="10">
        <f>IF($A167="","",IF(UPPER(TRIM(CLEAN(SUBSTITUTE(Items!C167&amp;""," "," "))))=UPPER(TRIM(CLEAN(SUBSTITUTE(act_Country&amp;""," "," ")))),"Y","N"))</f>
        <v/>
      </c>
      <c r="G167" s="10">
        <f>IF($A167="","",IF($AM167&gt;0,"Y","N"))</f>
        <v/>
      </c>
      <c r="H167" s="10">
        <f>IF($A167="","",IF(SUMPRODUCT((excl_HTS&lt;&gt;"")*(LEFT($C167,LEN(excl_HTS))=excl_HTS))&gt;0,"Y","N"))</f>
        <v/>
      </c>
      <c r="I167" s="10">
        <f>IF($A167="","",IF($E167="","N",IF(SUMPRODUCT(--(UPPER(TRIM(CLEAN(SUBSTITUTE(scope_COO&amp;""," "," "))))=$E167))&gt;0,"Y","N")))</f>
        <v/>
      </c>
      <c r="J167" s="10">
        <f>IF($A167="","",IF(AND(UPPER(TRIM(CLEAN(SUBSTITUTE(act_USMCAExempt&amp;""," "," "))))="Y",UPPER(TRIM(CLEAN(SUBSTITUTE(Items!F167&amp;""," "," "))))="Y"),"Y","N"))</f>
        <v/>
      </c>
      <c r="K167" s="10">
        <f>IF($A167="","",IF($AQ167=0,"",UPPER(TRIM(CLEAN(SUBSTITUTE(INDEX(det_Status,$AQ167)&amp;""," "," "))))))</f>
        <v/>
      </c>
      <c r="L167" s="10">
        <f>IF($A167="","",IF($F167="N","N",IF($K167="IN","Y",IF($K167="OUT","N",IF(AND($G167="Y",$H167="N",$I167="Y",$J167="N"),"Y","N")))))</f>
        <v/>
      </c>
      <c r="M167" s="10">
        <f>IF($A167="","",IF($F167="N","Out: different import country",IF($K167="IN","In: Research determination",IF($K167="OUT","Out: Research determination",IF($G167="N","Out: HTS not on scope list",IF($H167="Y","Out: HTS on exclusion list",IF($I167="N","Out: origin not on scope list",IF($J167="Y","Out: USMCA-qualifying, exempt","In: matches scope rules"))))))))</f>
        <v/>
      </c>
      <c r="N167" s="10">
        <f>IF(OR($A167="",$AM167=0),"",UPPER(TRIM(CLEAN(SUBSTITUTE(INDEX(scope_Group,MOD($AM167,1000))&amp;""," "," ")))))</f>
        <v/>
      </c>
      <c r="O167" s="10">
        <f>IF($L167&lt;&gt;"Y","",IF($AO167=0,"Default (B15)",UPPER(TRIM(CLEAN(SUBSTITUTE(INDEX(rate_ID,MOD($AO167,100))&amp;""," "," "))))))</f>
        <v/>
      </c>
      <c r="P167" s="10">
        <f>IF($L167&lt;&gt;"Y","",IF($AO167=0,IF(UPPER(TRIM(CLEAN(SUBSTITUTE(act_DefaultBase&amp;""," "," "))))="PART","PART","FULL"),IF(UPPER(TRIM(CLEAN(SUBSTITUTE(INDEX(rate_Base,MOD($AO167,100))&amp;""," "," "))))="PART","PART","FULL")))</f>
        <v/>
      </c>
      <c r="Q167" s="17">
        <f>IF($A167="","",N(Items!J167))</f>
        <v/>
      </c>
      <c r="R167" s="17">
        <f>IF($A167="","",IF($L167&lt;&gt;"Y",0,IF($AO167=0,N(act_Rate),N(INDEX(rate_Rate,MOD($AO167,100))))))</f>
        <v/>
      </c>
      <c r="S167" s="17">
        <f>IF($A167="","",IF($L167&lt;&gt;"Y",0,IF($AO167=0,IF(UPPER(TRIM(CLEAN(SUBSTITUTE(act_RateType&amp;""," "," "))))="REPLACE",N(act_PriorRate),0),IF(ISNUMBER(INDEX(rate_Prior,MOD($AO167,100))),INDEX(rate_Prior,MOD($AO167,100)),IF(UPPER(TRIM(CLEAN(SUBSTITUTE(act_RateType&amp;""," "," "))))="REPLACE",N(act_PriorRate),0)))))</f>
        <v/>
      </c>
      <c r="T167" s="17">
        <f>IF($A167="","",IF(AND($L167="Y",$P167="PART",ISNUMBER(Items!M167)),Items!M167,1))</f>
        <v/>
      </c>
      <c r="U167" s="17">
        <f>IF($A167="","",IF($L167&lt;&gt;"Y",0,IF($AQ167&gt;0,IF(ISNUMBER(INDEX(det_Displaced,$AQ167)),INDEX(det_Displaced,$AQ167),IF($AO167=0,0,N(INDEX(rate_Displaced,MOD($AO167,100))))),IF($AO167=0,0,N(INDEX(rate_Displaced,MOD($AO167,100)))))))</f>
        <v/>
      </c>
      <c r="V167" s="17">
        <f>IF($A167="","",IF($L167="Y",$Q167+$T167*($R167-$S167)-$U167,$Q167))</f>
        <v/>
      </c>
      <c r="W167" s="18">
        <f>IF($A167="","",N(Items!H167)*$Q167)</f>
        <v/>
      </c>
      <c r="X167" s="18">
        <f>IF($A167="","",N(Items!H167)*$V167)</f>
        <v/>
      </c>
      <c r="Y167" s="18">
        <f>IF($A167="","",$X167-$W167)</f>
        <v/>
      </c>
      <c r="Z167" s="18">
        <f>IF($A167="","",N(Items!K167)+$Y167)</f>
        <v/>
      </c>
      <c r="AA167" s="17">
        <f>IF($A167="","",IF(N(Items!L167)=0,"",(N(Items!L167)-N(Items!K167))/N(Items!L167)))</f>
        <v/>
      </c>
      <c r="AB167" s="17">
        <f>IF($A167="","",IF(N(Items!L167)=0,"",(N(Items!L167)-$Z167)/N(Items!L167)))</f>
        <v/>
      </c>
      <c r="AC167" s="17">
        <f>IF(OR($AA167="",$AB167=""),"",$AB167-$AA167)</f>
        <v/>
      </c>
      <c r="AD167" s="13">
        <f>IF($A167="","",N(Items!I167))</f>
        <v/>
      </c>
      <c r="AE167" s="19">
        <f>IF($A167="","",$Y167*$AD167)</f>
        <v/>
      </c>
      <c r="AF167" s="10">
        <f>IF($A167="","",IF(N(Items!L167)&gt;0,"Y","N"))</f>
        <v/>
      </c>
      <c r="AG167" s="19">
        <f>IF($A167="","",IF($AF167="Y",N(Items!L167)*$AD167,0))</f>
        <v/>
      </c>
      <c r="AH167" s="19">
        <f>IF($A167="","",IF($AF167="Y",(N(Items!L167)-N(Items!K167))*$AD167,0))</f>
        <v/>
      </c>
      <c r="AI167" s="19">
        <f>IF($A167="","",IF($AF167="Y",$AH167-$AE167,0))</f>
        <v/>
      </c>
      <c r="AJ167" s="10">
        <f>IF($A167="","",IF(COUNTIF($AL$5:$AL$254,$AL167)&gt;1,"CHECK: duplicate item and import country",IF(TRIM(CLEAN(SUBSTITUTE(Items!C167&amp;""," "," ")))="","CHECK: import country missing",IF(AND(UPPER(TRIM(CLEAN(SUBSTITUTE(Items!C167&amp;""," "," "))))&lt;&gt;"US",UPPER(TRIM(CLEAN(SUBSTITUTE(Items!C167&amp;""," "," "))))&lt;&gt;"CA",UPPER(TRIM(CLEAN(SUBSTITUTE(Items!C167&amp;""," "," "))))&lt;&gt;"MX"),"CHECK: import country must be US, CA or MX",IF(NOT(AND(LEN($C167)=10,IFERROR(TEXT(VALUE($C167),REPT("0",LEN($C167)))=$C167,FALSE))),"CHECK: HTS must be 10 digits",IF(LEN($E167)&lt;&gt;2,"CHECK: origin code missing or not 2 letters",IF(TRIM(CLEAN(SUBSTITUTE(Items!G167&amp;""," "," ")))="","CHECK: unit of measure missing",IF(OR(Items!H167="",Items!J167="",Items!K167=""),"CHECK: value, rate or cost missing",IF(OR(NOT(ISNUMBER(Items!H167)),NOT(ISNUMBER(Items!J167)),NOT(ISNUMBER(Items!K167)),AND(Items!I167&lt;&gt;"",NOT(ISNUMBER(Items!I167))),AND(Items!L167&lt;&gt;"",NOT(ISNUMBER(Items!L167))),AND(Items!M167&lt;&gt;"",NOT(ISNUMBER(Items!M167)))),"CHECK: text in a number column",IF(AND(ISNUMBER(Items!M167),OR(N(Items!M167)&lt;0,N(Items!M167)&gt;1)),"CHECK: dutiable share must be 0% to 100%",IF(AND(UPPER(TRIM(CLEAN(SUBSTITUTE(Items!F167&amp;""," "," "))))&lt;&gt;"",UPPER(TRIM(CLEAN(SUBSTITUTE(Items!F167&amp;""," "," "))))&lt;&gt;"Y",UPPER(TRIM(CLEAN(SUBSTITUTE(Items!F167&amp;""," "," "))))&lt;&gt;"N"),"CHECK: USMCA flag must be Y, N or blank",IF(AND(UPPER(TRIM(CLEAN(SUBSTITUTE(Items!F167&amp;""," "," "))))="Y",$E167&lt;&gt;"US",$E167&lt;&gt;"CA",$E167&lt;&gt;"MX"),"CHECK: USMCA flag on an origin other than US, CA or MX",IF(AND($L167="Y",$AO167=0,NOT(ISNUMBER(act_Rate))),"CHECK: in scope but no rate (add a rate line or B15)",IF(AND($L167="Y",UPPER(TRIM(CLEAN(SUBSTITUTE(act_RateType&amp;""," "," "))))="REPLACE",NOT(ISNUMBER(act_PriorRate)),IF($AO167=0,TRUE,NOT(ISNUMBER(INDEX(rate_Prior,MOD($AO167,100)))))),"CHECK: REPLACE but no earlier rate (B17 or the rate line's AD)",IF(AND($L167="Y",$AP167&gt;1),"CHECK: two rate lines match equally",IF(AND($L167="Y",$AN167&gt;1),"CHECK: HTS prefix listed twice on the scope list",IF(AND($L167="Y",$P167="PART",NOT(ISNUMBER(Items!M167))),"CHECK: dutiable share missing (PART base)",IF(AND($L167="Y",$P167="FULL",ISNUMBER(Items!M167),N(Items!M167)&lt;&gt;1),"CHECK: dutiable share entered, but the rate taxes the full value",IF(AND($L167="Y",$Q167+0.0000001&lt;$T167*$S167+$U167),"CHECK: current rate is below the duty being replaced or displaced",IF(AND($L167="Y",$AD167=0),"NOTE: in scope, no quantity",IF(AND($L167="Y",$AF167="N"),"NOTE: in scope, no sell price (left out of margin %)",IF(AND($L167="Y",N(Items!H167)&gt;N(Items!K167)),"NOTE: customs value above standard cost (check unit of measure)",IF(AND($L167="Y",$Q167&gt;1),"NOTE: current rate above 100% (check it was entered as a percentage)","OK")))))))))))))))))))))))</f>
        <v/>
      </c>
      <c r="AK167" s="20">
        <f>IF($A167="","",IF(AND($L167="Y",$AE167&lt;&gt;0),ABS($AE167)+ROW()/1000000000,""))</f>
        <v/>
      </c>
      <c r="AL167" s="10">
        <f>IF($A167="","",UPPER($A167)&amp;"/"&amp;UPPER(TRIM(CLEAN(SUBSTITUTE(Items!C167&amp;""," "," ")))))</f>
        <v/>
      </c>
      <c r="AM167" s="13">
        <f>IF($A167="",0,SUMPRODUCT(MAX((scope_HTS&lt;&gt;"")*(LEFT($C167,LEN(scope_HTS))=scope_HTS)*(LEN(scope_HTS)*1000+ROW(scope_HTS)-4))))</f>
        <v/>
      </c>
      <c r="AN167" s="13">
        <f>IF($AM167=0,0,SUMPRODUCT((scope_HTS&lt;&gt;"")*(LEFT($C167,LEN(scope_HTS))=scope_HTS)*(LEN(scope_HTS)=INT($AM167/1000))))</f>
        <v/>
      </c>
      <c r="AO167" s="13">
        <f>IF($L167&lt;&gt;"Y",0,SUMPRODUCT(MAX(ISNUMBER(rate_Rate)*((UPPER(TRIM(CLEAN(SUBSTITUTE(rate_Group&amp;""," "," "))))="")+(UPPER(TRIM(CLEAN(SUBSTITUTE(rate_Group&amp;""," "," "))))=$N167)&gt;0)*((UPPER(TRIM(CLEAN(SUBSTITUTE(rate_COO&amp;""," "," "))))="")+(UPPER(TRIM(CLEAN(SUBSTITUTE(rate_COO&amp;""," "," "))))=$E167)&gt;0)*((UPPER(TRIM(CLEAN(SUBSTITUTE(rate_USMCA&amp;""," "," "))))="")+(UPPER(TRIM(CLEAN(SUBSTITUTE(rate_USMCA&amp;""," "," "))))=IF(UPPER(TRIM(CLEAN(SUBSTITUTE(Items!F167&amp;""," "," "))))="Y","Y","N"))&gt;0)*((1+(UPPER(TRIM(CLEAN(SUBSTITUTE(rate_Group&amp;""," "," "))))&lt;&gt;"")+2*(UPPER(TRIM(CLEAN(SUBSTITUTE(rate_USMCA&amp;""," "," "))))&lt;&gt;"")+4*(UPPER(TRIM(CLEAN(SUBSTITUTE(rate_COO&amp;""," "," "))))&lt;&gt;""))*100+ROW(rate_Rate)-4))))</f>
        <v/>
      </c>
      <c r="AP167" s="13">
        <f>IF($AO167=0,0,SUMPRODUCT(ISNUMBER(rate_Rate)*((UPPER(TRIM(CLEAN(SUBSTITUTE(rate_Group&amp;""," "," "))))="")+(UPPER(TRIM(CLEAN(SUBSTITUTE(rate_Group&amp;""," "," "))))=$N167)&gt;0)*((UPPER(TRIM(CLEAN(SUBSTITUTE(rate_COO&amp;""," "," "))))="")+(UPPER(TRIM(CLEAN(SUBSTITUTE(rate_COO&amp;""," "," "))))=$E167)&gt;0)*((UPPER(TRIM(CLEAN(SUBSTITUTE(rate_USMCA&amp;""," "," "))))="")+(UPPER(TRIM(CLEAN(SUBSTITUTE(rate_USMCA&amp;""," "," "))))=IF(UPPER(TRIM(CLEAN(SUBSTITUTE(Items!F167&amp;""," "," "))))="Y","Y","N"))&gt;0)*((1+(UPPER(TRIM(CLEAN(SUBSTITUTE(rate_Group&amp;""," "," "))))&lt;&gt;"")+2*(UPPER(TRIM(CLEAN(SUBSTITUTE(rate_USMCA&amp;""," "," "))))&lt;&gt;"")+4*(UPPER(TRIM(CLEAN(SUBSTITUTE(rate_COO&amp;""," "," "))))&lt;&gt;""))=INT($AO167/100))))</f>
        <v/>
      </c>
      <c r="AQ167" s="13">
        <f>IF($A167="",0,IFERROR(MATCH($AL167,det_Key,0),0))</f>
        <v/>
      </c>
    </row>
    <row r="168">
      <c r="A168" s="10">
        <f>IF(TRIM(CLEAN(SUBSTITUTE(Items!A168&amp;""," "," ")))="","",TRIM(CLEAN(SUBSTITUTE(Items!A168&amp;""," "," "))))</f>
        <v/>
      </c>
      <c r="B168" s="10">
        <f>IF($A168="","",Items!B168&amp;"")</f>
        <v/>
      </c>
      <c r="C168" s="10">
        <f>IF($A168="","",SUBSTITUTE(SUBSTITUTE(SUBSTITUTE(SUBSTITUTE(CLEAN(Items!D168&amp;"")," ",""),".","")," ",""),"-",""))</f>
        <v/>
      </c>
      <c r="D168" s="10">
        <f>IF($A168="","",LEFT($C168,2))</f>
        <v/>
      </c>
      <c r="E168" s="10">
        <f>IF($A168="","",UPPER(TRIM(CLEAN(SUBSTITUTE(Items!E168&amp;""," "," ")))))</f>
        <v/>
      </c>
      <c r="F168" s="10">
        <f>IF($A168="","",IF(UPPER(TRIM(CLEAN(SUBSTITUTE(Items!C168&amp;""," "," "))))=UPPER(TRIM(CLEAN(SUBSTITUTE(act_Country&amp;""," "," ")))),"Y","N"))</f>
        <v/>
      </c>
      <c r="G168" s="10">
        <f>IF($A168="","",IF($AM168&gt;0,"Y","N"))</f>
        <v/>
      </c>
      <c r="H168" s="10">
        <f>IF($A168="","",IF(SUMPRODUCT((excl_HTS&lt;&gt;"")*(LEFT($C168,LEN(excl_HTS))=excl_HTS))&gt;0,"Y","N"))</f>
        <v/>
      </c>
      <c r="I168" s="10">
        <f>IF($A168="","",IF($E168="","N",IF(SUMPRODUCT(--(UPPER(TRIM(CLEAN(SUBSTITUTE(scope_COO&amp;""," "," "))))=$E168))&gt;0,"Y","N")))</f>
        <v/>
      </c>
      <c r="J168" s="10">
        <f>IF($A168="","",IF(AND(UPPER(TRIM(CLEAN(SUBSTITUTE(act_USMCAExempt&amp;""," "," "))))="Y",UPPER(TRIM(CLEAN(SUBSTITUTE(Items!F168&amp;""," "," "))))="Y"),"Y","N"))</f>
        <v/>
      </c>
      <c r="K168" s="10">
        <f>IF($A168="","",IF($AQ168=0,"",UPPER(TRIM(CLEAN(SUBSTITUTE(INDEX(det_Status,$AQ168)&amp;""," "," "))))))</f>
        <v/>
      </c>
      <c r="L168" s="10">
        <f>IF($A168="","",IF($F168="N","N",IF($K168="IN","Y",IF($K168="OUT","N",IF(AND($G168="Y",$H168="N",$I168="Y",$J168="N"),"Y","N")))))</f>
        <v/>
      </c>
      <c r="M168" s="10">
        <f>IF($A168="","",IF($F168="N","Out: different import country",IF($K168="IN","In: Research determination",IF($K168="OUT","Out: Research determination",IF($G168="N","Out: HTS not on scope list",IF($H168="Y","Out: HTS on exclusion list",IF($I168="N","Out: origin not on scope list",IF($J168="Y","Out: USMCA-qualifying, exempt","In: matches scope rules"))))))))</f>
        <v/>
      </c>
      <c r="N168" s="10">
        <f>IF(OR($A168="",$AM168=0),"",UPPER(TRIM(CLEAN(SUBSTITUTE(INDEX(scope_Group,MOD($AM168,1000))&amp;""," "," ")))))</f>
        <v/>
      </c>
      <c r="O168" s="10">
        <f>IF($L168&lt;&gt;"Y","",IF($AO168=0,"Default (B15)",UPPER(TRIM(CLEAN(SUBSTITUTE(INDEX(rate_ID,MOD($AO168,100))&amp;""," "," "))))))</f>
        <v/>
      </c>
      <c r="P168" s="10">
        <f>IF($L168&lt;&gt;"Y","",IF($AO168=0,IF(UPPER(TRIM(CLEAN(SUBSTITUTE(act_DefaultBase&amp;""," "," "))))="PART","PART","FULL"),IF(UPPER(TRIM(CLEAN(SUBSTITUTE(INDEX(rate_Base,MOD($AO168,100))&amp;""," "," "))))="PART","PART","FULL")))</f>
        <v/>
      </c>
      <c r="Q168" s="17">
        <f>IF($A168="","",N(Items!J168))</f>
        <v/>
      </c>
      <c r="R168" s="17">
        <f>IF($A168="","",IF($L168&lt;&gt;"Y",0,IF($AO168=0,N(act_Rate),N(INDEX(rate_Rate,MOD($AO168,100))))))</f>
        <v/>
      </c>
      <c r="S168" s="17">
        <f>IF($A168="","",IF($L168&lt;&gt;"Y",0,IF($AO168=0,IF(UPPER(TRIM(CLEAN(SUBSTITUTE(act_RateType&amp;""," "," "))))="REPLACE",N(act_PriorRate),0),IF(ISNUMBER(INDEX(rate_Prior,MOD($AO168,100))),INDEX(rate_Prior,MOD($AO168,100)),IF(UPPER(TRIM(CLEAN(SUBSTITUTE(act_RateType&amp;""," "," "))))="REPLACE",N(act_PriorRate),0)))))</f>
        <v/>
      </c>
      <c r="T168" s="17">
        <f>IF($A168="","",IF(AND($L168="Y",$P168="PART",ISNUMBER(Items!M168)),Items!M168,1))</f>
        <v/>
      </c>
      <c r="U168" s="17">
        <f>IF($A168="","",IF($L168&lt;&gt;"Y",0,IF($AQ168&gt;0,IF(ISNUMBER(INDEX(det_Displaced,$AQ168)),INDEX(det_Displaced,$AQ168),IF($AO168=0,0,N(INDEX(rate_Displaced,MOD($AO168,100))))),IF($AO168=0,0,N(INDEX(rate_Displaced,MOD($AO168,100)))))))</f>
        <v/>
      </c>
      <c r="V168" s="17">
        <f>IF($A168="","",IF($L168="Y",$Q168+$T168*($R168-$S168)-$U168,$Q168))</f>
        <v/>
      </c>
      <c r="W168" s="18">
        <f>IF($A168="","",N(Items!H168)*$Q168)</f>
        <v/>
      </c>
      <c r="X168" s="18">
        <f>IF($A168="","",N(Items!H168)*$V168)</f>
        <v/>
      </c>
      <c r="Y168" s="18">
        <f>IF($A168="","",$X168-$W168)</f>
        <v/>
      </c>
      <c r="Z168" s="18">
        <f>IF($A168="","",N(Items!K168)+$Y168)</f>
        <v/>
      </c>
      <c r="AA168" s="17">
        <f>IF($A168="","",IF(N(Items!L168)=0,"",(N(Items!L168)-N(Items!K168))/N(Items!L168)))</f>
        <v/>
      </c>
      <c r="AB168" s="17">
        <f>IF($A168="","",IF(N(Items!L168)=0,"",(N(Items!L168)-$Z168)/N(Items!L168)))</f>
        <v/>
      </c>
      <c r="AC168" s="17">
        <f>IF(OR($AA168="",$AB168=""),"",$AB168-$AA168)</f>
        <v/>
      </c>
      <c r="AD168" s="13">
        <f>IF($A168="","",N(Items!I168))</f>
        <v/>
      </c>
      <c r="AE168" s="19">
        <f>IF($A168="","",$Y168*$AD168)</f>
        <v/>
      </c>
      <c r="AF168" s="10">
        <f>IF($A168="","",IF(N(Items!L168)&gt;0,"Y","N"))</f>
        <v/>
      </c>
      <c r="AG168" s="19">
        <f>IF($A168="","",IF($AF168="Y",N(Items!L168)*$AD168,0))</f>
        <v/>
      </c>
      <c r="AH168" s="19">
        <f>IF($A168="","",IF($AF168="Y",(N(Items!L168)-N(Items!K168))*$AD168,0))</f>
        <v/>
      </c>
      <c r="AI168" s="19">
        <f>IF($A168="","",IF($AF168="Y",$AH168-$AE168,0))</f>
        <v/>
      </c>
      <c r="AJ168" s="10">
        <f>IF($A168="","",IF(COUNTIF($AL$5:$AL$254,$AL168)&gt;1,"CHECK: duplicate item and import country",IF(TRIM(CLEAN(SUBSTITUTE(Items!C168&amp;""," "," ")))="","CHECK: import country missing",IF(AND(UPPER(TRIM(CLEAN(SUBSTITUTE(Items!C168&amp;""," "," "))))&lt;&gt;"US",UPPER(TRIM(CLEAN(SUBSTITUTE(Items!C168&amp;""," "," "))))&lt;&gt;"CA",UPPER(TRIM(CLEAN(SUBSTITUTE(Items!C168&amp;""," "," "))))&lt;&gt;"MX"),"CHECK: import country must be US, CA or MX",IF(NOT(AND(LEN($C168)=10,IFERROR(TEXT(VALUE($C168),REPT("0",LEN($C168)))=$C168,FALSE))),"CHECK: HTS must be 10 digits",IF(LEN($E168)&lt;&gt;2,"CHECK: origin code missing or not 2 letters",IF(TRIM(CLEAN(SUBSTITUTE(Items!G168&amp;""," "," ")))="","CHECK: unit of measure missing",IF(OR(Items!H168="",Items!J168="",Items!K168=""),"CHECK: value, rate or cost missing",IF(OR(NOT(ISNUMBER(Items!H168)),NOT(ISNUMBER(Items!J168)),NOT(ISNUMBER(Items!K168)),AND(Items!I168&lt;&gt;"",NOT(ISNUMBER(Items!I168))),AND(Items!L168&lt;&gt;"",NOT(ISNUMBER(Items!L168))),AND(Items!M168&lt;&gt;"",NOT(ISNUMBER(Items!M168)))),"CHECK: text in a number column",IF(AND(ISNUMBER(Items!M168),OR(N(Items!M168)&lt;0,N(Items!M168)&gt;1)),"CHECK: dutiable share must be 0% to 100%",IF(AND(UPPER(TRIM(CLEAN(SUBSTITUTE(Items!F168&amp;""," "," "))))&lt;&gt;"",UPPER(TRIM(CLEAN(SUBSTITUTE(Items!F168&amp;""," "," "))))&lt;&gt;"Y",UPPER(TRIM(CLEAN(SUBSTITUTE(Items!F168&amp;""," "," "))))&lt;&gt;"N"),"CHECK: USMCA flag must be Y, N or blank",IF(AND(UPPER(TRIM(CLEAN(SUBSTITUTE(Items!F168&amp;""," "," "))))="Y",$E168&lt;&gt;"US",$E168&lt;&gt;"CA",$E168&lt;&gt;"MX"),"CHECK: USMCA flag on an origin other than US, CA or MX",IF(AND($L168="Y",$AO168=0,NOT(ISNUMBER(act_Rate))),"CHECK: in scope but no rate (add a rate line or B15)",IF(AND($L168="Y",UPPER(TRIM(CLEAN(SUBSTITUTE(act_RateType&amp;""," "," "))))="REPLACE",NOT(ISNUMBER(act_PriorRate)),IF($AO168=0,TRUE,NOT(ISNUMBER(INDEX(rate_Prior,MOD($AO168,100)))))),"CHECK: REPLACE but no earlier rate (B17 or the rate line's AD)",IF(AND($L168="Y",$AP168&gt;1),"CHECK: two rate lines match equally",IF(AND($L168="Y",$AN168&gt;1),"CHECK: HTS prefix listed twice on the scope list",IF(AND($L168="Y",$P168="PART",NOT(ISNUMBER(Items!M168))),"CHECK: dutiable share missing (PART base)",IF(AND($L168="Y",$P168="FULL",ISNUMBER(Items!M168),N(Items!M168)&lt;&gt;1),"CHECK: dutiable share entered, but the rate taxes the full value",IF(AND($L168="Y",$Q168+0.0000001&lt;$T168*$S168+$U168),"CHECK: current rate is below the duty being replaced or displaced",IF(AND($L168="Y",$AD168=0),"NOTE: in scope, no quantity",IF(AND($L168="Y",$AF168="N"),"NOTE: in scope, no sell price (left out of margin %)",IF(AND($L168="Y",N(Items!H168)&gt;N(Items!K168)),"NOTE: customs value above standard cost (check unit of measure)",IF(AND($L168="Y",$Q168&gt;1),"NOTE: current rate above 100% (check it was entered as a percentage)","OK")))))))))))))))))))))))</f>
        <v/>
      </c>
      <c r="AK168" s="20">
        <f>IF($A168="","",IF(AND($L168="Y",$AE168&lt;&gt;0),ABS($AE168)+ROW()/1000000000,""))</f>
        <v/>
      </c>
      <c r="AL168" s="10">
        <f>IF($A168="","",UPPER($A168)&amp;"/"&amp;UPPER(TRIM(CLEAN(SUBSTITUTE(Items!C168&amp;""," "," ")))))</f>
        <v/>
      </c>
      <c r="AM168" s="13">
        <f>IF($A168="",0,SUMPRODUCT(MAX((scope_HTS&lt;&gt;"")*(LEFT($C168,LEN(scope_HTS))=scope_HTS)*(LEN(scope_HTS)*1000+ROW(scope_HTS)-4))))</f>
        <v/>
      </c>
      <c r="AN168" s="13">
        <f>IF($AM168=0,0,SUMPRODUCT((scope_HTS&lt;&gt;"")*(LEFT($C168,LEN(scope_HTS))=scope_HTS)*(LEN(scope_HTS)=INT($AM168/1000))))</f>
        <v/>
      </c>
      <c r="AO168" s="13">
        <f>IF($L168&lt;&gt;"Y",0,SUMPRODUCT(MAX(ISNUMBER(rate_Rate)*((UPPER(TRIM(CLEAN(SUBSTITUTE(rate_Group&amp;""," "," "))))="")+(UPPER(TRIM(CLEAN(SUBSTITUTE(rate_Group&amp;""," "," "))))=$N168)&gt;0)*((UPPER(TRIM(CLEAN(SUBSTITUTE(rate_COO&amp;""," "," "))))="")+(UPPER(TRIM(CLEAN(SUBSTITUTE(rate_COO&amp;""," "," "))))=$E168)&gt;0)*((UPPER(TRIM(CLEAN(SUBSTITUTE(rate_USMCA&amp;""," "," "))))="")+(UPPER(TRIM(CLEAN(SUBSTITUTE(rate_USMCA&amp;""," "," "))))=IF(UPPER(TRIM(CLEAN(SUBSTITUTE(Items!F168&amp;""," "," "))))="Y","Y","N"))&gt;0)*((1+(UPPER(TRIM(CLEAN(SUBSTITUTE(rate_Group&amp;""," "," "))))&lt;&gt;"")+2*(UPPER(TRIM(CLEAN(SUBSTITUTE(rate_USMCA&amp;""," "," "))))&lt;&gt;"")+4*(UPPER(TRIM(CLEAN(SUBSTITUTE(rate_COO&amp;""," "," "))))&lt;&gt;""))*100+ROW(rate_Rate)-4))))</f>
        <v/>
      </c>
      <c r="AP168" s="13">
        <f>IF($AO168=0,0,SUMPRODUCT(ISNUMBER(rate_Rate)*((UPPER(TRIM(CLEAN(SUBSTITUTE(rate_Group&amp;""," "," "))))="")+(UPPER(TRIM(CLEAN(SUBSTITUTE(rate_Group&amp;""," "," "))))=$N168)&gt;0)*((UPPER(TRIM(CLEAN(SUBSTITUTE(rate_COO&amp;""," "," "))))="")+(UPPER(TRIM(CLEAN(SUBSTITUTE(rate_COO&amp;""," "," "))))=$E168)&gt;0)*((UPPER(TRIM(CLEAN(SUBSTITUTE(rate_USMCA&amp;""," "," "))))="")+(UPPER(TRIM(CLEAN(SUBSTITUTE(rate_USMCA&amp;""," "," "))))=IF(UPPER(TRIM(CLEAN(SUBSTITUTE(Items!F168&amp;""," "," "))))="Y","Y","N"))&gt;0)*((1+(UPPER(TRIM(CLEAN(SUBSTITUTE(rate_Group&amp;""," "," "))))&lt;&gt;"")+2*(UPPER(TRIM(CLEAN(SUBSTITUTE(rate_USMCA&amp;""," "," "))))&lt;&gt;"")+4*(UPPER(TRIM(CLEAN(SUBSTITUTE(rate_COO&amp;""," "," "))))&lt;&gt;""))=INT($AO168/100))))</f>
        <v/>
      </c>
      <c r="AQ168" s="13">
        <f>IF($A168="",0,IFERROR(MATCH($AL168,det_Key,0),0))</f>
        <v/>
      </c>
    </row>
    <row r="169">
      <c r="A169" s="10">
        <f>IF(TRIM(CLEAN(SUBSTITUTE(Items!A169&amp;""," "," ")))="","",TRIM(CLEAN(SUBSTITUTE(Items!A169&amp;""," "," "))))</f>
        <v/>
      </c>
      <c r="B169" s="10">
        <f>IF($A169="","",Items!B169&amp;"")</f>
        <v/>
      </c>
      <c r="C169" s="10">
        <f>IF($A169="","",SUBSTITUTE(SUBSTITUTE(SUBSTITUTE(SUBSTITUTE(CLEAN(Items!D169&amp;"")," ",""),".","")," ",""),"-",""))</f>
        <v/>
      </c>
      <c r="D169" s="10">
        <f>IF($A169="","",LEFT($C169,2))</f>
        <v/>
      </c>
      <c r="E169" s="10">
        <f>IF($A169="","",UPPER(TRIM(CLEAN(SUBSTITUTE(Items!E169&amp;""," "," ")))))</f>
        <v/>
      </c>
      <c r="F169" s="10">
        <f>IF($A169="","",IF(UPPER(TRIM(CLEAN(SUBSTITUTE(Items!C169&amp;""," "," "))))=UPPER(TRIM(CLEAN(SUBSTITUTE(act_Country&amp;""," "," ")))),"Y","N"))</f>
        <v/>
      </c>
      <c r="G169" s="10">
        <f>IF($A169="","",IF($AM169&gt;0,"Y","N"))</f>
        <v/>
      </c>
      <c r="H169" s="10">
        <f>IF($A169="","",IF(SUMPRODUCT((excl_HTS&lt;&gt;"")*(LEFT($C169,LEN(excl_HTS))=excl_HTS))&gt;0,"Y","N"))</f>
        <v/>
      </c>
      <c r="I169" s="10">
        <f>IF($A169="","",IF($E169="","N",IF(SUMPRODUCT(--(UPPER(TRIM(CLEAN(SUBSTITUTE(scope_COO&amp;""," "," "))))=$E169))&gt;0,"Y","N")))</f>
        <v/>
      </c>
      <c r="J169" s="10">
        <f>IF($A169="","",IF(AND(UPPER(TRIM(CLEAN(SUBSTITUTE(act_USMCAExempt&amp;""," "," "))))="Y",UPPER(TRIM(CLEAN(SUBSTITUTE(Items!F169&amp;""," "," "))))="Y"),"Y","N"))</f>
        <v/>
      </c>
      <c r="K169" s="10">
        <f>IF($A169="","",IF($AQ169=0,"",UPPER(TRIM(CLEAN(SUBSTITUTE(INDEX(det_Status,$AQ169)&amp;""," "," "))))))</f>
        <v/>
      </c>
      <c r="L169" s="10">
        <f>IF($A169="","",IF($F169="N","N",IF($K169="IN","Y",IF($K169="OUT","N",IF(AND($G169="Y",$H169="N",$I169="Y",$J169="N"),"Y","N")))))</f>
        <v/>
      </c>
      <c r="M169" s="10">
        <f>IF($A169="","",IF($F169="N","Out: different import country",IF($K169="IN","In: Research determination",IF($K169="OUT","Out: Research determination",IF($G169="N","Out: HTS not on scope list",IF($H169="Y","Out: HTS on exclusion list",IF($I169="N","Out: origin not on scope list",IF($J169="Y","Out: USMCA-qualifying, exempt","In: matches scope rules"))))))))</f>
        <v/>
      </c>
      <c r="N169" s="10">
        <f>IF(OR($A169="",$AM169=0),"",UPPER(TRIM(CLEAN(SUBSTITUTE(INDEX(scope_Group,MOD($AM169,1000))&amp;""," "," ")))))</f>
        <v/>
      </c>
      <c r="O169" s="10">
        <f>IF($L169&lt;&gt;"Y","",IF($AO169=0,"Default (B15)",UPPER(TRIM(CLEAN(SUBSTITUTE(INDEX(rate_ID,MOD($AO169,100))&amp;""," "," "))))))</f>
        <v/>
      </c>
      <c r="P169" s="10">
        <f>IF($L169&lt;&gt;"Y","",IF($AO169=0,IF(UPPER(TRIM(CLEAN(SUBSTITUTE(act_DefaultBase&amp;""," "," "))))="PART","PART","FULL"),IF(UPPER(TRIM(CLEAN(SUBSTITUTE(INDEX(rate_Base,MOD($AO169,100))&amp;""," "," "))))="PART","PART","FULL")))</f>
        <v/>
      </c>
      <c r="Q169" s="17">
        <f>IF($A169="","",N(Items!J169))</f>
        <v/>
      </c>
      <c r="R169" s="17">
        <f>IF($A169="","",IF($L169&lt;&gt;"Y",0,IF($AO169=0,N(act_Rate),N(INDEX(rate_Rate,MOD($AO169,100))))))</f>
        <v/>
      </c>
      <c r="S169" s="17">
        <f>IF($A169="","",IF($L169&lt;&gt;"Y",0,IF($AO169=0,IF(UPPER(TRIM(CLEAN(SUBSTITUTE(act_RateType&amp;""," "," "))))="REPLACE",N(act_PriorRate),0),IF(ISNUMBER(INDEX(rate_Prior,MOD($AO169,100))),INDEX(rate_Prior,MOD($AO169,100)),IF(UPPER(TRIM(CLEAN(SUBSTITUTE(act_RateType&amp;""," "," "))))="REPLACE",N(act_PriorRate),0)))))</f>
        <v/>
      </c>
      <c r="T169" s="17">
        <f>IF($A169="","",IF(AND($L169="Y",$P169="PART",ISNUMBER(Items!M169)),Items!M169,1))</f>
        <v/>
      </c>
      <c r="U169" s="17">
        <f>IF($A169="","",IF($L169&lt;&gt;"Y",0,IF($AQ169&gt;0,IF(ISNUMBER(INDEX(det_Displaced,$AQ169)),INDEX(det_Displaced,$AQ169),IF($AO169=0,0,N(INDEX(rate_Displaced,MOD($AO169,100))))),IF($AO169=0,0,N(INDEX(rate_Displaced,MOD($AO169,100)))))))</f>
        <v/>
      </c>
      <c r="V169" s="17">
        <f>IF($A169="","",IF($L169="Y",$Q169+$T169*($R169-$S169)-$U169,$Q169))</f>
        <v/>
      </c>
      <c r="W169" s="18">
        <f>IF($A169="","",N(Items!H169)*$Q169)</f>
        <v/>
      </c>
      <c r="X169" s="18">
        <f>IF($A169="","",N(Items!H169)*$V169)</f>
        <v/>
      </c>
      <c r="Y169" s="18">
        <f>IF($A169="","",$X169-$W169)</f>
        <v/>
      </c>
      <c r="Z169" s="18">
        <f>IF($A169="","",N(Items!K169)+$Y169)</f>
        <v/>
      </c>
      <c r="AA169" s="17">
        <f>IF($A169="","",IF(N(Items!L169)=0,"",(N(Items!L169)-N(Items!K169))/N(Items!L169)))</f>
        <v/>
      </c>
      <c r="AB169" s="17">
        <f>IF($A169="","",IF(N(Items!L169)=0,"",(N(Items!L169)-$Z169)/N(Items!L169)))</f>
        <v/>
      </c>
      <c r="AC169" s="17">
        <f>IF(OR($AA169="",$AB169=""),"",$AB169-$AA169)</f>
        <v/>
      </c>
      <c r="AD169" s="13">
        <f>IF($A169="","",N(Items!I169))</f>
        <v/>
      </c>
      <c r="AE169" s="19">
        <f>IF($A169="","",$Y169*$AD169)</f>
        <v/>
      </c>
      <c r="AF169" s="10">
        <f>IF($A169="","",IF(N(Items!L169)&gt;0,"Y","N"))</f>
        <v/>
      </c>
      <c r="AG169" s="19">
        <f>IF($A169="","",IF($AF169="Y",N(Items!L169)*$AD169,0))</f>
        <v/>
      </c>
      <c r="AH169" s="19">
        <f>IF($A169="","",IF($AF169="Y",(N(Items!L169)-N(Items!K169))*$AD169,0))</f>
        <v/>
      </c>
      <c r="AI169" s="19">
        <f>IF($A169="","",IF($AF169="Y",$AH169-$AE169,0))</f>
        <v/>
      </c>
      <c r="AJ169" s="10">
        <f>IF($A169="","",IF(COUNTIF($AL$5:$AL$254,$AL169)&gt;1,"CHECK: duplicate item and import country",IF(TRIM(CLEAN(SUBSTITUTE(Items!C169&amp;""," "," ")))="","CHECK: import country missing",IF(AND(UPPER(TRIM(CLEAN(SUBSTITUTE(Items!C169&amp;""," "," "))))&lt;&gt;"US",UPPER(TRIM(CLEAN(SUBSTITUTE(Items!C169&amp;""," "," "))))&lt;&gt;"CA",UPPER(TRIM(CLEAN(SUBSTITUTE(Items!C169&amp;""," "," "))))&lt;&gt;"MX"),"CHECK: import country must be US, CA or MX",IF(NOT(AND(LEN($C169)=10,IFERROR(TEXT(VALUE($C169),REPT("0",LEN($C169)))=$C169,FALSE))),"CHECK: HTS must be 10 digits",IF(LEN($E169)&lt;&gt;2,"CHECK: origin code missing or not 2 letters",IF(TRIM(CLEAN(SUBSTITUTE(Items!G169&amp;""," "," ")))="","CHECK: unit of measure missing",IF(OR(Items!H169="",Items!J169="",Items!K169=""),"CHECK: value, rate or cost missing",IF(OR(NOT(ISNUMBER(Items!H169)),NOT(ISNUMBER(Items!J169)),NOT(ISNUMBER(Items!K169)),AND(Items!I169&lt;&gt;"",NOT(ISNUMBER(Items!I169))),AND(Items!L169&lt;&gt;"",NOT(ISNUMBER(Items!L169))),AND(Items!M169&lt;&gt;"",NOT(ISNUMBER(Items!M169)))),"CHECK: text in a number column",IF(AND(ISNUMBER(Items!M169),OR(N(Items!M169)&lt;0,N(Items!M169)&gt;1)),"CHECK: dutiable share must be 0% to 100%",IF(AND(UPPER(TRIM(CLEAN(SUBSTITUTE(Items!F169&amp;""," "," "))))&lt;&gt;"",UPPER(TRIM(CLEAN(SUBSTITUTE(Items!F169&amp;""," "," "))))&lt;&gt;"Y",UPPER(TRIM(CLEAN(SUBSTITUTE(Items!F169&amp;""," "," "))))&lt;&gt;"N"),"CHECK: USMCA flag must be Y, N or blank",IF(AND(UPPER(TRIM(CLEAN(SUBSTITUTE(Items!F169&amp;""," "," "))))="Y",$E169&lt;&gt;"US",$E169&lt;&gt;"CA",$E169&lt;&gt;"MX"),"CHECK: USMCA flag on an origin other than US, CA or MX",IF(AND($L169="Y",$AO169=0,NOT(ISNUMBER(act_Rate))),"CHECK: in scope but no rate (add a rate line or B15)",IF(AND($L169="Y",UPPER(TRIM(CLEAN(SUBSTITUTE(act_RateType&amp;""," "," "))))="REPLACE",NOT(ISNUMBER(act_PriorRate)),IF($AO169=0,TRUE,NOT(ISNUMBER(INDEX(rate_Prior,MOD($AO169,100)))))),"CHECK: REPLACE but no earlier rate (B17 or the rate line's AD)",IF(AND($L169="Y",$AP169&gt;1),"CHECK: two rate lines match equally",IF(AND($L169="Y",$AN169&gt;1),"CHECK: HTS prefix listed twice on the scope list",IF(AND($L169="Y",$P169="PART",NOT(ISNUMBER(Items!M169))),"CHECK: dutiable share missing (PART base)",IF(AND($L169="Y",$P169="FULL",ISNUMBER(Items!M169),N(Items!M169)&lt;&gt;1),"CHECK: dutiable share entered, but the rate taxes the full value",IF(AND($L169="Y",$Q169+0.0000001&lt;$T169*$S169+$U169),"CHECK: current rate is below the duty being replaced or displaced",IF(AND($L169="Y",$AD169=0),"NOTE: in scope, no quantity",IF(AND($L169="Y",$AF169="N"),"NOTE: in scope, no sell price (left out of margin %)",IF(AND($L169="Y",N(Items!H169)&gt;N(Items!K169)),"NOTE: customs value above standard cost (check unit of measure)",IF(AND($L169="Y",$Q169&gt;1),"NOTE: current rate above 100% (check it was entered as a percentage)","OK")))))))))))))))))))))))</f>
        <v/>
      </c>
      <c r="AK169" s="20">
        <f>IF($A169="","",IF(AND($L169="Y",$AE169&lt;&gt;0),ABS($AE169)+ROW()/1000000000,""))</f>
        <v/>
      </c>
      <c r="AL169" s="10">
        <f>IF($A169="","",UPPER($A169)&amp;"/"&amp;UPPER(TRIM(CLEAN(SUBSTITUTE(Items!C169&amp;""," "," ")))))</f>
        <v/>
      </c>
      <c r="AM169" s="13">
        <f>IF($A169="",0,SUMPRODUCT(MAX((scope_HTS&lt;&gt;"")*(LEFT($C169,LEN(scope_HTS))=scope_HTS)*(LEN(scope_HTS)*1000+ROW(scope_HTS)-4))))</f>
        <v/>
      </c>
      <c r="AN169" s="13">
        <f>IF($AM169=0,0,SUMPRODUCT((scope_HTS&lt;&gt;"")*(LEFT($C169,LEN(scope_HTS))=scope_HTS)*(LEN(scope_HTS)=INT($AM169/1000))))</f>
        <v/>
      </c>
      <c r="AO169" s="13">
        <f>IF($L169&lt;&gt;"Y",0,SUMPRODUCT(MAX(ISNUMBER(rate_Rate)*((UPPER(TRIM(CLEAN(SUBSTITUTE(rate_Group&amp;""," "," "))))="")+(UPPER(TRIM(CLEAN(SUBSTITUTE(rate_Group&amp;""," "," "))))=$N169)&gt;0)*((UPPER(TRIM(CLEAN(SUBSTITUTE(rate_COO&amp;""," "," "))))="")+(UPPER(TRIM(CLEAN(SUBSTITUTE(rate_COO&amp;""," "," "))))=$E169)&gt;0)*((UPPER(TRIM(CLEAN(SUBSTITUTE(rate_USMCA&amp;""," "," "))))="")+(UPPER(TRIM(CLEAN(SUBSTITUTE(rate_USMCA&amp;""," "," "))))=IF(UPPER(TRIM(CLEAN(SUBSTITUTE(Items!F169&amp;""," "," "))))="Y","Y","N"))&gt;0)*((1+(UPPER(TRIM(CLEAN(SUBSTITUTE(rate_Group&amp;""," "," "))))&lt;&gt;"")+2*(UPPER(TRIM(CLEAN(SUBSTITUTE(rate_USMCA&amp;""," "," "))))&lt;&gt;"")+4*(UPPER(TRIM(CLEAN(SUBSTITUTE(rate_COO&amp;""," "," "))))&lt;&gt;""))*100+ROW(rate_Rate)-4))))</f>
        <v/>
      </c>
      <c r="AP169" s="13">
        <f>IF($AO169=0,0,SUMPRODUCT(ISNUMBER(rate_Rate)*((UPPER(TRIM(CLEAN(SUBSTITUTE(rate_Group&amp;""," "," "))))="")+(UPPER(TRIM(CLEAN(SUBSTITUTE(rate_Group&amp;""," "," "))))=$N169)&gt;0)*((UPPER(TRIM(CLEAN(SUBSTITUTE(rate_COO&amp;""," "," "))))="")+(UPPER(TRIM(CLEAN(SUBSTITUTE(rate_COO&amp;""," "," "))))=$E169)&gt;0)*((UPPER(TRIM(CLEAN(SUBSTITUTE(rate_USMCA&amp;""," "," "))))="")+(UPPER(TRIM(CLEAN(SUBSTITUTE(rate_USMCA&amp;""," "," "))))=IF(UPPER(TRIM(CLEAN(SUBSTITUTE(Items!F169&amp;""," "," "))))="Y","Y","N"))&gt;0)*((1+(UPPER(TRIM(CLEAN(SUBSTITUTE(rate_Group&amp;""," "," "))))&lt;&gt;"")+2*(UPPER(TRIM(CLEAN(SUBSTITUTE(rate_USMCA&amp;""," "," "))))&lt;&gt;"")+4*(UPPER(TRIM(CLEAN(SUBSTITUTE(rate_COO&amp;""," "," "))))&lt;&gt;""))=INT($AO169/100))))</f>
        <v/>
      </c>
      <c r="AQ169" s="13">
        <f>IF($A169="",0,IFERROR(MATCH($AL169,det_Key,0),0))</f>
        <v/>
      </c>
    </row>
    <row r="170">
      <c r="A170" s="10">
        <f>IF(TRIM(CLEAN(SUBSTITUTE(Items!A170&amp;""," "," ")))="","",TRIM(CLEAN(SUBSTITUTE(Items!A170&amp;""," "," "))))</f>
        <v/>
      </c>
      <c r="B170" s="10">
        <f>IF($A170="","",Items!B170&amp;"")</f>
        <v/>
      </c>
      <c r="C170" s="10">
        <f>IF($A170="","",SUBSTITUTE(SUBSTITUTE(SUBSTITUTE(SUBSTITUTE(CLEAN(Items!D170&amp;"")," ",""),".","")," ",""),"-",""))</f>
        <v/>
      </c>
      <c r="D170" s="10">
        <f>IF($A170="","",LEFT($C170,2))</f>
        <v/>
      </c>
      <c r="E170" s="10">
        <f>IF($A170="","",UPPER(TRIM(CLEAN(SUBSTITUTE(Items!E170&amp;""," "," ")))))</f>
        <v/>
      </c>
      <c r="F170" s="10">
        <f>IF($A170="","",IF(UPPER(TRIM(CLEAN(SUBSTITUTE(Items!C170&amp;""," "," "))))=UPPER(TRIM(CLEAN(SUBSTITUTE(act_Country&amp;""," "," ")))),"Y","N"))</f>
        <v/>
      </c>
      <c r="G170" s="10">
        <f>IF($A170="","",IF($AM170&gt;0,"Y","N"))</f>
        <v/>
      </c>
      <c r="H170" s="10">
        <f>IF($A170="","",IF(SUMPRODUCT((excl_HTS&lt;&gt;"")*(LEFT($C170,LEN(excl_HTS))=excl_HTS))&gt;0,"Y","N"))</f>
        <v/>
      </c>
      <c r="I170" s="10">
        <f>IF($A170="","",IF($E170="","N",IF(SUMPRODUCT(--(UPPER(TRIM(CLEAN(SUBSTITUTE(scope_COO&amp;""," "," "))))=$E170))&gt;0,"Y","N")))</f>
        <v/>
      </c>
      <c r="J170" s="10">
        <f>IF($A170="","",IF(AND(UPPER(TRIM(CLEAN(SUBSTITUTE(act_USMCAExempt&amp;""," "," "))))="Y",UPPER(TRIM(CLEAN(SUBSTITUTE(Items!F170&amp;""," "," "))))="Y"),"Y","N"))</f>
        <v/>
      </c>
      <c r="K170" s="10">
        <f>IF($A170="","",IF($AQ170=0,"",UPPER(TRIM(CLEAN(SUBSTITUTE(INDEX(det_Status,$AQ170)&amp;""," "," "))))))</f>
        <v/>
      </c>
      <c r="L170" s="10">
        <f>IF($A170="","",IF($F170="N","N",IF($K170="IN","Y",IF($K170="OUT","N",IF(AND($G170="Y",$H170="N",$I170="Y",$J170="N"),"Y","N")))))</f>
        <v/>
      </c>
      <c r="M170" s="10">
        <f>IF($A170="","",IF($F170="N","Out: different import country",IF($K170="IN","In: Research determination",IF($K170="OUT","Out: Research determination",IF($G170="N","Out: HTS not on scope list",IF($H170="Y","Out: HTS on exclusion list",IF($I170="N","Out: origin not on scope list",IF($J170="Y","Out: USMCA-qualifying, exempt","In: matches scope rules"))))))))</f>
        <v/>
      </c>
      <c r="N170" s="10">
        <f>IF(OR($A170="",$AM170=0),"",UPPER(TRIM(CLEAN(SUBSTITUTE(INDEX(scope_Group,MOD($AM170,1000))&amp;""," "," ")))))</f>
        <v/>
      </c>
      <c r="O170" s="10">
        <f>IF($L170&lt;&gt;"Y","",IF($AO170=0,"Default (B15)",UPPER(TRIM(CLEAN(SUBSTITUTE(INDEX(rate_ID,MOD($AO170,100))&amp;""," "," "))))))</f>
        <v/>
      </c>
      <c r="P170" s="10">
        <f>IF($L170&lt;&gt;"Y","",IF($AO170=0,IF(UPPER(TRIM(CLEAN(SUBSTITUTE(act_DefaultBase&amp;""," "," "))))="PART","PART","FULL"),IF(UPPER(TRIM(CLEAN(SUBSTITUTE(INDEX(rate_Base,MOD($AO170,100))&amp;""," "," "))))="PART","PART","FULL")))</f>
        <v/>
      </c>
      <c r="Q170" s="17">
        <f>IF($A170="","",N(Items!J170))</f>
        <v/>
      </c>
      <c r="R170" s="17">
        <f>IF($A170="","",IF($L170&lt;&gt;"Y",0,IF($AO170=0,N(act_Rate),N(INDEX(rate_Rate,MOD($AO170,100))))))</f>
        <v/>
      </c>
      <c r="S170" s="17">
        <f>IF($A170="","",IF($L170&lt;&gt;"Y",0,IF($AO170=0,IF(UPPER(TRIM(CLEAN(SUBSTITUTE(act_RateType&amp;""," "," "))))="REPLACE",N(act_PriorRate),0),IF(ISNUMBER(INDEX(rate_Prior,MOD($AO170,100))),INDEX(rate_Prior,MOD($AO170,100)),IF(UPPER(TRIM(CLEAN(SUBSTITUTE(act_RateType&amp;""," "," "))))="REPLACE",N(act_PriorRate),0)))))</f>
        <v/>
      </c>
      <c r="T170" s="17">
        <f>IF($A170="","",IF(AND($L170="Y",$P170="PART",ISNUMBER(Items!M170)),Items!M170,1))</f>
        <v/>
      </c>
      <c r="U170" s="17">
        <f>IF($A170="","",IF($L170&lt;&gt;"Y",0,IF($AQ170&gt;0,IF(ISNUMBER(INDEX(det_Displaced,$AQ170)),INDEX(det_Displaced,$AQ170),IF($AO170=0,0,N(INDEX(rate_Displaced,MOD($AO170,100))))),IF($AO170=0,0,N(INDEX(rate_Displaced,MOD($AO170,100)))))))</f>
        <v/>
      </c>
      <c r="V170" s="17">
        <f>IF($A170="","",IF($L170="Y",$Q170+$T170*($R170-$S170)-$U170,$Q170))</f>
        <v/>
      </c>
      <c r="W170" s="18">
        <f>IF($A170="","",N(Items!H170)*$Q170)</f>
        <v/>
      </c>
      <c r="X170" s="18">
        <f>IF($A170="","",N(Items!H170)*$V170)</f>
        <v/>
      </c>
      <c r="Y170" s="18">
        <f>IF($A170="","",$X170-$W170)</f>
        <v/>
      </c>
      <c r="Z170" s="18">
        <f>IF($A170="","",N(Items!K170)+$Y170)</f>
        <v/>
      </c>
      <c r="AA170" s="17">
        <f>IF($A170="","",IF(N(Items!L170)=0,"",(N(Items!L170)-N(Items!K170))/N(Items!L170)))</f>
        <v/>
      </c>
      <c r="AB170" s="17">
        <f>IF($A170="","",IF(N(Items!L170)=0,"",(N(Items!L170)-$Z170)/N(Items!L170)))</f>
        <v/>
      </c>
      <c r="AC170" s="17">
        <f>IF(OR($AA170="",$AB170=""),"",$AB170-$AA170)</f>
        <v/>
      </c>
      <c r="AD170" s="13">
        <f>IF($A170="","",N(Items!I170))</f>
        <v/>
      </c>
      <c r="AE170" s="19">
        <f>IF($A170="","",$Y170*$AD170)</f>
        <v/>
      </c>
      <c r="AF170" s="10">
        <f>IF($A170="","",IF(N(Items!L170)&gt;0,"Y","N"))</f>
        <v/>
      </c>
      <c r="AG170" s="19">
        <f>IF($A170="","",IF($AF170="Y",N(Items!L170)*$AD170,0))</f>
        <v/>
      </c>
      <c r="AH170" s="19">
        <f>IF($A170="","",IF($AF170="Y",(N(Items!L170)-N(Items!K170))*$AD170,0))</f>
        <v/>
      </c>
      <c r="AI170" s="19">
        <f>IF($A170="","",IF($AF170="Y",$AH170-$AE170,0))</f>
        <v/>
      </c>
      <c r="AJ170" s="10">
        <f>IF($A170="","",IF(COUNTIF($AL$5:$AL$254,$AL170)&gt;1,"CHECK: duplicate item and import country",IF(TRIM(CLEAN(SUBSTITUTE(Items!C170&amp;""," "," ")))="","CHECK: import country missing",IF(AND(UPPER(TRIM(CLEAN(SUBSTITUTE(Items!C170&amp;""," "," "))))&lt;&gt;"US",UPPER(TRIM(CLEAN(SUBSTITUTE(Items!C170&amp;""," "," "))))&lt;&gt;"CA",UPPER(TRIM(CLEAN(SUBSTITUTE(Items!C170&amp;""," "," "))))&lt;&gt;"MX"),"CHECK: import country must be US, CA or MX",IF(NOT(AND(LEN($C170)=10,IFERROR(TEXT(VALUE($C170),REPT("0",LEN($C170)))=$C170,FALSE))),"CHECK: HTS must be 10 digits",IF(LEN($E170)&lt;&gt;2,"CHECK: origin code missing or not 2 letters",IF(TRIM(CLEAN(SUBSTITUTE(Items!G170&amp;""," "," ")))="","CHECK: unit of measure missing",IF(OR(Items!H170="",Items!J170="",Items!K170=""),"CHECK: value, rate or cost missing",IF(OR(NOT(ISNUMBER(Items!H170)),NOT(ISNUMBER(Items!J170)),NOT(ISNUMBER(Items!K170)),AND(Items!I170&lt;&gt;"",NOT(ISNUMBER(Items!I170))),AND(Items!L170&lt;&gt;"",NOT(ISNUMBER(Items!L170))),AND(Items!M170&lt;&gt;"",NOT(ISNUMBER(Items!M170)))),"CHECK: text in a number column",IF(AND(ISNUMBER(Items!M170),OR(N(Items!M170)&lt;0,N(Items!M170)&gt;1)),"CHECK: dutiable share must be 0% to 100%",IF(AND(UPPER(TRIM(CLEAN(SUBSTITUTE(Items!F170&amp;""," "," "))))&lt;&gt;"",UPPER(TRIM(CLEAN(SUBSTITUTE(Items!F170&amp;""," "," "))))&lt;&gt;"Y",UPPER(TRIM(CLEAN(SUBSTITUTE(Items!F170&amp;""," "," "))))&lt;&gt;"N"),"CHECK: USMCA flag must be Y, N or blank",IF(AND(UPPER(TRIM(CLEAN(SUBSTITUTE(Items!F170&amp;""," "," "))))="Y",$E170&lt;&gt;"US",$E170&lt;&gt;"CA",$E170&lt;&gt;"MX"),"CHECK: USMCA flag on an origin other than US, CA or MX",IF(AND($L170="Y",$AO170=0,NOT(ISNUMBER(act_Rate))),"CHECK: in scope but no rate (add a rate line or B15)",IF(AND($L170="Y",UPPER(TRIM(CLEAN(SUBSTITUTE(act_RateType&amp;""," "," "))))="REPLACE",NOT(ISNUMBER(act_PriorRate)),IF($AO170=0,TRUE,NOT(ISNUMBER(INDEX(rate_Prior,MOD($AO170,100)))))),"CHECK: REPLACE but no earlier rate (B17 or the rate line's AD)",IF(AND($L170="Y",$AP170&gt;1),"CHECK: two rate lines match equally",IF(AND($L170="Y",$AN170&gt;1),"CHECK: HTS prefix listed twice on the scope list",IF(AND($L170="Y",$P170="PART",NOT(ISNUMBER(Items!M170))),"CHECK: dutiable share missing (PART base)",IF(AND($L170="Y",$P170="FULL",ISNUMBER(Items!M170),N(Items!M170)&lt;&gt;1),"CHECK: dutiable share entered, but the rate taxes the full value",IF(AND($L170="Y",$Q170+0.0000001&lt;$T170*$S170+$U170),"CHECK: current rate is below the duty being replaced or displaced",IF(AND($L170="Y",$AD170=0),"NOTE: in scope, no quantity",IF(AND($L170="Y",$AF170="N"),"NOTE: in scope, no sell price (left out of margin %)",IF(AND($L170="Y",N(Items!H170)&gt;N(Items!K170)),"NOTE: customs value above standard cost (check unit of measure)",IF(AND($L170="Y",$Q170&gt;1),"NOTE: current rate above 100% (check it was entered as a percentage)","OK")))))))))))))))))))))))</f>
        <v/>
      </c>
      <c r="AK170" s="20">
        <f>IF($A170="","",IF(AND($L170="Y",$AE170&lt;&gt;0),ABS($AE170)+ROW()/1000000000,""))</f>
        <v/>
      </c>
      <c r="AL170" s="10">
        <f>IF($A170="","",UPPER($A170)&amp;"/"&amp;UPPER(TRIM(CLEAN(SUBSTITUTE(Items!C170&amp;""," "," ")))))</f>
        <v/>
      </c>
      <c r="AM170" s="13">
        <f>IF($A170="",0,SUMPRODUCT(MAX((scope_HTS&lt;&gt;"")*(LEFT($C170,LEN(scope_HTS))=scope_HTS)*(LEN(scope_HTS)*1000+ROW(scope_HTS)-4))))</f>
        <v/>
      </c>
      <c r="AN170" s="13">
        <f>IF($AM170=0,0,SUMPRODUCT((scope_HTS&lt;&gt;"")*(LEFT($C170,LEN(scope_HTS))=scope_HTS)*(LEN(scope_HTS)=INT($AM170/1000))))</f>
        <v/>
      </c>
      <c r="AO170" s="13">
        <f>IF($L170&lt;&gt;"Y",0,SUMPRODUCT(MAX(ISNUMBER(rate_Rate)*((UPPER(TRIM(CLEAN(SUBSTITUTE(rate_Group&amp;""," "," "))))="")+(UPPER(TRIM(CLEAN(SUBSTITUTE(rate_Group&amp;""," "," "))))=$N170)&gt;0)*((UPPER(TRIM(CLEAN(SUBSTITUTE(rate_COO&amp;""," "," "))))="")+(UPPER(TRIM(CLEAN(SUBSTITUTE(rate_COO&amp;""," "," "))))=$E170)&gt;0)*((UPPER(TRIM(CLEAN(SUBSTITUTE(rate_USMCA&amp;""," "," "))))="")+(UPPER(TRIM(CLEAN(SUBSTITUTE(rate_USMCA&amp;""," "," "))))=IF(UPPER(TRIM(CLEAN(SUBSTITUTE(Items!F170&amp;""," "," "))))="Y","Y","N"))&gt;0)*((1+(UPPER(TRIM(CLEAN(SUBSTITUTE(rate_Group&amp;""," "," "))))&lt;&gt;"")+2*(UPPER(TRIM(CLEAN(SUBSTITUTE(rate_USMCA&amp;""," "," "))))&lt;&gt;"")+4*(UPPER(TRIM(CLEAN(SUBSTITUTE(rate_COO&amp;""," "," "))))&lt;&gt;""))*100+ROW(rate_Rate)-4))))</f>
        <v/>
      </c>
      <c r="AP170" s="13">
        <f>IF($AO170=0,0,SUMPRODUCT(ISNUMBER(rate_Rate)*((UPPER(TRIM(CLEAN(SUBSTITUTE(rate_Group&amp;""," "," "))))="")+(UPPER(TRIM(CLEAN(SUBSTITUTE(rate_Group&amp;""," "," "))))=$N170)&gt;0)*((UPPER(TRIM(CLEAN(SUBSTITUTE(rate_COO&amp;""," "," "))))="")+(UPPER(TRIM(CLEAN(SUBSTITUTE(rate_COO&amp;""," "," "))))=$E170)&gt;0)*((UPPER(TRIM(CLEAN(SUBSTITUTE(rate_USMCA&amp;""," "," "))))="")+(UPPER(TRIM(CLEAN(SUBSTITUTE(rate_USMCA&amp;""," "," "))))=IF(UPPER(TRIM(CLEAN(SUBSTITUTE(Items!F170&amp;""," "," "))))="Y","Y","N"))&gt;0)*((1+(UPPER(TRIM(CLEAN(SUBSTITUTE(rate_Group&amp;""," "," "))))&lt;&gt;"")+2*(UPPER(TRIM(CLEAN(SUBSTITUTE(rate_USMCA&amp;""," "," "))))&lt;&gt;"")+4*(UPPER(TRIM(CLEAN(SUBSTITUTE(rate_COO&amp;""," "," "))))&lt;&gt;""))=INT($AO170/100))))</f>
        <v/>
      </c>
      <c r="AQ170" s="13">
        <f>IF($A170="",0,IFERROR(MATCH($AL170,det_Key,0),0))</f>
        <v/>
      </c>
    </row>
    <row r="171">
      <c r="A171" s="10">
        <f>IF(TRIM(CLEAN(SUBSTITUTE(Items!A171&amp;""," "," ")))="","",TRIM(CLEAN(SUBSTITUTE(Items!A171&amp;""," "," "))))</f>
        <v/>
      </c>
      <c r="B171" s="10">
        <f>IF($A171="","",Items!B171&amp;"")</f>
        <v/>
      </c>
      <c r="C171" s="10">
        <f>IF($A171="","",SUBSTITUTE(SUBSTITUTE(SUBSTITUTE(SUBSTITUTE(CLEAN(Items!D171&amp;"")," ",""),".","")," ",""),"-",""))</f>
        <v/>
      </c>
      <c r="D171" s="10">
        <f>IF($A171="","",LEFT($C171,2))</f>
        <v/>
      </c>
      <c r="E171" s="10">
        <f>IF($A171="","",UPPER(TRIM(CLEAN(SUBSTITUTE(Items!E171&amp;""," "," ")))))</f>
        <v/>
      </c>
      <c r="F171" s="10">
        <f>IF($A171="","",IF(UPPER(TRIM(CLEAN(SUBSTITUTE(Items!C171&amp;""," "," "))))=UPPER(TRIM(CLEAN(SUBSTITUTE(act_Country&amp;""," "," ")))),"Y","N"))</f>
        <v/>
      </c>
      <c r="G171" s="10">
        <f>IF($A171="","",IF($AM171&gt;0,"Y","N"))</f>
        <v/>
      </c>
      <c r="H171" s="10">
        <f>IF($A171="","",IF(SUMPRODUCT((excl_HTS&lt;&gt;"")*(LEFT($C171,LEN(excl_HTS))=excl_HTS))&gt;0,"Y","N"))</f>
        <v/>
      </c>
      <c r="I171" s="10">
        <f>IF($A171="","",IF($E171="","N",IF(SUMPRODUCT(--(UPPER(TRIM(CLEAN(SUBSTITUTE(scope_COO&amp;""," "," "))))=$E171))&gt;0,"Y","N")))</f>
        <v/>
      </c>
      <c r="J171" s="10">
        <f>IF($A171="","",IF(AND(UPPER(TRIM(CLEAN(SUBSTITUTE(act_USMCAExempt&amp;""," "," "))))="Y",UPPER(TRIM(CLEAN(SUBSTITUTE(Items!F171&amp;""," "," "))))="Y"),"Y","N"))</f>
        <v/>
      </c>
      <c r="K171" s="10">
        <f>IF($A171="","",IF($AQ171=0,"",UPPER(TRIM(CLEAN(SUBSTITUTE(INDEX(det_Status,$AQ171)&amp;""," "," "))))))</f>
        <v/>
      </c>
      <c r="L171" s="10">
        <f>IF($A171="","",IF($F171="N","N",IF($K171="IN","Y",IF($K171="OUT","N",IF(AND($G171="Y",$H171="N",$I171="Y",$J171="N"),"Y","N")))))</f>
        <v/>
      </c>
      <c r="M171" s="10">
        <f>IF($A171="","",IF($F171="N","Out: different import country",IF($K171="IN","In: Research determination",IF($K171="OUT","Out: Research determination",IF($G171="N","Out: HTS not on scope list",IF($H171="Y","Out: HTS on exclusion list",IF($I171="N","Out: origin not on scope list",IF($J171="Y","Out: USMCA-qualifying, exempt","In: matches scope rules"))))))))</f>
        <v/>
      </c>
      <c r="N171" s="10">
        <f>IF(OR($A171="",$AM171=0),"",UPPER(TRIM(CLEAN(SUBSTITUTE(INDEX(scope_Group,MOD($AM171,1000))&amp;""," "," ")))))</f>
        <v/>
      </c>
      <c r="O171" s="10">
        <f>IF($L171&lt;&gt;"Y","",IF($AO171=0,"Default (B15)",UPPER(TRIM(CLEAN(SUBSTITUTE(INDEX(rate_ID,MOD($AO171,100))&amp;""," "," "))))))</f>
        <v/>
      </c>
      <c r="P171" s="10">
        <f>IF($L171&lt;&gt;"Y","",IF($AO171=0,IF(UPPER(TRIM(CLEAN(SUBSTITUTE(act_DefaultBase&amp;""," "," "))))="PART","PART","FULL"),IF(UPPER(TRIM(CLEAN(SUBSTITUTE(INDEX(rate_Base,MOD($AO171,100))&amp;""," "," "))))="PART","PART","FULL")))</f>
        <v/>
      </c>
      <c r="Q171" s="17">
        <f>IF($A171="","",N(Items!J171))</f>
        <v/>
      </c>
      <c r="R171" s="17">
        <f>IF($A171="","",IF($L171&lt;&gt;"Y",0,IF($AO171=0,N(act_Rate),N(INDEX(rate_Rate,MOD($AO171,100))))))</f>
        <v/>
      </c>
      <c r="S171" s="17">
        <f>IF($A171="","",IF($L171&lt;&gt;"Y",0,IF($AO171=0,IF(UPPER(TRIM(CLEAN(SUBSTITUTE(act_RateType&amp;""," "," "))))="REPLACE",N(act_PriorRate),0),IF(ISNUMBER(INDEX(rate_Prior,MOD($AO171,100))),INDEX(rate_Prior,MOD($AO171,100)),IF(UPPER(TRIM(CLEAN(SUBSTITUTE(act_RateType&amp;""," "," "))))="REPLACE",N(act_PriorRate),0)))))</f>
        <v/>
      </c>
      <c r="T171" s="17">
        <f>IF($A171="","",IF(AND($L171="Y",$P171="PART",ISNUMBER(Items!M171)),Items!M171,1))</f>
        <v/>
      </c>
      <c r="U171" s="17">
        <f>IF($A171="","",IF($L171&lt;&gt;"Y",0,IF($AQ171&gt;0,IF(ISNUMBER(INDEX(det_Displaced,$AQ171)),INDEX(det_Displaced,$AQ171),IF($AO171=0,0,N(INDEX(rate_Displaced,MOD($AO171,100))))),IF($AO171=0,0,N(INDEX(rate_Displaced,MOD($AO171,100)))))))</f>
        <v/>
      </c>
      <c r="V171" s="17">
        <f>IF($A171="","",IF($L171="Y",$Q171+$T171*($R171-$S171)-$U171,$Q171))</f>
        <v/>
      </c>
      <c r="W171" s="18">
        <f>IF($A171="","",N(Items!H171)*$Q171)</f>
        <v/>
      </c>
      <c r="X171" s="18">
        <f>IF($A171="","",N(Items!H171)*$V171)</f>
        <v/>
      </c>
      <c r="Y171" s="18">
        <f>IF($A171="","",$X171-$W171)</f>
        <v/>
      </c>
      <c r="Z171" s="18">
        <f>IF($A171="","",N(Items!K171)+$Y171)</f>
        <v/>
      </c>
      <c r="AA171" s="17">
        <f>IF($A171="","",IF(N(Items!L171)=0,"",(N(Items!L171)-N(Items!K171))/N(Items!L171)))</f>
        <v/>
      </c>
      <c r="AB171" s="17">
        <f>IF($A171="","",IF(N(Items!L171)=0,"",(N(Items!L171)-$Z171)/N(Items!L171)))</f>
        <v/>
      </c>
      <c r="AC171" s="17">
        <f>IF(OR($AA171="",$AB171=""),"",$AB171-$AA171)</f>
        <v/>
      </c>
      <c r="AD171" s="13">
        <f>IF($A171="","",N(Items!I171))</f>
        <v/>
      </c>
      <c r="AE171" s="19">
        <f>IF($A171="","",$Y171*$AD171)</f>
        <v/>
      </c>
      <c r="AF171" s="10">
        <f>IF($A171="","",IF(N(Items!L171)&gt;0,"Y","N"))</f>
        <v/>
      </c>
      <c r="AG171" s="19">
        <f>IF($A171="","",IF($AF171="Y",N(Items!L171)*$AD171,0))</f>
        <v/>
      </c>
      <c r="AH171" s="19">
        <f>IF($A171="","",IF($AF171="Y",(N(Items!L171)-N(Items!K171))*$AD171,0))</f>
        <v/>
      </c>
      <c r="AI171" s="19">
        <f>IF($A171="","",IF($AF171="Y",$AH171-$AE171,0))</f>
        <v/>
      </c>
      <c r="AJ171" s="10">
        <f>IF($A171="","",IF(COUNTIF($AL$5:$AL$254,$AL171)&gt;1,"CHECK: duplicate item and import country",IF(TRIM(CLEAN(SUBSTITUTE(Items!C171&amp;""," "," ")))="","CHECK: import country missing",IF(AND(UPPER(TRIM(CLEAN(SUBSTITUTE(Items!C171&amp;""," "," "))))&lt;&gt;"US",UPPER(TRIM(CLEAN(SUBSTITUTE(Items!C171&amp;""," "," "))))&lt;&gt;"CA",UPPER(TRIM(CLEAN(SUBSTITUTE(Items!C171&amp;""," "," "))))&lt;&gt;"MX"),"CHECK: import country must be US, CA or MX",IF(NOT(AND(LEN($C171)=10,IFERROR(TEXT(VALUE($C171),REPT("0",LEN($C171)))=$C171,FALSE))),"CHECK: HTS must be 10 digits",IF(LEN($E171)&lt;&gt;2,"CHECK: origin code missing or not 2 letters",IF(TRIM(CLEAN(SUBSTITUTE(Items!G171&amp;""," "," ")))="","CHECK: unit of measure missing",IF(OR(Items!H171="",Items!J171="",Items!K171=""),"CHECK: value, rate or cost missing",IF(OR(NOT(ISNUMBER(Items!H171)),NOT(ISNUMBER(Items!J171)),NOT(ISNUMBER(Items!K171)),AND(Items!I171&lt;&gt;"",NOT(ISNUMBER(Items!I171))),AND(Items!L171&lt;&gt;"",NOT(ISNUMBER(Items!L171))),AND(Items!M171&lt;&gt;"",NOT(ISNUMBER(Items!M171)))),"CHECK: text in a number column",IF(AND(ISNUMBER(Items!M171),OR(N(Items!M171)&lt;0,N(Items!M171)&gt;1)),"CHECK: dutiable share must be 0% to 100%",IF(AND(UPPER(TRIM(CLEAN(SUBSTITUTE(Items!F171&amp;""," "," "))))&lt;&gt;"",UPPER(TRIM(CLEAN(SUBSTITUTE(Items!F171&amp;""," "," "))))&lt;&gt;"Y",UPPER(TRIM(CLEAN(SUBSTITUTE(Items!F171&amp;""," "," "))))&lt;&gt;"N"),"CHECK: USMCA flag must be Y, N or blank",IF(AND(UPPER(TRIM(CLEAN(SUBSTITUTE(Items!F171&amp;""," "," "))))="Y",$E171&lt;&gt;"US",$E171&lt;&gt;"CA",$E171&lt;&gt;"MX"),"CHECK: USMCA flag on an origin other than US, CA or MX",IF(AND($L171="Y",$AO171=0,NOT(ISNUMBER(act_Rate))),"CHECK: in scope but no rate (add a rate line or B15)",IF(AND($L171="Y",UPPER(TRIM(CLEAN(SUBSTITUTE(act_RateType&amp;""," "," "))))="REPLACE",NOT(ISNUMBER(act_PriorRate)),IF($AO171=0,TRUE,NOT(ISNUMBER(INDEX(rate_Prior,MOD($AO171,100)))))),"CHECK: REPLACE but no earlier rate (B17 or the rate line's AD)",IF(AND($L171="Y",$AP171&gt;1),"CHECK: two rate lines match equally",IF(AND($L171="Y",$AN171&gt;1),"CHECK: HTS prefix listed twice on the scope list",IF(AND($L171="Y",$P171="PART",NOT(ISNUMBER(Items!M171))),"CHECK: dutiable share missing (PART base)",IF(AND($L171="Y",$P171="FULL",ISNUMBER(Items!M171),N(Items!M171)&lt;&gt;1),"CHECK: dutiable share entered, but the rate taxes the full value",IF(AND($L171="Y",$Q171+0.0000001&lt;$T171*$S171+$U171),"CHECK: current rate is below the duty being replaced or displaced",IF(AND($L171="Y",$AD171=0),"NOTE: in scope, no quantity",IF(AND($L171="Y",$AF171="N"),"NOTE: in scope, no sell price (left out of margin %)",IF(AND($L171="Y",N(Items!H171)&gt;N(Items!K171)),"NOTE: customs value above standard cost (check unit of measure)",IF(AND($L171="Y",$Q171&gt;1),"NOTE: current rate above 100% (check it was entered as a percentage)","OK")))))))))))))))))))))))</f>
        <v/>
      </c>
      <c r="AK171" s="20">
        <f>IF($A171="","",IF(AND($L171="Y",$AE171&lt;&gt;0),ABS($AE171)+ROW()/1000000000,""))</f>
        <v/>
      </c>
      <c r="AL171" s="10">
        <f>IF($A171="","",UPPER($A171)&amp;"/"&amp;UPPER(TRIM(CLEAN(SUBSTITUTE(Items!C171&amp;""," "," ")))))</f>
        <v/>
      </c>
      <c r="AM171" s="13">
        <f>IF($A171="",0,SUMPRODUCT(MAX((scope_HTS&lt;&gt;"")*(LEFT($C171,LEN(scope_HTS))=scope_HTS)*(LEN(scope_HTS)*1000+ROW(scope_HTS)-4))))</f>
        <v/>
      </c>
      <c r="AN171" s="13">
        <f>IF($AM171=0,0,SUMPRODUCT((scope_HTS&lt;&gt;"")*(LEFT($C171,LEN(scope_HTS))=scope_HTS)*(LEN(scope_HTS)=INT($AM171/1000))))</f>
        <v/>
      </c>
      <c r="AO171" s="13">
        <f>IF($L171&lt;&gt;"Y",0,SUMPRODUCT(MAX(ISNUMBER(rate_Rate)*((UPPER(TRIM(CLEAN(SUBSTITUTE(rate_Group&amp;""," "," "))))="")+(UPPER(TRIM(CLEAN(SUBSTITUTE(rate_Group&amp;""," "," "))))=$N171)&gt;0)*((UPPER(TRIM(CLEAN(SUBSTITUTE(rate_COO&amp;""," "," "))))="")+(UPPER(TRIM(CLEAN(SUBSTITUTE(rate_COO&amp;""," "," "))))=$E171)&gt;0)*((UPPER(TRIM(CLEAN(SUBSTITUTE(rate_USMCA&amp;""," "," "))))="")+(UPPER(TRIM(CLEAN(SUBSTITUTE(rate_USMCA&amp;""," "," "))))=IF(UPPER(TRIM(CLEAN(SUBSTITUTE(Items!F171&amp;""," "," "))))="Y","Y","N"))&gt;0)*((1+(UPPER(TRIM(CLEAN(SUBSTITUTE(rate_Group&amp;""," "," "))))&lt;&gt;"")+2*(UPPER(TRIM(CLEAN(SUBSTITUTE(rate_USMCA&amp;""," "," "))))&lt;&gt;"")+4*(UPPER(TRIM(CLEAN(SUBSTITUTE(rate_COO&amp;""," "," "))))&lt;&gt;""))*100+ROW(rate_Rate)-4))))</f>
        <v/>
      </c>
      <c r="AP171" s="13">
        <f>IF($AO171=0,0,SUMPRODUCT(ISNUMBER(rate_Rate)*((UPPER(TRIM(CLEAN(SUBSTITUTE(rate_Group&amp;""," "," "))))="")+(UPPER(TRIM(CLEAN(SUBSTITUTE(rate_Group&amp;""," "," "))))=$N171)&gt;0)*((UPPER(TRIM(CLEAN(SUBSTITUTE(rate_COO&amp;""," "," "))))="")+(UPPER(TRIM(CLEAN(SUBSTITUTE(rate_COO&amp;""," "," "))))=$E171)&gt;0)*((UPPER(TRIM(CLEAN(SUBSTITUTE(rate_USMCA&amp;""," "," "))))="")+(UPPER(TRIM(CLEAN(SUBSTITUTE(rate_USMCA&amp;""," "," "))))=IF(UPPER(TRIM(CLEAN(SUBSTITUTE(Items!F171&amp;""," "," "))))="Y","Y","N"))&gt;0)*((1+(UPPER(TRIM(CLEAN(SUBSTITUTE(rate_Group&amp;""," "," "))))&lt;&gt;"")+2*(UPPER(TRIM(CLEAN(SUBSTITUTE(rate_USMCA&amp;""," "," "))))&lt;&gt;"")+4*(UPPER(TRIM(CLEAN(SUBSTITUTE(rate_COO&amp;""," "," "))))&lt;&gt;""))=INT($AO171/100))))</f>
        <v/>
      </c>
      <c r="AQ171" s="13">
        <f>IF($A171="",0,IFERROR(MATCH($AL171,det_Key,0),0))</f>
        <v/>
      </c>
    </row>
    <row r="172">
      <c r="A172" s="10">
        <f>IF(TRIM(CLEAN(SUBSTITUTE(Items!A172&amp;""," "," ")))="","",TRIM(CLEAN(SUBSTITUTE(Items!A172&amp;""," "," "))))</f>
        <v/>
      </c>
      <c r="B172" s="10">
        <f>IF($A172="","",Items!B172&amp;"")</f>
        <v/>
      </c>
      <c r="C172" s="10">
        <f>IF($A172="","",SUBSTITUTE(SUBSTITUTE(SUBSTITUTE(SUBSTITUTE(CLEAN(Items!D172&amp;"")," ",""),".","")," ",""),"-",""))</f>
        <v/>
      </c>
      <c r="D172" s="10">
        <f>IF($A172="","",LEFT($C172,2))</f>
        <v/>
      </c>
      <c r="E172" s="10">
        <f>IF($A172="","",UPPER(TRIM(CLEAN(SUBSTITUTE(Items!E172&amp;""," "," ")))))</f>
        <v/>
      </c>
      <c r="F172" s="10">
        <f>IF($A172="","",IF(UPPER(TRIM(CLEAN(SUBSTITUTE(Items!C172&amp;""," "," "))))=UPPER(TRIM(CLEAN(SUBSTITUTE(act_Country&amp;""," "," ")))),"Y","N"))</f>
        <v/>
      </c>
      <c r="G172" s="10">
        <f>IF($A172="","",IF($AM172&gt;0,"Y","N"))</f>
        <v/>
      </c>
      <c r="H172" s="10">
        <f>IF($A172="","",IF(SUMPRODUCT((excl_HTS&lt;&gt;"")*(LEFT($C172,LEN(excl_HTS))=excl_HTS))&gt;0,"Y","N"))</f>
        <v/>
      </c>
      <c r="I172" s="10">
        <f>IF($A172="","",IF($E172="","N",IF(SUMPRODUCT(--(UPPER(TRIM(CLEAN(SUBSTITUTE(scope_COO&amp;""," "," "))))=$E172))&gt;0,"Y","N")))</f>
        <v/>
      </c>
      <c r="J172" s="10">
        <f>IF($A172="","",IF(AND(UPPER(TRIM(CLEAN(SUBSTITUTE(act_USMCAExempt&amp;""," "," "))))="Y",UPPER(TRIM(CLEAN(SUBSTITUTE(Items!F172&amp;""," "," "))))="Y"),"Y","N"))</f>
        <v/>
      </c>
      <c r="K172" s="10">
        <f>IF($A172="","",IF($AQ172=0,"",UPPER(TRIM(CLEAN(SUBSTITUTE(INDEX(det_Status,$AQ172)&amp;""," "," "))))))</f>
        <v/>
      </c>
      <c r="L172" s="10">
        <f>IF($A172="","",IF($F172="N","N",IF($K172="IN","Y",IF($K172="OUT","N",IF(AND($G172="Y",$H172="N",$I172="Y",$J172="N"),"Y","N")))))</f>
        <v/>
      </c>
      <c r="M172" s="10">
        <f>IF($A172="","",IF($F172="N","Out: different import country",IF($K172="IN","In: Research determination",IF($K172="OUT","Out: Research determination",IF($G172="N","Out: HTS not on scope list",IF($H172="Y","Out: HTS on exclusion list",IF($I172="N","Out: origin not on scope list",IF($J172="Y","Out: USMCA-qualifying, exempt","In: matches scope rules"))))))))</f>
        <v/>
      </c>
      <c r="N172" s="10">
        <f>IF(OR($A172="",$AM172=0),"",UPPER(TRIM(CLEAN(SUBSTITUTE(INDEX(scope_Group,MOD($AM172,1000))&amp;""," "," ")))))</f>
        <v/>
      </c>
      <c r="O172" s="10">
        <f>IF($L172&lt;&gt;"Y","",IF($AO172=0,"Default (B15)",UPPER(TRIM(CLEAN(SUBSTITUTE(INDEX(rate_ID,MOD($AO172,100))&amp;""," "," "))))))</f>
        <v/>
      </c>
      <c r="P172" s="10">
        <f>IF($L172&lt;&gt;"Y","",IF($AO172=0,IF(UPPER(TRIM(CLEAN(SUBSTITUTE(act_DefaultBase&amp;""," "," "))))="PART","PART","FULL"),IF(UPPER(TRIM(CLEAN(SUBSTITUTE(INDEX(rate_Base,MOD($AO172,100))&amp;""," "," "))))="PART","PART","FULL")))</f>
        <v/>
      </c>
      <c r="Q172" s="17">
        <f>IF($A172="","",N(Items!J172))</f>
        <v/>
      </c>
      <c r="R172" s="17">
        <f>IF($A172="","",IF($L172&lt;&gt;"Y",0,IF($AO172=0,N(act_Rate),N(INDEX(rate_Rate,MOD($AO172,100))))))</f>
        <v/>
      </c>
      <c r="S172" s="17">
        <f>IF($A172="","",IF($L172&lt;&gt;"Y",0,IF($AO172=0,IF(UPPER(TRIM(CLEAN(SUBSTITUTE(act_RateType&amp;""," "," "))))="REPLACE",N(act_PriorRate),0),IF(ISNUMBER(INDEX(rate_Prior,MOD($AO172,100))),INDEX(rate_Prior,MOD($AO172,100)),IF(UPPER(TRIM(CLEAN(SUBSTITUTE(act_RateType&amp;""," "," "))))="REPLACE",N(act_PriorRate),0)))))</f>
        <v/>
      </c>
      <c r="T172" s="17">
        <f>IF($A172="","",IF(AND($L172="Y",$P172="PART",ISNUMBER(Items!M172)),Items!M172,1))</f>
        <v/>
      </c>
      <c r="U172" s="17">
        <f>IF($A172="","",IF($L172&lt;&gt;"Y",0,IF($AQ172&gt;0,IF(ISNUMBER(INDEX(det_Displaced,$AQ172)),INDEX(det_Displaced,$AQ172),IF($AO172=0,0,N(INDEX(rate_Displaced,MOD($AO172,100))))),IF($AO172=0,0,N(INDEX(rate_Displaced,MOD($AO172,100)))))))</f>
        <v/>
      </c>
      <c r="V172" s="17">
        <f>IF($A172="","",IF($L172="Y",$Q172+$T172*($R172-$S172)-$U172,$Q172))</f>
        <v/>
      </c>
      <c r="W172" s="18">
        <f>IF($A172="","",N(Items!H172)*$Q172)</f>
        <v/>
      </c>
      <c r="X172" s="18">
        <f>IF($A172="","",N(Items!H172)*$V172)</f>
        <v/>
      </c>
      <c r="Y172" s="18">
        <f>IF($A172="","",$X172-$W172)</f>
        <v/>
      </c>
      <c r="Z172" s="18">
        <f>IF($A172="","",N(Items!K172)+$Y172)</f>
        <v/>
      </c>
      <c r="AA172" s="17">
        <f>IF($A172="","",IF(N(Items!L172)=0,"",(N(Items!L172)-N(Items!K172))/N(Items!L172)))</f>
        <v/>
      </c>
      <c r="AB172" s="17">
        <f>IF($A172="","",IF(N(Items!L172)=0,"",(N(Items!L172)-$Z172)/N(Items!L172)))</f>
        <v/>
      </c>
      <c r="AC172" s="17">
        <f>IF(OR($AA172="",$AB172=""),"",$AB172-$AA172)</f>
        <v/>
      </c>
      <c r="AD172" s="13">
        <f>IF($A172="","",N(Items!I172))</f>
        <v/>
      </c>
      <c r="AE172" s="19">
        <f>IF($A172="","",$Y172*$AD172)</f>
        <v/>
      </c>
      <c r="AF172" s="10">
        <f>IF($A172="","",IF(N(Items!L172)&gt;0,"Y","N"))</f>
        <v/>
      </c>
      <c r="AG172" s="19">
        <f>IF($A172="","",IF($AF172="Y",N(Items!L172)*$AD172,0))</f>
        <v/>
      </c>
      <c r="AH172" s="19">
        <f>IF($A172="","",IF($AF172="Y",(N(Items!L172)-N(Items!K172))*$AD172,0))</f>
        <v/>
      </c>
      <c r="AI172" s="19">
        <f>IF($A172="","",IF($AF172="Y",$AH172-$AE172,0))</f>
        <v/>
      </c>
      <c r="AJ172" s="10">
        <f>IF($A172="","",IF(COUNTIF($AL$5:$AL$254,$AL172)&gt;1,"CHECK: duplicate item and import country",IF(TRIM(CLEAN(SUBSTITUTE(Items!C172&amp;""," "," ")))="","CHECK: import country missing",IF(AND(UPPER(TRIM(CLEAN(SUBSTITUTE(Items!C172&amp;""," "," "))))&lt;&gt;"US",UPPER(TRIM(CLEAN(SUBSTITUTE(Items!C172&amp;""," "," "))))&lt;&gt;"CA",UPPER(TRIM(CLEAN(SUBSTITUTE(Items!C172&amp;""," "," "))))&lt;&gt;"MX"),"CHECK: import country must be US, CA or MX",IF(NOT(AND(LEN($C172)=10,IFERROR(TEXT(VALUE($C172),REPT("0",LEN($C172)))=$C172,FALSE))),"CHECK: HTS must be 10 digits",IF(LEN($E172)&lt;&gt;2,"CHECK: origin code missing or not 2 letters",IF(TRIM(CLEAN(SUBSTITUTE(Items!G172&amp;""," "," ")))="","CHECK: unit of measure missing",IF(OR(Items!H172="",Items!J172="",Items!K172=""),"CHECK: value, rate or cost missing",IF(OR(NOT(ISNUMBER(Items!H172)),NOT(ISNUMBER(Items!J172)),NOT(ISNUMBER(Items!K172)),AND(Items!I172&lt;&gt;"",NOT(ISNUMBER(Items!I172))),AND(Items!L172&lt;&gt;"",NOT(ISNUMBER(Items!L172))),AND(Items!M172&lt;&gt;"",NOT(ISNUMBER(Items!M172)))),"CHECK: text in a number column",IF(AND(ISNUMBER(Items!M172),OR(N(Items!M172)&lt;0,N(Items!M172)&gt;1)),"CHECK: dutiable share must be 0% to 100%",IF(AND(UPPER(TRIM(CLEAN(SUBSTITUTE(Items!F172&amp;""," "," "))))&lt;&gt;"",UPPER(TRIM(CLEAN(SUBSTITUTE(Items!F172&amp;""," "," "))))&lt;&gt;"Y",UPPER(TRIM(CLEAN(SUBSTITUTE(Items!F172&amp;""," "," "))))&lt;&gt;"N"),"CHECK: USMCA flag must be Y, N or blank",IF(AND(UPPER(TRIM(CLEAN(SUBSTITUTE(Items!F172&amp;""," "," "))))="Y",$E172&lt;&gt;"US",$E172&lt;&gt;"CA",$E172&lt;&gt;"MX"),"CHECK: USMCA flag on an origin other than US, CA or MX",IF(AND($L172="Y",$AO172=0,NOT(ISNUMBER(act_Rate))),"CHECK: in scope but no rate (add a rate line or B15)",IF(AND($L172="Y",UPPER(TRIM(CLEAN(SUBSTITUTE(act_RateType&amp;""," "," "))))="REPLACE",NOT(ISNUMBER(act_PriorRate)),IF($AO172=0,TRUE,NOT(ISNUMBER(INDEX(rate_Prior,MOD($AO172,100)))))),"CHECK: REPLACE but no earlier rate (B17 or the rate line's AD)",IF(AND($L172="Y",$AP172&gt;1),"CHECK: two rate lines match equally",IF(AND($L172="Y",$AN172&gt;1),"CHECK: HTS prefix listed twice on the scope list",IF(AND($L172="Y",$P172="PART",NOT(ISNUMBER(Items!M172))),"CHECK: dutiable share missing (PART base)",IF(AND($L172="Y",$P172="FULL",ISNUMBER(Items!M172),N(Items!M172)&lt;&gt;1),"CHECK: dutiable share entered, but the rate taxes the full value",IF(AND($L172="Y",$Q172+0.0000001&lt;$T172*$S172+$U172),"CHECK: current rate is below the duty being replaced or displaced",IF(AND($L172="Y",$AD172=0),"NOTE: in scope, no quantity",IF(AND($L172="Y",$AF172="N"),"NOTE: in scope, no sell price (left out of margin %)",IF(AND($L172="Y",N(Items!H172)&gt;N(Items!K172)),"NOTE: customs value above standard cost (check unit of measure)",IF(AND($L172="Y",$Q172&gt;1),"NOTE: current rate above 100% (check it was entered as a percentage)","OK")))))))))))))))))))))))</f>
        <v/>
      </c>
      <c r="AK172" s="20">
        <f>IF($A172="","",IF(AND($L172="Y",$AE172&lt;&gt;0),ABS($AE172)+ROW()/1000000000,""))</f>
        <v/>
      </c>
      <c r="AL172" s="10">
        <f>IF($A172="","",UPPER($A172)&amp;"/"&amp;UPPER(TRIM(CLEAN(SUBSTITUTE(Items!C172&amp;""," "," ")))))</f>
        <v/>
      </c>
      <c r="AM172" s="13">
        <f>IF($A172="",0,SUMPRODUCT(MAX((scope_HTS&lt;&gt;"")*(LEFT($C172,LEN(scope_HTS))=scope_HTS)*(LEN(scope_HTS)*1000+ROW(scope_HTS)-4))))</f>
        <v/>
      </c>
      <c r="AN172" s="13">
        <f>IF($AM172=0,0,SUMPRODUCT((scope_HTS&lt;&gt;"")*(LEFT($C172,LEN(scope_HTS))=scope_HTS)*(LEN(scope_HTS)=INT($AM172/1000))))</f>
        <v/>
      </c>
      <c r="AO172" s="13">
        <f>IF($L172&lt;&gt;"Y",0,SUMPRODUCT(MAX(ISNUMBER(rate_Rate)*((UPPER(TRIM(CLEAN(SUBSTITUTE(rate_Group&amp;""," "," "))))="")+(UPPER(TRIM(CLEAN(SUBSTITUTE(rate_Group&amp;""," "," "))))=$N172)&gt;0)*((UPPER(TRIM(CLEAN(SUBSTITUTE(rate_COO&amp;""," "," "))))="")+(UPPER(TRIM(CLEAN(SUBSTITUTE(rate_COO&amp;""," "," "))))=$E172)&gt;0)*((UPPER(TRIM(CLEAN(SUBSTITUTE(rate_USMCA&amp;""," "," "))))="")+(UPPER(TRIM(CLEAN(SUBSTITUTE(rate_USMCA&amp;""," "," "))))=IF(UPPER(TRIM(CLEAN(SUBSTITUTE(Items!F172&amp;""," "," "))))="Y","Y","N"))&gt;0)*((1+(UPPER(TRIM(CLEAN(SUBSTITUTE(rate_Group&amp;""," "," "))))&lt;&gt;"")+2*(UPPER(TRIM(CLEAN(SUBSTITUTE(rate_USMCA&amp;""," "," "))))&lt;&gt;"")+4*(UPPER(TRIM(CLEAN(SUBSTITUTE(rate_COO&amp;""," "," "))))&lt;&gt;""))*100+ROW(rate_Rate)-4))))</f>
        <v/>
      </c>
      <c r="AP172" s="13">
        <f>IF($AO172=0,0,SUMPRODUCT(ISNUMBER(rate_Rate)*((UPPER(TRIM(CLEAN(SUBSTITUTE(rate_Group&amp;""," "," "))))="")+(UPPER(TRIM(CLEAN(SUBSTITUTE(rate_Group&amp;""," "," "))))=$N172)&gt;0)*((UPPER(TRIM(CLEAN(SUBSTITUTE(rate_COO&amp;""," "," "))))="")+(UPPER(TRIM(CLEAN(SUBSTITUTE(rate_COO&amp;""," "," "))))=$E172)&gt;0)*((UPPER(TRIM(CLEAN(SUBSTITUTE(rate_USMCA&amp;""," "," "))))="")+(UPPER(TRIM(CLEAN(SUBSTITUTE(rate_USMCA&amp;""," "," "))))=IF(UPPER(TRIM(CLEAN(SUBSTITUTE(Items!F172&amp;""," "," "))))="Y","Y","N"))&gt;0)*((1+(UPPER(TRIM(CLEAN(SUBSTITUTE(rate_Group&amp;""," "," "))))&lt;&gt;"")+2*(UPPER(TRIM(CLEAN(SUBSTITUTE(rate_USMCA&amp;""," "," "))))&lt;&gt;"")+4*(UPPER(TRIM(CLEAN(SUBSTITUTE(rate_COO&amp;""," "," "))))&lt;&gt;""))=INT($AO172/100))))</f>
        <v/>
      </c>
      <c r="AQ172" s="13">
        <f>IF($A172="",0,IFERROR(MATCH($AL172,det_Key,0),0))</f>
        <v/>
      </c>
    </row>
    <row r="173">
      <c r="A173" s="10">
        <f>IF(TRIM(CLEAN(SUBSTITUTE(Items!A173&amp;""," "," ")))="","",TRIM(CLEAN(SUBSTITUTE(Items!A173&amp;""," "," "))))</f>
        <v/>
      </c>
      <c r="B173" s="10">
        <f>IF($A173="","",Items!B173&amp;"")</f>
        <v/>
      </c>
      <c r="C173" s="10">
        <f>IF($A173="","",SUBSTITUTE(SUBSTITUTE(SUBSTITUTE(SUBSTITUTE(CLEAN(Items!D173&amp;"")," ",""),".","")," ",""),"-",""))</f>
        <v/>
      </c>
      <c r="D173" s="10">
        <f>IF($A173="","",LEFT($C173,2))</f>
        <v/>
      </c>
      <c r="E173" s="10">
        <f>IF($A173="","",UPPER(TRIM(CLEAN(SUBSTITUTE(Items!E173&amp;""," "," ")))))</f>
        <v/>
      </c>
      <c r="F173" s="10">
        <f>IF($A173="","",IF(UPPER(TRIM(CLEAN(SUBSTITUTE(Items!C173&amp;""," "," "))))=UPPER(TRIM(CLEAN(SUBSTITUTE(act_Country&amp;""," "," ")))),"Y","N"))</f>
        <v/>
      </c>
      <c r="G173" s="10">
        <f>IF($A173="","",IF($AM173&gt;0,"Y","N"))</f>
        <v/>
      </c>
      <c r="H173" s="10">
        <f>IF($A173="","",IF(SUMPRODUCT((excl_HTS&lt;&gt;"")*(LEFT($C173,LEN(excl_HTS))=excl_HTS))&gt;0,"Y","N"))</f>
        <v/>
      </c>
      <c r="I173" s="10">
        <f>IF($A173="","",IF($E173="","N",IF(SUMPRODUCT(--(UPPER(TRIM(CLEAN(SUBSTITUTE(scope_COO&amp;""," "," "))))=$E173))&gt;0,"Y","N")))</f>
        <v/>
      </c>
      <c r="J173" s="10">
        <f>IF($A173="","",IF(AND(UPPER(TRIM(CLEAN(SUBSTITUTE(act_USMCAExempt&amp;""," "," "))))="Y",UPPER(TRIM(CLEAN(SUBSTITUTE(Items!F173&amp;""," "," "))))="Y"),"Y","N"))</f>
        <v/>
      </c>
      <c r="K173" s="10">
        <f>IF($A173="","",IF($AQ173=0,"",UPPER(TRIM(CLEAN(SUBSTITUTE(INDEX(det_Status,$AQ173)&amp;""," "," "))))))</f>
        <v/>
      </c>
      <c r="L173" s="10">
        <f>IF($A173="","",IF($F173="N","N",IF($K173="IN","Y",IF($K173="OUT","N",IF(AND($G173="Y",$H173="N",$I173="Y",$J173="N"),"Y","N")))))</f>
        <v/>
      </c>
      <c r="M173" s="10">
        <f>IF($A173="","",IF($F173="N","Out: different import country",IF($K173="IN","In: Research determination",IF($K173="OUT","Out: Research determination",IF($G173="N","Out: HTS not on scope list",IF($H173="Y","Out: HTS on exclusion list",IF($I173="N","Out: origin not on scope list",IF($J173="Y","Out: USMCA-qualifying, exempt","In: matches scope rules"))))))))</f>
        <v/>
      </c>
      <c r="N173" s="10">
        <f>IF(OR($A173="",$AM173=0),"",UPPER(TRIM(CLEAN(SUBSTITUTE(INDEX(scope_Group,MOD($AM173,1000))&amp;""," "," ")))))</f>
        <v/>
      </c>
      <c r="O173" s="10">
        <f>IF($L173&lt;&gt;"Y","",IF($AO173=0,"Default (B15)",UPPER(TRIM(CLEAN(SUBSTITUTE(INDEX(rate_ID,MOD($AO173,100))&amp;""," "," "))))))</f>
        <v/>
      </c>
      <c r="P173" s="10">
        <f>IF($L173&lt;&gt;"Y","",IF($AO173=0,IF(UPPER(TRIM(CLEAN(SUBSTITUTE(act_DefaultBase&amp;""," "," "))))="PART","PART","FULL"),IF(UPPER(TRIM(CLEAN(SUBSTITUTE(INDEX(rate_Base,MOD($AO173,100))&amp;""," "," "))))="PART","PART","FULL")))</f>
        <v/>
      </c>
      <c r="Q173" s="17">
        <f>IF($A173="","",N(Items!J173))</f>
        <v/>
      </c>
      <c r="R173" s="17">
        <f>IF($A173="","",IF($L173&lt;&gt;"Y",0,IF($AO173=0,N(act_Rate),N(INDEX(rate_Rate,MOD($AO173,100))))))</f>
        <v/>
      </c>
      <c r="S173" s="17">
        <f>IF($A173="","",IF($L173&lt;&gt;"Y",0,IF($AO173=0,IF(UPPER(TRIM(CLEAN(SUBSTITUTE(act_RateType&amp;""," "," "))))="REPLACE",N(act_PriorRate),0),IF(ISNUMBER(INDEX(rate_Prior,MOD($AO173,100))),INDEX(rate_Prior,MOD($AO173,100)),IF(UPPER(TRIM(CLEAN(SUBSTITUTE(act_RateType&amp;""," "," "))))="REPLACE",N(act_PriorRate),0)))))</f>
        <v/>
      </c>
      <c r="T173" s="17">
        <f>IF($A173="","",IF(AND($L173="Y",$P173="PART",ISNUMBER(Items!M173)),Items!M173,1))</f>
        <v/>
      </c>
      <c r="U173" s="17">
        <f>IF($A173="","",IF($L173&lt;&gt;"Y",0,IF($AQ173&gt;0,IF(ISNUMBER(INDEX(det_Displaced,$AQ173)),INDEX(det_Displaced,$AQ173),IF($AO173=0,0,N(INDEX(rate_Displaced,MOD($AO173,100))))),IF($AO173=0,0,N(INDEX(rate_Displaced,MOD($AO173,100)))))))</f>
        <v/>
      </c>
      <c r="V173" s="17">
        <f>IF($A173="","",IF($L173="Y",$Q173+$T173*($R173-$S173)-$U173,$Q173))</f>
        <v/>
      </c>
      <c r="W173" s="18">
        <f>IF($A173="","",N(Items!H173)*$Q173)</f>
        <v/>
      </c>
      <c r="X173" s="18">
        <f>IF($A173="","",N(Items!H173)*$V173)</f>
        <v/>
      </c>
      <c r="Y173" s="18">
        <f>IF($A173="","",$X173-$W173)</f>
        <v/>
      </c>
      <c r="Z173" s="18">
        <f>IF($A173="","",N(Items!K173)+$Y173)</f>
        <v/>
      </c>
      <c r="AA173" s="17">
        <f>IF($A173="","",IF(N(Items!L173)=0,"",(N(Items!L173)-N(Items!K173))/N(Items!L173)))</f>
        <v/>
      </c>
      <c r="AB173" s="17">
        <f>IF($A173="","",IF(N(Items!L173)=0,"",(N(Items!L173)-$Z173)/N(Items!L173)))</f>
        <v/>
      </c>
      <c r="AC173" s="17">
        <f>IF(OR($AA173="",$AB173=""),"",$AB173-$AA173)</f>
        <v/>
      </c>
      <c r="AD173" s="13">
        <f>IF($A173="","",N(Items!I173))</f>
        <v/>
      </c>
      <c r="AE173" s="19">
        <f>IF($A173="","",$Y173*$AD173)</f>
        <v/>
      </c>
      <c r="AF173" s="10">
        <f>IF($A173="","",IF(N(Items!L173)&gt;0,"Y","N"))</f>
        <v/>
      </c>
      <c r="AG173" s="19">
        <f>IF($A173="","",IF($AF173="Y",N(Items!L173)*$AD173,0))</f>
        <v/>
      </c>
      <c r="AH173" s="19">
        <f>IF($A173="","",IF($AF173="Y",(N(Items!L173)-N(Items!K173))*$AD173,0))</f>
        <v/>
      </c>
      <c r="AI173" s="19">
        <f>IF($A173="","",IF($AF173="Y",$AH173-$AE173,0))</f>
        <v/>
      </c>
      <c r="AJ173" s="10">
        <f>IF($A173="","",IF(COUNTIF($AL$5:$AL$254,$AL173)&gt;1,"CHECK: duplicate item and import country",IF(TRIM(CLEAN(SUBSTITUTE(Items!C173&amp;""," "," ")))="","CHECK: import country missing",IF(AND(UPPER(TRIM(CLEAN(SUBSTITUTE(Items!C173&amp;""," "," "))))&lt;&gt;"US",UPPER(TRIM(CLEAN(SUBSTITUTE(Items!C173&amp;""," "," "))))&lt;&gt;"CA",UPPER(TRIM(CLEAN(SUBSTITUTE(Items!C173&amp;""," "," "))))&lt;&gt;"MX"),"CHECK: import country must be US, CA or MX",IF(NOT(AND(LEN($C173)=10,IFERROR(TEXT(VALUE($C173),REPT("0",LEN($C173)))=$C173,FALSE))),"CHECK: HTS must be 10 digits",IF(LEN($E173)&lt;&gt;2,"CHECK: origin code missing or not 2 letters",IF(TRIM(CLEAN(SUBSTITUTE(Items!G173&amp;""," "," ")))="","CHECK: unit of measure missing",IF(OR(Items!H173="",Items!J173="",Items!K173=""),"CHECK: value, rate or cost missing",IF(OR(NOT(ISNUMBER(Items!H173)),NOT(ISNUMBER(Items!J173)),NOT(ISNUMBER(Items!K173)),AND(Items!I173&lt;&gt;"",NOT(ISNUMBER(Items!I173))),AND(Items!L173&lt;&gt;"",NOT(ISNUMBER(Items!L173))),AND(Items!M173&lt;&gt;"",NOT(ISNUMBER(Items!M173)))),"CHECK: text in a number column",IF(AND(ISNUMBER(Items!M173),OR(N(Items!M173)&lt;0,N(Items!M173)&gt;1)),"CHECK: dutiable share must be 0% to 100%",IF(AND(UPPER(TRIM(CLEAN(SUBSTITUTE(Items!F173&amp;""," "," "))))&lt;&gt;"",UPPER(TRIM(CLEAN(SUBSTITUTE(Items!F173&amp;""," "," "))))&lt;&gt;"Y",UPPER(TRIM(CLEAN(SUBSTITUTE(Items!F173&amp;""," "," "))))&lt;&gt;"N"),"CHECK: USMCA flag must be Y, N or blank",IF(AND(UPPER(TRIM(CLEAN(SUBSTITUTE(Items!F173&amp;""," "," "))))="Y",$E173&lt;&gt;"US",$E173&lt;&gt;"CA",$E173&lt;&gt;"MX"),"CHECK: USMCA flag on an origin other than US, CA or MX",IF(AND($L173="Y",$AO173=0,NOT(ISNUMBER(act_Rate))),"CHECK: in scope but no rate (add a rate line or B15)",IF(AND($L173="Y",UPPER(TRIM(CLEAN(SUBSTITUTE(act_RateType&amp;""," "," "))))="REPLACE",NOT(ISNUMBER(act_PriorRate)),IF($AO173=0,TRUE,NOT(ISNUMBER(INDEX(rate_Prior,MOD($AO173,100)))))),"CHECK: REPLACE but no earlier rate (B17 or the rate line's AD)",IF(AND($L173="Y",$AP173&gt;1),"CHECK: two rate lines match equally",IF(AND($L173="Y",$AN173&gt;1),"CHECK: HTS prefix listed twice on the scope list",IF(AND($L173="Y",$P173="PART",NOT(ISNUMBER(Items!M173))),"CHECK: dutiable share missing (PART base)",IF(AND($L173="Y",$P173="FULL",ISNUMBER(Items!M173),N(Items!M173)&lt;&gt;1),"CHECK: dutiable share entered, but the rate taxes the full value",IF(AND($L173="Y",$Q173+0.0000001&lt;$T173*$S173+$U173),"CHECK: current rate is below the duty being replaced or displaced",IF(AND($L173="Y",$AD173=0),"NOTE: in scope, no quantity",IF(AND($L173="Y",$AF173="N"),"NOTE: in scope, no sell price (left out of margin %)",IF(AND($L173="Y",N(Items!H173)&gt;N(Items!K173)),"NOTE: customs value above standard cost (check unit of measure)",IF(AND($L173="Y",$Q173&gt;1),"NOTE: current rate above 100% (check it was entered as a percentage)","OK")))))))))))))))))))))))</f>
        <v/>
      </c>
      <c r="AK173" s="20">
        <f>IF($A173="","",IF(AND($L173="Y",$AE173&lt;&gt;0),ABS($AE173)+ROW()/1000000000,""))</f>
        <v/>
      </c>
      <c r="AL173" s="10">
        <f>IF($A173="","",UPPER($A173)&amp;"/"&amp;UPPER(TRIM(CLEAN(SUBSTITUTE(Items!C173&amp;""," "," ")))))</f>
        <v/>
      </c>
      <c r="AM173" s="13">
        <f>IF($A173="",0,SUMPRODUCT(MAX((scope_HTS&lt;&gt;"")*(LEFT($C173,LEN(scope_HTS))=scope_HTS)*(LEN(scope_HTS)*1000+ROW(scope_HTS)-4))))</f>
        <v/>
      </c>
      <c r="AN173" s="13">
        <f>IF($AM173=0,0,SUMPRODUCT((scope_HTS&lt;&gt;"")*(LEFT($C173,LEN(scope_HTS))=scope_HTS)*(LEN(scope_HTS)=INT($AM173/1000))))</f>
        <v/>
      </c>
      <c r="AO173" s="13">
        <f>IF($L173&lt;&gt;"Y",0,SUMPRODUCT(MAX(ISNUMBER(rate_Rate)*((UPPER(TRIM(CLEAN(SUBSTITUTE(rate_Group&amp;""," "," "))))="")+(UPPER(TRIM(CLEAN(SUBSTITUTE(rate_Group&amp;""," "," "))))=$N173)&gt;0)*((UPPER(TRIM(CLEAN(SUBSTITUTE(rate_COO&amp;""," "," "))))="")+(UPPER(TRIM(CLEAN(SUBSTITUTE(rate_COO&amp;""," "," "))))=$E173)&gt;0)*((UPPER(TRIM(CLEAN(SUBSTITUTE(rate_USMCA&amp;""," "," "))))="")+(UPPER(TRIM(CLEAN(SUBSTITUTE(rate_USMCA&amp;""," "," "))))=IF(UPPER(TRIM(CLEAN(SUBSTITUTE(Items!F173&amp;""," "," "))))="Y","Y","N"))&gt;0)*((1+(UPPER(TRIM(CLEAN(SUBSTITUTE(rate_Group&amp;""," "," "))))&lt;&gt;"")+2*(UPPER(TRIM(CLEAN(SUBSTITUTE(rate_USMCA&amp;""," "," "))))&lt;&gt;"")+4*(UPPER(TRIM(CLEAN(SUBSTITUTE(rate_COO&amp;""," "," "))))&lt;&gt;""))*100+ROW(rate_Rate)-4))))</f>
        <v/>
      </c>
      <c r="AP173" s="13">
        <f>IF($AO173=0,0,SUMPRODUCT(ISNUMBER(rate_Rate)*((UPPER(TRIM(CLEAN(SUBSTITUTE(rate_Group&amp;""," "," "))))="")+(UPPER(TRIM(CLEAN(SUBSTITUTE(rate_Group&amp;""," "," "))))=$N173)&gt;0)*((UPPER(TRIM(CLEAN(SUBSTITUTE(rate_COO&amp;""," "," "))))="")+(UPPER(TRIM(CLEAN(SUBSTITUTE(rate_COO&amp;""," "," "))))=$E173)&gt;0)*((UPPER(TRIM(CLEAN(SUBSTITUTE(rate_USMCA&amp;""," "," "))))="")+(UPPER(TRIM(CLEAN(SUBSTITUTE(rate_USMCA&amp;""," "," "))))=IF(UPPER(TRIM(CLEAN(SUBSTITUTE(Items!F173&amp;""," "," "))))="Y","Y","N"))&gt;0)*((1+(UPPER(TRIM(CLEAN(SUBSTITUTE(rate_Group&amp;""," "," "))))&lt;&gt;"")+2*(UPPER(TRIM(CLEAN(SUBSTITUTE(rate_USMCA&amp;""," "," "))))&lt;&gt;"")+4*(UPPER(TRIM(CLEAN(SUBSTITUTE(rate_COO&amp;""," "," "))))&lt;&gt;""))=INT($AO173/100))))</f>
        <v/>
      </c>
      <c r="AQ173" s="13">
        <f>IF($A173="",0,IFERROR(MATCH($AL173,det_Key,0),0))</f>
        <v/>
      </c>
    </row>
    <row r="174">
      <c r="A174" s="10">
        <f>IF(TRIM(CLEAN(SUBSTITUTE(Items!A174&amp;""," "," ")))="","",TRIM(CLEAN(SUBSTITUTE(Items!A174&amp;""," "," "))))</f>
        <v/>
      </c>
      <c r="B174" s="10">
        <f>IF($A174="","",Items!B174&amp;"")</f>
        <v/>
      </c>
      <c r="C174" s="10">
        <f>IF($A174="","",SUBSTITUTE(SUBSTITUTE(SUBSTITUTE(SUBSTITUTE(CLEAN(Items!D174&amp;"")," ",""),".","")," ",""),"-",""))</f>
        <v/>
      </c>
      <c r="D174" s="10">
        <f>IF($A174="","",LEFT($C174,2))</f>
        <v/>
      </c>
      <c r="E174" s="10">
        <f>IF($A174="","",UPPER(TRIM(CLEAN(SUBSTITUTE(Items!E174&amp;""," "," ")))))</f>
        <v/>
      </c>
      <c r="F174" s="10">
        <f>IF($A174="","",IF(UPPER(TRIM(CLEAN(SUBSTITUTE(Items!C174&amp;""," "," "))))=UPPER(TRIM(CLEAN(SUBSTITUTE(act_Country&amp;""," "," ")))),"Y","N"))</f>
        <v/>
      </c>
      <c r="G174" s="10">
        <f>IF($A174="","",IF($AM174&gt;0,"Y","N"))</f>
        <v/>
      </c>
      <c r="H174" s="10">
        <f>IF($A174="","",IF(SUMPRODUCT((excl_HTS&lt;&gt;"")*(LEFT($C174,LEN(excl_HTS))=excl_HTS))&gt;0,"Y","N"))</f>
        <v/>
      </c>
      <c r="I174" s="10">
        <f>IF($A174="","",IF($E174="","N",IF(SUMPRODUCT(--(UPPER(TRIM(CLEAN(SUBSTITUTE(scope_COO&amp;""," "," "))))=$E174))&gt;0,"Y","N")))</f>
        <v/>
      </c>
      <c r="J174" s="10">
        <f>IF($A174="","",IF(AND(UPPER(TRIM(CLEAN(SUBSTITUTE(act_USMCAExempt&amp;""," "," "))))="Y",UPPER(TRIM(CLEAN(SUBSTITUTE(Items!F174&amp;""," "," "))))="Y"),"Y","N"))</f>
        <v/>
      </c>
      <c r="K174" s="10">
        <f>IF($A174="","",IF($AQ174=0,"",UPPER(TRIM(CLEAN(SUBSTITUTE(INDEX(det_Status,$AQ174)&amp;""," "," "))))))</f>
        <v/>
      </c>
      <c r="L174" s="10">
        <f>IF($A174="","",IF($F174="N","N",IF($K174="IN","Y",IF($K174="OUT","N",IF(AND($G174="Y",$H174="N",$I174="Y",$J174="N"),"Y","N")))))</f>
        <v/>
      </c>
      <c r="M174" s="10">
        <f>IF($A174="","",IF($F174="N","Out: different import country",IF($K174="IN","In: Research determination",IF($K174="OUT","Out: Research determination",IF($G174="N","Out: HTS not on scope list",IF($H174="Y","Out: HTS on exclusion list",IF($I174="N","Out: origin not on scope list",IF($J174="Y","Out: USMCA-qualifying, exempt","In: matches scope rules"))))))))</f>
        <v/>
      </c>
      <c r="N174" s="10">
        <f>IF(OR($A174="",$AM174=0),"",UPPER(TRIM(CLEAN(SUBSTITUTE(INDEX(scope_Group,MOD($AM174,1000))&amp;""," "," ")))))</f>
        <v/>
      </c>
      <c r="O174" s="10">
        <f>IF($L174&lt;&gt;"Y","",IF($AO174=0,"Default (B15)",UPPER(TRIM(CLEAN(SUBSTITUTE(INDEX(rate_ID,MOD($AO174,100))&amp;""," "," "))))))</f>
        <v/>
      </c>
      <c r="P174" s="10">
        <f>IF($L174&lt;&gt;"Y","",IF($AO174=0,IF(UPPER(TRIM(CLEAN(SUBSTITUTE(act_DefaultBase&amp;""," "," "))))="PART","PART","FULL"),IF(UPPER(TRIM(CLEAN(SUBSTITUTE(INDEX(rate_Base,MOD($AO174,100))&amp;""," "," "))))="PART","PART","FULL")))</f>
        <v/>
      </c>
      <c r="Q174" s="17">
        <f>IF($A174="","",N(Items!J174))</f>
        <v/>
      </c>
      <c r="R174" s="17">
        <f>IF($A174="","",IF($L174&lt;&gt;"Y",0,IF($AO174=0,N(act_Rate),N(INDEX(rate_Rate,MOD($AO174,100))))))</f>
        <v/>
      </c>
      <c r="S174" s="17">
        <f>IF($A174="","",IF($L174&lt;&gt;"Y",0,IF($AO174=0,IF(UPPER(TRIM(CLEAN(SUBSTITUTE(act_RateType&amp;""," "," "))))="REPLACE",N(act_PriorRate),0),IF(ISNUMBER(INDEX(rate_Prior,MOD($AO174,100))),INDEX(rate_Prior,MOD($AO174,100)),IF(UPPER(TRIM(CLEAN(SUBSTITUTE(act_RateType&amp;""," "," "))))="REPLACE",N(act_PriorRate),0)))))</f>
        <v/>
      </c>
      <c r="T174" s="17">
        <f>IF($A174="","",IF(AND($L174="Y",$P174="PART",ISNUMBER(Items!M174)),Items!M174,1))</f>
        <v/>
      </c>
      <c r="U174" s="17">
        <f>IF($A174="","",IF($L174&lt;&gt;"Y",0,IF($AQ174&gt;0,IF(ISNUMBER(INDEX(det_Displaced,$AQ174)),INDEX(det_Displaced,$AQ174),IF($AO174=0,0,N(INDEX(rate_Displaced,MOD($AO174,100))))),IF($AO174=0,0,N(INDEX(rate_Displaced,MOD($AO174,100)))))))</f>
        <v/>
      </c>
      <c r="V174" s="17">
        <f>IF($A174="","",IF($L174="Y",$Q174+$T174*($R174-$S174)-$U174,$Q174))</f>
        <v/>
      </c>
      <c r="W174" s="18">
        <f>IF($A174="","",N(Items!H174)*$Q174)</f>
        <v/>
      </c>
      <c r="X174" s="18">
        <f>IF($A174="","",N(Items!H174)*$V174)</f>
        <v/>
      </c>
      <c r="Y174" s="18">
        <f>IF($A174="","",$X174-$W174)</f>
        <v/>
      </c>
      <c r="Z174" s="18">
        <f>IF($A174="","",N(Items!K174)+$Y174)</f>
        <v/>
      </c>
      <c r="AA174" s="17">
        <f>IF($A174="","",IF(N(Items!L174)=0,"",(N(Items!L174)-N(Items!K174))/N(Items!L174)))</f>
        <v/>
      </c>
      <c r="AB174" s="17">
        <f>IF($A174="","",IF(N(Items!L174)=0,"",(N(Items!L174)-$Z174)/N(Items!L174)))</f>
        <v/>
      </c>
      <c r="AC174" s="17">
        <f>IF(OR($AA174="",$AB174=""),"",$AB174-$AA174)</f>
        <v/>
      </c>
      <c r="AD174" s="13">
        <f>IF($A174="","",N(Items!I174))</f>
        <v/>
      </c>
      <c r="AE174" s="19">
        <f>IF($A174="","",$Y174*$AD174)</f>
        <v/>
      </c>
      <c r="AF174" s="10">
        <f>IF($A174="","",IF(N(Items!L174)&gt;0,"Y","N"))</f>
        <v/>
      </c>
      <c r="AG174" s="19">
        <f>IF($A174="","",IF($AF174="Y",N(Items!L174)*$AD174,0))</f>
        <v/>
      </c>
      <c r="AH174" s="19">
        <f>IF($A174="","",IF($AF174="Y",(N(Items!L174)-N(Items!K174))*$AD174,0))</f>
        <v/>
      </c>
      <c r="AI174" s="19">
        <f>IF($A174="","",IF($AF174="Y",$AH174-$AE174,0))</f>
        <v/>
      </c>
      <c r="AJ174" s="10">
        <f>IF($A174="","",IF(COUNTIF($AL$5:$AL$254,$AL174)&gt;1,"CHECK: duplicate item and import country",IF(TRIM(CLEAN(SUBSTITUTE(Items!C174&amp;""," "," ")))="","CHECK: import country missing",IF(AND(UPPER(TRIM(CLEAN(SUBSTITUTE(Items!C174&amp;""," "," "))))&lt;&gt;"US",UPPER(TRIM(CLEAN(SUBSTITUTE(Items!C174&amp;""," "," "))))&lt;&gt;"CA",UPPER(TRIM(CLEAN(SUBSTITUTE(Items!C174&amp;""," "," "))))&lt;&gt;"MX"),"CHECK: import country must be US, CA or MX",IF(NOT(AND(LEN($C174)=10,IFERROR(TEXT(VALUE($C174),REPT("0",LEN($C174)))=$C174,FALSE))),"CHECK: HTS must be 10 digits",IF(LEN($E174)&lt;&gt;2,"CHECK: origin code missing or not 2 letters",IF(TRIM(CLEAN(SUBSTITUTE(Items!G174&amp;""," "," ")))="","CHECK: unit of measure missing",IF(OR(Items!H174="",Items!J174="",Items!K174=""),"CHECK: value, rate or cost missing",IF(OR(NOT(ISNUMBER(Items!H174)),NOT(ISNUMBER(Items!J174)),NOT(ISNUMBER(Items!K174)),AND(Items!I174&lt;&gt;"",NOT(ISNUMBER(Items!I174))),AND(Items!L174&lt;&gt;"",NOT(ISNUMBER(Items!L174))),AND(Items!M174&lt;&gt;"",NOT(ISNUMBER(Items!M174)))),"CHECK: text in a number column",IF(AND(ISNUMBER(Items!M174),OR(N(Items!M174)&lt;0,N(Items!M174)&gt;1)),"CHECK: dutiable share must be 0% to 100%",IF(AND(UPPER(TRIM(CLEAN(SUBSTITUTE(Items!F174&amp;""," "," "))))&lt;&gt;"",UPPER(TRIM(CLEAN(SUBSTITUTE(Items!F174&amp;""," "," "))))&lt;&gt;"Y",UPPER(TRIM(CLEAN(SUBSTITUTE(Items!F174&amp;""," "," "))))&lt;&gt;"N"),"CHECK: USMCA flag must be Y, N or blank",IF(AND(UPPER(TRIM(CLEAN(SUBSTITUTE(Items!F174&amp;""," "," "))))="Y",$E174&lt;&gt;"US",$E174&lt;&gt;"CA",$E174&lt;&gt;"MX"),"CHECK: USMCA flag on an origin other than US, CA or MX",IF(AND($L174="Y",$AO174=0,NOT(ISNUMBER(act_Rate))),"CHECK: in scope but no rate (add a rate line or B15)",IF(AND($L174="Y",UPPER(TRIM(CLEAN(SUBSTITUTE(act_RateType&amp;""," "," "))))="REPLACE",NOT(ISNUMBER(act_PriorRate)),IF($AO174=0,TRUE,NOT(ISNUMBER(INDEX(rate_Prior,MOD($AO174,100)))))),"CHECK: REPLACE but no earlier rate (B17 or the rate line's AD)",IF(AND($L174="Y",$AP174&gt;1),"CHECK: two rate lines match equally",IF(AND($L174="Y",$AN174&gt;1),"CHECK: HTS prefix listed twice on the scope list",IF(AND($L174="Y",$P174="PART",NOT(ISNUMBER(Items!M174))),"CHECK: dutiable share missing (PART base)",IF(AND($L174="Y",$P174="FULL",ISNUMBER(Items!M174),N(Items!M174)&lt;&gt;1),"CHECK: dutiable share entered, but the rate taxes the full value",IF(AND($L174="Y",$Q174+0.0000001&lt;$T174*$S174+$U174),"CHECK: current rate is below the duty being replaced or displaced",IF(AND($L174="Y",$AD174=0),"NOTE: in scope, no quantity",IF(AND($L174="Y",$AF174="N"),"NOTE: in scope, no sell price (left out of margin %)",IF(AND($L174="Y",N(Items!H174)&gt;N(Items!K174)),"NOTE: customs value above standard cost (check unit of measure)",IF(AND($L174="Y",$Q174&gt;1),"NOTE: current rate above 100% (check it was entered as a percentage)","OK")))))))))))))))))))))))</f>
        <v/>
      </c>
      <c r="AK174" s="20">
        <f>IF($A174="","",IF(AND($L174="Y",$AE174&lt;&gt;0),ABS($AE174)+ROW()/1000000000,""))</f>
        <v/>
      </c>
      <c r="AL174" s="10">
        <f>IF($A174="","",UPPER($A174)&amp;"/"&amp;UPPER(TRIM(CLEAN(SUBSTITUTE(Items!C174&amp;""," "," ")))))</f>
        <v/>
      </c>
      <c r="AM174" s="13">
        <f>IF($A174="",0,SUMPRODUCT(MAX((scope_HTS&lt;&gt;"")*(LEFT($C174,LEN(scope_HTS))=scope_HTS)*(LEN(scope_HTS)*1000+ROW(scope_HTS)-4))))</f>
        <v/>
      </c>
      <c r="AN174" s="13">
        <f>IF($AM174=0,0,SUMPRODUCT((scope_HTS&lt;&gt;"")*(LEFT($C174,LEN(scope_HTS))=scope_HTS)*(LEN(scope_HTS)=INT($AM174/1000))))</f>
        <v/>
      </c>
      <c r="AO174" s="13">
        <f>IF($L174&lt;&gt;"Y",0,SUMPRODUCT(MAX(ISNUMBER(rate_Rate)*((UPPER(TRIM(CLEAN(SUBSTITUTE(rate_Group&amp;""," "," "))))="")+(UPPER(TRIM(CLEAN(SUBSTITUTE(rate_Group&amp;""," "," "))))=$N174)&gt;0)*((UPPER(TRIM(CLEAN(SUBSTITUTE(rate_COO&amp;""," "," "))))="")+(UPPER(TRIM(CLEAN(SUBSTITUTE(rate_COO&amp;""," "," "))))=$E174)&gt;0)*((UPPER(TRIM(CLEAN(SUBSTITUTE(rate_USMCA&amp;""," "," "))))="")+(UPPER(TRIM(CLEAN(SUBSTITUTE(rate_USMCA&amp;""," "," "))))=IF(UPPER(TRIM(CLEAN(SUBSTITUTE(Items!F174&amp;""," "," "))))="Y","Y","N"))&gt;0)*((1+(UPPER(TRIM(CLEAN(SUBSTITUTE(rate_Group&amp;""," "," "))))&lt;&gt;"")+2*(UPPER(TRIM(CLEAN(SUBSTITUTE(rate_USMCA&amp;""," "," "))))&lt;&gt;"")+4*(UPPER(TRIM(CLEAN(SUBSTITUTE(rate_COO&amp;""," "," "))))&lt;&gt;""))*100+ROW(rate_Rate)-4))))</f>
        <v/>
      </c>
      <c r="AP174" s="13">
        <f>IF($AO174=0,0,SUMPRODUCT(ISNUMBER(rate_Rate)*((UPPER(TRIM(CLEAN(SUBSTITUTE(rate_Group&amp;""," "," "))))="")+(UPPER(TRIM(CLEAN(SUBSTITUTE(rate_Group&amp;""," "," "))))=$N174)&gt;0)*((UPPER(TRIM(CLEAN(SUBSTITUTE(rate_COO&amp;""," "," "))))="")+(UPPER(TRIM(CLEAN(SUBSTITUTE(rate_COO&amp;""," "," "))))=$E174)&gt;0)*((UPPER(TRIM(CLEAN(SUBSTITUTE(rate_USMCA&amp;""," "," "))))="")+(UPPER(TRIM(CLEAN(SUBSTITUTE(rate_USMCA&amp;""," "," "))))=IF(UPPER(TRIM(CLEAN(SUBSTITUTE(Items!F174&amp;""," "," "))))="Y","Y","N"))&gt;0)*((1+(UPPER(TRIM(CLEAN(SUBSTITUTE(rate_Group&amp;""," "," "))))&lt;&gt;"")+2*(UPPER(TRIM(CLEAN(SUBSTITUTE(rate_USMCA&amp;""," "," "))))&lt;&gt;"")+4*(UPPER(TRIM(CLEAN(SUBSTITUTE(rate_COO&amp;""," "," "))))&lt;&gt;""))=INT($AO174/100))))</f>
        <v/>
      </c>
      <c r="AQ174" s="13">
        <f>IF($A174="",0,IFERROR(MATCH($AL174,det_Key,0),0))</f>
        <v/>
      </c>
    </row>
    <row r="175">
      <c r="A175" s="10">
        <f>IF(TRIM(CLEAN(SUBSTITUTE(Items!A175&amp;""," "," ")))="","",TRIM(CLEAN(SUBSTITUTE(Items!A175&amp;""," "," "))))</f>
        <v/>
      </c>
      <c r="B175" s="10">
        <f>IF($A175="","",Items!B175&amp;"")</f>
        <v/>
      </c>
      <c r="C175" s="10">
        <f>IF($A175="","",SUBSTITUTE(SUBSTITUTE(SUBSTITUTE(SUBSTITUTE(CLEAN(Items!D175&amp;"")," ",""),".","")," ",""),"-",""))</f>
        <v/>
      </c>
      <c r="D175" s="10">
        <f>IF($A175="","",LEFT($C175,2))</f>
        <v/>
      </c>
      <c r="E175" s="10">
        <f>IF($A175="","",UPPER(TRIM(CLEAN(SUBSTITUTE(Items!E175&amp;""," "," ")))))</f>
        <v/>
      </c>
      <c r="F175" s="10">
        <f>IF($A175="","",IF(UPPER(TRIM(CLEAN(SUBSTITUTE(Items!C175&amp;""," "," "))))=UPPER(TRIM(CLEAN(SUBSTITUTE(act_Country&amp;""," "," ")))),"Y","N"))</f>
        <v/>
      </c>
      <c r="G175" s="10">
        <f>IF($A175="","",IF($AM175&gt;0,"Y","N"))</f>
        <v/>
      </c>
      <c r="H175" s="10">
        <f>IF($A175="","",IF(SUMPRODUCT((excl_HTS&lt;&gt;"")*(LEFT($C175,LEN(excl_HTS))=excl_HTS))&gt;0,"Y","N"))</f>
        <v/>
      </c>
      <c r="I175" s="10">
        <f>IF($A175="","",IF($E175="","N",IF(SUMPRODUCT(--(UPPER(TRIM(CLEAN(SUBSTITUTE(scope_COO&amp;""," "," "))))=$E175))&gt;0,"Y","N")))</f>
        <v/>
      </c>
      <c r="J175" s="10">
        <f>IF($A175="","",IF(AND(UPPER(TRIM(CLEAN(SUBSTITUTE(act_USMCAExempt&amp;""," "," "))))="Y",UPPER(TRIM(CLEAN(SUBSTITUTE(Items!F175&amp;""," "," "))))="Y"),"Y","N"))</f>
        <v/>
      </c>
      <c r="K175" s="10">
        <f>IF($A175="","",IF($AQ175=0,"",UPPER(TRIM(CLEAN(SUBSTITUTE(INDEX(det_Status,$AQ175)&amp;""," "," "))))))</f>
        <v/>
      </c>
      <c r="L175" s="10">
        <f>IF($A175="","",IF($F175="N","N",IF($K175="IN","Y",IF($K175="OUT","N",IF(AND($G175="Y",$H175="N",$I175="Y",$J175="N"),"Y","N")))))</f>
        <v/>
      </c>
      <c r="M175" s="10">
        <f>IF($A175="","",IF($F175="N","Out: different import country",IF($K175="IN","In: Research determination",IF($K175="OUT","Out: Research determination",IF($G175="N","Out: HTS not on scope list",IF($H175="Y","Out: HTS on exclusion list",IF($I175="N","Out: origin not on scope list",IF($J175="Y","Out: USMCA-qualifying, exempt","In: matches scope rules"))))))))</f>
        <v/>
      </c>
      <c r="N175" s="10">
        <f>IF(OR($A175="",$AM175=0),"",UPPER(TRIM(CLEAN(SUBSTITUTE(INDEX(scope_Group,MOD($AM175,1000))&amp;""," "," ")))))</f>
        <v/>
      </c>
      <c r="O175" s="10">
        <f>IF($L175&lt;&gt;"Y","",IF($AO175=0,"Default (B15)",UPPER(TRIM(CLEAN(SUBSTITUTE(INDEX(rate_ID,MOD($AO175,100))&amp;""," "," "))))))</f>
        <v/>
      </c>
      <c r="P175" s="10">
        <f>IF($L175&lt;&gt;"Y","",IF($AO175=0,IF(UPPER(TRIM(CLEAN(SUBSTITUTE(act_DefaultBase&amp;""," "," "))))="PART","PART","FULL"),IF(UPPER(TRIM(CLEAN(SUBSTITUTE(INDEX(rate_Base,MOD($AO175,100))&amp;""," "," "))))="PART","PART","FULL")))</f>
        <v/>
      </c>
      <c r="Q175" s="17">
        <f>IF($A175="","",N(Items!J175))</f>
        <v/>
      </c>
      <c r="R175" s="17">
        <f>IF($A175="","",IF($L175&lt;&gt;"Y",0,IF($AO175=0,N(act_Rate),N(INDEX(rate_Rate,MOD($AO175,100))))))</f>
        <v/>
      </c>
      <c r="S175" s="17">
        <f>IF($A175="","",IF($L175&lt;&gt;"Y",0,IF($AO175=0,IF(UPPER(TRIM(CLEAN(SUBSTITUTE(act_RateType&amp;""," "," "))))="REPLACE",N(act_PriorRate),0),IF(ISNUMBER(INDEX(rate_Prior,MOD($AO175,100))),INDEX(rate_Prior,MOD($AO175,100)),IF(UPPER(TRIM(CLEAN(SUBSTITUTE(act_RateType&amp;""," "," "))))="REPLACE",N(act_PriorRate),0)))))</f>
        <v/>
      </c>
      <c r="T175" s="17">
        <f>IF($A175="","",IF(AND($L175="Y",$P175="PART",ISNUMBER(Items!M175)),Items!M175,1))</f>
        <v/>
      </c>
      <c r="U175" s="17">
        <f>IF($A175="","",IF($L175&lt;&gt;"Y",0,IF($AQ175&gt;0,IF(ISNUMBER(INDEX(det_Displaced,$AQ175)),INDEX(det_Displaced,$AQ175),IF($AO175=0,0,N(INDEX(rate_Displaced,MOD($AO175,100))))),IF($AO175=0,0,N(INDEX(rate_Displaced,MOD($AO175,100)))))))</f>
        <v/>
      </c>
      <c r="V175" s="17">
        <f>IF($A175="","",IF($L175="Y",$Q175+$T175*($R175-$S175)-$U175,$Q175))</f>
        <v/>
      </c>
      <c r="W175" s="18">
        <f>IF($A175="","",N(Items!H175)*$Q175)</f>
        <v/>
      </c>
      <c r="X175" s="18">
        <f>IF($A175="","",N(Items!H175)*$V175)</f>
        <v/>
      </c>
      <c r="Y175" s="18">
        <f>IF($A175="","",$X175-$W175)</f>
        <v/>
      </c>
      <c r="Z175" s="18">
        <f>IF($A175="","",N(Items!K175)+$Y175)</f>
        <v/>
      </c>
      <c r="AA175" s="17">
        <f>IF($A175="","",IF(N(Items!L175)=0,"",(N(Items!L175)-N(Items!K175))/N(Items!L175)))</f>
        <v/>
      </c>
      <c r="AB175" s="17">
        <f>IF($A175="","",IF(N(Items!L175)=0,"",(N(Items!L175)-$Z175)/N(Items!L175)))</f>
        <v/>
      </c>
      <c r="AC175" s="17">
        <f>IF(OR($AA175="",$AB175=""),"",$AB175-$AA175)</f>
        <v/>
      </c>
      <c r="AD175" s="13">
        <f>IF($A175="","",N(Items!I175))</f>
        <v/>
      </c>
      <c r="AE175" s="19">
        <f>IF($A175="","",$Y175*$AD175)</f>
        <v/>
      </c>
      <c r="AF175" s="10">
        <f>IF($A175="","",IF(N(Items!L175)&gt;0,"Y","N"))</f>
        <v/>
      </c>
      <c r="AG175" s="19">
        <f>IF($A175="","",IF($AF175="Y",N(Items!L175)*$AD175,0))</f>
        <v/>
      </c>
      <c r="AH175" s="19">
        <f>IF($A175="","",IF($AF175="Y",(N(Items!L175)-N(Items!K175))*$AD175,0))</f>
        <v/>
      </c>
      <c r="AI175" s="19">
        <f>IF($A175="","",IF($AF175="Y",$AH175-$AE175,0))</f>
        <v/>
      </c>
      <c r="AJ175" s="10">
        <f>IF($A175="","",IF(COUNTIF($AL$5:$AL$254,$AL175)&gt;1,"CHECK: duplicate item and import country",IF(TRIM(CLEAN(SUBSTITUTE(Items!C175&amp;""," "," ")))="","CHECK: import country missing",IF(AND(UPPER(TRIM(CLEAN(SUBSTITUTE(Items!C175&amp;""," "," "))))&lt;&gt;"US",UPPER(TRIM(CLEAN(SUBSTITUTE(Items!C175&amp;""," "," "))))&lt;&gt;"CA",UPPER(TRIM(CLEAN(SUBSTITUTE(Items!C175&amp;""," "," "))))&lt;&gt;"MX"),"CHECK: import country must be US, CA or MX",IF(NOT(AND(LEN($C175)=10,IFERROR(TEXT(VALUE($C175),REPT("0",LEN($C175)))=$C175,FALSE))),"CHECK: HTS must be 10 digits",IF(LEN($E175)&lt;&gt;2,"CHECK: origin code missing or not 2 letters",IF(TRIM(CLEAN(SUBSTITUTE(Items!G175&amp;""," "," ")))="","CHECK: unit of measure missing",IF(OR(Items!H175="",Items!J175="",Items!K175=""),"CHECK: value, rate or cost missing",IF(OR(NOT(ISNUMBER(Items!H175)),NOT(ISNUMBER(Items!J175)),NOT(ISNUMBER(Items!K175)),AND(Items!I175&lt;&gt;"",NOT(ISNUMBER(Items!I175))),AND(Items!L175&lt;&gt;"",NOT(ISNUMBER(Items!L175))),AND(Items!M175&lt;&gt;"",NOT(ISNUMBER(Items!M175)))),"CHECK: text in a number column",IF(AND(ISNUMBER(Items!M175),OR(N(Items!M175)&lt;0,N(Items!M175)&gt;1)),"CHECK: dutiable share must be 0% to 100%",IF(AND(UPPER(TRIM(CLEAN(SUBSTITUTE(Items!F175&amp;""," "," "))))&lt;&gt;"",UPPER(TRIM(CLEAN(SUBSTITUTE(Items!F175&amp;""," "," "))))&lt;&gt;"Y",UPPER(TRIM(CLEAN(SUBSTITUTE(Items!F175&amp;""," "," "))))&lt;&gt;"N"),"CHECK: USMCA flag must be Y, N or blank",IF(AND(UPPER(TRIM(CLEAN(SUBSTITUTE(Items!F175&amp;""," "," "))))="Y",$E175&lt;&gt;"US",$E175&lt;&gt;"CA",$E175&lt;&gt;"MX"),"CHECK: USMCA flag on an origin other than US, CA or MX",IF(AND($L175="Y",$AO175=0,NOT(ISNUMBER(act_Rate))),"CHECK: in scope but no rate (add a rate line or B15)",IF(AND($L175="Y",UPPER(TRIM(CLEAN(SUBSTITUTE(act_RateType&amp;""," "," "))))="REPLACE",NOT(ISNUMBER(act_PriorRate)),IF($AO175=0,TRUE,NOT(ISNUMBER(INDEX(rate_Prior,MOD($AO175,100)))))),"CHECK: REPLACE but no earlier rate (B17 or the rate line's AD)",IF(AND($L175="Y",$AP175&gt;1),"CHECK: two rate lines match equally",IF(AND($L175="Y",$AN175&gt;1),"CHECK: HTS prefix listed twice on the scope list",IF(AND($L175="Y",$P175="PART",NOT(ISNUMBER(Items!M175))),"CHECK: dutiable share missing (PART base)",IF(AND($L175="Y",$P175="FULL",ISNUMBER(Items!M175),N(Items!M175)&lt;&gt;1),"CHECK: dutiable share entered, but the rate taxes the full value",IF(AND($L175="Y",$Q175+0.0000001&lt;$T175*$S175+$U175),"CHECK: current rate is below the duty being replaced or displaced",IF(AND($L175="Y",$AD175=0),"NOTE: in scope, no quantity",IF(AND($L175="Y",$AF175="N"),"NOTE: in scope, no sell price (left out of margin %)",IF(AND($L175="Y",N(Items!H175)&gt;N(Items!K175)),"NOTE: customs value above standard cost (check unit of measure)",IF(AND($L175="Y",$Q175&gt;1),"NOTE: current rate above 100% (check it was entered as a percentage)","OK")))))))))))))))))))))))</f>
        <v/>
      </c>
      <c r="AK175" s="20">
        <f>IF($A175="","",IF(AND($L175="Y",$AE175&lt;&gt;0),ABS($AE175)+ROW()/1000000000,""))</f>
        <v/>
      </c>
      <c r="AL175" s="10">
        <f>IF($A175="","",UPPER($A175)&amp;"/"&amp;UPPER(TRIM(CLEAN(SUBSTITUTE(Items!C175&amp;""," "," ")))))</f>
        <v/>
      </c>
      <c r="AM175" s="13">
        <f>IF($A175="",0,SUMPRODUCT(MAX((scope_HTS&lt;&gt;"")*(LEFT($C175,LEN(scope_HTS))=scope_HTS)*(LEN(scope_HTS)*1000+ROW(scope_HTS)-4))))</f>
        <v/>
      </c>
      <c r="AN175" s="13">
        <f>IF($AM175=0,0,SUMPRODUCT((scope_HTS&lt;&gt;"")*(LEFT($C175,LEN(scope_HTS))=scope_HTS)*(LEN(scope_HTS)=INT($AM175/1000))))</f>
        <v/>
      </c>
      <c r="AO175" s="13">
        <f>IF($L175&lt;&gt;"Y",0,SUMPRODUCT(MAX(ISNUMBER(rate_Rate)*((UPPER(TRIM(CLEAN(SUBSTITUTE(rate_Group&amp;""," "," "))))="")+(UPPER(TRIM(CLEAN(SUBSTITUTE(rate_Group&amp;""," "," "))))=$N175)&gt;0)*((UPPER(TRIM(CLEAN(SUBSTITUTE(rate_COO&amp;""," "," "))))="")+(UPPER(TRIM(CLEAN(SUBSTITUTE(rate_COO&amp;""," "," "))))=$E175)&gt;0)*((UPPER(TRIM(CLEAN(SUBSTITUTE(rate_USMCA&amp;""," "," "))))="")+(UPPER(TRIM(CLEAN(SUBSTITUTE(rate_USMCA&amp;""," "," "))))=IF(UPPER(TRIM(CLEAN(SUBSTITUTE(Items!F175&amp;""," "," "))))="Y","Y","N"))&gt;0)*((1+(UPPER(TRIM(CLEAN(SUBSTITUTE(rate_Group&amp;""," "," "))))&lt;&gt;"")+2*(UPPER(TRIM(CLEAN(SUBSTITUTE(rate_USMCA&amp;""," "," "))))&lt;&gt;"")+4*(UPPER(TRIM(CLEAN(SUBSTITUTE(rate_COO&amp;""," "," "))))&lt;&gt;""))*100+ROW(rate_Rate)-4))))</f>
        <v/>
      </c>
      <c r="AP175" s="13">
        <f>IF($AO175=0,0,SUMPRODUCT(ISNUMBER(rate_Rate)*((UPPER(TRIM(CLEAN(SUBSTITUTE(rate_Group&amp;""," "," "))))="")+(UPPER(TRIM(CLEAN(SUBSTITUTE(rate_Group&amp;""," "," "))))=$N175)&gt;0)*((UPPER(TRIM(CLEAN(SUBSTITUTE(rate_COO&amp;""," "," "))))="")+(UPPER(TRIM(CLEAN(SUBSTITUTE(rate_COO&amp;""," "," "))))=$E175)&gt;0)*((UPPER(TRIM(CLEAN(SUBSTITUTE(rate_USMCA&amp;""," "," "))))="")+(UPPER(TRIM(CLEAN(SUBSTITUTE(rate_USMCA&amp;""," "," "))))=IF(UPPER(TRIM(CLEAN(SUBSTITUTE(Items!F175&amp;""," "," "))))="Y","Y","N"))&gt;0)*((1+(UPPER(TRIM(CLEAN(SUBSTITUTE(rate_Group&amp;""," "," "))))&lt;&gt;"")+2*(UPPER(TRIM(CLEAN(SUBSTITUTE(rate_USMCA&amp;""," "," "))))&lt;&gt;"")+4*(UPPER(TRIM(CLEAN(SUBSTITUTE(rate_COO&amp;""," "," "))))&lt;&gt;""))=INT($AO175/100))))</f>
        <v/>
      </c>
      <c r="AQ175" s="13">
        <f>IF($A175="",0,IFERROR(MATCH($AL175,det_Key,0),0))</f>
        <v/>
      </c>
    </row>
    <row r="176">
      <c r="A176" s="10">
        <f>IF(TRIM(CLEAN(SUBSTITUTE(Items!A176&amp;""," "," ")))="","",TRIM(CLEAN(SUBSTITUTE(Items!A176&amp;""," "," "))))</f>
        <v/>
      </c>
      <c r="B176" s="10">
        <f>IF($A176="","",Items!B176&amp;"")</f>
        <v/>
      </c>
      <c r="C176" s="10">
        <f>IF($A176="","",SUBSTITUTE(SUBSTITUTE(SUBSTITUTE(SUBSTITUTE(CLEAN(Items!D176&amp;"")," ",""),".","")," ",""),"-",""))</f>
        <v/>
      </c>
      <c r="D176" s="10">
        <f>IF($A176="","",LEFT($C176,2))</f>
        <v/>
      </c>
      <c r="E176" s="10">
        <f>IF($A176="","",UPPER(TRIM(CLEAN(SUBSTITUTE(Items!E176&amp;""," "," ")))))</f>
        <v/>
      </c>
      <c r="F176" s="10">
        <f>IF($A176="","",IF(UPPER(TRIM(CLEAN(SUBSTITUTE(Items!C176&amp;""," "," "))))=UPPER(TRIM(CLEAN(SUBSTITUTE(act_Country&amp;""," "," ")))),"Y","N"))</f>
        <v/>
      </c>
      <c r="G176" s="10">
        <f>IF($A176="","",IF($AM176&gt;0,"Y","N"))</f>
        <v/>
      </c>
      <c r="H176" s="10">
        <f>IF($A176="","",IF(SUMPRODUCT((excl_HTS&lt;&gt;"")*(LEFT($C176,LEN(excl_HTS))=excl_HTS))&gt;0,"Y","N"))</f>
        <v/>
      </c>
      <c r="I176" s="10">
        <f>IF($A176="","",IF($E176="","N",IF(SUMPRODUCT(--(UPPER(TRIM(CLEAN(SUBSTITUTE(scope_COO&amp;""," "," "))))=$E176))&gt;0,"Y","N")))</f>
        <v/>
      </c>
      <c r="J176" s="10">
        <f>IF($A176="","",IF(AND(UPPER(TRIM(CLEAN(SUBSTITUTE(act_USMCAExempt&amp;""," "," "))))="Y",UPPER(TRIM(CLEAN(SUBSTITUTE(Items!F176&amp;""," "," "))))="Y"),"Y","N"))</f>
        <v/>
      </c>
      <c r="K176" s="10">
        <f>IF($A176="","",IF($AQ176=0,"",UPPER(TRIM(CLEAN(SUBSTITUTE(INDEX(det_Status,$AQ176)&amp;""," "," "))))))</f>
        <v/>
      </c>
      <c r="L176" s="10">
        <f>IF($A176="","",IF($F176="N","N",IF($K176="IN","Y",IF($K176="OUT","N",IF(AND($G176="Y",$H176="N",$I176="Y",$J176="N"),"Y","N")))))</f>
        <v/>
      </c>
      <c r="M176" s="10">
        <f>IF($A176="","",IF($F176="N","Out: different import country",IF($K176="IN","In: Research determination",IF($K176="OUT","Out: Research determination",IF($G176="N","Out: HTS not on scope list",IF($H176="Y","Out: HTS on exclusion list",IF($I176="N","Out: origin not on scope list",IF($J176="Y","Out: USMCA-qualifying, exempt","In: matches scope rules"))))))))</f>
        <v/>
      </c>
      <c r="N176" s="10">
        <f>IF(OR($A176="",$AM176=0),"",UPPER(TRIM(CLEAN(SUBSTITUTE(INDEX(scope_Group,MOD($AM176,1000))&amp;""," "," ")))))</f>
        <v/>
      </c>
      <c r="O176" s="10">
        <f>IF($L176&lt;&gt;"Y","",IF($AO176=0,"Default (B15)",UPPER(TRIM(CLEAN(SUBSTITUTE(INDEX(rate_ID,MOD($AO176,100))&amp;""," "," "))))))</f>
        <v/>
      </c>
      <c r="P176" s="10">
        <f>IF($L176&lt;&gt;"Y","",IF($AO176=0,IF(UPPER(TRIM(CLEAN(SUBSTITUTE(act_DefaultBase&amp;""," "," "))))="PART","PART","FULL"),IF(UPPER(TRIM(CLEAN(SUBSTITUTE(INDEX(rate_Base,MOD($AO176,100))&amp;""," "," "))))="PART","PART","FULL")))</f>
        <v/>
      </c>
      <c r="Q176" s="17">
        <f>IF($A176="","",N(Items!J176))</f>
        <v/>
      </c>
      <c r="R176" s="17">
        <f>IF($A176="","",IF($L176&lt;&gt;"Y",0,IF($AO176=0,N(act_Rate),N(INDEX(rate_Rate,MOD($AO176,100))))))</f>
        <v/>
      </c>
      <c r="S176" s="17">
        <f>IF($A176="","",IF($L176&lt;&gt;"Y",0,IF($AO176=0,IF(UPPER(TRIM(CLEAN(SUBSTITUTE(act_RateType&amp;""," "," "))))="REPLACE",N(act_PriorRate),0),IF(ISNUMBER(INDEX(rate_Prior,MOD($AO176,100))),INDEX(rate_Prior,MOD($AO176,100)),IF(UPPER(TRIM(CLEAN(SUBSTITUTE(act_RateType&amp;""," "," "))))="REPLACE",N(act_PriorRate),0)))))</f>
        <v/>
      </c>
      <c r="T176" s="17">
        <f>IF($A176="","",IF(AND($L176="Y",$P176="PART",ISNUMBER(Items!M176)),Items!M176,1))</f>
        <v/>
      </c>
      <c r="U176" s="17">
        <f>IF($A176="","",IF($L176&lt;&gt;"Y",0,IF($AQ176&gt;0,IF(ISNUMBER(INDEX(det_Displaced,$AQ176)),INDEX(det_Displaced,$AQ176),IF($AO176=0,0,N(INDEX(rate_Displaced,MOD($AO176,100))))),IF($AO176=0,0,N(INDEX(rate_Displaced,MOD($AO176,100)))))))</f>
        <v/>
      </c>
      <c r="V176" s="17">
        <f>IF($A176="","",IF($L176="Y",$Q176+$T176*($R176-$S176)-$U176,$Q176))</f>
        <v/>
      </c>
      <c r="W176" s="18">
        <f>IF($A176="","",N(Items!H176)*$Q176)</f>
        <v/>
      </c>
      <c r="X176" s="18">
        <f>IF($A176="","",N(Items!H176)*$V176)</f>
        <v/>
      </c>
      <c r="Y176" s="18">
        <f>IF($A176="","",$X176-$W176)</f>
        <v/>
      </c>
      <c r="Z176" s="18">
        <f>IF($A176="","",N(Items!K176)+$Y176)</f>
        <v/>
      </c>
      <c r="AA176" s="17">
        <f>IF($A176="","",IF(N(Items!L176)=0,"",(N(Items!L176)-N(Items!K176))/N(Items!L176)))</f>
        <v/>
      </c>
      <c r="AB176" s="17">
        <f>IF($A176="","",IF(N(Items!L176)=0,"",(N(Items!L176)-$Z176)/N(Items!L176)))</f>
        <v/>
      </c>
      <c r="AC176" s="17">
        <f>IF(OR($AA176="",$AB176=""),"",$AB176-$AA176)</f>
        <v/>
      </c>
      <c r="AD176" s="13">
        <f>IF($A176="","",N(Items!I176))</f>
        <v/>
      </c>
      <c r="AE176" s="19">
        <f>IF($A176="","",$Y176*$AD176)</f>
        <v/>
      </c>
      <c r="AF176" s="10">
        <f>IF($A176="","",IF(N(Items!L176)&gt;0,"Y","N"))</f>
        <v/>
      </c>
      <c r="AG176" s="19">
        <f>IF($A176="","",IF($AF176="Y",N(Items!L176)*$AD176,0))</f>
        <v/>
      </c>
      <c r="AH176" s="19">
        <f>IF($A176="","",IF($AF176="Y",(N(Items!L176)-N(Items!K176))*$AD176,0))</f>
        <v/>
      </c>
      <c r="AI176" s="19">
        <f>IF($A176="","",IF($AF176="Y",$AH176-$AE176,0))</f>
        <v/>
      </c>
      <c r="AJ176" s="10">
        <f>IF($A176="","",IF(COUNTIF($AL$5:$AL$254,$AL176)&gt;1,"CHECK: duplicate item and import country",IF(TRIM(CLEAN(SUBSTITUTE(Items!C176&amp;""," "," ")))="","CHECK: import country missing",IF(AND(UPPER(TRIM(CLEAN(SUBSTITUTE(Items!C176&amp;""," "," "))))&lt;&gt;"US",UPPER(TRIM(CLEAN(SUBSTITUTE(Items!C176&amp;""," "," "))))&lt;&gt;"CA",UPPER(TRIM(CLEAN(SUBSTITUTE(Items!C176&amp;""," "," "))))&lt;&gt;"MX"),"CHECK: import country must be US, CA or MX",IF(NOT(AND(LEN($C176)=10,IFERROR(TEXT(VALUE($C176),REPT("0",LEN($C176)))=$C176,FALSE))),"CHECK: HTS must be 10 digits",IF(LEN($E176)&lt;&gt;2,"CHECK: origin code missing or not 2 letters",IF(TRIM(CLEAN(SUBSTITUTE(Items!G176&amp;""," "," ")))="","CHECK: unit of measure missing",IF(OR(Items!H176="",Items!J176="",Items!K176=""),"CHECK: value, rate or cost missing",IF(OR(NOT(ISNUMBER(Items!H176)),NOT(ISNUMBER(Items!J176)),NOT(ISNUMBER(Items!K176)),AND(Items!I176&lt;&gt;"",NOT(ISNUMBER(Items!I176))),AND(Items!L176&lt;&gt;"",NOT(ISNUMBER(Items!L176))),AND(Items!M176&lt;&gt;"",NOT(ISNUMBER(Items!M176)))),"CHECK: text in a number column",IF(AND(ISNUMBER(Items!M176),OR(N(Items!M176)&lt;0,N(Items!M176)&gt;1)),"CHECK: dutiable share must be 0% to 100%",IF(AND(UPPER(TRIM(CLEAN(SUBSTITUTE(Items!F176&amp;""," "," "))))&lt;&gt;"",UPPER(TRIM(CLEAN(SUBSTITUTE(Items!F176&amp;""," "," "))))&lt;&gt;"Y",UPPER(TRIM(CLEAN(SUBSTITUTE(Items!F176&amp;""," "," "))))&lt;&gt;"N"),"CHECK: USMCA flag must be Y, N or blank",IF(AND(UPPER(TRIM(CLEAN(SUBSTITUTE(Items!F176&amp;""," "," "))))="Y",$E176&lt;&gt;"US",$E176&lt;&gt;"CA",$E176&lt;&gt;"MX"),"CHECK: USMCA flag on an origin other than US, CA or MX",IF(AND($L176="Y",$AO176=0,NOT(ISNUMBER(act_Rate))),"CHECK: in scope but no rate (add a rate line or B15)",IF(AND($L176="Y",UPPER(TRIM(CLEAN(SUBSTITUTE(act_RateType&amp;""," "," "))))="REPLACE",NOT(ISNUMBER(act_PriorRate)),IF($AO176=0,TRUE,NOT(ISNUMBER(INDEX(rate_Prior,MOD($AO176,100)))))),"CHECK: REPLACE but no earlier rate (B17 or the rate line's AD)",IF(AND($L176="Y",$AP176&gt;1),"CHECK: two rate lines match equally",IF(AND($L176="Y",$AN176&gt;1),"CHECK: HTS prefix listed twice on the scope list",IF(AND($L176="Y",$P176="PART",NOT(ISNUMBER(Items!M176))),"CHECK: dutiable share missing (PART base)",IF(AND($L176="Y",$P176="FULL",ISNUMBER(Items!M176),N(Items!M176)&lt;&gt;1),"CHECK: dutiable share entered, but the rate taxes the full value",IF(AND($L176="Y",$Q176+0.0000001&lt;$T176*$S176+$U176),"CHECK: current rate is below the duty being replaced or displaced",IF(AND($L176="Y",$AD176=0),"NOTE: in scope, no quantity",IF(AND($L176="Y",$AF176="N"),"NOTE: in scope, no sell price (left out of margin %)",IF(AND($L176="Y",N(Items!H176)&gt;N(Items!K176)),"NOTE: customs value above standard cost (check unit of measure)",IF(AND($L176="Y",$Q176&gt;1),"NOTE: current rate above 100% (check it was entered as a percentage)","OK")))))))))))))))))))))))</f>
        <v/>
      </c>
      <c r="AK176" s="20">
        <f>IF($A176="","",IF(AND($L176="Y",$AE176&lt;&gt;0),ABS($AE176)+ROW()/1000000000,""))</f>
        <v/>
      </c>
      <c r="AL176" s="10">
        <f>IF($A176="","",UPPER($A176)&amp;"/"&amp;UPPER(TRIM(CLEAN(SUBSTITUTE(Items!C176&amp;""," "," ")))))</f>
        <v/>
      </c>
      <c r="AM176" s="13">
        <f>IF($A176="",0,SUMPRODUCT(MAX((scope_HTS&lt;&gt;"")*(LEFT($C176,LEN(scope_HTS))=scope_HTS)*(LEN(scope_HTS)*1000+ROW(scope_HTS)-4))))</f>
        <v/>
      </c>
      <c r="AN176" s="13">
        <f>IF($AM176=0,0,SUMPRODUCT((scope_HTS&lt;&gt;"")*(LEFT($C176,LEN(scope_HTS))=scope_HTS)*(LEN(scope_HTS)=INT($AM176/1000))))</f>
        <v/>
      </c>
      <c r="AO176" s="13">
        <f>IF($L176&lt;&gt;"Y",0,SUMPRODUCT(MAX(ISNUMBER(rate_Rate)*((UPPER(TRIM(CLEAN(SUBSTITUTE(rate_Group&amp;""," "," "))))="")+(UPPER(TRIM(CLEAN(SUBSTITUTE(rate_Group&amp;""," "," "))))=$N176)&gt;0)*((UPPER(TRIM(CLEAN(SUBSTITUTE(rate_COO&amp;""," "," "))))="")+(UPPER(TRIM(CLEAN(SUBSTITUTE(rate_COO&amp;""," "," "))))=$E176)&gt;0)*((UPPER(TRIM(CLEAN(SUBSTITUTE(rate_USMCA&amp;""," "," "))))="")+(UPPER(TRIM(CLEAN(SUBSTITUTE(rate_USMCA&amp;""," "," "))))=IF(UPPER(TRIM(CLEAN(SUBSTITUTE(Items!F176&amp;""," "," "))))="Y","Y","N"))&gt;0)*((1+(UPPER(TRIM(CLEAN(SUBSTITUTE(rate_Group&amp;""," "," "))))&lt;&gt;"")+2*(UPPER(TRIM(CLEAN(SUBSTITUTE(rate_USMCA&amp;""," "," "))))&lt;&gt;"")+4*(UPPER(TRIM(CLEAN(SUBSTITUTE(rate_COO&amp;""," "," "))))&lt;&gt;""))*100+ROW(rate_Rate)-4))))</f>
        <v/>
      </c>
      <c r="AP176" s="13">
        <f>IF($AO176=0,0,SUMPRODUCT(ISNUMBER(rate_Rate)*((UPPER(TRIM(CLEAN(SUBSTITUTE(rate_Group&amp;""," "," "))))="")+(UPPER(TRIM(CLEAN(SUBSTITUTE(rate_Group&amp;""," "," "))))=$N176)&gt;0)*((UPPER(TRIM(CLEAN(SUBSTITUTE(rate_COO&amp;""," "," "))))="")+(UPPER(TRIM(CLEAN(SUBSTITUTE(rate_COO&amp;""," "," "))))=$E176)&gt;0)*((UPPER(TRIM(CLEAN(SUBSTITUTE(rate_USMCA&amp;""," "," "))))="")+(UPPER(TRIM(CLEAN(SUBSTITUTE(rate_USMCA&amp;""," "," "))))=IF(UPPER(TRIM(CLEAN(SUBSTITUTE(Items!F176&amp;""," "," "))))="Y","Y","N"))&gt;0)*((1+(UPPER(TRIM(CLEAN(SUBSTITUTE(rate_Group&amp;""," "," "))))&lt;&gt;"")+2*(UPPER(TRIM(CLEAN(SUBSTITUTE(rate_USMCA&amp;""," "," "))))&lt;&gt;"")+4*(UPPER(TRIM(CLEAN(SUBSTITUTE(rate_COO&amp;""," "," "))))&lt;&gt;""))=INT($AO176/100))))</f>
        <v/>
      </c>
      <c r="AQ176" s="13">
        <f>IF($A176="",0,IFERROR(MATCH($AL176,det_Key,0),0))</f>
        <v/>
      </c>
    </row>
    <row r="177">
      <c r="A177" s="10">
        <f>IF(TRIM(CLEAN(SUBSTITUTE(Items!A177&amp;""," "," ")))="","",TRIM(CLEAN(SUBSTITUTE(Items!A177&amp;""," "," "))))</f>
        <v/>
      </c>
      <c r="B177" s="10">
        <f>IF($A177="","",Items!B177&amp;"")</f>
        <v/>
      </c>
      <c r="C177" s="10">
        <f>IF($A177="","",SUBSTITUTE(SUBSTITUTE(SUBSTITUTE(SUBSTITUTE(CLEAN(Items!D177&amp;"")," ",""),".","")," ",""),"-",""))</f>
        <v/>
      </c>
      <c r="D177" s="10">
        <f>IF($A177="","",LEFT($C177,2))</f>
        <v/>
      </c>
      <c r="E177" s="10">
        <f>IF($A177="","",UPPER(TRIM(CLEAN(SUBSTITUTE(Items!E177&amp;""," "," ")))))</f>
        <v/>
      </c>
      <c r="F177" s="10">
        <f>IF($A177="","",IF(UPPER(TRIM(CLEAN(SUBSTITUTE(Items!C177&amp;""," "," "))))=UPPER(TRIM(CLEAN(SUBSTITUTE(act_Country&amp;""," "," ")))),"Y","N"))</f>
        <v/>
      </c>
      <c r="G177" s="10">
        <f>IF($A177="","",IF($AM177&gt;0,"Y","N"))</f>
        <v/>
      </c>
      <c r="H177" s="10">
        <f>IF($A177="","",IF(SUMPRODUCT((excl_HTS&lt;&gt;"")*(LEFT($C177,LEN(excl_HTS))=excl_HTS))&gt;0,"Y","N"))</f>
        <v/>
      </c>
      <c r="I177" s="10">
        <f>IF($A177="","",IF($E177="","N",IF(SUMPRODUCT(--(UPPER(TRIM(CLEAN(SUBSTITUTE(scope_COO&amp;""," "," "))))=$E177))&gt;0,"Y","N")))</f>
        <v/>
      </c>
      <c r="J177" s="10">
        <f>IF($A177="","",IF(AND(UPPER(TRIM(CLEAN(SUBSTITUTE(act_USMCAExempt&amp;""," "," "))))="Y",UPPER(TRIM(CLEAN(SUBSTITUTE(Items!F177&amp;""," "," "))))="Y"),"Y","N"))</f>
        <v/>
      </c>
      <c r="K177" s="10">
        <f>IF($A177="","",IF($AQ177=0,"",UPPER(TRIM(CLEAN(SUBSTITUTE(INDEX(det_Status,$AQ177)&amp;""," "," "))))))</f>
        <v/>
      </c>
      <c r="L177" s="10">
        <f>IF($A177="","",IF($F177="N","N",IF($K177="IN","Y",IF($K177="OUT","N",IF(AND($G177="Y",$H177="N",$I177="Y",$J177="N"),"Y","N")))))</f>
        <v/>
      </c>
      <c r="M177" s="10">
        <f>IF($A177="","",IF($F177="N","Out: different import country",IF($K177="IN","In: Research determination",IF($K177="OUT","Out: Research determination",IF($G177="N","Out: HTS not on scope list",IF($H177="Y","Out: HTS on exclusion list",IF($I177="N","Out: origin not on scope list",IF($J177="Y","Out: USMCA-qualifying, exempt","In: matches scope rules"))))))))</f>
        <v/>
      </c>
      <c r="N177" s="10">
        <f>IF(OR($A177="",$AM177=0),"",UPPER(TRIM(CLEAN(SUBSTITUTE(INDEX(scope_Group,MOD($AM177,1000))&amp;""," "," ")))))</f>
        <v/>
      </c>
      <c r="O177" s="10">
        <f>IF($L177&lt;&gt;"Y","",IF($AO177=0,"Default (B15)",UPPER(TRIM(CLEAN(SUBSTITUTE(INDEX(rate_ID,MOD($AO177,100))&amp;""," "," "))))))</f>
        <v/>
      </c>
      <c r="P177" s="10">
        <f>IF($L177&lt;&gt;"Y","",IF($AO177=0,IF(UPPER(TRIM(CLEAN(SUBSTITUTE(act_DefaultBase&amp;""," "," "))))="PART","PART","FULL"),IF(UPPER(TRIM(CLEAN(SUBSTITUTE(INDEX(rate_Base,MOD($AO177,100))&amp;""," "," "))))="PART","PART","FULL")))</f>
        <v/>
      </c>
      <c r="Q177" s="17">
        <f>IF($A177="","",N(Items!J177))</f>
        <v/>
      </c>
      <c r="R177" s="17">
        <f>IF($A177="","",IF($L177&lt;&gt;"Y",0,IF($AO177=0,N(act_Rate),N(INDEX(rate_Rate,MOD($AO177,100))))))</f>
        <v/>
      </c>
      <c r="S177" s="17">
        <f>IF($A177="","",IF($L177&lt;&gt;"Y",0,IF($AO177=0,IF(UPPER(TRIM(CLEAN(SUBSTITUTE(act_RateType&amp;""," "," "))))="REPLACE",N(act_PriorRate),0),IF(ISNUMBER(INDEX(rate_Prior,MOD($AO177,100))),INDEX(rate_Prior,MOD($AO177,100)),IF(UPPER(TRIM(CLEAN(SUBSTITUTE(act_RateType&amp;""," "," "))))="REPLACE",N(act_PriorRate),0)))))</f>
        <v/>
      </c>
      <c r="T177" s="17">
        <f>IF($A177="","",IF(AND($L177="Y",$P177="PART",ISNUMBER(Items!M177)),Items!M177,1))</f>
        <v/>
      </c>
      <c r="U177" s="17">
        <f>IF($A177="","",IF($L177&lt;&gt;"Y",0,IF($AQ177&gt;0,IF(ISNUMBER(INDEX(det_Displaced,$AQ177)),INDEX(det_Displaced,$AQ177),IF($AO177=0,0,N(INDEX(rate_Displaced,MOD($AO177,100))))),IF($AO177=0,0,N(INDEX(rate_Displaced,MOD($AO177,100)))))))</f>
        <v/>
      </c>
      <c r="V177" s="17">
        <f>IF($A177="","",IF($L177="Y",$Q177+$T177*($R177-$S177)-$U177,$Q177))</f>
        <v/>
      </c>
      <c r="W177" s="18">
        <f>IF($A177="","",N(Items!H177)*$Q177)</f>
        <v/>
      </c>
      <c r="X177" s="18">
        <f>IF($A177="","",N(Items!H177)*$V177)</f>
        <v/>
      </c>
      <c r="Y177" s="18">
        <f>IF($A177="","",$X177-$W177)</f>
        <v/>
      </c>
      <c r="Z177" s="18">
        <f>IF($A177="","",N(Items!K177)+$Y177)</f>
        <v/>
      </c>
      <c r="AA177" s="17">
        <f>IF($A177="","",IF(N(Items!L177)=0,"",(N(Items!L177)-N(Items!K177))/N(Items!L177)))</f>
        <v/>
      </c>
      <c r="AB177" s="17">
        <f>IF($A177="","",IF(N(Items!L177)=0,"",(N(Items!L177)-$Z177)/N(Items!L177)))</f>
        <v/>
      </c>
      <c r="AC177" s="17">
        <f>IF(OR($AA177="",$AB177=""),"",$AB177-$AA177)</f>
        <v/>
      </c>
      <c r="AD177" s="13">
        <f>IF($A177="","",N(Items!I177))</f>
        <v/>
      </c>
      <c r="AE177" s="19">
        <f>IF($A177="","",$Y177*$AD177)</f>
        <v/>
      </c>
      <c r="AF177" s="10">
        <f>IF($A177="","",IF(N(Items!L177)&gt;0,"Y","N"))</f>
        <v/>
      </c>
      <c r="AG177" s="19">
        <f>IF($A177="","",IF($AF177="Y",N(Items!L177)*$AD177,0))</f>
        <v/>
      </c>
      <c r="AH177" s="19">
        <f>IF($A177="","",IF($AF177="Y",(N(Items!L177)-N(Items!K177))*$AD177,0))</f>
        <v/>
      </c>
      <c r="AI177" s="19">
        <f>IF($A177="","",IF($AF177="Y",$AH177-$AE177,0))</f>
        <v/>
      </c>
      <c r="AJ177" s="10">
        <f>IF($A177="","",IF(COUNTIF($AL$5:$AL$254,$AL177)&gt;1,"CHECK: duplicate item and import country",IF(TRIM(CLEAN(SUBSTITUTE(Items!C177&amp;""," "," ")))="","CHECK: import country missing",IF(AND(UPPER(TRIM(CLEAN(SUBSTITUTE(Items!C177&amp;""," "," "))))&lt;&gt;"US",UPPER(TRIM(CLEAN(SUBSTITUTE(Items!C177&amp;""," "," "))))&lt;&gt;"CA",UPPER(TRIM(CLEAN(SUBSTITUTE(Items!C177&amp;""," "," "))))&lt;&gt;"MX"),"CHECK: import country must be US, CA or MX",IF(NOT(AND(LEN($C177)=10,IFERROR(TEXT(VALUE($C177),REPT("0",LEN($C177)))=$C177,FALSE))),"CHECK: HTS must be 10 digits",IF(LEN($E177)&lt;&gt;2,"CHECK: origin code missing or not 2 letters",IF(TRIM(CLEAN(SUBSTITUTE(Items!G177&amp;""," "," ")))="","CHECK: unit of measure missing",IF(OR(Items!H177="",Items!J177="",Items!K177=""),"CHECK: value, rate or cost missing",IF(OR(NOT(ISNUMBER(Items!H177)),NOT(ISNUMBER(Items!J177)),NOT(ISNUMBER(Items!K177)),AND(Items!I177&lt;&gt;"",NOT(ISNUMBER(Items!I177))),AND(Items!L177&lt;&gt;"",NOT(ISNUMBER(Items!L177))),AND(Items!M177&lt;&gt;"",NOT(ISNUMBER(Items!M177)))),"CHECK: text in a number column",IF(AND(ISNUMBER(Items!M177),OR(N(Items!M177)&lt;0,N(Items!M177)&gt;1)),"CHECK: dutiable share must be 0% to 100%",IF(AND(UPPER(TRIM(CLEAN(SUBSTITUTE(Items!F177&amp;""," "," "))))&lt;&gt;"",UPPER(TRIM(CLEAN(SUBSTITUTE(Items!F177&amp;""," "," "))))&lt;&gt;"Y",UPPER(TRIM(CLEAN(SUBSTITUTE(Items!F177&amp;""," "," "))))&lt;&gt;"N"),"CHECK: USMCA flag must be Y, N or blank",IF(AND(UPPER(TRIM(CLEAN(SUBSTITUTE(Items!F177&amp;""," "," "))))="Y",$E177&lt;&gt;"US",$E177&lt;&gt;"CA",$E177&lt;&gt;"MX"),"CHECK: USMCA flag on an origin other than US, CA or MX",IF(AND($L177="Y",$AO177=0,NOT(ISNUMBER(act_Rate))),"CHECK: in scope but no rate (add a rate line or B15)",IF(AND($L177="Y",UPPER(TRIM(CLEAN(SUBSTITUTE(act_RateType&amp;""," "," "))))="REPLACE",NOT(ISNUMBER(act_PriorRate)),IF($AO177=0,TRUE,NOT(ISNUMBER(INDEX(rate_Prior,MOD($AO177,100)))))),"CHECK: REPLACE but no earlier rate (B17 or the rate line's AD)",IF(AND($L177="Y",$AP177&gt;1),"CHECK: two rate lines match equally",IF(AND($L177="Y",$AN177&gt;1),"CHECK: HTS prefix listed twice on the scope list",IF(AND($L177="Y",$P177="PART",NOT(ISNUMBER(Items!M177))),"CHECK: dutiable share missing (PART base)",IF(AND($L177="Y",$P177="FULL",ISNUMBER(Items!M177),N(Items!M177)&lt;&gt;1),"CHECK: dutiable share entered, but the rate taxes the full value",IF(AND($L177="Y",$Q177+0.0000001&lt;$T177*$S177+$U177),"CHECK: current rate is below the duty being replaced or displaced",IF(AND($L177="Y",$AD177=0),"NOTE: in scope, no quantity",IF(AND($L177="Y",$AF177="N"),"NOTE: in scope, no sell price (left out of margin %)",IF(AND($L177="Y",N(Items!H177)&gt;N(Items!K177)),"NOTE: customs value above standard cost (check unit of measure)",IF(AND($L177="Y",$Q177&gt;1),"NOTE: current rate above 100% (check it was entered as a percentage)","OK")))))))))))))))))))))))</f>
        <v/>
      </c>
      <c r="AK177" s="20">
        <f>IF($A177="","",IF(AND($L177="Y",$AE177&lt;&gt;0),ABS($AE177)+ROW()/1000000000,""))</f>
        <v/>
      </c>
      <c r="AL177" s="10">
        <f>IF($A177="","",UPPER($A177)&amp;"/"&amp;UPPER(TRIM(CLEAN(SUBSTITUTE(Items!C177&amp;""," "," ")))))</f>
        <v/>
      </c>
      <c r="AM177" s="13">
        <f>IF($A177="",0,SUMPRODUCT(MAX((scope_HTS&lt;&gt;"")*(LEFT($C177,LEN(scope_HTS))=scope_HTS)*(LEN(scope_HTS)*1000+ROW(scope_HTS)-4))))</f>
        <v/>
      </c>
      <c r="AN177" s="13">
        <f>IF($AM177=0,0,SUMPRODUCT((scope_HTS&lt;&gt;"")*(LEFT($C177,LEN(scope_HTS))=scope_HTS)*(LEN(scope_HTS)=INT($AM177/1000))))</f>
        <v/>
      </c>
      <c r="AO177" s="13">
        <f>IF($L177&lt;&gt;"Y",0,SUMPRODUCT(MAX(ISNUMBER(rate_Rate)*((UPPER(TRIM(CLEAN(SUBSTITUTE(rate_Group&amp;""," "," "))))="")+(UPPER(TRIM(CLEAN(SUBSTITUTE(rate_Group&amp;""," "," "))))=$N177)&gt;0)*((UPPER(TRIM(CLEAN(SUBSTITUTE(rate_COO&amp;""," "," "))))="")+(UPPER(TRIM(CLEAN(SUBSTITUTE(rate_COO&amp;""," "," "))))=$E177)&gt;0)*((UPPER(TRIM(CLEAN(SUBSTITUTE(rate_USMCA&amp;""," "," "))))="")+(UPPER(TRIM(CLEAN(SUBSTITUTE(rate_USMCA&amp;""," "," "))))=IF(UPPER(TRIM(CLEAN(SUBSTITUTE(Items!F177&amp;""," "," "))))="Y","Y","N"))&gt;0)*((1+(UPPER(TRIM(CLEAN(SUBSTITUTE(rate_Group&amp;""," "," "))))&lt;&gt;"")+2*(UPPER(TRIM(CLEAN(SUBSTITUTE(rate_USMCA&amp;""," "," "))))&lt;&gt;"")+4*(UPPER(TRIM(CLEAN(SUBSTITUTE(rate_COO&amp;""," "," "))))&lt;&gt;""))*100+ROW(rate_Rate)-4))))</f>
        <v/>
      </c>
      <c r="AP177" s="13">
        <f>IF($AO177=0,0,SUMPRODUCT(ISNUMBER(rate_Rate)*((UPPER(TRIM(CLEAN(SUBSTITUTE(rate_Group&amp;""," "," "))))="")+(UPPER(TRIM(CLEAN(SUBSTITUTE(rate_Group&amp;""," "," "))))=$N177)&gt;0)*((UPPER(TRIM(CLEAN(SUBSTITUTE(rate_COO&amp;""," "," "))))="")+(UPPER(TRIM(CLEAN(SUBSTITUTE(rate_COO&amp;""," "," "))))=$E177)&gt;0)*((UPPER(TRIM(CLEAN(SUBSTITUTE(rate_USMCA&amp;""," "," "))))="")+(UPPER(TRIM(CLEAN(SUBSTITUTE(rate_USMCA&amp;""," "," "))))=IF(UPPER(TRIM(CLEAN(SUBSTITUTE(Items!F177&amp;""," "," "))))="Y","Y","N"))&gt;0)*((1+(UPPER(TRIM(CLEAN(SUBSTITUTE(rate_Group&amp;""," "," "))))&lt;&gt;"")+2*(UPPER(TRIM(CLEAN(SUBSTITUTE(rate_USMCA&amp;""," "," "))))&lt;&gt;"")+4*(UPPER(TRIM(CLEAN(SUBSTITUTE(rate_COO&amp;""," "," "))))&lt;&gt;""))=INT($AO177/100))))</f>
        <v/>
      </c>
      <c r="AQ177" s="13">
        <f>IF($A177="",0,IFERROR(MATCH($AL177,det_Key,0),0))</f>
        <v/>
      </c>
    </row>
    <row r="178">
      <c r="A178" s="10">
        <f>IF(TRIM(CLEAN(SUBSTITUTE(Items!A178&amp;""," "," ")))="","",TRIM(CLEAN(SUBSTITUTE(Items!A178&amp;""," "," "))))</f>
        <v/>
      </c>
      <c r="B178" s="10">
        <f>IF($A178="","",Items!B178&amp;"")</f>
        <v/>
      </c>
      <c r="C178" s="10">
        <f>IF($A178="","",SUBSTITUTE(SUBSTITUTE(SUBSTITUTE(SUBSTITUTE(CLEAN(Items!D178&amp;"")," ",""),".","")," ",""),"-",""))</f>
        <v/>
      </c>
      <c r="D178" s="10">
        <f>IF($A178="","",LEFT($C178,2))</f>
        <v/>
      </c>
      <c r="E178" s="10">
        <f>IF($A178="","",UPPER(TRIM(CLEAN(SUBSTITUTE(Items!E178&amp;""," "," ")))))</f>
        <v/>
      </c>
      <c r="F178" s="10">
        <f>IF($A178="","",IF(UPPER(TRIM(CLEAN(SUBSTITUTE(Items!C178&amp;""," "," "))))=UPPER(TRIM(CLEAN(SUBSTITUTE(act_Country&amp;""," "," ")))),"Y","N"))</f>
        <v/>
      </c>
      <c r="G178" s="10">
        <f>IF($A178="","",IF($AM178&gt;0,"Y","N"))</f>
        <v/>
      </c>
      <c r="H178" s="10">
        <f>IF($A178="","",IF(SUMPRODUCT((excl_HTS&lt;&gt;"")*(LEFT($C178,LEN(excl_HTS))=excl_HTS))&gt;0,"Y","N"))</f>
        <v/>
      </c>
      <c r="I178" s="10">
        <f>IF($A178="","",IF($E178="","N",IF(SUMPRODUCT(--(UPPER(TRIM(CLEAN(SUBSTITUTE(scope_COO&amp;""," "," "))))=$E178))&gt;0,"Y","N")))</f>
        <v/>
      </c>
      <c r="J178" s="10">
        <f>IF($A178="","",IF(AND(UPPER(TRIM(CLEAN(SUBSTITUTE(act_USMCAExempt&amp;""," "," "))))="Y",UPPER(TRIM(CLEAN(SUBSTITUTE(Items!F178&amp;""," "," "))))="Y"),"Y","N"))</f>
        <v/>
      </c>
      <c r="K178" s="10">
        <f>IF($A178="","",IF($AQ178=0,"",UPPER(TRIM(CLEAN(SUBSTITUTE(INDEX(det_Status,$AQ178)&amp;""," "," "))))))</f>
        <v/>
      </c>
      <c r="L178" s="10">
        <f>IF($A178="","",IF($F178="N","N",IF($K178="IN","Y",IF($K178="OUT","N",IF(AND($G178="Y",$H178="N",$I178="Y",$J178="N"),"Y","N")))))</f>
        <v/>
      </c>
      <c r="M178" s="10">
        <f>IF($A178="","",IF($F178="N","Out: different import country",IF($K178="IN","In: Research determination",IF($K178="OUT","Out: Research determination",IF($G178="N","Out: HTS not on scope list",IF($H178="Y","Out: HTS on exclusion list",IF($I178="N","Out: origin not on scope list",IF($J178="Y","Out: USMCA-qualifying, exempt","In: matches scope rules"))))))))</f>
        <v/>
      </c>
      <c r="N178" s="10">
        <f>IF(OR($A178="",$AM178=0),"",UPPER(TRIM(CLEAN(SUBSTITUTE(INDEX(scope_Group,MOD($AM178,1000))&amp;""," "," ")))))</f>
        <v/>
      </c>
      <c r="O178" s="10">
        <f>IF($L178&lt;&gt;"Y","",IF($AO178=0,"Default (B15)",UPPER(TRIM(CLEAN(SUBSTITUTE(INDEX(rate_ID,MOD($AO178,100))&amp;""," "," "))))))</f>
        <v/>
      </c>
      <c r="P178" s="10">
        <f>IF($L178&lt;&gt;"Y","",IF($AO178=0,IF(UPPER(TRIM(CLEAN(SUBSTITUTE(act_DefaultBase&amp;""," "," "))))="PART","PART","FULL"),IF(UPPER(TRIM(CLEAN(SUBSTITUTE(INDEX(rate_Base,MOD($AO178,100))&amp;""," "," "))))="PART","PART","FULL")))</f>
        <v/>
      </c>
      <c r="Q178" s="17">
        <f>IF($A178="","",N(Items!J178))</f>
        <v/>
      </c>
      <c r="R178" s="17">
        <f>IF($A178="","",IF($L178&lt;&gt;"Y",0,IF($AO178=0,N(act_Rate),N(INDEX(rate_Rate,MOD($AO178,100))))))</f>
        <v/>
      </c>
      <c r="S178" s="17">
        <f>IF($A178="","",IF($L178&lt;&gt;"Y",0,IF($AO178=0,IF(UPPER(TRIM(CLEAN(SUBSTITUTE(act_RateType&amp;""," "," "))))="REPLACE",N(act_PriorRate),0),IF(ISNUMBER(INDEX(rate_Prior,MOD($AO178,100))),INDEX(rate_Prior,MOD($AO178,100)),IF(UPPER(TRIM(CLEAN(SUBSTITUTE(act_RateType&amp;""," "," "))))="REPLACE",N(act_PriorRate),0)))))</f>
        <v/>
      </c>
      <c r="T178" s="17">
        <f>IF($A178="","",IF(AND($L178="Y",$P178="PART",ISNUMBER(Items!M178)),Items!M178,1))</f>
        <v/>
      </c>
      <c r="U178" s="17">
        <f>IF($A178="","",IF($L178&lt;&gt;"Y",0,IF($AQ178&gt;0,IF(ISNUMBER(INDEX(det_Displaced,$AQ178)),INDEX(det_Displaced,$AQ178),IF($AO178=0,0,N(INDEX(rate_Displaced,MOD($AO178,100))))),IF($AO178=0,0,N(INDEX(rate_Displaced,MOD($AO178,100)))))))</f>
        <v/>
      </c>
      <c r="V178" s="17">
        <f>IF($A178="","",IF($L178="Y",$Q178+$T178*($R178-$S178)-$U178,$Q178))</f>
        <v/>
      </c>
      <c r="W178" s="18">
        <f>IF($A178="","",N(Items!H178)*$Q178)</f>
        <v/>
      </c>
      <c r="X178" s="18">
        <f>IF($A178="","",N(Items!H178)*$V178)</f>
        <v/>
      </c>
      <c r="Y178" s="18">
        <f>IF($A178="","",$X178-$W178)</f>
        <v/>
      </c>
      <c r="Z178" s="18">
        <f>IF($A178="","",N(Items!K178)+$Y178)</f>
        <v/>
      </c>
      <c r="AA178" s="17">
        <f>IF($A178="","",IF(N(Items!L178)=0,"",(N(Items!L178)-N(Items!K178))/N(Items!L178)))</f>
        <v/>
      </c>
      <c r="AB178" s="17">
        <f>IF($A178="","",IF(N(Items!L178)=0,"",(N(Items!L178)-$Z178)/N(Items!L178)))</f>
        <v/>
      </c>
      <c r="AC178" s="17">
        <f>IF(OR($AA178="",$AB178=""),"",$AB178-$AA178)</f>
        <v/>
      </c>
      <c r="AD178" s="13">
        <f>IF($A178="","",N(Items!I178))</f>
        <v/>
      </c>
      <c r="AE178" s="19">
        <f>IF($A178="","",$Y178*$AD178)</f>
        <v/>
      </c>
      <c r="AF178" s="10">
        <f>IF($A178="","",IF(N(Items!L178)&gt;0,"Y","N"))</f>
        <v/>
      </c>
      <c r="AG178" s="19">
        <f>IF($A178="","",IF($AF178="Y",N(Items!L178)*$AD178,0))</f>
        <v/>
      </c>
      <c r="AH178" s="19">
        <f>IF($A178="","",IF($AF178="Y",(N(Items!L178)-N(Items!K178))*$AD178,0))</f>
        <v/>
      </c>
      <c r="AI178" s="19">
        <f>IF($A178="","",IF($AF178="Y",$AH178-$AE178,0))</f>
        <v/>
      </c>
      <c r="AJ178" s="10">
        <f>IF($A178="","",IF(COUNTIF($AL$5:$AL$254,$AL178)&gt;1,"CHECK: duplicate item and import country",IF(TRIM(CLEAN(SUBSTITUTE(Items!C178&amp;""," "," ")))="","CHECK: import country missing",IF(AND(UPPER(TRIM(CLEAN(SUBSTITUTE(Items!C178&amp;""," "," "))))&lt;&gt;"US",UPPER(TRIM(CLEAN(SUBSTITUTE(Items!C178&amp;""," "," "))))&lt;&gt;"CA",UPPER(TRIM(CLEAN(SUBSTITUTE(Items!C178&amp;""," "," "))))&lt;&gt;"MX"),"CHECK: import country must be US, CA or MX",IF(NOT(AND(LEN($C178)=10,IFERROR(TEXT(VALUE($C178),REPT("0",LEN($C178)))=$C178,FALSE))),"CHECK: HTS must be 10 digits",IF(LEN($E178)&lt;&gt;2,"CHECK: origin code missing or not 2 letters",IF(TRIM(CLEAN(SUBSTITUTE(Items!G178&amp;""," "," ")))="","CHECK: unit of measure missing",IF(OR(Items!H178="",Items!J178="",Items!K178=""),"CHECK: value, rate or cost missing",IF(OR(NOT(ISNUMBER(Items!H178)),NOT(ISNUMBER(Items!J178)),NOT(ISNUMBER(Items!K178)),AND(Items!I178&lt;&gt;"",NOT(ISNUMBER(Items!I178))),AND(Items!L178&lt;&gt;"",NOT(ISNUMBER(Items!L178))),AND(Items!M178&lt;&gt;"",NOT(ISNUMBER(Items!M178)))),"CHECK: text in a number column",IF(AND(ISNUMBER(Items!M178),OR(N(Items!M178)&lt;0,N(Items!M178)&gt;1)),"CHECK: dutiable share must be 0% to 100%",IF(AND(UPPER(TRIM(CLEAN(SUBSTITUTE(Items!F178&amp;""," "," "))))&lt;&gt;"",UPPER(TRIM(CLEAN(SUBSTITUTE(Items!F178&amp;""," "," "))))&lt;&gt;"Y",UPPER(TRIM(CLEAN(SUBSTITUTE(Items!F178&amp;""," "," "))))&lt;&gt;"N"),"CHECK: USMCA flag must be Y, N or blank",IF(AND(UPPER(TRIM(CLEAN(SUBSTITUTE(Items!F178&amp;""," "," "))))="Y",$E178&lt;&gt;"US",$E178&lt;&gt;"CA",$E178&lt;&gt;"MX"),"CHECK: USMCA flag on an origin other than US, CA or MX",IF(AND($L178="Y",$AO178=0,NOT(ISNUMBER(act_Rate))),"CHECK: in scope but no rate (add a rate line or B15)",IF(AND($L178="Y",UPPER(TRIM(CLEAN(SUBSTITUTE(act_RateType&amp;""," "," "))))="REPLACE",NOT(ISNUMBER(act_PriorRate)),IF($AO178=0,TRUE,NOT(ISNUMBER(INDEX(rate_Prior,MOD($AO178,100)))))),"CHECK: REPLACE but no earlier rate (B17 or the rate line's AD)",IF(AND($L178="Y",$AP178&gt;1),"CHECK: two rate lines match equally",IF(AND($L178="Y",$AN178&gt;1),"CHECK: HTS prefix listed twice on the scope list",IF(AND($L178="Y",$P178="PART",NOT(ISNUMBER(Items!M178))),"CHECK: dutiable share missing (PART base)",IF(AND($L178="Y",$P178="FULL",ISNUMBER(Items!M178),N(Items!M178)&lt;&gt;1),"CHECK: dutiable share entered, but the rate taxes the full value",IF(AND($L178="Y",$Q178+0.0000001&lt;$T178*$S178+$U178),"CHECK: current rate is below the duty being replaced or displaced",IF(AND($L178="Y",$AD178=0),"NOTE: in scope, no quantity",IF(AND($L178="Y",$AF178="N"),"NOTE: in scope, no sell price (left out of margin %)",IF(AND($L178="Y",N(Items!H178)&gt;N(Items!K178)),"NOTE: customs value above standard cost (check unit of measure)",IF(AND($L178="Y",$Q178&gt;1),"NOTE: current rate above 100% (check it was entered as a percentage)","OK")))))))))))))))))))))))</f>
        <v/>
      </c>
      <c r="AK178" s="20">
        <f>IF($A178="","",IF(AND($L178="Y",$AE178&lt;&gt;0),ABS($AE178)+ROW()/1000000000,""))</f>
        <v/>
      </c>
      <c r="AL178" s="10">
        <f>IF($A178="","",UPPER($A178)&amp;"/"&amp;UPPER(TRIM(CLEAN(SUBSTITUTE(Items!C178&amp;""," "," ")))))</f>
        <v/>
      </c>
      <c r="AM178" s="13">
        <f>IF($A178="",0,SUMPRODUCT(MAX((scope_HTS&lt;&gt;"")*(LEFT($C178,LEN(scope_HTS))=scope_HTS)*(LEN(scope_HTS)*1000+ROW(scope_HTS)-4))))</f>
        <v/>
      </c>
      <c r="AN178" s="13">
        <f>IF($AM178=0,0,SUMPRODUCT((scope_HTS&lt;&gt;"")*(LEFT($C178,LEN(scope_HTS))=scope_HTS)*(LEN(scope_HTS)=INT($AM178/1000))))</f>
        <v/>
      </c>
      <c r="AO178" s="13">
        <f>IF($L178&lt;&gt;"Y",0,SUMPRODUCT(MAX(ISNUMBER(rate_Rate)*((UPPER(TRIM(CLEAN(SUBSTITUTE(rate_Group&amp;""," "," "))))="")+(UPPER(TRIM(CLEAN(SUBSTITUTE(rate_Group&amp;""," "," "))))=$N178)&gt;0)*((UPPER(TRIM(CLEAN(SUBSTITUTE(rate_COO&amp;""," "," "))))="")+(UPPER(TRIM(CLEAN(SUBSTITUTE(rate_COO&amp;""," "," "))))=$E178)&gt;0)*((UPPER(TRIM(CLEAN(SUBSTITUTE(rate_USMCA&amp;""," "," "))))="")+(UPPER(TRIM(CLEAN(SUBSTITUTE(rate_USMCA&amp;""," "," "))))=IF(UPPER(TRIM(CLEAN(SUBSTITUTE(Items!F178&amp;""," "," "))))="Y","Y","N"))&gt;0)*((1+(UPPER(TRIM(CLEAN(SUBSTITUTE(rate_Group&amp;""," "," "))))&lt;&gt;"")+2*(UPPER(TRIM(CLEAN(SUBSTITUTE(rate_USMCA&amp;""," "," "))))&lt;&gt;"")+4*(UPPER(TRIM(CLEAN(SUBSTITUTE(rate_COO&amp;""," "," "))))&lt;&gt;""))*100+ROW(rate_Rate)-4))))</f>
        <v/>
      </c>
      <c r="AP178" s="13">
        <f>IF($AO178=0,0,SUMPRODUCT(ISNUMBER(rate_Rate)*((UPPER(TRIM(CLEAN(SUBSTITUTE(rate_Group&amp;""," "," "))))="")+(UPPER(TRIM(CLEAN(SUBSTITUTE(rate_Group&amp;""," "," "))))=$N178)&gt;0)*((UPPER(TRIM(CLEAN(SUBSTITUTE(rate_COO&amp;""," "," "))))="")+(UPPER(TRIM(CLEAN(SUBSTITUTE(rate_COO&amp;""," "," "))))=$E178)&gt;0)*((UPPER(TRIM(CLEAN(SUBSTITUTE(rate_USMCA&amp;""," "," "))))="")+(UPPER(TRIM(CLEAN(SUBSTITUTE(rate_USMCA&amp;""," "," "))))=IF(UPPER(TRIM(CLEAN(SUBSTITUTE(Items!F178&amp;""," "," "))))="Y","Y","N"))&gt;0)*((1+(UPPER(TRIM(CLEAN(SUBSTITUTE(rate_Group&amp;""," "," "))))&lt;&gt;"")+2*(UPPER(TRIM(CLEAN(SUBSTITUTE(rate_USMCA&amp;""," "," "))))&lt;&gt;"")+4*(UPPER(TRIM(CLEAN(SUBSTITUTE(rate_COO&amp;""," "," "))))&lt;&gt;""))=INT($AO178/100))))</f>
        <v/>
      </c>
      <c r="AQ178" s="13">
        <f>IF($A178="",0,IFERROR(MATCH($AL178,det_Key,0),0))</f>
        <v/>
      </c>
    </row>
    <row r="179">
      <c r="A179" s="10">
        <f>IF(TRIM(CLEAN(SUBSTITUTE(Items!A179&amp;""," "," ")))="","",TRIM(CLEAN(SUBSTITUTE(Items!A179&amp;""," "," "))))</f>
        <v/>
      </c>
      <c r="B179" s="10">
        <f>IF($A179="","",Items!B179&amp;"")</f>
        <v/>
      </c>
      <c r="C179" s="10">
        <f>IF($A179="","",SUBSTITUTE(SUBSTITUTE(SUBSTITUTE(SUBSTITUTE(CLEAN(Items!D179&amp;"")," ",""),".","")," ",""),"-",""))</f>
        <v/>
      </c>
      <c r="D179" s="10">
        <f>IF($A179="","",LEFT($C179,2))</f>
        <v/>
      </c>
      <c r="E179" s="10">
        <f>IF($A179="","",UPPER(TRIM(CLEAN(SUBSTITUTE(Items!E179&amp;""," "," ")))))</f>
        <v/>
      </c>
      <c r="F179" s="10">
        <f>IF($A179="","",IF(UPPER(TRIM(CLEAN(SUBSTITUTE(Items!C179&amp;""," "," "))))=UPPER(TRIM(CLEAN(SUBSTITUTE(act_Country&amp;""," "," ")))),"Y","N"))</f>
        <v/>
      </c>
      <c r="G179" s="10">
        <f>IF($A179="","",IF($AM179&gt;0,"Y","N"))</f>
        <v/>
      </c>
      <c r="H179" s="10">
        <f>IF($A179="","",IF(SUMPRODUCT((excl_HTS&lt;&gt;"")*(LEFT($C179,LEN(excl_HTS))=excl_HTS))&gt;0,"Y","N"))</f>
        <v/>
      </c>
      <c r="I179" s="10">
        <f>IF($A179="","",IF($E179="","N",IF(SUMPRODUCT(--(UPPER(TRIM(CLEAN(SUBSTITUTE(scope_COO&amp;""," "," "))))=$E179))&gt;0,"Y","N")))</f>
        <v/>
      </c>
      <c r="J179" s="10">
        <f>IF($A179="","",IF(AND(UPPER(TRIM(CLEAN(SUBSTITUTE(act_USMCAExempt&amp;""," "," "))))="Y",UPPER(TRIM(CLEAN(SUBSTITUTE(Items!F179&amp;""," "," "))))="Y"),"Y","N"))</f>
        <v/>
      </c>
      <c r="K179" s="10">
        <f>IF($A179="","",IF($AQ179=0,"",UPPER(TRIM(CLEAN(SUBSTITUTE(INDEX(det_Status,$AQ179)&amp;""," "," "))))))</f>
        <v/>
      </c>
      <c r="L179" s="10">
        <f>IF($A179="","",IF($F179="N","N",IF($K179="IN","Y",IF($K179="OUT","N",IF(AND($G179="Y",$H179="N",$I179="Y",$J179="N"),"Y","N")))))</f>
        <v/>
      </c>
      <c r="M179" s="10">
        <f>IF($A179="","",IF($F179="N","Out: different import country",IF($K179="IN","In: Research determination",IF($K179="OUT","Out: Research determination",IF($G179="N","Out: HTS not on scope list",IF($H179="Y","Out: HTS on exclusion list",IF($I179="N","Out: origin not on scope list",IF($J179="Y","Out: USMCA-qualifying, exempt","In: matches scope rules"))))))))</f>
        <v/>
      </c>
      <c r="N179" s="10">
        <f>IF(OR($A179="",$AM179=0),"",UPPER(TRIM(CLEAN(SUBSTITUTE(INDEX(scope_Group,MOD($AM179,1000))&amp;""," "," ")))))</f>
        <v/>
      </c>
      <c r="O179" s="10">
        <f>IF($L179&lt;&gt;"Y","",IF($AO179=0,"Default (B15)",UPPER(TRIM(CLEAN(SUBSTITUTE(INDEX(rate_ID,MOD($AO179,100))&amp;""," "," "))))))</f>
        <v/>
      </c>
      <c r="P179" s="10">
        <f>IF($L179&lt;&gt;"Y","",IF($AO179=0,IF(UPPER(TRIM(CLEAN(SUBSTITUTE(act_DefaultBase&amp;""," "," "))))="PART","PART","FULL"),IF(UPPER(TRIM(CLEAN(SUBSTITUTE(INDEX(rate_Base,MOD($AO179,100))&amp;""," "," "))))="PART","PART","FULL")))</f>
        <v/>
      </c>
      <c r="Q179" s="17">
        <f>IF($A179="","",N(Items!J179))</f>
        <v/>
      </c>
      <c r="R179" s="17">
        <f>IF($A179="","",IF($L179&lt;&gt;"Y",0,IF($AO179=0,N(act_Rate),N(INDEX(rate_Rate,MOD($AO179,100))))))</f>
        <v/>
      </c>
      <c r="S179" s="17">
        <f>IF($A179="","",IF($L179&lt;&gt;"Y",0,IF($AO179=0,IF(UPPER(TRIM(CLEAN(SUBSTITUTE(act_RateType&amp;""," "," "))))="REPLACE",N(act_PriorRate),0),IF(ISNUMBER(INDEX(rate_Prior,MOD($AO179,100))),INDEX(rate_Prior,MOD($AO179,100)),IF(UPPER(TRIM(CLEAN(SUBSTITUTE(act_RateType&amp;""," "," "))))="REPLACE",N(act_PriorRate),0)))))</f>
        <v/>
      </c>
      <c r="T179" s="17">
        <f>IF($A179="","",IF(AND($L179="Y",$P179="PART",ISNUMBER(Items!M179)),Items!M179,1))</f>
        <v/>
      </c>
      <c r="U179" s="17">
        <f>IF($A179="","",IF($L179&lt;&gt;"Y",0,IF($AQ179&gt;0,IF(ISNUMBER(INDEX(det_Displaced,$AQ179)),INDEX(det_Displaced,$AQ179),IF($AO179=0,0,N(INDEX(rate_Displaced,MOD($AO179,100))))),IF($AO179=0,0,N(INDEX(rate_Displaced,MOD($AO179,100)))))))</f>
        <v/>
      </c>
      <c r="V179" s="17">
        <f>IF($A179="","",IF($L179="Y",$Q179+$T179*($R179-$S179)-$U179,$Q179))</f>
        <v/>
      </c>
      <c r="W179" s="18">
        <f>IF($A179="","",N(Items!H179)*$Q179)</f>
        <v/>
      </c>
      <c r="X179" s="18">
        <f>IF($A179="","",N(Items!H179)*$V179)</f>
        <v/>
      </c>
      <c r="Y179" s="18">
        <f>IF($A179="","",$X179-$W179)</f>
        <v/>
      </c>
      <c r="Z179" s="18">
        <f>IF($A179="","",N(Items!K179)+$Y179)</f>
        <v/>
      </c>
      <c r="AA179" s="17">
        <f>IF($A179="","",IF(N(Items!L179)=0,"",(N(Items!L179)-N(Items!K179))/N(Items!L179)))</f>
        <v/>
      </c>
      <c r="AB179" s="17">
        <f>IF($A179="","",IF(N(Items!L179)=0,"",(N(Items!L179)-$Z179)/N(Items!L179)))</f>
        <v/>
      </c>
      <c r="AC179" s="17">
        <f>IF(OR($AA179="",$AB179=""),"",$AB179-$AA179)</f>
        <v/>
      </c>
      <c r="AD179" s="13">
        <f>IF($A179="","",N(Items!I179))</f>
        <v/>
      </c>
      <c r="AE179" s="19">
        <f>IF($A179="","",$Y179*$AD179)</f>
        <v/>
      </c>
      <c r="AF179" s="10">
        <f>IF($A179="","",IF(N(Items!L179)&gt;0,"Y","N"))</f>
        <v/>
      </c>
      <c r="AG179" s="19">
        <f>IF($A179="","",IF($AF179="Y",N(Items!L179)*$AD179,0))</f>
        <v/>
      </c>
      <c r="AH179" s="19">
        <f>IF($A179="","",IF($AF179="Y",(N(Items!L179)-N(Items!K179))*$AD179,0))</f>
        <v/>
      </c>
      <c r="AI179" s="19">
        <f>IF($A179="","",IF($AF179="Y",$AH179-$AE179,0))</f>
        <v/>
      </c>
      <c r="AJ179" s="10">
        <f>IF($A179="","",IF(COUNTIF($AL$5:$AL$254,$AL179)&gt;1,"CHECK: duplicate item and import country",IF(TRIM(CLEAN(SUBSTITUTE(Items!C179&amp;""," "," ")))="","CHECK: import country missing",IF(AND(UPPER(TRIM(CLEAN(SUBSTITUTE(Items!C179&amp;""," "," "))))&lt;&gt;"US",UPPER(TRIM(CLEAN(SUBSTITUTE(Items!C179&amp;""," "," "))))&lt;&gt;"CA",UPPER(TRIM(CLEAN(SUBSTITUTE(Items!C179&amp;""," "," "))))&lt;&gt;"MX"),"CHECK: import country must be US, CA or MX",IF(NOT(AND(LEN($C179)=10,IFERROR(TEXT(VALUE($C179),REPT("0",LEN($C179)))=$C179,FALSE))),"CHECK: HTS must be 10 digits",IF(LEN($E179)&lt;&gt;2,"CHECK: origin code missing or not 2 letters",IF(TRIM(CLEAN(SUBSTITUTE(Items!G179&amp;""," "," ")))="","CHECK: unit of measure missing",IF(OR(Items!H179="",Items!J179="",Items!K179=""),"CHECK: value, rate or cost missing",IF(OR(NOT(ISNUMBER(Items!H179)),NOT(ISNUMBER(Items!J179)),NOT(ISNUMBER(Items!K179)),AND(Items!I179&lt;&gt;"",NOT(ISNUMBER(Items!I179))),AND(Items!L179&lt;&gt;"",NOT(ISNUMBER(Items!L179))),AND(Items!M179&lt;&gt;"",NOT(ISNUMBER(Items!M179)))),"CHECK: text in a number column",IF(AND(ISNUMBER(Items!M179),OR(N(Items!M179)&lt;0,N(Items!M179)&gt;1)),"CHECK: dutiable share must be 0% to 100%",IF(AND(UPPER(TRIM(CLEAN(SUBSTITUTE(Items!F179&amp;""," "," "))))&lt;&gt;"",UPPER(TRIM(CLEAN(SUBSTITUTE(Items!F179&amp;""," "," "))))&lt;&gt;"Y",UPPER(TRIM(CLEAN(SUBSTITUTE(Items!F179&amp;""," "," "))))&lt;&gt;"N"),"CHECK: USMCA flag must be Y, N or blank",IF(AND(UPPER(TRIM(CLEAN(SUBSTITUTE(Items!F179&amp;""," "," "))))="Y",$E179&lt;&gt;"US",$E179&lt;&gt;"CA",$E179&lt;&gt;"MX"),"CHECK: USMCA flag on an origin other than US, CA or MX",IF(AND($L179="Y",$AO179=0,NOT(ISNUMBER(act_Rate))),"CHECK: in scope but no rate (add a rate line or B15)",IF(AND($L179="Y",UPPER(TRIM(CLEAN(SUBSTITUTE(act_RateType&amp;""," "," "))))="REPLACE",NOT(ISNUMBER(act_PriorRate)),IF($AO179=0,TRUE,NOT(ISNUMBER(INDEX(rate_Prior,MOD($AO179,100)))))),"CHECK: REPLACE but no earlier rate (B17 or the rate line's AD)",IF(AND($L179="Y",$AP179&gt;1),"CHECK: two rate lines match equally",IF(AND($L179="Y",$AN179&gt;1),"CHECK: HTS prefix listed twice on the scope list",IF(AND($L179="Y",$P179="PART",NOT(ISNUMBER(Items!M179))),"CHECK: dutiable share missing (PART base)",IF(AND($L179="Y",$P179="FULL",ISNUMBER(Items!M179),N(Items!M179)&lt;&gt;1),"CHECK: dutiable share entered, but the rate taxes the full value",IF(AND($L179="Y",$Q179+0.0000001&lt;$T179*$S179+$U179),"CHECK: current rate is below the duty being replaced or displaced",IF(AND($L179="Y",$AD179=0),"NOTE: in scope, no quantity",IF(AND($L179="Y",$AF179="N"),"NOTE: in scope, no sell price (left out of margin %)",IF(AND($L179="Y",N(Items!H179)&gt;N(Items!K179)),"NOTE: customs value above standard cost (check unit of measure)",IF(AND($L179="Y",$Q179&gt;1),"NOTE: current rate above 100% (check it was entered as a percentage)","OK")))))))))))))))))))))))</f>
        <v/>
      </c>
      <c r="AK179" s="20">
        <f>IF($A179="","",IF(AND($L179="Y",$AE179&lt;&gt;0),ABS($AE179)+ROW()/1000000000,""))</f>
        <v/>
      </c>
      <c r="AL179" s="10">
        <f>IF($A179="","",UPPER($A179)&amp;"/"&amp;UPPER(TRIM(CLEAN(SUBSTITUTE(Items!C179&amp;""," "," ")))))</f>
        <v/>
      </c>
      <c r="AM179" s="13">
        <f>IF($A179="",0,SUMPRODUCT(MAX((scope_HTS&lt;&gt;"")*(LEFT($C179,LEN(scope_HTS))=scope_HTS)*(LEN(scope_HTS)*1000+ROW(scope_HTS)-4))))</f>
        <v/>
      </c>
      <c r="AN179" s="13">
        <f>IF($AM179=0,0,SUMPRODUCT((scope_HTS&lt;&gt;"")*(LEFT($C179,LEN(scope_HTS))=scope_HTS)*(LEN(scope_HTS)=INT($AM179/1000))))</f>
        <v/>
      </c>
      <c r="AO179" s="13">
        <f>IF($L179&lt;&gt;"Y",0,SUMPRODUCT(MAX(ISNUMBER(rate_Rate)*((UPPER(TRIM(CLEAN(SUBSTITUTE(rate_Group&amp;""," "," "))))="")+(UPPER(TRIM(CLEAN(SUBSTITUTE(rate_Group&amp;""," "," "))))=$N179)&gt;0)*((UPPER(TRIM(CLEAN(SUBSTITUTE(rate_COO&amp;""," "," "))))="")+(UPPER(TRIM(CLEAN(SUBSTITUTE(rate_COO&amp;""," "," "))))=$E179)&gt;0)*((UPPER(TRIM(CLEAN(SUBSTITUTE(rate_USMCA&amp;""," "," "))))="")+(UPPER(TRIM(CLEAN(SUBSTITUTE(rate_USMCA&amp;""," "," "))))=IF(UPPER(TRIM(CLEAN(SUBSTITUTE(Items!F179&amp;""," "," "))))="Y","Y","N"))&gt;0)*((1+(UPPER(TRIM(CLEAN(SUBSTITUTE(rate_Group&amp;""," "," "))))&lt;&gt;"")+2*(UPPER(TRIM(CLEAN(SUBSTITUTE(rate_USMCA&amp;""," "," "))))&lt;&gt;"")+4*(UPPER(TRIM(CLEAN(SUBSTITUTE(rate_COO&amp;""," "," "))))&lt;&gt;""))*100+ROW(rate_Rate)-4))))</f>
        <v/>
      </c>
      <c r="AP179" s="13">
        <f>IF($AO179=0,0,SUMPRODUCT(ISNUMBER(rate_Rate)*((UPPER(TRIM(CLEAN(SUBSTITUTE(rate_Group&amp;""," "," "))))="")+(UPPER(TRIM(CLEAN(SUBSTITUTE(rate_Group&amp;""," "," "))))=$N179)&gt;0)*((UPPER(TRIM(CLEAN(SUBSTITUTE(rate_COO&amp;""," "," "))))="")+(UPPER(TRIM(CLEAN(SUBSTITUTE(rate_COO&amp;""," "," "))))=$E179)&gt;0)*((UPPER(TRIM(CLEAN(SUBSTITUTE(rate_USMCA&amp;""," "," "))))="")+(UPPER(TRIM(CLEAN(SUBSTITUTE(rate_USMCA&amp;""," "," "))))=IF(UPPER(TRIM(CLEAN(SUBSTITUTE(Items!F179&amp;""," "," "))))="Y","Y","N"))&gt;0)*((1+(UPPER(TRIM(CLEAN(SUBSTITUTE(rate_Group&amp;""," "," "))))&lt;&gt;"")+2*(UPPER(TRIM(CLEAN(SUBSTITUTE(rate_USMCA&amp;""," "," "))))&lt;&gt;"")+4*(UPPER(TRIM(CLEAN(SUBSTITUTE(rate_COO&amp;""," "," "))))&lt;&gt;""))=INT($AO179/100))))</f>
        <v/>
      </c>
      <c r="AQ179" s="13">
        <f>IF($A179="",0,IFERROR(MATCH($AL179,det_Key,0),0))</f>
        <v/>
      </c>
    </row>
    <row r="180">
      <c r="A180" s="10">
        <f>IF(TRIM(CLEAN(SUBSTITUTE(Items!A180&amp;""," "," ")))="","",TRIM(CLEAN(SUBSTITUTE(Items!A180&amp;""," "," "))))</f>
        <v/>
      </c>
      <c r="B180" s="10">
        <f>IF($A180="","",Items!B180&amp;"")</f>
        <v/>
      </c>
      <c r="C180" s="10">
        <f>IF($A180="","",SUBSTITUTE(SUBSTITUTE(SUBSTITUTE(SUBSTITUTE(CLEAN(Items!D180&amp;"")," ",""),".","")," ",""),"-",""))</f>
        <v/>
      </c>
      <c r="D180" s="10">
        <f>IF($A180="","",LEFT($C180,2))</f>
        <v/>
      </c>
      <c r="E180" s="10">
        <f>IF($A180="","",UPPER(TRIM(CLEAN(SUBSTITUTE(Items!E180&amp;""," "," ")))))</f>
        <v/>
      </c>
      <c r="F180" s="10">
        <f>IF($A180="","",IF(UPPER(TRIM(CLEAN(SUBSTITUTE(Items!C180&amp;""," "," "))))=UPPER(TRIM(CLEAN(SUBSTITUTE(act_Country&amp;""," "," ")))),"Y","N"))</f>
        <v/>
      </c>
      <c r="G180" s="10">
        <f>IF($A180="","",IF($AM180&gt;0,"Y","N"))</f>
        <v/>
      </c>
      <c r="H180" s="10">
        <f>IF($A180="","",IF(SUMPRODUCT((excl_HTS&lt;&gt;"")*(LEFT($C180,LEN(excl_HTS))=excl_HTS))&gt;0,"Y","N"))</f>
        <v/>
      </c>
      <c r="I180" s="10">
        <f>IF($A180="","",IF($E180="","N",IF(SUMPRODUCT(--(UPPER(TRIM(CLEAN(SUBSTITUTE(scope_COO&amp;""," "," "))))=$E180))&gt;0,"Y","N")))</f>
        <v/>
      </c>
      <c r="J180" s="10">
        <f>IF($A180="","",IF(AND(UPPER(TRIM(CLEAN(SUBSTITUTE(act_USMCAExempt&amp;""," "," "))))="Y",UPPER(TRIM(CLEAN(SUBSTITUTE(Items!F180&amp;""," "," "))))="Y"),"Y","N"))</f>
        <v/>
      </c>
      <c r="K180" s="10">
        <f>IF($A180="","",IF($AQ180=0,"",UPPER(TRIM(CLEAN(SUBSTITUTE(INDEX(det_Status,$AQ180)&amp;""," "," "))))))</f>
        <v/>
      </c>
      <c r="L180" s="10">
        <f>IF($A180="","",IF($F180="N","N",IF($K180="IN","Y",IF($K180="OUT","N",IF(AND($G180="Y",$H180="N",$I180="Y",$J180="N"),"Y","N")))))</f>
        <v/>
      </c>
      <c r="M180" s="10">
        <f>IF($A180="","",IF($F180="N","Out: different import country",IF($K180="IN","In: Research determination",IF($K180="OUT","Out: Research determination",IF($G180="N","Out: HTS not on scope list",IF($H180="Y","Out: HTS on exclusion list",IF($I180="N","Out: origin not on scope list",IF($J180="Y","Out: USMCA-qualifying, exempt","In: matches scope rules"))))))))</f>
        <v/>
      </c>
      <c r="N180" s="10">
        <f>IF(OR($A180="",$AM180=0),"",UPPER(TRIM(CLEAN(SUBSTITUTE(INDEX(scope_Group,MOD($AM180,1000))&amp;""," "," ")))))</f>
        <v/>
      </c>
      <c r="O180" s="10">
        <f>IF($L180&lt;&gt;"Y","",IF($AO180=0,"Default (B15)",UPPER(TRIM(CLEAN(SUBSTITUTE(INDEX(rate_ID,MOD($AO180,100))&amp;""," "," "))))))</f>
        <v/>
      </c>
      <c r="P180" s="10">
        <f>IF($L180&lt;&gt;"Y","",IF($AO180=0,IF(UPPER(TRIM(CLEAN(SUBSTITUTE(act_DefaultBase&amp;""," "," "))))="PART","PART","FULL"),IF(UPPER(TRIM(CLEAN(SUBSTITUTE(INDEX(rate_Base,MOD($AO180,100))&amp;""," "," "))))="PART","PART","FULL")))</f>
        <v/>
      </c>
      <c r="Q180" s="17">
        <f>IF($A180="","",N(Items!J180))</f>
        <v/>
      </c>
      <c r="R180" s="17">
        <f>IF($A180="","",IF($L180&lt;&gt;"Y",0,IF($AO180=0,N(act_Rate),N(INDEX(rate_Rate,MOD($AO180,100))))))</f>
        <v/>
      </c>
      <c r="S180" s="17">
        <f>IF($A180="","",IF($L180&lt;&gt;"Y",0,IF($AO180=0,IF(UPPER(TRIM(CLEAN(SUBSTITUTE(act_RateType&amp;""," "," "))))="REPLACE",N(act_PriorRate),0),IF(ISNUMBER(INDEX(rate_Prior,MOD($AO180,100))),INDEX(rate_Prior,MOD($AO180,100)),IF(UPPER(TRIM(CLEAN(SUBSTITUTE(act_RateType&amp;""," "," "))))="REPLACE",N(act_PriorRate),0)))))</f>
        <v/>
      </c>
      <c r="T180" s="17">
        <f>IF($A180="","",IF(AND($L180="Y",$P180="PART",ISNUMBER(Items!M180)),Items!M180,1))</f>
        <v/>
      </c>
      <c r="U180" s="17">
        <f>IF($A180="","",IF($L180&lt;&gt;"Y",0,IF($AQ180&gt;0,IF(ISNUMBER(INDEX(det_Displaced,$AQ180)),INDEX(det_Displaced,$AQ180),IF($AO180=0,0,N(INDEX(rate_Displaced,MOD($AO180,100))))),IF($AO180=0,0,N(INDEX(rate_Displaced,MOD($AO180,100)))))))</f>
        <v/>
      </c>
      <c r="V180" s="17">
        <f>IF($A180="","",IF($L180="Y",$Q180+$T180*($R180-$S180)-$U180,$Q180))</f>
        <v/>
      </c>
      <c r="W180" s="18">
        <f>IF($A180="","",N(Items!H180)*$Q180)</f>
        <v/>
      </c>
      <c r="X180" s="18">
        <f>IF($A180="","",N(Items!H180)*$V180)</f>
        <v/>
      </c>
      <c r="Y180" s="18">
        <f>IF($A180="","",$X180-$W180)</f>
        <v/>
      </c>
      <c r="Z180" s="18">
        <f>IF($A180="","",N(Items!K180)+$Y180)</f>
        <v/>
      </c>
      <c r="AA180" s="17">
        <f>IF($A180="","",IF(N(Items!L180)=0,"",(N(Items!L180)-N(Items!K180))/N(Items!L180)))</f>
        <v/>
      </c>
      <c r="AB180" s="17">
        <f>IF($A180="","",IF(N(Items!L180)=0,"",(N(Items!L180)-$Z180)/N(Items!L180)))</f>
        <v/>
      </c>
      <c r="AC180" s="17">
        <f>IF(OR($AA180="",$AB180=""),"",$AB180-$AA180)</f>
        <v/>
      </c>
      <c r="AD180" s="13">
        <f>IF($A180="","",N(Items!I180))</f>
        <v/>
      </c>
      <c r="AE180" s="19">
        <f>IF($A180="","",$Y180*$AD180)</f>
        <v/>
      </c>
      <c r="AF180" s="10">
        <f>IF($A180="","",IF(N(Items!L180)&gt;0,"Y","N"))</f>
        <v/>
      </c>
      <c r="AG180" s="19">
        <f>IF($A180="","",IF($AF180="Y",N(Items!L180)*$AD180,0))</f>
        <v/>
      </c>
      <c r="AH180" s="19">
        <f>IF($A180="","",IF($AF180="Y",(N(Items!L180)-N(Items!K180))*$AD180,0))</f>
        <v/>
      </c>
      <c r="AI180" s="19">
        <f>IF($A180="","",IF($AF180="Y",$AH180-$AE180,0))</f>
        <v/>
      </c>
      <c r="AJ180" s="10">
        <f>IF($A180="","",IF(COUNTIF($AL$5:$AL$254,$AL180)&gt;1,"CHECK: duplicate item and import country",IF(TRIM(CLEAN(SUBSTITUTE(Items!C180&amp;""," "," ")))="","CHECK: import country missing",IF(AND(UPPER(TRIM(CLEAN(SUBSTITUTE(Items!C180&amp;""," "," "))))&lt;&gt;"US",UPPER(TRIM(CLEAN(SUBSTITUTE(Items!C180&amp;""," "," "))))&lt;&gt;"CA",UPPER(TRIM(CLEAN(SUBSTITUTE(Items!C180&amp;""," "," "))))&lt;&gt;"MX"),"CHECK: import country must be US, CA or MX",IF(NOT(AND(LEN($C180)=10,IFERROR(TEXT(VALUE($C180),REPT("0",LEN($C180)))=$C180,FALSE))),"CHECK: HTS must be 10 digits",IF(LEN($E180)&lt;&gt;2,"CHECK: origin code missing or not 2 letters",IF(TRIM(CLEAN(SUBSTITUTE(Items!G180&amp;""," "," ")))="","CHECK: unit of measure missing",IF(OR(Items!H180="",Items!J180="",Items!K180=""),"CHECK: value, rate or cost missing",IF(OR(NOT(ISNUMBER(Items!H180)),NOT(ISNUMBER(Items!J180)),NOT(ISNUMBER(Items!K180)),AND(Items!I180&lt;&gt;"",NOT(ISNUMBER(Items!I180))),AND(Items!L180&lt;&gt;"",NOT(ISNUMBER(Items!L180))),AND(Items!M180&lt;&gt;"",NOT(ISNUMBER(Items!M180)))),"CHECK: text in a number column",IF(AND(ISNUMBER(Items!M180),OR(N(Items!M180)&lt;0,N(Items!M180)&gt;1)),"CHECK: dutiable share must be 0% to 100%",IF(AND(UPPER(TRIM(CLEAN(SUBSTITUTE(Items!F180&amp;""," "," "))))&lt;&gt;"",UPPER(TRIM(CLEAN(SUBSTITUTE(Items!F180&amp;""," "," "))))&lt;&gt;"Y",UPPER(TRIM(CLEAN(SUBSTITUTE(Items!F180&amp;""," "," "))))&lt;&gt;"N"),"CHECK: USMCA flag must be Y, N or blank",IF(AND(UPPER(TRIM(CLEAN(SUBSTITUTE(Items!F180&amp;""," "," "))))="Y",$E180&lt;&gt;"US",$E180&lt;&gt;"CA",$E180&lt;&gt;"MX"),"CHECK: USMCA flag on an origin other than US, CA or MX",IF(AND($L180="Y",$AO180=0,NOT(ISNUMBER(act_Rate))),"CHECK: in scope but no rate (add a rate line or B15)",IF(AND($L180="Y",UPPER(TRIM(CLEAN(SUBSTITUTE(act_RateType&amp;""," "," "))))="REPLACE",NOT(ISNUMBER(act_PriorRate)),IF($AO180=0,TRUE,NOT(ISNUMBER(INDEX(rate_Prior,MOD($AO180,100)))))),"CHECK: REPLACE but no earlier rate (B17 or the rate line's AD)",IF(AND($L180="Y",$AP180&gt;1),"CHECK: two rate lines match equally",IF(AND($L180="Y",$AN180&gt;1),"CHECK: HTS prefix listed twice on the scope list",IF(AND($L180="Y",$P180="PART",NOT(ISNUMBER(Items!M180))),"CHECK: dutiable share missing (PART base)",IF(AND($L180="Y",$P180="FULL",ISNUMBER(Items!M180),N(Items!M180)&lt;&gt;1),"CHECK: dutiable share entered, but the rate taxes the full value",IF(AND($L180="Y",$Q180+0.0000001&lt;$T180*$S180+$U180),"CHECK: current rate is below the duty being replaced or displaced",IF(AND($L180="Y",$AD180=0),"NOTE: in scope, no quantity",IF(AND($L180="Y",$AF180="N"),"NOTE: in scope, no sell price (left out of margin %)",IF(AND($L180="Y",N(Items!H180)&gt;N(Items!K180)),"NOTE: customs value above standard cost (check unit of measure)",IF(AND($L180="Y",$Q180&gt;1),"NOTE: current rate above 100% (check it was entered as a percentage)","OK")))))))))))))))))))))))</f>
        <v/>
      </c>
      <c r="AK180" s="20">
        <f>IF($A180="","",IF(AND($L180="Y",$AE180&lt;&gt;0),ABS($AE180)+ROW()/1000000000,""))</f>
        <v/>
      </c>
      <c r="AL180" s="10">
        <f>IF($A180="","",UPPER($A180)&amp;"/"&amp;UPPER(TRIM(CLEAN(SUBSTITUTE(Items!C180&amp;""," "," ")))))</f>
        <v/>
      </c>
      <c r="AM180" s="13">
        <f>IF($A180="",0,SUMPRODUCT(MAX((scope_HTS&lt;&gt;"")*(LEFT($C180,LEN(scope_HTS))=scope_HTS)*(LEN(scope_HTS)*1000+ROW(scope_HTS)-4))))</f>
        <v/>
      </c>
      <c r="AN180" s="13">
        <f>IF($AM180=0,0,SUMPRODUCT((scope_HTS&lt;&gt;"")*(LEFT($C180,LEN(scope_HTS))=scope_HTS)*(LEN(scope_HTS)=INT($AM180/1000))))</f>
        <v/>
      </c>
      <c r="AO180" s="13">
        <f>IF($L180&lt;&gt;"Y",0,SUMPRODUCT(MAX(ISNUMBER(rate_Rate)*((UPPER(TRIM(CLEAN(SUBSTITUTE(rate_Group&amp;""," "," "))))="")+(UPPER(TRIM(CLEAN(SUBSTITUTE(rate_Group&amp;""," "," "))))=$N180)&gt;0)*((UPPER(TRIM(CLEAN(SUBSTITUTE(rate_COO&amp;""," "," "))))="")+(UPPER(TRIM(CLEAN(SUBSTITUTE(rate_COO&amp;""," "," "))))=$E180)&gt;0)*((UPPER(TRIM(CLEAN(SUBSTITUTE(rate_USMCA&amp;""," "," "))))="")+(UPPER(TRIM(CLEAN(SUBSTITUTE(rate_USMCA&amp;""," "," "))))=IF(UPPER(TRIM(CLEAN(SUBSTITUTE(Items!F180&amp;""," "," "))))="Y","Y","N"))&gt;0)*((1+(UPPER(TRIM(CLEAN(SUBSTITUTE(rate_Group&amp;""," "," "))))&lt;&gt;"")+2*(UPPER(TRIM(CLEAN(SUBSTITUTE(rate_USMCA&amp;""," "," "))))&lt;&gt;"")+4*(UPPER(TRIM(CLEAN(SUBSTITUTE(rate_COO&amp;""," "," "))))&lt;&gt;""))*100+ROW(rate_Rate)-4))))</f>
        <v/>
      </c>
      <c r="AP180" s="13">
        <f>IF($AO180=0,0,SUMPRODUCT(ISNUMBER(rate_Rate)*((UPPER(TRIM(CLEAN(SUBSTITUTE(rate_Group&amp;""," "," "))))="")+(UPPER(TRIM(CLEAN(SUBSTITUTE(rate_Group&amp;""," "," "))))=$N180)&gt;0)*((UPPER(TRIM(CLEAN(SUBSTITUTE(rate_COO&amp;""," "," "))))="")+(UPPER(TRIM(CLEAN(SUBSTITUTE(rate_COO&amp;""," "," "))))=$E180)&gt;0)*((UPPER(TRIM(CLEAN(SUBSTITUTE(rate_USMCA&amp;""," "," "))))="")+(UPPER(TRIM(CLEAN(SUBSTITUTE(rate_USMCA&amp;""," "," "))))=IF(UPPER(TRIM(CLEAN(SUBSTITUTE(Items!F180&amp;""," "," "))))="Y","Y","N"))&gt;0)*((1+(UPPER(TRIM(CLEAN(SUBSTITUTE(rate_Group&amp;""," "," "))))&lt;&gt;"")+2*(UPPER(TRIM(CLEAN(SUBSTITUTE(rate_USMCA&amp;""," "," "))))&lt;&gt;"")+4*(UPPER(TRIM(CLEAN(SUBSTITUTE(rate_COO&amp;""," "," "))))&lt;&gt;""))=INT($AO180/100))))</f>
        <v/>
      </c>
      <c r="AQ180" s="13">
        <f>IF($A180="",0,IFERROR(MATCH($AL180,det_Key,0),0))</f>
        <v/>
      </c>
    </row>
    <row r="181">
      <c r="A181" s="10">
        <f>IF(TRIM(CLEAN(SUBSTITUTE(Items!A181&amp;""," "," ")))="","",TRIM(CLEAN(SUBSTITUTE(Items!A181&amp;""," "," "))))</f>
        <v/>
      </c>
      <c r="B181" s="10">
        <f>IF($A181="","",Items!B181&amp;"")</f>
        <v/>
      </c>
      <c r="C181" s="10">
        <f>IF($A181="","",SUBSTITUTE(SUBSTITUTE(SUBSTITUTE(SUBSTITUTE(CLEAN(Items!D181&amp;"")," ",""),".","")," ",""),"-",""))</f>
        <v/>
      </c>
      <c r="D181" s="10">
        <f>IF($A181="","",LEFT($C181,2))</f>
        <v/>
      </c>
      <c r="E181" s="10">
        <f>IF($A181="","",UPPER(TRIM(CLEAN(SUBSTITUTE(Items!E181&amp;""," "," ")))))</f>
        <v/>
      </c>
      <c r="F181" s="10">
        <f>IF($A181="","",IF(UPPER(TRIM(CLEAN(SUBSTITUTE(Items!C181&amp;""," "," "))))=UPPER(TRIM(CLEAN(SUBSTITUTE(act_Country&amp;""," "," ")))),"Y","N"))</f>
        <v/>
      </c>
      <c r="G181" s="10">
        <f>IF($A181="","",IF($AM181&gt;0,"Y","N"))</f>
        <v/>
      </c>
      <c r="H181" s="10">
        <f>IF($A181="","",IF(SUMPRODUCT((excl_HTS&lt;&gt;"")*(LEFT($C181,LEN(excl_HTS))=excl_HTS))&gt;0,"Y","N"))</f>
        <v/>
      </c>
      <c r="I181" s="10">
        <f>IF($A181="","",IF($E181="","N",IF(SUMPRODUCT(--(UPPER(TRIM(CLEAN(SUBSTITUTE(scope_COO&amp;""," "," "))))=$E181))&gt;0,"Y","N")))</f>
        <v/>
      </c>
      <c r="J181" s="10">
        <f>IF($A181="","",IF(AND(UPPER(TRIM(CLEAN(SUBSTITUTE(act_USMCAExempt&amp;""," "," "))))="Y",UPPER(TRIM(CLEAN(SUBSTITUTE(Items!F181&amp;""," "," "))))="Y"),"Y","N"))</f>
        <v/>
      </c>
      <c r="K181" s="10">
        <f>IF($A181="","",IF($AQ181=0,"",UPPER(TRIM(CLEAN(SUBSTITUTE(INDEX(det_Status,$AQ181)&amp;""," "," "))))))</f>
        <v/>
      </c>
      <c r="L181" s="10">
        <f>IF($A181="","",IF($F181="N","N",IF($K181="IN","Y",IF($K181="OUT","N",IF(AND($G181="Y",$H181="N",$I181="Y",$J181="N"),"Y","N")))))</f>
        <v/>
      </c>
      <c r="M181" s="10">
        <f>IF($A181="","",IF($F181="N","Out: different import country",IF($K181="IN","In: Research determination",IF($K181="OUT","Out: Research determination",IF($G181="N","Out: HTS not on scope list",IF($H181="Y","Out: HTS on exclusion list",IF($I181="N","Out: origin not on scope list",IF($J181="Y","Out: USMCA-qualifying, exempt","In: matches scope rules"))))))))</f>
        <v/>
      </c>
      <c r="N181" s="10">
        <f>IF(OR($A181="",$AM181=0),"",UPPER(TRIM(CLEAN(SUBSTITUTE(INDEX(scope_Group,MOD($AM181,1000))&amp;""," "," ")))))</f>
        <v/>
      </c>
      <c r="O181" s="10">
        <f>IF($L181&lt;&gt;"Y","",IF($AO181=0,"Default (B15)",UPPER(TRIM(CLEAN(SUBSTITUTE(INDEX(rate_ID,MOD($AO181,100))&amp;""," "," "))))))</f>
        <v/>
      </c>
      <c r="P181" s="10">
        <f>IF($L181&lt;&gt;"Y","",IF($AO181=0,IF(UPPER(TRIM(CLEAN(SUBSTITUTE(act_DefaultBase&amp;""," "," "))))="PART","PART","FULL"),IF(UPPER(TRIM(CLEAN(SUBSTITUTE(INDEX(rate_Base,MOD($AO181,100))&amp;""," "," "))))="PART","PART","FULL")))</f>
        <v/>
      </c>
      <c r="Q181" s="17">
        <f>IF($A181="","",N(Items!J181))</f>
        <v/>
      </c>
      <c r="R181" s="17">
        <f>IF($A181="","",IF($L181&lt;&gt;"Y",0,IF($AO181=0,N(act_Rate),N(INDEX(rate_Rate,MOD($AO181,100))))))</f>
        <v/>
      </c>
      <c r="S181" s="17">
        <f>IF($A181="","",IF($L181&lt;&gt;"Y",0,IF($AO181=0,IF(UPPER(TRIM(CLEAN(SUBSTITUTE(act_RateType&amp;""," "," "))))="REPLACE",N(act_PriorRate),0),IF(ISNUMBER(INDEX(rate_Prior,MOD($AO181,100))),INDEX(rate_Prior,MOD($AO181,100)),IF(UPPER(TRIM(CLEAN(SUBSTITUTE(act_RateType&amp;""," "," "))))="REPLACE",N(act_PriorRate),0)))))</f>
        <v/>
      </c>
      <c r="T181" s="17">
        <f>IF($A181="","",IF(AND($L181="Y",$P181="PART",ISNUMBER(Items!M181)),Items!M181,1))</f>
        <v/>
      </c>
      <c r="U181" s="17">
        <f>IF($A181="","",IF($L181&lt;&gt;"Y",0,IF($AQ181&gt;0,IF(ISNUMBER(INDEX(det_Displaced,$AQ181)),INDEX(det_Displaced,$AQ181),IF($AO181=0,0,N(INDEX(rate_Displaced,MOD($AO181,100))))),IF($AO181=0,0,N(INDEX(rate_Displaced,MOD($AO181,100)))))))</f>
        <v/>
      </c>
      <c r="V181" s="17">
        <f>IF($A181="","",IF($L181="Y",$Q181+$T181*($R181-$S181)-$U181,$Q181))</f>
        <v/>
      </c>
      <c r="W181" s="18">
        <f>IF($A181="","",N(Items!H181)*$Q181)</f>
        <v/>
      </c>
      <c r="X181" s="18">
        <f>IF($A181="","",N(Items!H181)*$V181)</f>
        <v/>
      </c>
      <c r="Y181" s="18">
        <f>IF($A181="","",$X181-$W181)</f>
        <v/>
      </c>
      <c r="Z181" s="18">
        <f>IF($A181="","",N(Items!K181)+$Y181)</f>
        <v/>
      </c>
      <c r="AA181" s="17">
        <f>IF($A181="","",IF(N(Items!L181)=0,"",(N(Items!L181)-N(Items!K181))/N(Items!L181)))</f>
        <v/>
      </c>
      <c r="AB181" s="17">
        <f>IF($A181="","",IF(N(Items!L181)=0,"",(N(Items!L181)-$Z181)/N(Items!L181)))</f>
        <v/>
      </c>
      <c r="AC181" s="17">
        <f>IF(OR($AA181="",$AB181=""),"",$AB181-$AA181)</f>
        <v/>
      </c>
      <c r="AD181" s="13">
        <f>IF($A181="","",N(Items!I181))</f>
        <v/>
      </c>
      <c r="AE181" s="19">
        <f>IF($A181="","",$Y181*$AD181)</f>
        <v/>
      </c>
      <c r="AF181" s="10">
        <f>IF($A181="","",IF(N(Items!L181)&gt;0,"Y","N"))</f>
        <v/>
      </c>
      <c r="AG181" s="19">
        <f>IF($A181="","",IF($AF181="Y",N(Items!L181)*$AD181,0))</f>
        <v/>
      </c>
      <c r="AH181" s="19">
        <f>IF($A181="","",IF($AF181="Y",(N(Items!L181)-N(Items!K181))*$AD181,0))</f>
        <v/>
      </c>
      <c r="AI181" s="19">
        <f>IF($A181="","",IF($AF181="Y",$AH181-$AE181,0))</f>
        <v/>
      </c>
      <c r="AJ181" s="10">
        <f>IF($A181="","",IF(COUNTIF($AL$5:$AL$254,$AL181)&gt;1,"CHECK: duplicate item and import country",IF(TRIM(CLEAN(SUBSTITUTE(Items!C181&amp;""," "," ")))="","CHECK: import country missing",IF(AND(UPPER(TRIM(CLEAN(SUBSTITUTE(Items!C181&amp;""," "," "))))&lt;&gt;"US",UPPER(TRIM(CLEAN(SUBSTITUTE(Items!C181&amp;""," "," "))))&lt;&gt;"CA",UPPER(TRIM(CLEAN(SUBSTITUTE(Items!C181&amp;""," "," "))))&lt;&gt;"MX"),"CHECK: import country must be US, CA or MX",IF(NOT(AND(LEN($C181)=10,IFERROR(TEXT(VALUE($C181),REPT("0",LEN($C181)))=$C181,FALSE))),"CHECK: HTS must be 10 digits",IF(LEN($E181)&lt;&gt;2,"CHECK: origin code missing or not 2 letters",IF(TRIM(CLEAN(SUBSTITUTE(Items!G181&amp;""," "," ")))="","CHECK: unit of measure missing",IF(OR(Items!H181="",Items!J181="",Items!K181=""),"CHECK: value, rate or cost missing",IF(OR(NOT(ISNUMBER(Items!H181)),NOT(ISNUMBER(Items!J181)),NOT(ISNUMBER(Items!K181)),AND(Items!I181&lt;&gt;"",NOT(ISNUMBER(Items!I181))),AND(Items!L181&lt;&gt;"",NOT(ISNUMBER(Items!L181))),AND(Items!M181&lt;&gt;"",NOT(ISNUMBER(Items!M181)))),"CHECK: text in a number column",IF(AND(ISNUMBER(Items!M181),OR(N(Items!M181)&lt;0,N(Items!M181)&gt;1)),"CHECK: dutiable share must be 0% to 100%",IF(AND(UPPER(TRIM(CLEAN(SUBSTITUTE(Items!F181&amp;""," "," "))))&lt;&gt;"",UPPER(TRIM(CLEAN(SUBSTITUTE(Items!F181&amp;""," "," "))))&lt;&gt;"Y",UPPER(TRIM(CLEAN(SUBSTITUTE(Items!F181&amp;""," "," "))))&lt;&gt;"N"),"CHECK: USMCA flag must be Y, N or blank",IF(AND(UPPER(TRIM(CLEAN(SUBSTITUTE(Items!F181&amp;""," "," "))))="Y",$E181&lt;&gt;"US",$E181&lt;&gt;"CA",$E181&lt;&gt;"MX"),"CHECK: USMCA flag on an origin other than US, CA or MX",IF(AND($L181="Y",$AO181=0,NOT(ISNUMBER(act_Rate))),"CHECK: in scope but no rate (add a rate line or B15)",IF(AND($L181="Y",UPPER(TRIM(CLEAN(SUBSTITUTE(act_RateType&amp;""," "," "))))="REPLACE",NOT(ISNUMBER(act_PriorRate)),IF($AO181=0,TRUE,NOT(ISNUMBER(INDEX(rate_Prior,MOD($AO181,100)))))),"CHECK: REPLACE but no earlier rate (B17 or the rate line's AD)",IF(AND($L181="Y",$AP181&gt;1),"CHECK: two rate lines match equally",IF(AND($L181="Y",$AN181&gt;1),"CHECK: HTS prefix listed twice on the scope list",IF(AND($L181="Y",$P181="PART",NOT(ISNUMBER(Items!M181))),"CHECK: dutiable share missing (PART base)",IF(AND($L181="Y",$P181="FULL",ISNUMBER(Items!M181),N(Items!M181)&lt;&gt;1),"CHECK: dutiable share entered, but the rate taxes the full value",IF(AND($L181="Y",$Q181+0.0000001&lt;$T181*$S181+$U181),"CHECK: current rate is below the duty being replaced or displaced",IF(AND($L181="Y",$AD181=0),"NOTE: in scope, no quantity",IF(AND($L181="Y",$AF181="N"),"NOTE: in scope, no sell price (left out of margin %)",IF(AND($L181="Y",N(Items!H181)&gt;N(Items!K181)),"NOTE: customs value above standard cost (check unit of measure)",IF(AND($L181="Y",$Q181&gt;1),"NOTE: current rate above 100% (check it was entered as a percentage)","OK")))))))))))))))))))))))</f>
        <v/>
      </c>
      <c r="AK181" s="20">
        <f>IF($A181="","",IF(AND($L181="Y",$AE181&lt;&gt;0),ABS($AE181)+ROW()/1000000000,""))</f>
        <v/>
      </c>
      <c r="AL181" s="10">
        <f>IF($A181="","",UPPER($A181)&amp;"/"&amp;UPPER(TRIM(CLEAN(SUBSTITUTE(Items!C181&amp;""," "," ")))))</f>
        <v/>
      </c>
      <c r="AM181" s="13">
        <f>IF($A181="",0,SUMPRODUCT(MAX((scope_HTS&lt;&gt;"")*(LEFT($C181,LEN(scope_HTS))=scope_HTS)*(LEN(scope_HTS)*1000+ROW(scope_HTS)-4))))</f>
        <v/>
      </c>
      <c r="AN181" s="13">
        <f>IF($AM181=0,0,SUMPRODUCT((scope_HTS&lt;&gt;"")*(LEFT($C181,LEN(scope_HTS))=scope_HTS)*(LEN(scope_HTS)=INT($AM181/1000))))</f>
        <v/>
      </c>
      <c r="AO181" s="13">
        <f>IF($L181&lt;&gt;"Y",0,SUMPRODUCT(MAX(ISNUMBER(rate_Rate)*((UPPER(TRIM(CLEAN(SUBSTITUTE(rate_Group&amp;""," "," "))))="")+(UPPER(TRIM(CLEAN(SUBSTITUTE(rate_Group&amp;""," "," "))))=$N181)&gt;0)*((UPPER(TRIM(CLEAN(SUBSTITUTE(rate_COO&amp;""," "," "))))="")+(UPPER(TRIM(CLEAN(SUBSTITUTE(rate_COO&amp;""," "," "))))=$E181)&gt;0)*((UPPER(TRIM(CLEAN(SUBSTITUTE(rate_USMCA&amp;""," "," "))))="")+(UPPER(TRIM(CLEAN(SUBSTITUTE(rate_USMCA&amp;""," "," "))))=IF(UPPER(TRIM(CLEAN(SUBSTITUTE(Items!F181&amp;""," "," "))))="Y","Y","N"))&gt;0)*((1+(UPPER(TRIM(CLEAN(SUBSTITUTE(rate_Group&amp;""," "," "))))&lt;&gt;"")+2*(UPPER(TRIM(CLEAN(SUBSTITUTE(rate_USMCA&amp;""," "," "))))&lt;&gt;"")+4*(UPPER(TRIM(CLEAN(SUBSTITUTE(rate_COO&amp;""," "," "))))&lt;&gt;""))*100+ROW(rate_Rate)-4))))</f>
        <v/>
      </c>
      <c r="AP181" s="13">
        <f>IF($AO181=0,0,SUMPRODUCT(ISNUMBER(rate_Rate)*((UPPER(TRIM(CLEAN(SUBSTITUTE(rate_Group&amp;""," "," "))))="")+(UPPER(TRIM(CLEAN(SUBSTITUTE(rate_Group&amp;""," "," "))))=$N181)&gt;0)*((UPPER(TRIM(CLEAN(SUBSTITUTE(rate_COO&amp;""," "," "))))="")+(UPPER(TRIM(CLEAN(SUBSTITUTE(rate_COO&amp;""," "," "))))=$E181)&gt;0)*((UPPER(TRIM(CLEAN(SUBSTITUTE(rate_USMCA&amp;""," "," "))))="")+(UPPER(TRIM(CLEAN(SUBSTITUTE(rate_USMCA&amp;""," "," "))))=IF(UPPER(TRIM(CLEAN(SUBSTITUTE(Items!F181&amp;""," "," "))))="Y","Y","N"))&gt;0)*((1+(UPPER(TRIM(CLEAN(SUBSTITUTE(rate_Group&amp;""," "," "))))&lt;&gt;"")+2*(UPPER(TRIM(CLEAN(SUBSTITUTE(rate_USMCA&amp;""," "," "))))&lt;&gt;"")+4*(UPPER(TRIM(CLEAN(SUBSTITUTE(rate_COO&amp;""," "," "))))&lt;&gt;""))=INT($AO181/100))))</f>
        <v/>
      </c>
      <c r="AQ181" s="13">
        <f>IF($A181="",0,IFERROR(MATCH($AL181,det_Key,0),0))</f>
        <v/>
      </c>
    </row>
    <row r="182">
      <c r="A182" s="10">
        <f>IF(TRIM(CLEAN(SUBSTITUTE(Items!A182&amp;""," "," ")))="","",TRIM(CLEAN(SUBSTITUTE(Items!A182&amp;""," "," "))))</f>
        <v/>
      </c>
      <c r="B182" s="10">
        <f>IF($A182="","",Items!B182&amp;"")</f>
        <v/>
      </c>
      <c r="C182" s="10">
        <f>IF($A182="","",SUBSTITUTE(SUBSTITUTE(SUBSTITUTE(SUBSTITUTE(CLEAN(Items!D182&amp;"")," ",""),".","")," ",""),"-",""))</f>
        <v/>
      </c>
      <c r="D182" s="10">
        <f>IF($A182="","",LEFT($C182,2))</f>
        <v/>
      </c>
      <c r="E182" s="10">
        <f>IF($A182="","",UPPER(TRIM(CLEAN(SUBSTITUTE(Items!E182&amp;""," "," ")))))</f>
        <v/>
      </c>
      <c r="F182" s="10">
        <f>IF($A182="","",IF(UPPER(TRIM(CLEAN(SUBSTITUTE(Items!C182&amp;""," "," "))))=UPPER(TRIM(CLEAN(SUBSTITUTE(act_Country&amp;""," "," ")))),"Y","N"))</f>
        <v/>
      </c>
      <c r="G182" s="10">
        <f>IF($A182="","",IF($AM182&gt;0,"Y","N"))</f>
        <v/>
      </c>
      <c r="H182" s="10">
        <f>IF($A182="","",IF(SUMPRODUCT((excl_HTS&lt;&gt;"")*(LEFT($C182,LEN(excl_HTS))=excl_HTS))&gt;0,"Y","N"))</f>
        <v/>
      </c>
      <c r="I182" s="10">
        <f>IF($A182="","",IF($E182="","N",IF(SUMPRODUCT(--(UPPER(TRIM(CLEAN(SUBSTITUTE(scope_COO&amp;""," "," "))))=$E182))&gt;0,"Y","N")))</f>
        <v/>
      </c>
      <c r="J182" s="10">
        <f>IF($A182="","",IF(AND(UPPER(TRIM(CLEAN(SUBSTITUTE(act_USMCAExempt&amp;""," "," "))))="Y",UPPER(TRIM(CLEAN(SUBSTITUTE(Items!F182&amp;""," "," "))))="Y"),"Y","N"))</f>
        <v/>
      </c>
      <c r="K182" s="10">
        <f>IF($A182="","",IF($AQ182=0,"",UPPER(TRIM(CLEAN(SUBSTITUTE(INDEX(det_Status,$AQ182)&amp;""," "," "))))))</f>
        <v/>
      </c>
      <c r="L182" s="10">
        <f>IF($A182="","",IF($F182="N","N",IF($K182="IN","Y",IF($K182="OUT","N",IF(AND($G182="Y",$H182="N",$I182="Y",$J182="N"),"Y","N")))))</f>
        <v/>
      </c>
      <c r="M182" s="10">
        <f>IF($A182="","",IF($F182="N","Out: different import country",IF($K182="IN","In: Research determination",IF($K182="OUT","Out: Research determination",IF($G182="N","Out: HTS not on scope list",IF($H182="Y","Out: HTS on exclusion list",IF($I182="N","Out: origin not on scope list",IF($J182="Y","Out: USMCA-qualifying, exempt","In: matches scope rules"))))))))</f>
        <v/>
      </c>
      <c r="N182" s="10">
        <f>IF(OR($A182="",$AM182=0),"",UPPER(TRIM(CLEAN(SUBSTITUTE(INDEX(scope_Group,MOD($AM182,1000))&amp;""," "," ")))))</f>
        <v/>
      </c>
      <c r="O182" s="10">
        <f>IF($L182&lt;&gt;"Y","",IF($AO182=0,"Default (B15)",UPPER(TRIM(CLEAN(SUBSTITUTE(INDEX(rate_ID,MOD($AO182,100))&amp;""," "," "))))))</f>
        <v/>
      </c>
      <c r="P182" s="10">
        <f>IF($L182&lt;&gt;"Y","",IF($AO182=0,IF(UPPER(TRIM(CLEAN(SUBSTITUTE(act_DefaultBase&amp;""," "," "))))="PART","PART","FULL"),IF(UPPER(TRIM(CLEAN(SUBSTITUTE(INDEX(rate_Base,MOD($AO182,100))&amp;""," "," "))))="PART","PART","FULL")))</f>
        <v/>
      </c>
      <c r="Q182" s="17">
        <f>IF($A182="","",N(Items!J182))</f>
        <v/>
      </c>
      <c r="R182" s="17">
        <f>IF($A182="","",IF($L182&lt;&gt;"Y",0,IF($AO182=0,N(act_Rate),N(INDEX(rate_Rate,MOD($AO182,100))))))</f>
        <v/>
      </c>
      <c r="S182" s="17">
        <f>IF($A182="","",IF($L182&lt;&gt;"Y",0,IF($AO182=0,IF(UPPER(TRIM(CLEAN(SUBSTITUTE(act_RateType&amp;""," "," "))))="REPLACE",N(act_PriorRate),0),IF(ISNUMBER(INDEX(rate_Prior,MOD($AO182,100))),INDEX(rate_Prior,MOD($AO182,100)),IF(UPPER(TRIM(CLEAN(SUBSTITUTE(act_RateType&amp;""," "," "))))="REPLACE",N(act_PriorRate),0)))))</f>
        <v/>
      </c>
      <c r="T182" s="17">
        <f>IF($A182="","",IF(AND($L182="Y",$P182="PART",ISNUMBER(Items!M182)),Items!M182,1))</f>
        <v/>
      </c>
      <c r="U182" s="17">
        <f>IF($A182="","",IF($L182&lt;&gt;"Y",0,IF($AQ182&gt;0,IF(ISNUMBER(INDEX(det_Displaced,$AQ182)),INDEX(det_Displaced,$AQ182),IF($AO182=0,0,N(INDEX(rate_Displaced,MOD($AO182,100))))),IF($AO182=0,0,N(INDEX(rate_Displaced,MOD($AO182,100)))))))</f>
        <v/>
      </c>
      <c r="V182" s="17">
        <f>IF($A182="","",IF($L182="Y",$Q182+$T182*($R182-$S182)-$U182,$Q182))</f>
        <v/>
      </c>
      <c r="W182" s="18">
        <f>IF($A182="","",N(Items!H182)*$Q182)</f>
        <v/>
      </c>
      <c r="X182" s="18">
        <f>IF($A182="","",N(Items!H182)*$V182)</f>
        <v/>
      </c>
      <c r="Y182" s="18">
        <f>IF($A182="","",$X182-$W182)</f>
        <v/>
      </c>
      <c r="Z182" s="18">
        <f>IF($A182="","",N(Items!K182)+$Y182)</f>
        <v/>
      </c>
      <c r="AA182" s="17">
        <f>IF($A182="","",IF(N(Items!L182)=0,"",(N(Items!L182)-N(Items!K182))/N(Items!L182)))</f>
        <v/>
      </c>
      <c r="AB182" s="17">
        <f>IF($A182="","",IF(N(Items!L182)=0,"",(N(Items!L182)-$Z182)/N(Items!L182)))</f>
        <v/>
      </c>
      <c r="AC182" s="17">
        <f>IF(OR($AA182="",$AB182=""),"",$AB182-$AA182)</f>
        <v/>
      </c>
      <c r="AD182" s="13">
        <f>IF($A182="","",N(Items!I182))</f>
        <v/>
      </c>
      <c r="AE182" s="19">
        <f>IF($A182="","",$Y182*$AD182)</f>
        <v/>
      </c>
      <c r="AF182" s="10">
        <f>IF($A182="","",IF(N(Items!L182)&gt;0,"Y","N"))</f>
        <v/>
      </c>
      <c r="AG182" s="19">
        <f>IF($A182="","",IF($AF182="Y",N(Items!L182)*$AD182,0))</f>
        <v/>
      </c>
      <c r="AH182" s="19">
        <f>IF($A182="","",IF($AF182="Y",(N(Items!L182)-N(Items!K182))*$AD182,0))</f>
        <v/>
      </c>
      <c r="AI182" s="19">
        <f>IF($A182="","",IF($AF182="Y",$AH182-$AE182,0))</f>
        <v/>
      </c>
      <c r="AJ182" s="10">
        <f>IF($A182="","",IF(COUNTIF($AL$5:$AL$254,$AL182)&gt;1,"CHECK: duplicate item and import country",IF(TRIM(CLEAN(SUBSTITUTE(Items!C182&amp;""," "," ")))="","CHECK: import country missing",IF(AND(UPPER(TRIM(CLEAN(SUBSTITUTE(Items!C182&amp;""," "," "))))&lt;&gt;"US",UPPER(TRIM(CLEAN(SUBSTITUTE(Items!C182&amp;""," "," "))))&lt;&gt;"CA",UPPER(TRIM(CLEAN(SUBSTITUTE(Items!C182&amp;""," "," "))))&lt;&gt;"MX"),"CHECK: import country must be US, CA or MX",IF(NOT(AND(LEN($C182)=10,IFERROR(TEXT(VALUE($C182),REPT("0",LEN($C182)))=$C182,FALSE))),"CHECK: HTS must be 10 digits",IF(LEN($E182)&lt;&gt;2,"CHECK: origin code missing or not 2 letters",IF(TRIM(CLEAN(SUBSTITUTE(Items!G182&amp;""," "," ")))="","CHECK: unit of measure missing",IF(OR(Items!H182="",Items!J182="",Items!K182=""),"CHECK: value, rate or cost missing",IF(OR(NOT(ISNUMBER(Items!H182)),NOT(ISNUMBER(Items!J182)),NOT(ISNUMBER(Items!K182)),AND(Items!I182&lt;&gt;"",NOT(ISNUMBER(Items!I182))),AND(Items!L182&lt;&gt;"",NOT(ISNUMBER(Items!L182))),AND(Items!M182&lt;&gt;"",NOT(ISNUMBER(Items!M182)))),"CHECK: text in a number column",IF(AND(ISNUMBER(Items!M182),OR(N(Items!M182)&lt;0,N(Items!M182)&gt;1)),"CHECK: dutiable share must be 0% to 100%",IF(AND(UPPER(TRIM(CLEAN(SUBSTITUTE(Items!F182&amp;""," "," "))))&lt;&gt;"",UPPER(TRIM(CLEAN(SUBSTITUTE(Items!F182&amp;""," "," "))))&lt;&gt;"Y",UPPER(TRIM(CLEAN(SUBSTITUTE(Items!F182&amp;""," "," "))))&lt;&gt;"N"),"CHECK: USMCA flag must be Y, N or blank",IF(AND(UPPER(TRIM(CLEAN(SUBSTITUTE(Items!F182&amp;""," "," "))))="Y",$E182&lt;&gt;"US",$E182&lt;&gt;"CA",$E182&lt;&gt;"MX"),"CHECK: USMCA flag on an origin other than US, CA or MX",IF(AND($L182="Y",$AO182=0,NOT(ISNUMBER(act_Rate))),"CHECK: in scope but no rate (add a rate line or B15)",IF(AND($L182="Y",UPPER(TRIM(CLEAN(SUBSTITUTE(act_RateType&amp;""," "," "))))="REPLACE",NOT(ISNUMBER(act_PriorRate)),IF($AO182=0,TRUE,NOT(ISNUMBER(INDEX(rate_Prior,MOD($AO182,100)))))),"CHECK: REPLACE but no earlier rate (B17 or the rate line's AD)",IF(AND($L182="Y",$AP182&gt;1),"CHECK: two rate lines match equally",IF(AND($L182="Y",$AN182&gt;1),"CHECK: HTS prefix listed twice on the scope list",IF(AND($L182="Y",$P182="PART",NOT(ISNUMBER(Items!M182))),"CHECK: dutiable share missing (PART base)",IF(AND($L182="Y",$P182="FULL",ISNUMBER(Items!M182),N(Items!M182)&lt;&gt;1),"CHECK: dutiable share entered, but the rate taxes the full value",IF(AND($L182="Y",$Q182+0.0000001&lt;$T182*$S182+$U182),"CHECK: current rate is below the duty being replaced or displaced",IF(AND($L182="Y",$AD182=0),"NOTE: in scope, no quantity",IF(AND($L182="Y",$AF182="N"),"NOTE: in scope, no sell price (left out of margin %)",IF(AND($L182="Y",N(Items!H182)&gt;N(Items!K182)),"NOTE: customs value above standard cost (check unit of measure)",IF(AND($L182="Y",$Q182&gt;1),"NOTE: current rate above 100% (check it was entered as a percentage)","OK")))))))))))))))))))))))</f>
        <v/>
      </c>
      <c r="AK182" s="20">
        <f>IF($A182="","",IF(AND($L182="Y",$AE182&lt;&gt;0),ABS($AE182)+ROW()/1000000000,""))</f>
        <v/>
      </c>
      <c r="AL182" s="10">
        <f>IF($A182="","",UPPER($A182)&amp;"/"&amp;UPPER(TRIM(CLEAN(SUBSTITUTE(Items!C182&amp;""," "," ")))))</f>
        <v/>
      </c>
      <c r="AM182" s="13">
        <f>IF($A182="",0,SUMPRODUCT(MAX((scope_HTS&lt;&gt;"")*(LEFT($C182,LEN(scope_HTS))=scope_HTS)*(LEN(scope_HTS)*1000+ROW(scope_HTS)-4))))</f>
        <v/>
      </c>
      <c r="AN182" s="13">
        <f>IF($AM182=0,0,SUMPRODUCT((scope_HTS&lt;&gt;"")*(LEFT($C182,LEN(scope_HTS))=scope_HTS)*(LEN(scope_HTS)=INT($AM182/1000))))</f>
        <v/>
      </c>
      <c r="AO182" s="13">
        <f>IF($L182&lt;&gt;"Y",0,SUMPRODUCT(MAX(ISNUMBER(rate_Rate)*((UPPER(TRIM(CLEAN(SUBSTITUTE(rate_Group&amp;""," "," "))))="")+(UPPER(TRIM(CLEAN(SUBSTITUTE(rate_Group&amp;""," "," "))))=$N182)&gt;0)*((UPPER(TRIM(CLEAN(SUBSTITUTE(rate_COO&amp;""," "," "))))="")+(UPPER(TRIM(CLEAN(SUBSTITUTE(rate_COO&amp;""," "," "))))=$E182)&gt;0)*((UPPER(TRIM(CLEAN(SUBSTITUTE(rate_USMCA&amp;""," "," "))))="")+(UPPER(TRIM(CLEAN(SUBSTITUTE(rate_USMCA&amp;""," "," "))))=IF(UPPER(TRIM(CLEAN(SUBSTITUTE(Items!F182&amp;""," "," "))))="Y","Y","N"))&gt;0)*((1+(UPPER(TRIM(CLEAN(SUBSTITUTE(rate_Group&amp;""," "," "))))&lt;&gt;"")+2*(UPPER(TRIM(CLEAN(SUBSTITUTE(rate_USMCA&amp;""," "," "))))&lt;&gt;"")+4*(UPPER(TRIM(CLEAN(SUBSTITUTE(rate_COO&amp;""," "," "))))&lt;&gt;""))*100+ROW(rate_Rate)-4))))</f>
        <v/>
      </c>
      <c r="AP182" s="13">
        <f>IF($AO182=0,0,SUMPRODUCT(ISNUMBER(rate_Rate)*((UPPER(TRIM(CLEAN(SUBSTITUTE(rate_Group&amp;""," "," "))))="")+(UPPER(TRIM(CLEAN(SUBSTITUTE(rate_Group&amp;""," "," "))))=$N182)&gt;0)*((UPPER(TRIM(CLEAN(SUBSTITUTE(rate_COO&amp;""," "," "))))="")+(UPPER(TRIM(CLEAN(SUBSTITUTE(rate_COO&amp;""," "," "))))=$E182)&gt;0)*((UPPER(TRIM(CLEAN(SUBSTITUTE(rate_USMCA&amp;""," "," "))))="")+(UPPER(TRIM(CLEAN(SUBSTITUTE(rate_USMCA&amp;""," "," "))))=IF(UPPER(TRIM(CLEAN(SUBSTITUTE(Items!F182&amp;""," "," "))))="Y","Y","N"))&gt;0)*((1+(UPPER(TRIM(CLEAN(SUBSTITUTE(rate_Group&amp;""," "," "))))&lt;&gt;"")+2*(UPPER(TRIM(CLEAN(SUBSTITUTE(rate_USMCA&amp;""," "," "))))&lt;&gt;"")+4*(UPPER(TRIM(CLEAN(SUBSTITUTE(rate_COO&amp;""," "," "))))&lt;&gt;""))=INT($AO182/100))))</f>
        <v/>
      </c>
      <c r="AQ182" s="13">
        <f>IF($A182="",0,IFERROR(MATCH($AL182,det_Key,0),0))</f>
        <v/>
      </c>
    </row>
    <row r="183">
      <c r="A183" s="10">
        <f>IF(TRIM(CLEAN(SUBSTITUTE(Items!A183&amp;""," "," ")))="","",TRIM(CLEAN(SUBSTITUTE(Items!A183&amp;""," "," "))))</f>
        <v/>
      </c>
      <c r="B183" s="10">
        <f>IF($A183="","",Items!B183&amp;"")</f>
        <v/>
      </c>
      <c r="C183" s="10">
        <f>IF($A183="","",SUBSTITUTE(SUBSTITUTE(SUBSTITUTE(SUBSTITUTE(CLEAN(Items!D183&amp;"")," ",""),".","")," ",""),"-",""))</f>
        <v/>
      </c>
      <c r="D183" s="10">
        <f>IF($A183="","",LEFT($C183,2))</f>
        <v/>
      </c>
      <c r="E183" s="10">
        <f>IF($A183="","",UPPER(TRIM(CLEAN(SUBSTITUTE(Items!E183&amp;""," "," ")))))</f>
        <v/>
      </c>
      <c r="F183" s="10">
        <f>IF($A183="","",IF(UPPER(TRIM(CLEAN(SUBSTITUTE(Items!C183&amp;""," "," "))))=UPPER(TRIM(CLEAN(SUBSTITUTE(act_Country&amp;""," "," ")))),"Y","N"))</f>
        <v/>
      </c>
      <c r="G183" s="10">
        <f>IF($A183="","",IF($AM183&gt;0,"Y","N"))</f>
        <v/>
      </c>
      <c r="H183" s="10">
        <f>IF($A183="","",IF(SUMPRODUCT((excl_HTS&lt;&gt;"")*(LEFT($C183,LEN(excl_HTS))=excl_HTS))&gt;0,"Y","N"))</f>
        <v/>
      </c>
      <c r="I183" s="10">
        <f>IF($A183="","",IF($E183="","N",IF(SUMPRODUCT(--(UPPER(TRIM(CLEAN(SUBSTITUTE(scope_COO&amp;""," "," "))))=$E183))&gt;0,"Y","N")))</f>
        <v/>
      </c>
      <c r="J183" s="10">
        <f>IF($A183="","",IF(AND(UPPER(TRIM(CLEAN(SUBSTITUTE(act_USMCAExempt&amp;""," "," "))))="Y",UPPER(TRIM(CLEAN(SUBSTITUTE(Items!F183&amp;""," "," "))))="Y"),"Y","N"))</f>
        <v/>
      </c>
      <c r="K183" s="10">
        <f>IF($A183="","",IF($AQ183=0,"",UPPER(TRIM(CLEAN(SUBSTITUTE(INDEX(det_Status,$AQ183)&amp;""," "," "))))))</f>
        <v/>
      </c>
      <c r="L183" s="10">
        <f>IF($A183="","",IF($F183="N","N",IF($K183="IN","Y",IF($K183="OUT","N",IF(AND($G183="Y",$H183="N",$I183="Y",$J183="N"),"Y","N")))))</f>
        <v/>
      </c>
      <c r="M183" s="10">
        <f>IF($A183="","",IF($F183="N","Out: different import country",IF($K183="IN","In: Research determination",IF($K183="OUT","Out: Research determination",IF($G183="N","Out: HTS not on scope list",IF($H183="Y","Out: HTS on exclusion list",IF($I183="N","Out: origin not on scope list",IF($J183="Y","Out: USMCA-qualifying, exempt","In: matches scope rules"))))))))</f>
        <v/>
      </c>
      <c r="N183" s="10">
        <f>IF(OR($A183="",$AM183=0),"",UPPER(TRIM(CLEAN(SUBSTITUTE(INDEX(scope_Group,MOD($AM183,1000))&amp;""," "," ")))))</f>
        <v/>
      </c>
      <c r="O183" s="10">
        <f>IF($L183&lt;&gt;"Y","",IF($AO183=0,"Default (B15)",UPPER(TRIM(CLEAN(SUBSTITUTE(INDEX(rate_ID,MOD($AO183,100))&amp;""," "," "))))))</f>
        <v/>
      </c>
      <c r="P183" s="10">
        <f>IF($L183&lt;&gt;"Y","",IF($AO183=0,IF(UPPER(TRIM(CLEAN(SUBSTITUTE(act_DefaultBase&amp;""," "," "))))="PART","PART","FULL"),IF(UPPER(TRIM(CLEAN(SUBSTITUTE(INDEX(rate_Base,MOD($AO183,100))&amp;""," "," "))))="PART","PART","FULL")))</f>
        <v/>
      </c>
      <c r="Q183" s="17">
        <f>IF($A183="","",N(Items!J183))</f>
        <v/>
      </c>
      <c r="R183" s="17">
        <f>IF($A183="","",IF($L183&lt;&gt;"Y",0,IF($AO183=0,N(act_Rate),N(INDEX(rate_Rate,MOD($AO183,100))))))</f>
        <v/>
      </c>
      <c r="S183" s="17">
        <f>IF($A183="","",IF($L183&lt;&gt;"Y",0,IF($AO183=0,IF(UPPER(TRIM(CLEAN(SUBSTITUTE(act_RateType&amp;""," "," "))))="REPLACE",N(act_PriorRate),0),IF(ISNUMBER(INDEX(rate_Prior,MOD($AO183,100))),INDEX(rate_Prior,MOD($AO183,100)),IF(UPPER(TRIM(CLEAN(SUBSTITUTE(act_RateType&amp;""," "," "))))="REPLACE",N(act_PriorRate),0)))))</f>
        <v/>
      </c>
      <c r="T183" s="17">
        <f>IF($A183="","",IF(AND($L183="Y",$P183="PART",ISNUMBER(Items!M183)),Items!M183,1))</f>
        <v/>
      </c>
      <c r="U183" s="17">
        <f>IF($A183="","",IF($L183&lt;&gt;"Y",0,IF($AQ183&gt;0,IF(ISNUMBER(INDEX(det_Displaced,$AQ183)),INDEX(det_Displaced,$AQ183),IF($AO183=0,0,N(INDEX(rate_Displaced,MOD($AO183,100))))),IF($AO183=0,0,N(INDEX(rate_Displaced,MOD($AO183,100)))))))</f>
        <v/>
      </c>
      <c r="V183" s="17">
        <f>IF($A183="","",IF($L183="Y",$Q183+$T183*($R183-$S183)-$U183,$Q183))</f>
        <v/>
      </c>
      <c r="W183" s="18">
        <f>IF($A183="","",N(Items!H183)*$Q183)</f>
        <v/>
      </c>
      <c r="X183" s="18">
        <f>IF($A183="","",N(Items!H183)*$V183)</f>
        <v/>
      </c>
      <c r="Y183" s="18">
        <f>IF($A183="","",$X183-$W183)</f>
        <v/>
      </c>
      <c r="Z183" s="18">
        <f>IF($A183="","",N(Items!K183)+$Y183)</f>
        <v/>
      </c>
      <c r="AA183" s="17">
        <f>IF($A183="","",IF(N(Items!L183)=0,"",(N(Items!L183)-N(Items!K183))/N(Items!L183)))</f>
        <v/>
      </c>
      <c r="AB183" s="17">
        <f>IF($A183="","",IF(N(Items!L183)=0,"",(N(Items!L183)-$Z183)/N(Items!L183)))</f>
        <v/>
      </c>
      <c r="AC183" s="17">
        <f>IF(OR($AA183="",$AB183=""),"",$AB183-$AA183)</f>
        <v/>
      </c>
      <c r="AD183" s="13">
        <f>IF($A183="","",N(Items!I183))</f>
        <v/>
      </c>
      <c r="AE183" s="19">
        <f>IF($A183="","",$Y183*$AD183)</f>
        <v/>
      </c>
      <c r="AF183" s="10">
        <f>IF($A183="","",IF(N(Items!L183)&gt;0,"Y","N"))</f>
        <v/>
      </c>
      <c r="AG183" s="19">
        <f>IF($A183="","",IF($AF183="Y",N(Items!L183)*$AD183,0))</f>
        <v/>
      </c>
      <c r="AH183" s="19">
        <f>IF($A183="","",IF($AF183="Y",(N(Items!L183)-N(Items!K183))*$AD183,0))</f>
        <v/>
      </c>
      <c r="AI183" s="19">
        <f>IF($A183="","",IF($AF183="Y",$AH183-$AE183,0))</f>
        <v/>
      </c>
      <c r="AJ183" s="10">
        <f>IF($A183="","",IF(COUNTIF($AL$5:$AL$254,$AL183)&gt;1,"CHECK: duplicate item and import country",IF(TRIM(CLEAN(SUBSTITUTE(Items!C183&amp;""," "," ")))="","CHECK: import country missing",IF(AND(UPPER(TRIM(CLEAN(SUBSTITUTE(Items!C183&amp;""," "," "))))&lt;&gt;"US",UPPER(TRIM(CLEAN(SUBSTITUTE(Items!C183&amp;""," "," "))))&lt;&gt;"CA",UPPER(TRIM(CLEAN(SUBSTITUTE(Items!C183&amp;""," "," "))))&lt;&gt;"MX"),"CHECK: import country must be US, CA or MX",IF(NOT(AND(LEN($C183)=10,IFERROR(TEXT(VALUE($C183),REPT("0",LEN($C183)))=$C183,FALSE))),"CHECK: HTS must be 10 digits",IF(LEN($E183)&lt;&gt;2,"CHECK: origin code missing or not 2 letters",IF(TRIM(CLEAN(SUBSTITUTE(Items!G183&amp;""," "," ")))="","CHECK: unit of measure missing",IF(OR(Items!H183="",Items!J183="",Items!K183=""),"CHECK: value, rate or cost missing",IF(OR(NOT(ISNUMBER(Items!H183)),NOT(ISNUMBER(Items!J183)),NOT(ISNUMBER(Items!K183)),AND(Items!I183&lt;&gt;"",NOT(ISNUMBER(Items!I183))),AND(Items!L183&lt;&gt;"",NOT(ISNUMBER(Items!L183))),AND(Items!M183&lt;&gt;"",NOT(ISNUMBER(Items!M183)))),"CHECK: text in a number column",IF(AND(ISNUMBER(Items!M183),OR(N(Items!M183)&lt;0,N(Items!M183)&gt;1)),"CHECK: dutiable share must be 0% to 100%",IF(AND(UPPER(TRIM(CLEAN(SUBSTITUTE(Items!F183&amp;""," "," "))))&lt;&gt;"",UPPER(TRIM(CLEAN(SUBSTITUTE(Items!F183&amp;""," "," "))))&lt;&gt;"Y",UPPER(TRIM(CLEAN(SUBSTITUTE(Items!F183&amp;""," "," "))))&lt;&gt;"N"),"CHECK: USMCA flag must be Y, N or blank",IF(AND(UPPER(TRIM(CLEAN(SUBSTITUTE(Items!F183&amp;""," "," "))))="Y",$E183&lt;&gt;"US",$E183&lt;&gt;"CA",$E183&lt;&gt;"MX"),"CHECK: USMCA flag on an origin other than US, CA or MX",IF(AND($L183="Y",$AO183=0,NOT(ISNUMBER(act_Rate))),"CHECK: in scope but no rate (add a rate line or B15)",IF(AND($L183="Y",UPPER(TRIM(CLEAN(SUBSTITUTE(act_RateType&amp;""," "," "))))="REPLACE",NOT(ISNUMBER(act_PriorRate)),IF($AO183=0,TRUE,NOT(ISNUMBER(INDEX(rate_Prior,MOD($AO183,100)))))),"CHECK: REPLACE but no earlier rate (B17 or the rate line's AD)",IF(AND($L183="Y",$AP183&gt;1),"CHECK: two rate lines match equally",IF(AND($L183="Y",$AN183&gt;1),"CHECK: HTS prefix listed twice on the scope list",IF(AND($L183="Y",$P183="PART",NOT(ISNUMBER(Items!M183))),"CHECK: dutiable share missing (PART base)",IF(AND($L183="Y",$P183="FULL",ISNUMBER(Items!M183),N(Items!M183)&lt;&gt;1),"CHECK: dutiable share entered, but the rate taxes the full value",IF(AND($L183="Y",$Q183+0.0000001&lt;$T183*$S183+$U183),"CHECK: current rate is below the duty being replaced or displaced",IF(AND($L183="Y",$AD183=0),"NOTE: in scope, no quantity",IF(AND($L183="Y",$AF183="N"),"NOTE: in scope, no sell price (left out of margin %)",IF(AND($L183="Y",N(Items!H183)&gt;N(Items!K183)),"NOTE: customs value above standard cost (check unit of measure)",IF(AND($L183="Y",$Q183&gt;1),"NOTE: current rate above 100% (check it was entered as a percentage)","OK")))))))))))))))))))))))</f>
        <v/>
      </c>
      <c r="AK183" s="20">
        <f>IF($A183="","",IF(AND($L183="Y",$AE183&lt;&gt;0),ABS($AE183)+ROW()/1000000000,""))</f>
        <v/>
      </c>
      <c r="AL183" s="10">
        <f>IF($A183="","",UPPER($A183)&amp;"/"&amp;UPPER(TRIM(CLEAN(SUBSTITUTE(Items!C183&amp;""," "," ")))))</f>
        <v/>
      </c>
      <c r="AM183" s="13">
        <f>IF($A183="",0,SUMPRODUCT(MAX((scope_HTS&lt;&gt;"")*(LEFT($C183,LEN(scope_HTS))=scope_HTS)*(LEN(scope_HTS)*1000+ROW(scope_HTS)-4))))</f>
        <v/>
      </c>
      <c r="AN183" s="13">
        <f>IF($AM183=0,0,SUMPRODUCT((scope_HTS&lt;&gt;"")*(LEFT($C183,LEN(scope_HTS))=scope_HTS)*(LEN(scope_HTS)=INT($AM183/1000))))</f>
        <v/>
      </c>
      <c r="AO183" s="13">
        <f>IF($L183&lt;&gt;"Y",0,SUMPRODUCT(MAX(ISNUMBER(rate_Rate)*((UPPER(TRIM(CLEAN(SUBSTITUTE(rate_Group&amp;""," "," "))))="")+(UPPER(TRIM(CLEAN(SUBSTITUTE(rate_Group&amp;""," "," "))))=$N183)&gt;0)*((UPPER(TRIM(CLEAN(SUBSTITUTE(rate_COO&amp;""," "," "))))="")+(UPPER(TRIM(CLEAN(SUBSTITUTE(rate_COO&amp;""," "," "))))=$E183)&gt;0)*((UPPER(TRIM(CLEAN(SUBSTITUTE(rate_USMCA&amp;""," "," "))))="")+(UPPER(TRIM(CLEAN(SUBSTITUTE(rate_USMCA&amp;""," "," "))))=IF(UPPER(TRIM(CLEAN(SUBSTITUTE(Items!F183&amp;""," "," "))))="Y","Y","N"))&gt;0)*((1+(UPPER(TRIM(CLEAN(SUBSTITUTE(rate_Group&amp;""," "," "))))&lt;&gt;"")+2*(UPPER(TRIM(CLEAN(SUBSTITUTE(rate_USMCA&amp;""," "," "))))&lt;&gt;"")+4*(UPPER(TRIM(CLEAN(SUBSTITUTE(rate_COO&amp;""," "," "))))&lt;&gt;""))*100+ROW(rate_Rate)-4))))</f>
        <v/>
      </c>
      <c r="AP183" s="13">
        <f>IF($AO183=0,0,SUMPRODUCT(ISNUMBER(rate_Rate)*((UPPER(TRIM(CLEAN(SUBSTITUTE(rate_Group&amp;""," "," "))))="")+(UPPER(TRIM(CLEAN(SUBSTITUTE(rate_Group&amp;""," "," "))))=$N183)&gt;0)*((UPPER(TRIM(CLEAN(SUBSTITUTE(rate_COO&amp;""," "," "))))="")+(UPPER(TRIM(CLEAN(SUBSTITUTE(rate_COO&amp;""," "," "))))=$E183)&gt;0)*((UPPER(TRIM(CLEAN(SUBSTITUTE(rate_USMCA&amp;""," "," "))))="")+(UPPER(TRIM(CLEAN(SUBSTITUTE(rate_USMCA&amp;""," "," "))))=IF(UPPER(TRIM(CLEAN(SUBSTITUTE(Items!F183&amp;""," "," "))))="Y","Y","N"))&gt;0)*((1+(UPPER(TRIM(CLEAN(SUBSTITUTE(rate_Group&amp;""," "," "))))&lt;&gt;"")+2*(UPPER(TRIM(CLEAN(SUBSTITUTE(rate_USMCA&amp;""," "," "))))&lt;&gt;"")+4*(UPPER(TRIM(CLEAN(SUBSTITUTE(rate_COO&amp;""," "," "))))&lt;&gt;""))=INT($AO183/100))))</f>
        <v/>
      </c>
      <c r="AQ183" s="13">
        <f>IF($A183="",0,IFERROR(MATCH($AL183,det_Key,0),0))</f>
        <v/>
      </c>
    </row>
    <row r="184">
      <c r="A184" s="10">
        <f>IF(TRIM(CLEAN(SUBSTITUTE(Items!A184&amp;""," "," ")))="","",TRIM(CLEAN(SUBSTITUTE(Items!A184&amp;""," "," "))))</f>
        <v/>
      </c>
      <c r="B184" s="10">
        <f>IF($A184="","",Items!B184&amp;"")</f>
        <v/>
      </c>
      <c r="C184" s="10">
        <f>IF($A184="","",SUBSTITUTE(SUBSTITUTE(SUBSTITUTE(SUBSTITUTE(CLEAN(Items!D184&amp;"")," ",""),".","")," ",""),"-",""))</f>
        <v/>
      </c>
      <c r="D184" s="10">
        <f>IF($A184="","",LEFT($C184,2))</f>
        <v/>
      </c>
      <c r="E184" s="10">
        <f>IF($A184="","",UPPER(TRIM(CLEAN(SUBSTITUTE(Items!E184&amp;""," "," ")))))</f>
        <v/>
      </c>
      <c r="F184" s="10">
        <f>IF($A184="","",IF(UPPER(TRIM(CLEAN(SUBSTITUTE(Items!C184&amp;""," "," "))))=UPPER(TRIM(CLEAN(SUBSTITUTE(act_Country&amp;""," "," ")))),"Y","N"))</f>
        <v/>
      </c>
      <c r="G184" s="10">
        <f>IF($A184="","",IF($AM184&gt;0,"Y","N"))</f>
        <v/>
      </c>
      <c r="H184" s="10">
        <f>IF($A184="","",IF(SUMPRODUCT((excl_HTS&lt;&gt;"")*(LEFT($C184,LEN(excl_HTS))=excl_HTS))&gt;0,"Y","N"))</f>
        <v/>
      </c>
      <c r="I184" s="10">
        <f>IF($A184="","",IF($E184="","N",IF(SUMPRODUCT(--(UPPER(TRIM(CLEAN(SUBSTITUTE(scope_COO&amp;""," "," "))))=$E184))&gt;0,"Y","N")))</f>
        <v/>
      </c>
      <c r="J184" s="10">
        <f>IF($A184="","",IF(AND(UPPER(TRIM(CLEAN(SUBSTITUTE(act_USMCAExempt&amp;""," "," "))))="Y",UPPER(TRIM(CLEAN(SUBSTITUTE(Items!F184&amp;""," "," "))))="Y"),"Y","N"))</f>
        <v/>
      </c>
      <c r="K184" s="10">
        <f>IF($A184="","",IF($AQ184=0,"",UPPER(TRIM(CLEAN(SUBSTITUTE(INDEX(det_Status,$AQ184)&amp;""," "," "))))))</f>
        <v/>
      </c>
      <c r="L184" s="10">
        <f>IF($A184="","",IF($F184="N","N",IF($K184="IN","Y",IF($K184="OUT","N",IF(AND($G184="Y",$H184="N",$I184="Y",$J184="N"),"Y","N")))))</f>
        <v/>
      </c>
      <c r="M184" s="10">
        <f>IF($A184="","",IF($F184="N","Out: different import country",IF($K184="IN","In: Research determination",IF($K184="OUT","Out: Research determination",IF($G184="N","Out: HTS not on scope list",IF($H184="Y","Out: HTS on exclusion list",IF($I184="N","Out: origin not on scope list",IF($J184="Y","Out: USMCA-qualifying, exempt","In: matches scope rules"))))))))</f>
        <v/>
      </c>
      <c r="N184" s="10">
        <f>IF(OR($A184="",$AM184=0),"",UPPER(TRIM(CLEAN(SUBSTITUTE(INDEX(scope_Group,MOD($AM184,1000))&amp;""," "," ")))))</f>
        <v/>
      </c>
      <c r="O184" s="10">
        <f>IF($L184&lt;&gt;"Y","",IF($AO184=0,"Default (B15)",UPPER(TRIM(CLEAN(SUBSTITUTE(INDEX(rate_ID,MOD($AO184,100))&amp;""," "," "))))))</f>
        <v/>
      </c>
      <c r="P184" s="10">
        <f>IF($L184&lt;&gt;"Y","",IF($AO184=0,IF(UPPER(TRIM(CLEAN(SUBSTITUTE(act_DefaultBase&amp;""," "," "))))="PART","PART","FULL"),IF(UPPER(TRIM(CLEAN(SUBSTITUTE(INDEX(rate_Base,MOD($AO184,100))&amp;""," "," "))))="PART","PART","FULL")))</f>
        <v/>
      </c>
      <c r="Q184" s="17">
        <f>IF($A184="","",N(Items!J184))</f>
        <v/>
      </c>
      <c r="R184" s="17">
        <f>IF($A184="","",IF($L184&lt;&gt;"Y",0,IF($AO184=0,N(act_Rate),N(INDEX(rate_Rate,MOD($AO184,100))))))</f>
        <v/>
      </c>
      <c r="S184" s="17">
        <f>IF($A184="","",IF($L184&lt;&gt;"Y",0,IF($AO184=0,IF(UPPER(TRIM(CLEAN(SUBSTITUTE(act_RateType&amp;""," "," "))))="REPLACE",N(act_PriorRate),0),IF(ISNUMBER(INDEX(rate_Prior,MOD($AO184,100))),INDEX(rate_Prior,MOD($AO184,100)),IF(UPPER(TRIM(CLEAN(SUBSTITUTE(act_RateType&amp;""," "," "))))="REPLACE",N(act_PriorRate),0)))))</f>
        <v/>
      </c>
      <c r="T184" s="17">
        <f>IF($A184="","",IF(AND($L184="Y",$P184="PART",ISNUMBER(Items!M184)),Items!M184,1))</f>
        <v/>
      </c>
      <c r="U184" s="17">
        <f>IF($A184="","",IF($L184&lt;&gt;"Y",0,IF($AQ184&gt;0,IF(ISNUMBER(INDEX(det_Displaced,$AQ184)),INDEX(det_Displaced,$AQ184),IF($AO184=0,0,N(INDEX(rate_Displaced,MOD($AO184,100))))),IF($AO184=0,0,N(INDEX(rate_Displaced,MOD($AO184,100)))))))</f>
        <v/>
      </c>
      <c r="V184" s="17">
        <f>IF($A184="","",IF($L184="Y",$Q184+$T184*($R184-$S184)-$U184,$Q184))</f>
        <v/>
      </c>
      <c r="W184" s="18">
        <f>IF($A184="","",N(Items!H184)*$Q184)</f>
        <v/>
      </c>
      <c r="X184" s="18">
        <f>IF($A184="","",N(Items!H184)*$V184)</f>
        <v/>
      </c>
      <c r="Y184" s="18">
        <f>IF($A184="","",$X184-$W184)</f>
        <v/>
      </c>
      <c r="Z184" s="18">
        <f>IF($A184="","",N(Items!K184)+$Y184)</f>
        <v/>
      </c>
      <c r="AA184" s="17">
        <f>IF($A184="","",IF(N(Items!L184)=0,"",(N(Items!L184)-N(Items!K184))/N(Items!L184)))</f>
        <v/>
      </c>
      <c r="AB184" s="17">
        <f>IF($A184="","",IF(N(Items!L184)=0,"",(N(Items!L184)-$Z184)/N(Items!L184)))</f>
        <v/>
      </c>
      <c r="AC184" s="17">
        <f>IF(OR($AA184="",$AB184=""),"",$AB184-$AA184)</f>
        <v/>
      </c>
      <c r="AD184" s="13">
        <f>IF($A184="","",N(Items!I184))</f>
        <v/>
      </c>
      <c r="AE184" s="19">
        <f>IF($A184="","",$Y184*$AD184)</f>
        <v/>
      </c>
      <c r="AF184" s="10">
        <f>IF($A184="","",IF(N(Items!L184)&gt;0,"Y","N"))</f>
        <v/>
      </c>
      <c r="AG184" s="19">
        <f>IF($A184="","",IF($AF184="Y",N(Items!L184)*$AD184,0))</f>
        <v/>
      </c>
      <c r="AH184" s="19">
        <f>IF($A184="","",IF($AF184="Y",(N(Items!L184)-N(Items!K184))*$AD184,0))</f>
        <v/>
      </c>
      <c r="AI184" s="19">
        <f>IF($A184="","",IF($AF184="Y",$AH184-$AE184,0))</f>
        <v/>
      </c>
      <c r="AJ184" s="10">
        <f>IF($A184="","",IF(COUNTIF($AL$5:$AL$254,$AL184)&gt;1,"CHECK: duplicate item and import country",IF(TRIM(CLEAN(SUBSTITUTE(Items!C184&amp;""," "," ")))="","CHECK: import country missing",IF(AND(UPPER(TRIM(CLEAN(SUBSTITUTE(Items!C184&amp;""," "," "))))&lt;&gt;"US",UPPER(TRIM(CLEAN(SUBSTITUTE(Items!C184&amp;""," "," "))))&lt;&gt;"CA",UPPER(TRIM(CLEAN(SUBSTITUTE(Items!C184&amp;""," "," "))))&lt;&gt;"MX"),"CHECK: import country must be US, CA or MX",IF(NOT(AND(LEN($C184)=10,IFERROR(TEXT(VALUE($C184),REPT("0",LEN($C184)))=$C184,FALSE))),"CHECK: HTS must be 10 digits",IF(LEN($E184)&lt;&gt;2,"CHECK: origin code missing or not 2 letters",IF(TRIM(CLEAN(SUBSTITUTE(Items!G184&amp;""," "," ")))="","CHECK: unit of measure missing",IF(OR(Items!H184="",Items!J184="",Items!K184=""),"CHECK: value, rate or cost missing",IF(OR(NOT(ISNUMBER(Items!H184)),NOT(ISNUMBER(Items!J184)),NOT(ISNUMBER(Items!K184)),AND(Items!I184&lt;&gt;"",NOT(ISNUMBER(Items!I184))),AND(Items!L184&lt;&gt;"",NOT(ISNUMBER(Items!L184))),AND(Items!M184&lt;&gt;"",NOT(ISNUMBER(Items!M184)))),"CHECK: text in a number column",IF(AND(ISNUMBER(Items!M184),OR(N(Items!M184)&lt;0,N(Items!M184)&gt;1)),"CHECK: dutiable share must be 0% to 100%",IF(AND(UPPER(TRIM(CLEAN(SUBSTITUTE(Items!F184&amp;""," "," "))))&lt;&gt;"",UPPER(TRIM(CLEAN(SUBSTITUTE(Items!F184&amp;""," "," "))))&lt;&gt;"Y",UPPER(TRIM(CLEAN(SUBSTITUTE(Items!F184&amp;""," "," "))))&lt;&gt;"N"),"CHECK: USMCA flag must be Y, N or blank",IF(AND(UPPER(TRIM(CLEAN(SUBSTITUTE(Items!F184&amp;""," "," "))))="Y",$E184&lt;&gt;"US",$E184&lt;&gt;"CA",$E184&lt;&gt;"MX"),"CHECK: USMCA flag on an origin other than US, CA or MX",IF(AND($L184="Y",$AO184=0,NOT(ISNUMBER(act_Rate))),"CHECK: in scope but no rate (add a rate line or B15)",IF(AND($L184="Y",UPPER(TRIM(CLEAN(SUBSTITUTE(act_RateType&amp;""," "," "))))="REPLACE",NOT(ISNUMBER(act_PriorRate)),IF($AO184=0,TRUE,NOT(ISNUMBER(INDEX(rate_Prior,MOD($AO184,100)))))),"CHECK: REPLACE but no earlier rate (B17 or the rate line's AD)",IF(AND($L184="Y",$AP184&gt;1),"CHECK: two rate lines match equally",IF(AND($L184="Y",$AN184&gt;1),"CHECK: HTS prefix listed twice on the scope list",IF(AND($L184="Y",$P184="PART",NOT(ISNUMBER(Items!M184))),"CHECK: dutiable share missing (PART base)",IF(AND($L184="Y",$P184="FULL",ISNUMBER(Items!M184),N(Items!M184)&lt;&gt;1),"CHECK: dutiable share entered, but the rate taxes the full value",IF(AND($L184="Y",$Q184+0.0000001&lt;$T184*$S184+$U184),"CHECK: current rate is below the duty being replaced or displaced",IF(AND($L184="Y",$AD184=0),"NOTE: in scope, no quantity",IF(AND($L184="Y",$AF184="N"),"NOTE: in scope, no sell price (left out of margin %)",IF(AND($L184="Y",N(Items!H184)&gt;N(Items!K184)),"NOTE: customs value above standard cost (check unit of measure)",IF(AND($L184="Y",$Q184&gt;1),"NOTE: current rate above 100% (check it was entered as a percentage)","OK")))))))))))))))))))))))</f>
        <v/>
      </c>
      <c r="AK184" s="20">
        <f>IF($A184="","",IF(AND($L184="Y",$AE184&lt;&gt;0),ABS($AE184)+ROW()/1000000000,""))</f>
        <v/>
      </c>
      <c r="AL184" s="10">
        <f>IF($A184="","",UPPER($A184)&amp;"/"&amp;UPPER(TRIM(CLEAN(SUBSTITUTE(Items!C184&amp;""," "," ")))))</f>
        <v/>
      </c>
      <c r="AM184" s="13">
        <f>IF($A184="",0,SUMPRODUCT(MAX((scope_HTS&lt;&gt;"")*(LEFT($C184,LEN(scope_HTS))=scope_HTS)*(LEN(scope_HTS)*1000+ROW(scope_HTS)-4))))</f>
        <v/>
      </c>
      <c r="AN184" s="13">
        <f>IF($AM184=0,0,SUMPRODUCT((scope_HTS&lt;&gt;"")*(LEFT($C184,LEN(scope_HTS))=scope_HTS)*(LEN(scope_HTS)=INT($AM184/1000))))</f>
        <v/>
      </c>
      <c r="AO184" s="13">
        <f>IF($L184&lt;&gt;"Y",0,SUMPRODUCT(MAX(ISNUMBER(rate_Rate)*((UPPER(TRIM(CLEAN(SUBSTITUTE(rate_Group&amp;""," "," "))))="")+(UPPER(TRIM(CLEAN(SUBSTITUTE(rate_Group&amp;""," "," "))))=$N184)&gt;0)*((UPPER(TRIM(CLEAN(SUBSTITUTE(rate_COO&amp;""," "," "))))="")+(UPPER(TRIM(CLEAN(SUBSTITUTE(rate_COO&amp;""," "," "))))=$E184)&gt;0)*((UPPER(TRIM(CLEAN(SUBSTITUTE(rate_USMCA&amp;""," "," "))))="")+(UPPER(TRIM(CLEAN(SUBSTITUTE(rate_USMCA&amp;""," "," "))))=IF(UPPER(TRIM(CLEAN(SUBSTITUTE(Items!F184&amp;""," "," "))))="Y","Y","N"))&gt;0)*((1+(UPPER(TRIM(CLEAN(SUBSTITUTE(rate_Group&amp;""," "," "))))&lt;&gt;"")+2*(UPPER(TRIM(CLEAN(SUBSTITUTE(rate_USMCA&amp;""," "," "))))&lt;&gt;"")+4*(UPPER(TRIM(CLEAN(SUBSTITUTE(rate_COO&amp;""," "," "))))&lt;&gt;""))*100+ROW(rate_Rate)-4))))</f>
        <v/>
      </c>
      <c r="AP184" s="13">
        <f>IF($AO184=0,0,SUMPRODUCT(ISNUMBER(rate_Rate)*((UPPER(TRIM(CLEAN(SUBSTITUTE(rate_Group&amp;""," "," "))))="")+(UPPER(TRIM(CLEAN(SUBSTITUTE(rate_Group&amp;""," "," "))))=$N184)&gt;0)*((UPPER(TRIM(CLEAN(SUBSTITUTE(rate_COO&amp;""," "," "))))="")+(UPPER(TRIM(CLEAN(SUBSTITUTE(rate_COO&amp;""," "," "))))=$E184)&gt;0)*((UPPER(TRIM(CLEAN(SUBSTITUTE(rate_USMCA&amp;""," "," "))))="")+(UPPER(TRIM(CLEAN(SUBSTITUTE(rate_USMCA&amp;""," "," "))))=IF(UPPER(TRIM(CLEAN(SUBSTITUTE(Items!F184&amp;""," "," "))))="Y","Y","N"))&gt;0)*((1+(UPPER(TRIM(CLEAN(SUBSTITUTE(rate_Group&amp;""," "," "))))&lt;&gt;"")+2*(UPPER(TRIM(CLEAN(SUBSTITUTE(rate_USMCA&amp;""," "," "))))&lt;&gt;"")+4*(UPPER(TRIM(CLEAN(SUBSTITUTE(rate_COO&amp;""," "," "))))&lt;&gt;""))=INT($AO184/100))))</f>
        <v/>
      </c>
      <c r="AQ184" s="13">
        <f>IF($A184="",0,IFERROR(MATCH($AL184,det_Key,0),0))</f>
        <v/>
      </c>
    </row>
    <row r="185">
      <c r="A185" s="10">
        <f>IF(TRIM(CLEAN(SUBSTITUTE(Items!A185&amp;""," "," ")))="","",TRIM(CLEAN(SUBSTITUTE(Items!A185&amp;""," "," "))))</f>
        <v/>
      </c>
      <c r="B185" s="10">
        <f>IF($A185="","",Items!B185&amp;"")</f>
        <v/>
      </c>
      <c r="C185" s="10">
        <f>IF($A185="","",SUBSTITUTE(SUBSTITUTE(SUBSTITUTE(SUBSTITUTE(CLEAN(Items!D185&amp;"")," ",""),".","")," ",""),"-",""))</f>
        <v/>
      </c>
      <c r="D185" s="10">
        <f>IF($A185="","",LEFT($C185,2))</f>
        <v/>
      </c>
      <c r="E185" s="10">
        <f>IF($A185="","",UPPER(TRIM(CLEAN(SUBSTITUTE(Items!E185&amp;""," "," ")))))</f>
        <v/>
      </c>
      <c r="F185" s="10">
        <f>IF($A185="","",IF(UPPER(TRIM(CLEAN(SUBSTITUTE(Items!C185&amp;""," "," "))))=UPPER(TRIM(CLEAN(SUBSTITUTE(act_Country&amp;""," "," ")))),"Y","N"))</f>
        <v/>
      </c>
      <c r="G185" s="10">
        <f>IF($A185="","",IF($AM185&gt;0,"Y","N"))</f>
        <v/>
      </c>
      <c r="H185" s="10">
        <f>IF($A185="","",IF(SUMPRODUCT((excl_HTS&lt;&gt;"")*(LEFT($C185,LEN(excl_HTS))=excl_HTS))&gt;0,"Y","N"))</f>
        <v/>
      </c>
      <c r="I185" s="10">
        <f>IF($A185="","",IF($E185="","N",IF(SUMPRODUCT(--(UPPER(TRIM(CLEAN(SUBSTITUTE(scope_COO&amp;""," "," "))))=$E185))&gt;0,"Y","N")))</f>
        <v/>
      </c>
      <c r="J185" s="10">
        <f>IF($A185="","",IF(AND(UPPER(TRIM(CLEAN(SUBSTITUTE(act_USMCAExempt&amp;""," "," "))))="Y",UPPER(TRIM(CLEAN(SUBSTITUTE(Items!F185&amp;""," "," "))))="Y"),"Y","N"))</f>
        <v/>
      </c>
      <c r="K185" s="10">
        <f>IF($A185="","",IF($AQ185=0,"",UPPER(TRIM(CLEAN(SUBSTITUTE(INDEX(det_Status,$AQ185)&amp;""," "," "))))))</f>
        <v/>
      </c>
      <c r="L185" s="10">
        <f>IF($A185="","",IF($F185="N","N",IF($K185="IN","Y",IF($K185="OUT","N",IF(AND($G185="Y",$H185="N",$I185="Y",$J185="N"),"Y","N")))))</f>
        <v/>
      </c>
      <c r="M185" s="10">
        <f>IF($A185="","",IF($F185="N","Out: different import country",IF($K185="IN","In: Research determination",IF($K185="OUT","Out: Research determination",IF($G185="N","Out: HTS not on scope list",IF($H185="Y","Out: HTS on exclusion list",IF($I185="N","Out: origin not on scope list",IF($J185="Y","Out: USMCA-qualifying, exempt","In: matches scope rules"))))))))</f>
        <v/>
      </c>
      <c r="N185" s="10">
        <f>IF(OR($A185="",$AM185=0),"",UPPER(TRIM(CLEAN(SUBSTITUTE(INDEX(scope_Group,MOD($AM185,1000))&amp;""," "," ")))))</f>
        <v/>
      </c>
      <c r="O185" s="10">
        <f>IF($L185&lt;&gt;"Y","",IF($AO185=0,"Default (B15)",UPPER(TRIM(CLEAN(SUBSTITUTE(INDEX(rate_ID,MOD($AO185,100))&amp;""," "," "))))))</f>
        <v/>
      </c>
      <c r="P185" s="10">
        <f>IF($L185&lt;&gt;"Y","",IF($AO185=0,IF(UPPER(TRIM(CLEAN(SUBSTITUTE(act_DefaultBase&amp;""," "," "))))="PART","PART","FULL"),IF(UPPER(TRIM(CLEAN(SUBSTITUTE(INDEX(rate_Base,MOD($AO185,100))&amp;""," "," "))))="PART","PART","FULL")))</f>
        <v/>
      </c>
      <c r="Q185" s="17">
        <f>IF($A185="","",N(Items!J185))</f>
        <v/>
      </c>
      <c r="R185" s="17">
        <f>IF($A185="","",IF($L185&lt;&gt;"Y",0,IF($AO185=0,N(act_Rate),N(INDEX(rate_Rate,MOD($AO185,100))))))</f>
        <v/>
      </c>
      <c r="S185" s="17">
        <f>IF($A185="","",IF($L185&lt;&gt;"Y",0,IF($AO185=0,IF(UPPER(TRIM(CLEAN(SUBSTITUTE(act_RateType&amp;""," "," "))))="REPLACE",N(act_PriorRate),0),IF(ISNUMBER(INDEX(rate_Prior,MOD($AO185,100))),INDEX(rate_Prior,MOD($AO185,100)),IF(UPPER(TRIM(CLEAN(SUBSTITUTE(act_RateType&amp;""," "," "))))="REPLACE",N(act_PriorRate),0)))))</f>
        <v/>
      </c>
      <c r="T185" s="17">
        <f>IF($A185="","",IF(AND($L185="Y",$P185="PART",ISNUMBER(Items!M185)),Items!M185,1))</f>
        <v/>
      </c>
      <c r="U185" s="17">
        <f>IF($A185="","",IF($L185&lt;&gt;"Y",0,IF($AQ185&gt;0,IF(ISNUMBER(INDEX(det_Displaced,$AQ185)),INDEX(det_Displaced,$AQ185),IF($AO185=0,0,N(INDEX(rate_Displaced,MOD($AO185,100))))),IF($AO185=0,0,N(INDEX(rate_Displaced,MOD($AO185,100)))))))</f>
        <v/>
      </c>
      <c r="V185" s="17">
        <f>IF($A185="","",IF($L185="Y",$Q185+$T185*($R185-$S185)-$U185,$Q185))</f>
        <v/>
      </c>
      <c r="W185" s="18">
        <f>IF($A185="","",N(Items!H185)*$Q185)</f>
        <v/>
      </c>
      <c r="X185" s="18">
        <f>IF($A185="","",N(Items!H185)*$V185)</f>
        <v/>
      </c>
      <c r="Y185" s="18">
        <f>IF($A185="","",$X185-$W185)</f>
        <v/>
      </c>
      <c r="Z185" s="18">
        <f>IF($A185="","",N(Items!K185)+$Y185)</f>
        <v/>
      </c>
      <c r="AA185" s="17">
        <f>IF($A185="","",IF(N(Items!L185)=0,"",(N(Items!L185)-N(Items!K185))/N(Items!L185)))</f>
        <v/>
      </c>
      <c r="AB185" s="17">
        <f>IF($A185="","",IF(N(Items!L185)=0,"",(N(Items!L185)-$Z185)/N(Items!L185)))</f>
        <v/>
      </c>
      <c r="AC185" s="17">
        <f>IF(OR($AA185="",$AB185=""),"",$AB185-$AA185)</f>
        <v/>
      </c>
      <c r="AD185" s="13">
        <f>IF($A185="","",N(Items!I185))</f>
        <v/>
      </c>
      <c r="AE185" s="19">
        <f>IF($A185="","",$Y185*$AD185)</f>
        <v/>
      </c>
      <c r="AF185" s="10">
        <f>IF($A185="","",IF(N(Items!L185)&gt;0,"Y","N"))</f>
        <v/>
      </c>
      <c r="AG185" s="19">
        <f>IF($A185="","",IF($AF185="Y",N(Items!L185)*$AD185,0))</f>
        <v/>
      </c>
      <c r="AH185" s="19">
        <f>IF($A185="","",IF($AF185="Y",(N(Items!L185)-N(Items!K185))*$AD185,0))</f>
        <v/>
      </c>
      <c r="AI185" s="19">
        <f>IF($A185="","",IF($AF185="Y",$AH185-$AE185,0))</f>
        <v/>
      </c>
      <c r="AJ185" s="10">
        <f>IF($A185="","",IF(COUNTIF($AL$5:$AL$254,$AL185)&gt;1,"CHECK: duplicate item and import country",IF(TRIM(CLEAN(SUBSTITUTE(Items!C185&amp;""," "," ")))="","CHECK: import country missing",IF(AND(UPPER(TRIM(CLEAN(SUBSTITUTE(Items!C185&amp;""," "," "))))&lt;&gt;"US",UPPER(TRIM(CLEAN(SUBSTITUTE(Items!C185&amp;""," "," "))))&lt;&gt;"CA",UPPER(TRIM(CLEAN(SUBSTITUTE(Items!C185&amp;""," "," "))))&lt;&gt;"MX"),"CHECK: import country must be US, CA or MX",IF(NOT(AND(LEN($C185)=10,IFERROR(TEXT(VALUE($C185),REPT("0",LEN($C185)))=$C185,FALSE))),"CHECK: HTS must be 10 digits",IF(LEN($E185)&lt;&gt;2,"CHECK: origin code missing or not 2 letters",IF(TRIM(CLEAN(SUBSTITUTE(Items!G185&amp;""," "," ")))="","CHECK: unit of measure missing",IF(OR(Items!H185="",Items!J185="",Items!K185=""),"CHECK: value, rate or cost missing",IF(OR(NOT(ISNUMBER(Items!H185)),NOT(ISNUMBER(Items!J185)),NOT(ISNUMBER(Items!K185)),AND(Items!I185&lt;&gt;"",NOT(ISNUMBER(Items!I185))),AND(Items!L185&lt;&gt;"",NOT(ISNUMBER(Items!L185))),AND(Items!M185&lt;&gt;"",NOT(ISNUMBER(Items!M185)))),"CHECK: text in a number column",IF(AND(ISNUMBER(Items!M185),OR(N(Items!M185)&lt;0,N(Items!M185)&gt;1)),"CHECK: dutiable share must be 0% to 100%",IF(AND(UPPER(TRIM(CLEAN(SUBSTITUTE(Items!F185&amp;""," "," "))))&lt;&gt;"",UPPER(TRIM(CLEAN(SUBSTITUTE(Items!F185&amp;""," "," "))))&lt;&gt;"Y",UPPER(TRIM(CLEAN(SUBSTITUTE(Items!F185&amp;""," "," "))))&lt;&gt;"N"),"CHECK: USMCA flag must be Y, N or blank",IF(AND(UPPER(TRIM(CLEAN(SUBSTITUTE(Items!F185&amp;""," "," "))))="Y",$E185&lt;&gt;"US",$E185&lt;&gt;"CA",$E185&lt;&gt;"MX"),"CHECK: USMCA flag on an origin other than US, CA or MX",IF(AND($L185="Y",$AO185=0,NOT(ISNUMBER(act_Rate))),"CHECK: in scope but no rate (add a rate line or B15)",IF(AND($L185="Y",UPPER(TRIM(CLEAN(SUBSTITUTE(act_RateType&amp;""," "," "))))="REPLACE",NOT(ISNUMBER(act_PriorRate)),IF($AO185=0,TRUE,NOT(ISNUMBER(INDEX(rate_Prior,MOD($AO185,100)))))),"CHECK: REPLACE but no earlier rate (B17 or the rate line's AD)",IF(AND($L185="Y",$AP185&gt;1),"CHECK: two rate lines match equally",IF(AND($L185="Y",$AN185&gt;1),"CHECK: HTS prefix listed twice on the scope list",IF(AND($L185="Y",$P185="PART",NOT(ISNUMBER(Items!M185))),"CHECK: dutiable share missing (PART base)",IF(AND($L185="Y",$P185="FULL",ISNUMBER(Items!M185),N(Items!M185)&lt;&gt;1),"CHECK: dutiable share entered, but the rate taxes the full value",IF(AND($L185="Y",$Q185+0.0000001&lt;$T185*$S185+$U185),"CHECK: current rate is below the duty being replaced or displaced",IF(AND($L185="Y",$AD185=0),"NOTE: in scope, no quantity",IF(AND($L185="Y",$AF185="N"),"NOTE: in scope, no sell price (left out of margin %)",IF(AND($L185="Y",N(Items!H185)&gt;N(Items!K185)),"NOTE: customs value above standard cost (check unit of measure)",IF(AND($L185="Y",$Q185&gt;1),"NOTE: current rate above 100% (check it was entered as a percentage)","OK")))))))))))))))))))))))</f>
        <v/>
      </c>
      <c r="AK185" s="20">
        <f>IF($A185="","",IF(AND($L185="Y",$AE185&lt;&gt;0),ABS($AE185)+ROW()/1000000000,""))</f>
        <v/>
      </c>
      <c r="AL185" s="10">
        <f>IF($A185="","",UPPER($A185)&amp;"/"&amp;UPPER(TRIM(CLEAN(SUBSTITUTE(Items!C185&amp;""," "," ")))))</f>
        <v/>
      </c>
      <c r="AM185" s="13">
        <f>IF($A185="",0,SUMPRODUCT(MAX((scope_HTS&lt;&gt;"")*(LEFT($C185,LEN(scope_HTS))=scope_HTS)*(LEN(scope_HTS)*1000+ROW(scope_HTS)-4))))</f>
        <v/>
      </c>
      <c r="AN185" s="13">
        <f>IF($AM185=0,0,SUMPRODUCT((scope_HTS&lt;&gt;"")*(LEFT($C185,LEN(scope_HTS))=scope_HTS)*(LEN(scope_HTS)=INT($AM185/1000))))</f>
        <v/>
      </c>
      <c r="AO185" s="13">
        <f>IF($L185&lt;&gt;"Y",0,SUMPRODUCT(MAX(ISNUMBER(rate_Rate)*((UPPER(TRIM(CLEAN(SUBSTITUTE(rate_Group&amp;""," "," "))))="")+(UPPER(TRIM(CLEAN(SUBSTITUTE(rate_Group&amp;""," "," "))))=$N185)&gt;0)*((UPPER(TRIM(CLEAN(SUBSTITUTE(rate_COO&amp;""," "," "))))="")+(UPPER(TRIM(CLEAN(SUBSTITUTE(rate_COO&amp;""," "," "))))=$E185)&gt;0)*((UPPER(TRIM(CLEAN(SUBSTITUTE(rate_USMCA&amp;""," "," "))))="")+(UPPER(TRIM(CLEAN(SUBSTITUTE(rate_USMCA&amp;""," "," "))))=IF(UPPER(TRIM(CLEAN(SUBSTITUTE(Items!F185&amp;""," "," "))))="Y","Y","N"))&gt;0)*((1+(UPPER(TRIM(CLEAN(SUBSTITUTE(rate_Group&amp;""," "," "))))&lt;&gt;"")+2*(UPPER(TRIM(CLEAN(SUBSTITUTE(rate_USMCA&amp;""," "," "))))&lt;&gt;"")+4*(UPPER(TRIM(CLEAN(SUBSTITUTE(rate_COO&amp;""," "," "))))&lt;&gt;""))*100+ROW(rate_Rate)-4))))</f>
        <v/>
      </c>
      <c r="AP185" s="13">
        <f>IF($AO185=0,0,SUMPRODUCT(ISNUMBER(rate_Rate)*((UPPER(TRIM(CLEAN(SUBSTITUTE(rate_Group&amp;""," "," "))))="")+(UPPER(TRIM(CLEAN(SUBSTITUTE(rate_Group&amp;""," "," "))))=$N185)&gt;0)*((UPPER(TRIM(CLEAN(SUBSTITUTE(rate_COO&amp;""," "," "))))="")+(UPPER(TRIM(CLEAN(SUBSTITUTE(rate_COO&amp;""," "," "))))=$E185)&gt;0)*((UPPER(TRIM(CLEAN(SUBSTITUTE(rate_USMCA&amp;""," "," "))))="")+(UPPER(TRIM(CLEAN(SUBSTITUTE(rate_USMCA&amp;""," "," "))))=IF(UPPER(TRIM(CLEAN(SUBSTITUTE(Items!F185&amp;""," "," "))))="Y","Y","N"))&gt;0)*((1+(UPPER(TRIM(CLEAN(SUBSTITUTE(rate_Group&amp;""," "," "))))&lt;&gt;"")+2*(UPPER(TRIM(CLEAN(SUBSTITUTE(rate_USMCA&amp;""," "," "))))&lt;&gt;"")+4*(UPPER(TRIM(CLEAN(SUBSTITUTE(rate_COO&amp;""," "," "))))&lt;&gt;""))=INT($AO185/100))))</f>
        <v/>
      </c>
      <c r="AQ185" s="13">
        <f>IF($A185="",0,IFERROR(MATCH($AL185,det_Key,0),0))</f>
        <v/>
      </c>
    </row>
    <row r="186">
      <c r="A186" s="10">
        <f>IF(TRIM(CLEAN(SUBSTITUTE(Items!A186&amp;""," "," ")))="","",TRIM(CLEAN(SUBSTITUTE(Items!A186&amp;""," "," "))))</f>
        <v/>
      </c>
      <c r="B186" s="10">
        <f>IF($A186="","",Items!B186&amp;"")</f>
        <v/>
      </c>
      <c r="C186" s="10">
        <f>IF($A186="","",SUBSTITUTE(SUBSTITUTE(SUBSTITUTE(SUBSTITUTE(CLEAN(Items!D186&amp;"")," ",""),".","")," ",""),"-",""))</f>
        <v/>
      </c>
      <c r="D186" s="10">
        <f>IF($A186="","",LEFT($C186,2))</f>
        <v/>
      </c>
      <c r="E186" s="10">
        <f>IF($A186="","",UPPER(TRIM(CLEAN(SUBSTITUTE(Items!E186&amp;""," "," ")))))</f>
        <v/>
      </c>
      <c r="F186" s="10">
        <f>IF($A186="","",IF(UPPER(TRIM(CLEAN(SUBSTITUTE(Items!C186&amp;""," "," "))))=UPPER(TRIM(CLEAN(SUBSTITUTE(act_Country&amp;""," "," ")))),"Y","N"))</f>
        <v/>
      </c>
      <c r="G186" s="10">
        <f>IF($A186="","",IF($AM186&gt;0,"Y","N"))</f>
        <v/>
      </c>
      <c r="H186" s="10">
        <f>IF($A186="","",IF(SUMPRODUCT((excl_HTS&lt;&gt;"")*(LEFT($C186,LEN(excl_HTS))=excl_HTS))&gt;0,"Y","N"))</f>
        <v/>
      </c>
      <c r="I186" s="10">
        <f>IF($A186="","",IF($E186="","N",IF(SUMPRODUCT(--(UPPER(TRIM(CLEAN(SUBSTITUTE(scope_COO&amp;""," "," "))))=$E186))&gt;0,"Y","N")))</f>
        <v/>
      </c>
      <c r="J186" s="10">
        <f>IF($A186="","",IF(AND(UPPER(TRIM(CLEAN(SUBSTITUTE(act_USMCAExempt&amp;""," "," "))))="Y",UPPER(TRIM(CLEAN(SUBSTITUTE(Items!F186&amp;""," "," "))))="Y"),"Y","N"))</f>
        <v/>
      </c>
      <c r="K186" s="10">
        <f>IF($A186="","",IF($AQ186=0,"",UPPER(TRIM(CLEAN(SUBSTITUTE(INDEX(det_Status,$AQ186)&amp;""," "," "))))))</f>
        <v/>
      </c>
      <c r="L186" s="10">
        <f>IF($A186="","",IF($F186="N","N",IF($K186="IN","Y",IF($K186="OUT","N",IF(AND($G186="Y",$H186="N",$I186="Y",$J186="N"),"Y","N")))))</f>
        <v/>
      </c>
      <c r="M186" s="10">
        <f>IF($A186="","",IF($F186="N","Out: different import country",IF($K186="IN","In: Research determination",IF($K186="OUT","Out: Research determination",IF($G186="N","Out: HTS not on scope list",IF($H186="Y","Out: HTS on exclusion list",IF($I186="N","Out: origin not on scope list",IF($J186="Y","Out: USMCA-qualifying, exempt","In: matches scope rules"))))))))</f>
        <v/>
      </c>
      <c r="N186" s="10">
        <f>IF(OR($A186="",$AM186=0),"",UPPER(TRIM(CLEAN(SUBSTITUTE(INDEX(scope_Group,MOD($AM186,1000))&amp;""," "," ")))))</f>
        <v/>
      </c>
      <c r="O186" s="10">
        <f>IF($L186&lt;&gt;"Y","",IF($AO186=0,"Default (B15)",UPPER(TRIM(CLEAN(SUBSTITUTE(INDEX(rate_ID,MOD($AO186,100))&amp;""," "," "))))))</f>
        <v/>
      </c>
      <c r="P186" s="10">
        <f>IF($L186&lt;&gt;"Y","",IF($AO186=0,IF(UPPER(TRIM(CLEAN(SUBSTITUTE(act_DefaultBase&amp;""," "," "))))="PART","PART","FULL"),IF(UPPER(TRIM(CLEAN(SUBSTITUTE(INDEX(rate_Base,MOD($AO186,100))&amp;""," "," "))))="PART","PART","FULL")))</f>
        <v/>
      </c>
      <c r="Q186" s="17">
        <f>IF($A186="","",N(Items!J186))</f>
        <v/>
      </c>
      <c r="R186" s="17">
        <f>IF($A186="","",IF($L186&lt;&gt;"Y",0,IF($AO186=0,N(act_Rate),N(INDEX(rate_Rate,MOD($AO186,100))))))</f>
        <v/>
      </c>
      <c r="S186" s="17">
        <f>IF($A186="","",IF($L186&lt;&gt;"Y",0,IF($AO186=0,IF(UPPER(TRIM(CLEAN(SUBSTITUTE(act_RateType&amp;""," "," "))))="REPLACE",N(act_PriorRate),0),IF(ISNUMBER(INDEX(rate_Prior,MOD($AO186,100))),INDEX(rate_Prior,MOD($AO186,100)),IF(UPPER(TRIM(CLEAN(SUBSTITUTE(act_RateType&amp;""," "," "))))="REPLACE",N(act_PriorRate),0)))))</f>
        <v/>
      </c>
      <c r="T186" s="17">
        <f>IF($A186="","",IF(AND($L186="Y",$P186="PART",ISNUMBER(Items!M186)),Items!M186,1))</f>
        <v/>
      </c>
      <c r="U186" s="17">
        <f>IF($A186="","",IF($L186&lt;&gt;"Y",0,IF($AQ186&gt;0,IF(ISNUMBER(INDEX(det_Displaced,$AQ186)),INDEX(det_Displaced,$AQ186),IF($AO186=0,0,N(INDEX(rate_Displaced,MOD($AO186,100))))),IF($AO186=0,0,N(INDEX(rate_Displaced,MOD($AO186,100)))))))</f>
        <v/>
      </c>
      <c r="V186" s="17">
        <f>IF($A186="","",IF($L186="Y",$Q186+$T186*($R186-$S186)-$U186,$Q186))</f>
        <v/>
      </c>
      <c r="W186" s="18">
        <f>IF($A186="","",N(Items!H186)*$Q186)</f>
        <v/>
      </c>
      <c r="X186" s="18">
        <f>IF($A186="","",N(Items!H186)*$V186)</f>
        <v/>
      </c>
      <c r="Y186" s="18">
        <f>IF($A186="","",$X186-$W186)</f>
        <v/>
      </c>
      <c r="Z186" s="18">
        <f>IF($A186="","",N(Items!K186)+$Y186)</f>
        <v/>
      </c>
      <c r="AA186" s="17">
        <f>IF($A186="","",IF(N(Items!L186)=0,"",(N(Items!L186)-N(Items!K186))/N(Items!L186)))</f>
        <v/>
      </c>
      <c r="AB186" s="17">
        <f>IF($A186="","",IF(N(Items!L186)=0,"",(N(Items!L186)-$Z186)/N(Items!L186)))</f>
        <v/>
      </c>
      <c r="AC186" s="17">
        <f>IF(OR($AA186="",$AB186=""),"",$AB186-$AA186)</f>
        <v/>
      </c>
      <c r="AD186" s="13">
        <f>IF($A186="","",N(Items!I186))</f>
        <v/>
      </c>
      <c r="AE186" s="19">
        <f>IF($A186="","",$Y186*$AD186)</f>
        <v/>
      </c>
      <c r="AF186" s="10">
        <f>IF($A186="","",IF(N(Items!L186)&gt;0,"Y","N"))</f>
        <v/>
      </c>
      <c r="AG186" s="19">
        <f>IF($A186="","",IF($AF186="Y",N(Items!L186)*$AD186,0))</f>
        <v/>
      </c>
      <c r="AH186" s="19">
        <f>IF($A186="","",IF($AF186="Y",(N(Items!L186)-N(Items!K186))*$AD186,0))</f>
        <v/>
      </c>
      <c r="AI186" s="19">
        <f>IF($A186="","",IF($AF186="Y",$AH186-$AE186,0))</f>
        <v/>
      </c>
      <c r="AJ186" s="10">
        <f>IF($A186="","",IF(COUNTIF($AL$5:$AL$254,$AL186)&gt;1,"CHECK: duplicate item and import country",IF(TRIM(CLEAN(SUBSTITUTE(Items!C186&amp;""," "," ")))="","CHECK: import country missing",IF(AND(UPPER(TRIM(CLEAN(SUBSTITUTE(Items!C186&amp;""," "," "))))&lt;&gt;"US",UPPER(TRIM(CLEAN(SUBSTITUTE(Items!C186&amp;""," "," "))))&lt;&gt;"CA",UPPER(TRIM(CLEAN(SUBSTITUTE(Items!C186&amp;""," "," "))))&lt;&gt;"MX"),"CHECK: import country must be US, CA or MX",IF(NOT(AND(LEN($C186)=10,IFERROR(TEXT(VALUE($C186),REPT("0",LEN($C186)))=$C186,FALSE))),"CHECK: HTS must be 10 digits",IF(LEN($E186)&lt;&gt;2,"CHECK: origin code missing or not 2 letters",IF(TRIM(CLEAN(SUBSTITUTE(Items!G186&amp;""," "," ")))="","CHECK: unit of measure missing",IF(OR(Items!H186="",Items!J186="",Items!K186=""),"CHECK: value, rate or cost missing",IF(OR(NOT(ISNUMBER(Items!H186)),NOT(ISNUMBER(Items!J186)),NOT(ISNUMBER(Items!K186)),AND(Items!I186&lt;&gt;"",NOT(ISNUMBER(Items!I186))),AND(Items!L186&lt;&gt;"",NOT(ISNUMBER(Items!L186))),AND(Items!M186&lt;&gt;"",NOT(ISNUMBER(Items!M186)))),"CHECK: text in a number column",IF(AND(ISNUMBER(Items!M186),OR(N(Items!M186)&lt;0,N(Items!M186)&gt;1)),"CHECK: dutiable share must be 0% to 100%",IF(AND(UPPER(TRIM(CLEAN(SUBSTITUTE(Items!F186&amp;""," "," "))))&lt;&gt;"",UPPER(TRIM(CLEAN(SUBSTITUTE(Items!F186&amp;""," "," "))))&lt;&gt;"Y",UPPER(TRIM(CLEAN(SUBSTITUTE(Items!F186&amp;""," "," "))))&lt;&gt;"N"),"CHECK: USMCA flag must be Y, N or blank",IF(AND(UPPER(TRIM(CLEAN(SUBSTITUTE(Items!F186&amp;""," "," "))))="Y",$E186&lt;&gt;"US",$E186&lt;&gt;"CA",$E186&lt;&gt;"MX"),"CHECK: USMCA flag on an origin other than US, CA or MX",IF(AND($L186="Y",$AO186=0,NOT(ISNUMBER(act_Rate))),"CHECK: in scope but no rate (add a rate line or B15)",IF(AND($L186="Y",UPPER(TRIM(CLEAN(SUBSTITUTE(act_RateType&amp;""," "," "))))="REPLACE",NOT(ISNUMBER(act_PriorRate)),IF($AO186=0,TRUE,NOT(ISNUMBER(INDEX(rate_Prior,MOD($AO186,100)))))),"CHECK: REPLACE but no earlier rate (B17 or the rate line's AD)",IF(AND($L186="Y",$AP186&gt;1),"CHECK: two rate lines match equally",IF(AND($L186="Y",$AN186&gt;1),"CHECK: HTS prefix listed twice on the scope list",IF(AND($L186="Y",$P186="PART",NOT(ISNUMBER(Items!M186))),"CHECK: dutiable share missing (PART base)",IF(AND($L186="Y",$P186="FULL",ISNUMBER(Items!M186),N(Items!M186)&lt;&gt;1),"CHECK: dutiable share entered, but the rate taxes the full value",IF(AND($L186="Y",$Q186+0.0000001&lt;$T186*$S186+$U186),"CHECK: current rate is below the duty being replaced or displaced",IF(AND($L186="Y",$AD186=0),"NOTE: in scope, no quantity",IF(AND($L186="Y",$AF186="N"),"NOTE: in scope, no sell price (left out of margin %)",IF(AND($L186="Y",N(Items!H186)&gt;N(Items!K186)),"NOTE: customs value above standard cost (check unit of measure)",IF(AND($L186="Y",$Q186&gt;1),"NOTE: current rate above 100% (check it was entered as a percentage)","OK")))))))))))))))))))))))</f>
        <v/>
      </c>
      <c r="AK186" s="20">
        <f>IF($A186="","",IF(AND($L186="Y",$AE186&lt;&gt;0),ABS($AE186)+ROW()/1000000000,""))</f>
        <v/>
      </c>
      <c r="AL186" s="10">
        <f>IF($A186="","",UPPER($A186)&amp;"/"&amp;UPPER(TRIM(CLEAN(SUBSTITUTE(Items!C186&amp;""," "," ")))))</f>
        <v/>
      </c>
      <c r="AM186" s="13">
        <f>IF($A186="",0,SUMPRODUCT(MAX((scope_HTS&lt;&gt;"")*(LEFT($C186,LEN(scope_HTS))=scope_HTS)*(LEN(scope_HTS)*1000+ROW(scope_HTS)-4))))</f>
        <v/>
      </c>
      <c r="AN186" s="13">
        <f>IF($AM186=0,0,SUMPRODUCT((scope_HTS&lt;&gt;"")*(LEFT($C186,LEN(scope_HTS))=scope_HTS)*(LEN(scope_HTS)=INT($AM186/1000))))</f>
        <v/>
      </c>
      <c r="AO186" s="13">
        <f>IF($L186&lt;&gt;"Y",0,SUMPRODUCT(MAX(ISNUMBER(rate_Rate)*((UPPER(TRIM(CLEAN(SUBSTITUTE(rate_Group&amp;""," "," "))))="")+(UPPER(TRIM(CLEAN(SUBSTITUTE(rate_Group&amp;""," "," "))))=$N186)&gt;0)*((UPPER(TRIM(CLEAN(SUBSTITUTE(rate_COO&amp;""," "," "))))="")+(UPPER(TRIM(CLEAN(SUBSTITUTE(rate_COO&amp;""," "," "))))=$E186)&gt;0)*((UPPER(TRIM(CLEAN(SUBSTITUTE(rate_USMCA&amp;""," "," "))))="")+(UPPER(TRIM(CLEAN(SUBSTITUTE(rate_USMCA&amp;""," "," "))))=IF(UPPER(TRIM(CLEAN(SUBSTITUTE(Items!F186&amp;""," "," "))))="Y","Y","N"))&gt;0)*((1+(UPPER(TRIM(CLEAN(SUBSTITUTE(rate_Group&amp;""," "," "))))&lt;&gt;"")+2*(UPPER(TRIM(CLEAN(SUBSTITUTE(rate_USMCA&amp;""," "," "))))&lt;&gt;"")+4*(UPPER(TRIM(CLEAN(SUBSTITUTE(rate_COO&amp;""," "," "))))&lt;&gt;""))*100+ROW(rate_Rate)-4))))</f>
        <v/>
      </c>
      <c r="AP186" s="13">
        <f>IF($AO186=0,0,SUMPRODUCT(ISNUMBER(rate_Rate)*((UPPER(TRIM(CLEAN(SUBSTITUTE(rate_Group&amp;""," "," "))))="")+(UPPER(TRIM(CLEAN(SUBSTITUTE(rate_Group&amp;""," "," "))))=$N186)&gt;0)*((UPPER(TRIM(CLEAN(SUBSTITUTE(rate_COO&amp;""," "," "))))="")+(UPPER(TRIM(CLEAN(SUBSTITUTE(rate_COO&amp;""," "," "))))=$E186)&gt;0)*((UPPER(TRIM(CLEAN(SUBSTITUTE(rate_USMCA&amp;""," "," "))))="")+(UPPER(TRIM(CLEAN(SUBSTITUTE(rate_USMCA&amp;""," "," "))))=IF(UPPER(TRIM(CLEAN(SUBSTITUTE(Items!F186&amp;""," "," "))))="Y","Y","N"))&gt;0)*((1+(UPPER(TRIM(CLEAN(SUBSTITUTE(rate_Group&amp;""," "," "))))&lt;&gt;"")+2*(UPPER(TRIM(CLEAN(SUBSTITUTE(rate_USMCA&amp;""," "," "))))&lt;&gt;"")+4*(UPPER(TRIM(CLEAN(SUBSTITUTE(rate_COO&amp;""," "," "))))&lt;&gt;""))=INT($AO186/100))))</f>
        <v/>
      </c>
      <c r="AQ186" s="13">
        <f>IF($A186="",0,IFERROR(MATCH($AL186,det_Key,0),0))</f>
        <v/>
      </c>
    </row>
    <row r="187">
      <c r="A187" s="10">
        <f>IF(TRIM(CLEAN(SUBSTITUTE(Items!A187&amp;""," "," ")))="","",TRIM(CLEAN(SUBSTITUTE(Items!A187&amp;""," "," "))))</f>
        <v/>
      </c>
      <c r="B187" s="10">
        <f>IF($A187="","",Items!B187&amp;"")</f>
        <v/>
      </c>
      <c r="C187" s="10">
        <f>IF($A187="","",SUBSTITUTE(SUBSTITUTE(SUBSTITUTE(SUBSTITUTE(CLEAN(Items!D187&amp;"")," ",""),".","")," ",""),"-",""))</f>
        <v/>
      </c>
      <c r="D187" s="10">
        <f>IF($A187="","",LEFT($C187,2))</f>
        <v/>
      </c>
      <c r="E187" s="10">
        <f>IF($A187="","",UPPER(TRIM(CLEAN(SUBSTITUTE(Items!E187&amp;""," "," ")))))</f>
        <v/>
      </c>
      <c r="F187" s="10">
        <f>IF($A187="","",IF(UPPER(TRIM(CLEAN(SUBSTITUTE(Items!C187&amp;""," "," "))))=UPPER(TRIM(CLEAN(SUBSTITUTE(act_Country&amp;""," "," ")))),"Y","N"))</f>
        <v/>
      </c>
      <c r="G187" s="10">
        <f>IF($A187="","",IF($AM187&gt;0,"Y","N"))</f>
        <v/>
      </c>
      <c r="H187" s="10">
        <f>IF($A187="","",IF(SUMPRODUCT((excl_HTS&lt;&gt;"")*(LEFT($C187,LEN(excl_HTS))=excl_HTS))&gt;0,"Y","N"))</f>
        <v/>
      </c>
      <c r="I187" s="10">
        <f>IF($A187="","",IF($E187="","N",IF(SUMPRODUCT(--(UPPER(TRIM(CLEAN(SUBSTITUTE(scope_COO&amp;""," "," "))))=$E187))&gt;0,"Y","N")))</f>
        <v/>
      </c>
      <c r="J187" s="10">
        <f>IF($A187="","",IF(AND(UPPER(TRIM(CLEAN(SUBSTITUTE(act_USMCAExempt&amp;""," "," "))))="Y",UPPER(TRIM(CLEAN(SUBSTITUTE(Items!F187&amp;""," "," "))))="Y"),"Y","N"))</f>
        <v/>
      </c>
      <c r="K187" s="10">
        <f>IF($A187="","",IF($AQ187=0,"",UPPER(TRIM(CLEAN(SUBSTITUTE(INDEX(det_Status,$AQ187)&amp;""," "," "))))))</f>
        <v/>
      </c>
      <c r="L187" s="10">
        <f>IF($A187="","",IF($F187="N","N",IF($K187="IN","Y",IF($K187="OUT","N",IF(AND($G187="Y",$H187="N",$I187="Y",$J187="N"),"Y","N")))))</f>
        <v/>
      </c>
      <c r="M187" s="10">
        <f>IF($A187="","",IF($F187="N","Out: different import country",IF($K187="IN","In: Research determination",IF($K187="OUT","Out: Research determination",IF($G187="N","Out: HTS not on scope list",IF($H187="Y","Out: HTS on exclusion list",IF($I187="N","Out: origin not on scope list",IF($J187="Y","Out: USMCA-qualifying, exempt","In: matches scope rules"))))))))</f>
        <v/>
      </c>
      <c r="N187" s="10">
        <f>IF(OR($A187="",$AM187=0),"",UPPER(TRIM(CLEAN(SUBSTITUTE(INDEX(scope_Group,MOD($AM187,1000))&amp;""," "," ")))))</f>
        <v/>
      </c>
      <c r="O187" s="10">
        <f>IF($L187&lt;&gt;"Y","",IF($AO187=0,"Default (B15)",UPPER(TRIM(CLEAN(SUBSTITUTE(INDEX(rate_ID,MOD($AO187,100))&amp;""," "," "))))))</f>
        <v/>
      </c>
      <c r="P187" s="10">
        <f>IF($L187&lt;&gt;"Y","",IF($AO187=0,IF(UPPER(TRIM(CLEAN(SUBSTITUTE(act_DefaultBase&amp;""," "," "))))="PART","PART","FULL"),IF(UPPER(TRIM(CLEAN(SUBSTITUTE(INDEX(rate_Base,MOD($AO187,100))&amp;""," "," "))))="PART","PART","FULL")))</f>
        <v/>
      </c>
      <c r="Q187" s="17">
        <f>IF($A187="","",N(Items!J187))</f>
        <v/>
      </c>
      <c r="R187" s="17">
        <f>IF($A187="","",IF($L187&lt;&gt;"Y",0,IF($AO187=0,N(act_Rate),N(INDEX(rate_Rate,MOD($AO187,100))))))</f>
        <v/>
      </c>
      <c r="S187" s="17">
        <f>IF($A187="","",IF($L187&lt;&gt;"Y",0,IF($AO187=0,IF(UPPER(TRIM(CLEAN(SUBSTITUTE(act_RateType&amp;""," "," "))))="REPLACE",N(act_PriorRate),0),IF(ISNUMBER(INDEX(rate_Prior,MOD($AO187,100))),INDEX(rate_Prior,MOD($AO187,100)),IF(UPPER(TRIM(CLEAN(SUBSTITUTE(act_RateType&amp;""," "," "))))="REPLACE",N(act_PriorRate),0)))))</f>
        <v/>
      </c>
      <c r="T187" s="17">
        <f>IF($A187="","",IF(AND($L187="Y",$P187="PART",ISNUMBER(Items!M187)),Items!M187,1))</f>
        <v/>
      </c>
      <c r="U187" s="17">
        <f>IF($A187="","",IF($L187&lt;&gt;"Y",0,IF($AQ187&gt;0,IF(ISNUMBER(INDEX(det_Displaced,$AQ187)),INDEX(det_Displaced,$AQ187),IF($AO187=0,0,N(INDEX(rate_Displaced,MOD($AO187,100))))),IF($AO187=0,0,N(INDEX(rate_Displaced,MOD($AO187,100)))))))</f>
        <v/>
      </c>
      <c r="V187" s="17">
        <f>IF($A187="","",IF($L187="Y",$Q187+$T187*($R187-$S187)-$U187,$Q187))</f>
        <v/>
      </c>
      <c r="W187" s="18">
        <f>IF($A187="","",N(Items!H187)*$Q187)</f>
        <v/>
      </c>
      <c r="X187" s="18">
        <f>IF($A187="","",N(Items!H187)*$V187)</f>
        <v/>
      </c>
      <c r="Y187" s="18">
        <f>IF($A187="","",$X187-$W187)</f>
        <v/>
      </c>
      <c r="Z187" s="18">
        <f>IF($A187="","",N(Items!K187)+$Y187)</f>
        <v/>
      </c>
      <c r="AA187" s="17">
        <f>IF($A187="","",IF(N(Items!L187)=0,"",(N(Items!L187)-N(Items!K187))/N(Items!L187)))</f>
        <v/>
      </c>
      <c r="AB187" s="17">
        <f>IF($A187="","",IF(N(Items!L187)=0,"",(N(Items!L187)-$Z187)/N(Items!L187)))</f>
        <v/>
      </c>
      <c r="AC187" s="17">
        <f>IF(OR($AA187="",$AB187=""),"",$AB187-$AA187)</f>
        <v/>
      </c>
      <c r="AD187" s="13">
        <f>IF($A187="","",N(Items!I187))</f>
        <v/>
      </c>
      <c r="AE187" s="19">
        <f>IF($A187="","",$Y187*$AD187)</f>
        <v/>
      </c>
      <c r="AF187" s="10">
        <f>IF($A187="","",IF(N(Items!L187)&gt;0,"Y","N"))</f>
        <v/>
      </c>
      <c r="AG187" s="19">
        <f>IF($A187="","",IF($AF187="Y",N(Items!L187)*$AD187,0))</f>
        <v/>
      </c>
      <c r="AH187" s="19">
        <f>IF($A187="","",IF($AF187="Y",(N(Items!L187)-N(Items!K187))*$AD187,0))</f>
        <v/>
      </c>
      <c r="AI187" s="19">
        <f>IF($A187="","",IF($AF187="Y",$AH187-$AE187,0))</f>
        <v/>
      </c>
      <c r="AJ187" s="10">
        <f>IF($A187="","",IF(COUNTIF($AL$5:$AL$254,$AL187)&gt;1,"CHECK: duplicate item and import country",IF(TRIM(CLEAN(SUBSTITUTE(Items!C187&amp;""," "," ")))="","CHECK: import country missing",IF(AND(UPPER(TRIM(CLEAN(SUBSTITUTE(Items!C187&amp;""," "," "))))&lt;&gt;"US",UPPER(TRIM(CLEAN(SUBSTITUTE(Items!C187&amp;""," "," "))))&lt;&gt;"CA",UPPER(TRIM(CLEAN(SUBSTITUTE(Items!C187&amp;""," "," "))))&lt;&gt;"MX"),"CHECK: import country must be US, CA or MX",IF(NOT(AND(LEN($C187)=10,IFERROR(TEXT(VALUE($C187),REPT("0",LEN($C187)))=$C187,FALSE))),"CHECK: HTS must be 10 digits",IF(LEN($E187)&lt;&gt;2,"CHECK: origin code missing or not 2 letters",IF(TRIM(CLEAN(SUBSTITUTE(Items!G187&amp;""," "," ")))="","CHECK: unit of measure missing",IF(OR(Items!H187="",Items!J187="",Items!K187=""),"CHECK: value, rate or cost missing",IF(OR(NOT(ISNUMBER(Items!H187)),NOT(ISNUMBER(Items!J187)),NOT(ISNUMBER(Items!K187)),AND(Items!I187&lt;&gt;"",NOT(ISNUMBER(Items!I187))),AND(Items!L187&lt;&gt;"",NOT(ISNUMBER(Items!L187))),AND(Items!M187&lt;&gt;"",NOT(ISNUMBER(Items!M187)))),"CHECK: text in a number column",IF(AND(ISNUMBER(Items!M187),OR(N(Items!M187)&lt;0,N(Items!M187)&gt;1)),"CHECK: dutiable share must be 0% to 100%",IF(AND(UPPER(TRIM(CLEAN(SUBSTITUTE(Items!F187&amp;""," "," "))))&lt;&gt;"",UPPER(TRIM(CLEAN(SUBSTITUTE(Items!F187&amp;""," "," "))))&lt;&gt;"Y",UPPER(TRIM(CLEAN(SUBSTITUTE(Items!F187&amp;""," "," "))))&lt;&gt;"N"),"CHECK: USMCA flag must be Y, N or blank",IF(AND(UPPER(TRIM(CLEAN(SUBSTITUTE(Items!F187&amp;""," "," "))))="Y",$E187&lt;&gt;"US",$E187&lt;&gt;"CA",$E187&lt;&gt;"MX"),"CHECK: USMCA flag on an origin other than US, CA or MX",IF(AND($L187="Y",$AO187=0,NOT(ISNUMBER(act_Rate))),"CHECK: in scope but no rate (add a rate line or B15)",IF(AND($L187="Y",UPPER(TRIM(CLEAN(SUBSTITUTE(act_RateType&amp;""," "," "))))="REPLACE",NOT(ISNUMBER(act_PriorRate)),IF($AO187=0,TRUE,NOT(ISNUMBER(INDEX(rate_Prior,MOD($AO187,100)))))),"CHECK: REPLACE but no earlier rate (B17 or the rate line's AD)",IF(AND($L187="Y",$AP187&gt;1),"CHECK: two rate lines match equally",IF(AND($L187="Y",$AN187&gt;1),"CHECK: HTS prefix listed twice on the scope list",IF(AND($L187="Y",$P187="PART",NOT(ISNUMBER(Items!M187))),"CHECK: dutiable share missing (PART base)",IF(AND($L187="Y",$P187="FULL",ISNUMBER(Items!M187),N(Items!M187)&lt;&gt;1),"CHECK: dutiable share entered, but the rate taxes the full value",IF(AND($L187="Y",$Q187+0.0000001&lt;$T187*$S187+$U187),"CHECK: current rate is below the duty being replaced or displaced",IF(AND($L187="Y",$AD187=0),"NOTE: in scope, no quantity",IF(AND($L187="Y",$AF187="N"),"NOTE: in scope, no sell price (left out of margin %)",IF(AND($L187="Y",N(Items!H187)&gt;N(Items!K187)),"NOTE: customs value above standard cost (check unit of measure)",IF(AND($L187="Y",$Q187&gt;1),"NOTE: current rate above 100% (check it was entered as a percentage)","OK")))))))))))))))))))))))</f>
        <v/>
      </c>
      <c r="AK187" s="20">
        <f>IF($A187="","",IF(AND($L187="Y",$AE187&lt;&gt;0),ABS($AE187)+ROW()/1000000000,""))</f>
        <v/>
      </c>
      <c r="AL187" s="10">
        <f>IF($A187="","",UPPER($A187)&amp;"/"&amp;UPPER(TRIM(CLEAN(SUBSTITUTE(Items!C187&amp;""," "," ")))))</f>
        <v/>
      </c>
      <c r="AM187" s="13">
        <f>IF($A187="",0,SUMPRODUCT(MAX((scope_HTS&lt;&gt;"")*(LEFT($C187,LEN(scope_HTS))=scope_HTS)*(LEN(scope_HTS)*1000+ROW(scope_HTS)-4))))</f>
        <v/>
      </c>
      <c r="AN187" s="13">
        <f>IF($AM187=0,0,SUMPRODUCT((scope_HTS&lt;&gt;"")*(LEFT($C187,LEN(scope_HTS))=scope_HTS)*(LEN(scope_HTS)=INT($AM187/1000))))</f>
        <v/>
      </c>
      <c r="AO187" s="13">
        <f>IF($L187&lt;&gt;"Y",0,SUMPRODUCT(MAX(ISNUMBER(rate_Rate)*((UPPER(TRIM(CLEAN(SUBSTITUTE(rate_Group&amp;""," "," "))))="")+(UPPER(TRIM(CLEAN(SUBSTITUTE(rate_Group&amp;""," "," "))))=$N187)&gt;0)*((UPPER(TRIM(CLEAN(SUBSTITUTE(rate_COO&amp;""," "," "))))="")+(UPPER(TRIM(CLEAN(SUBSTITUTE(rate_COO&amp;""," "," "))))=$E187)&gt;0)*((UPPER(TRIM(CLEAN(SUBSTITUTE(rate_USMCA&amp;""," "," "))))="")+(UPPER(TRIM(CLEAN(SUBSTITUTE(rate_USMCA&amp;""," "," "))))=IF(UPPER(TRIM(CLEAN(SUBSTITUTE(Items!F187&amp;""," "," "))))="Y","Y","N"))&gt;0)*((1+(UPPER(TRIM(CLEAN(SUBSTITUTE(rate_Group&amp;""," "," "))))&lt;&gt;"")+2*(UPPER(TRIM(CLEAN(SUBSTITUTE(rate_USMCA&amp;""," "," "))))&lt;&gt;"")+4*(UPPER(TRIM(CLEAN(SUBSTITUTE(rate_COO&amp;""," "," "))))&lt;&gt;""))*100+ROW(rate_Rate)-4))))</f>
        <v/>
      </c>
      <c r="AP187" s="13">
        <f>IF($AO187=0,0,SUMPRODUCT(ISNUMBER(rate_Rate)*((UPPER(TRIM(CLEAN(SUBSTITUTE(rate_Group&amp;""," "," "))))="")+(UPPER(TRIM(CLEAN(SUBSTITUTE(rate_Group&amp;""," "," "))))=$N187)&gt;0)*((UPPER(TRIM(CLEAN(SUBSTITUTE(rate_COO&amp;""," "," "))))="")+(UPPER(TRIM(CLEAN(SUBSTITUTE(rate_COO&amp;""," "," "))))=$E187)&gt;0)*((UPPER(TRIM(CLEAN(SUBSTITUTE(rate_USMCA&amp;""," "," "))))="")+(UPPER(TRIM(CLEAN(SUBSTITUTE(rate_USMCA&amp;""," "," "))))=IF(UPPER(TRIM(CLEAN(SUBSTITUTE(Items!F187&amp;""," "," "))))="Y","Y","N"))&gt;0)*((1+(UPPER(TRIM(CLEAN(SUBSTITUTE(rate_Group&amp;""," "," "))))&lt;&gt;"")+2*(UPPER(TRIM(CLEAN(SUBSTITUTE(rate_USMCA&amp;""," "," "))))&lt;&gt;"")+4*(UPPER(TRIM(CLEAN(SUBSTITUTE(rate_COO&amp;""," "," "))))&lt;&gt;""))=INT($AO187/100))))</f>
        <v/>
      </c>
      <c r="AQ187" s="13">
        <f>IF($A187="",0,IFERROR(MATCH($AL187,det_Key,0),0))</f>
        <v/>
      </c>
    </row>
    <row r="188">
      <c r="A188" s="10">
        <f>IF(TRIM(CLEAN(SUBSTITUTE(Items!A188&amp;""," "," ")))="","",TRIM(CLEAN(SUBSTITUTE(Items!A188&amp;""," "," "))))</f>
        <v/>
      </c>
      <c r="B188" s="10">
        <f>IF($A188="","",Items!B188&amp;"")</f>
        <v/>
      </c>
      <c r="C188" s="10">
        <f>IF($A188="","",SUBSTITUTE(SUBSTITUTE(SUBSTITUTE(SUBSTITUTE(CLEAN(Items!D188&amp;"")," ",""),".","")," ",""),"-",""))</f>
        <v/>
      </c>
      <c r="D188" s="10">
        <f>IF($A188="","",LEFT($C188,2))</f>
        <v/>
      </c>
      <c r="E188" s="10">
        <f>IF($A188="","",UPPER(TRIM(CLEAN(SUBSTITUTE(Items!E188&amp;""," "," ")))))</f>
        <v/>
      </c>
      <c r="F188" s="10">
        <f>IF($A188="","",IF(UPPER(TRIM(CLEAN(SUBSTITUTE(Items!C188&amp;""," "," "))))=UPPER(TRIM(CLEAN(SUBSTITUTE(act_Country&amp;""," "," ")))),"Y","N"))</f>
        <v/>
      </c>
      <c r="G188" s="10">
        <f>IF($A188="","",IF($AM188&gt;0,"Y","N"))</f>
        <v/>
      </c>
      <c r="H188" s="10">
        <f>IF($A188="","",IF(SUMPRODUCT((excl_HTS&lt;&gt;"")*(LEFT($C188,LEN(excl_HTS))=excl_HTS))&gt;0,"Y","N"))</f>
        <v/>
      </c>
      <c r="I188" s="10">
        <f>IF($A188="","",IF($E188="","N",IF(SUMPRODUCT(--(UPPER(TRIM(CLEAN(SUBSTITUTE(scope_COO&amp;""," "," "))))=$E188))&gt;0,"Y","N")))</f>
        <v/>
      </c>
      <c r="J188" s="10">
        <f>IF($A188="","",IF(AND(UPPER(TRIM(CLEAN(SUBSTITUTE(act_USMCAExempt&amp;""," "," "))))="Y",UPPER(TRIM(CLEAN(SUBSTITUTE(Items!F188&amp;""," "," "))))="Y"),"Y","N"))</f>
        <v/>
      </c>
      <c r="K188" s="10">
        <f>IF($A188="","",IF($AQ188=0,"",UPPER(TRIM(CLEAN(SUBSTITUTE(INDEX(det_Status,$AQ188)&amp;""," "," "))))))</f>
        <v/>
      </c>
      <c r="L188" s="10">
        <f>IF($A188="","",IF($F188="N","N",IF($K188="IN","Y",IF($K188="OUT","N",IF(AND($G188="Y",$H188="N",$I188="Y",$J188="N"),"Y","N")))))</f>
        <v/>
      </c>
      <c r="M188" s="10">
        <f>IF($A188="","",IF($F188="N","Out: different import country",IF($K188="IN","In: Research determination",IF($K188="OUT","Out: Research determination",IF($G188="N","Out: HTS not on scope list",IF($H188="Y","Out: HTS on exclusion list",IF($I188="N","Out: origin not on scope list",IF($J188="Y","Out: USMCA-qualifying, exempt","In: matches scope rules"))))))))</f>
        <v/>
      </c>
      <c r="N188" s="10">
        <f>IF(OR($A188="",$AM188=0),"",UPPER(TRIM(CLEAN(SUBSTITUTE(INDEX(scope_Group,MOD($AM188,1000))&amp;""," "," ")))))</f>
        <v/>
      </c>
      <c r="O188" s="10">
        <f>IF($L188&lt;&gt;"Y","",IF($AO188=0,"Default (B15)",UPPER(TRIM(CLEAN(SUBSTITUTE(INDEX(rate_ID,MOD($AO188,100))&amp;""," "," "))))))</f>
        <v/>
      </c>
      <c r="P188" s="10">
        <f>IF($L188&lt;&gt;"Y","",IF($AO188=0,IF(UPPER(TRIM(CLEAN(SUBSTITUTE(act_DefaultBase&amp;""," "," "))))="PART","PART","FULL"),IF(UPPER(TRIM(CLEAN(SUBSTITUTE(INDEX(rate_Base,MOD($AO188,100))&amp;""," "," "))))="PART","PART","FULL")))</f>
        <v/>
      </c>
      <c r="Q188" s="17">
        <f>IF($A188="","",N(Items!J188))</f>
        <v/>
      </c>
      <c r="R188" s="17">
        <f>IF($A188="","",IF($L188&lt;&gt;"Y",0,IF($AO188=0,N(act_Rate),N(INDEX(rate_Rate,MOD($AO188,100))))))</f>
        <v/>
      </c>
      <c r="S188" s="17">
        <f>IF($A188="","",IF($L188&lt;&gt;"Y",0,IF($AO188=0,IF(UPPER(TRIM(CLEAN(SUBSTITUTE(act_RateType&amp;""," "," "))))="REPLACE",N(act_PriorRate),0),IF(ISNUMBER(INDEX(rate_Prior,MOD($AO188,100))),INDEX(rate_Prior,MOD($AO188,100)),IF(UPPER(TRIM(CLEAN(SUBSTITUTE(act_RateType&amp;""," "," "))))="REPLACE",N(act_PriorRate),0)))))</f>
        <v/>
      </c>
      <c r="T188" s="17">
        <f>IF($A188="","",IF(AND($L188="Y",$P188="PART",ISNUMBER(Items!M188)),Items!M188,1))</f>
        <v/>
      </c>
      <c r="U188" s="17">
        <f>IF($A188="","",IF($L188&lt;&gt;"Y",0,IF($AQ188&gt;0,IF(ISNUMBER(INDEX(det_Displaced,$AQ188)),INDEX(det_Displaced,$AQ188),IF($AO188=0,0,N(INDEX(rate_Displaced,MOD($AO188,100))))),IF($AO188=0,0,N(INDEX(rate_Displaced,MOD($AO188,100)))))))</f>
        <v/>
      </c>
      <c r="V188" s="17">
        <f>IF($A188="","",IF($L188="Y",$Q188+$T188*($R188-$S188)-$U188,$Q188))</f>
        <v/>
      </c>
      <c r="W188" s="18">
        <f>IF($A188="","",N(Items!H188)*$Q188)</f>
        <v/>
      </c>
      <c r="X188" s="18">
        <f>IF($A188="","",N(Items!H188)*$V188)</f>
        <v/>
      </c>
      <c r="Y188" s="18">
        <f>IF($A188="","",$X188-$W188)</f>
        <v/>
      </c>
      <c r="Z188" s="18">
        <f>IF($A188="","",N(Items!K188)+$Y188)</f>
        <v/>
      </c>
      <c r="AA188" s="17">
        <f>IF($A188="","",IF(N(Items!L188)=0,"",(N(Items!L188)-N(Items!K188))/N(Items!L188)))</f>
        <v/>
      </c>
      <c r="AB188" s="17">
        <f>IF($A188="","",IF(N(Items!L188)=0,"",(N(Items!L188)-$Z188)/N(Items!L188)))</f>
        <v/>
      </c>
      <c r="AC188" s="17">
        <f>IF(OR($AA188="",$AB188=""),"",$AB188-$AA188)</f>
        <v/>
      </c>
      <c r="AD188" s="13">
        <f>IF($A188="","",N(Items!I188))</f>
        <v/>
      </c>
      <c r="AE188" s="19">
        <f>IF($A188="","",$Y188*$AD188)</f>
        <v/>
      </c>
      <c r="AF188" s="10">
        <f>IF($A188="","",IF(N(Items!L188)&gt;0,"Y","N"))</f>
        <v/>
      </c>
      <c r="AG188" s="19">
        <f>IF($A188="","",IF($AF188="Y",N(Items!L188)*$AD188,0))</f>
        <v/>
      </c>
      <c r="AH188" s="19">
        <f>IF($A188="","",IF($AF188="Y",(N(Items!L188)-N(Items!K188))*$AD188,0))</f>
        <v/>
      </c>
      <c r="AI188" s="19">
        <f>IF($A188="","",IF($AF188="Y",$AH188-$AE188,0))</f>
        <v/>
      </c>
      <c r="AJ188" s="10">
        <f>IF($A188="","",IF(COUNTIF($AL$5:$AL$254,$AL188)&gt;1,"CHECK: duplicate item and import country",IF(TRIM(CLEAN(SUBSTITUTE(Items!C188&amp;""," "," ")))="","CHECK: import country missing",IF(AND(UPPER(TRIM(CLEAN(SUBSTITUTE(Items!C188&amp;""," "," "))))&lt;&gt;"US",UPPER(TRIM(CLEAN(SUBSTITUTE(Items!C188&amp;""," "," "))))&lt;&gt;"CA",UPPER(TRIM(CLEAN(SUBSTITUTE(Items!C188&amp;""," "," "))))&lt;&gt;"MX"),"CHECK: import country must be US, CA or MX",IF(NOT(AND(LEN($C188)=10,IFERROR(TEXT(VALUE($C188),REPT("0",LEN($C188)))=$C188,FALSE))),"CHECK: HTS must be 10 digits",IF(LEN($E188)&lt;&gt;2,"CHECK: origin code missing or not 2 letters",IF(TRIM(CLEAN(SUBSTITUTE(Items!G188&amp;""," "," ")))="","CHECK: unit of measure missing",IF(OR(Items!H188="",Items!J188="",Items!K188=""),"CHECK: value, rate or cost missing",IF(OR(NOT(ISNUMBER(Items!H188)),NOT(ISNUMBER(Items!J188)),NOT(ISNUMBER(Items!K188)),AND(Items!I188&lt;&gt;"",NOT(ISNUMBER(Items!I188))),AND(Items!L188&lt;&gt;"",NOT(ISNUMBER(Items!L188))),AND(Items!M188&lt;&gt;"",NOT(ISNUMBER(Items!M188)))),"CHECK: text in a number column",IF(AND(ISNUMBER(Items!M188),OR(N(Items!M188)&lt;0,N(Items!M188)&gt;1)),"CHECK: dutiable share must be 0% to 100%",IF(AND(UPPER(TRIM(CLEAN(SUBSTITUTE(Items!F188&amp;""," "," "))))&lt;&gt;"",UPPER(TRIM(CLEAN(SUBSTITUTE(Items!F188&amp;""," "," "))))&lt;&gt;"Y",UPPER(TRIM(CLEAN(SUBSTITUTE(Items!F188&amp;""," "," "))))&lt;&gt;"N"),"CHECK: USMCA flag must be Y, N or blank",IF(AND(UPPER(TRIM(CLEAN(SUBSTITUTE(Items!F188&amp;""," "," "))))="Y",$E188&lt;&gt;"US",$E188&lt;&gt;"CA",$E188&lt;&gt;"MX"),"CHECK: USMCA flag on an origin other than US, CA or MX",IF(AND($L188="Y",$AO188=0,NOT(ISNUMBER(act_Rate))),"CHECK: in scope but no rate (add a rate line or B15)",IF(AND($L188="Y",UPPER(TRIM(CLEAN(SUBSTITUTE(act_RateType&amp;""," "," "))))="REPLACE",NOT(ISNUMBER(act_PriorRate)),IF($AO188=0,TRUE,NOT(ISNUMBER(INDEX(rate_Prior,MOD($AO188,100)))))),"CHECK: REPLACE but no earlier rate (B17 or the rate line's AD)",IF(AND($L188="Y",$AP188&gt;1),"CHECK: two rate lines match equally",IF(AND($L188="Y",$AN188&gt;1),"CHECK: HTS prefix listed twice on the scope list",IF(AND($L188="Y",$P188="PART",NOT(ISNUMBER(Items!M188))),"CHECK: dutiable share missing (PART base)",IF(AND($L188="Y",$P188="FULL",ISNUMBER(Items!M188),N(Items!M188)&lt;&gt;1),"CHECK: dutiable share entered, but the rate taxes the full value",IF(AND($L188="Y",$Q188+0.0000001&lt;$T188*$S188+$U188),"CHECK: current rate is below the duty being replaced or displaced",IF(AND($L188="Y",$AD188=0),"NOTE: in scope, no quantity",IF(AND($L188="Y",$AF188="N"),"NOTE: in scope, no sell price (left out of margin %)",IF(AND($L188="Y",N(Items!H188)&gt;N(Items!K188)),"NOTE: customs value above standard cost (check unit of measure)",IF(AND($L188="Y",$Q188&gt;1),"NOTE: current rate above 100% (check it was entered as a percentage)","OK")))))))))))))))))))))))</f>
        <v/>
      </c>
      <c r="AK188" s="20">
        <f>IF($A188="","",IF(AND($L188="Y",$AE188&lt;&gt;0),ABS($AE188)+ROW()/1000000000,""))</f>
        <v/>
      </c>
      <c r="AL188" s="10">
        <f>IF($A188="","",UPPER($A188)&amp;"/"&amp;UPPER(TRIM(CLEAN(SUBSTITUTE(Items!C188&amp;""," "," ")))))</f>
        <v/>
      </c>
      <c r="AM188" s="13">
        <f>IF($A188="",0,SUMPRODUCT(MAX((scope_HTS&lt;&gt;"")*(LEFT($C188,LEN(scope_HTS))=scope_HTS)*(LEN(scope_HTS)*1000+ROW(scope_HTS)-4))))</f>
        <v/>
      </c>
      <c r="AN188" s="13">
        <f>IF($AM188=0,0,SUMPRODUCT((scope_HTS&lt;&gt;"")*(LEFT($C188,LEN(scope_HTS))=scope_HTS)*(LEN(scope_HTS)=INT($AM188/1000))))</f>
        <v/>
      </c>
      <c r="AO188" s="13">
        <f>IF($L188&lt;&gt;"Y",0,SUMPRODUCT(MAX(ISNUMBER(rate_Rate)*((UPPER(TRIM(CLEAN(SUBSTITUTE(rate_Group&amp;""," "," "))))="")+(UPPER(TRIM(CLEAN(SUBSTITUTE(rate_Group&amp;""," "," "))))=$N188)&gt;0)*((UPPER(TRIM(CLEAN(SUBSTITUTE(rate_COO&amp;""," "," "))))="")+(UPPER(TRIM(CLEAN(SUBSTITUTE(rate_COO&amp;""," "," "))))=$E188)&gt;0)*((UPPER(TRIM(CLEAN(SUBSTITUTE(rate_USMCA&amp;""," "," "))))="")+(UPPER(TRIM(CLEAN(SUBSTITUTE(rate_USMCA&amp;""," "," "))))=IF(UPPER(TRIM(CLEAN(SUBSTITUTE(Items!F188&amp;""," "," "))))="Y","Y","N"))&gt;0)*((1+(UPPER(TRIM(CLEAN(SUBSTITUTE(rate_Group&amp;""," "," "))))&lt;&gt;"")+2*(UPPER(TRIM(CLEAN(SUBSTITUTE(rate_USMCA&amp;""," "," "))))&lt;&gt;"")+4*(UPPER(TRIM(CLEAN(SUBSTITUTE(rate_COO&amp;""," "," "))))&lt;&gt;""))*100+ROW(rate_Rate)-4))))</f>
        <v/>
      </c>
      <c r="AP188" s="13">
        <f>IF($AO188=0,0,SUMPRODUCT(ISNUMBER(rate_Rate)*((UPPER(TRIM(CLEAN(SUBSTITUTE(rate_Group&amp;""," "," "))))="")+(UPPER(TRIM(CLEAN(SUBSTITUTE(rate_Group&amp;""," "," "))))=$N188)&gt;0)*((UPPER(TRIM(CLEAN(SUBSTITUTE(rate_COO&amp;""," "," "))))="")+(UPPER(TRIM(CLEAN(SUBSTITUTE(rate_COO&amp;""," "," "))))=$E188)&gt;0)*((UPPER(TRIM(CLEAN(SUBSTITUTE(rate_USMCA&amp;""," "," "))))="")+(UPPER(TRIM(CLEAN(SUBSTITUTE(rate_USMCA&amp;""," "," "))))=IF(UPPER(TRIM(CLEAN(SUBSTITUTE(Items!F188&amp;""," "," "))))="Y","Y","N"))&gt;0)*((1+(UPPER(TRIM(CLEAN(SUBSTITUTE(rate_Group&amp;""," "," "))))&lt;&gt;"")+2*(UPPER(TRIM(CLEAN(SUBSTITUTE(rate_USMCA&amp;""," "," "))))&lt;&gt;"")+4*(UPPER(TRIM(CLEAN(SUBSTITUTE(rate_COO&amp;""," "," "))))&lt;&gt;""))=INT($AO188/100))))</f>
        <v/>
      </c>
      <c r="AQ188" s="13">
        <f>IF($A188="",0,IFERROR(MATCH($AL188,det_Key,0),0))</f>
        <v/>
      </c>
    </row>
    <row r="189">
      <c r="A189" s="10">
        <f>IF(TRIM(CLEAN(SUBSTITUTE(Items!A189&amp;""," "," ")))="","",TRIM(CLEAN(SUBSTITUTE(Items!A189&amp;""," "," "))))</f>
        <v/>
      </c>
      <c r="B189" s="10">
        <f>IF($A189="","",Items!B189&amp;"")</f>
        <v/>
      </c>
      <c r="C189" s="10">
        <f>IF($A189="","",SUBSTITUTE(SUBSTITUTE(SUBSTITUTE(SUBSTITUTE(CLEAN(Items!D189&amp;"")," ",""),".","")," ",""),"-",""))</f>
        <v/>
      </c>
      <c r="D189" s="10">
        <f>IF($A189="","",LEFT($C189,2))</f>
        <v/>
      </c>
      <c r="E189" s="10">
        <f>IF($A189="","",UPPER(TRIM(CLEAN(SUBSTITUTE(Items!E189&amp;""," "," ")))))</f>
        <v/>
      </c>
      <c r="F189" s="10">
        <f>IF($A189="","",IF(UPPER(TRIM(CLEAN(SUBSTITUTE(Items!C189&amp;""," "," "))))=UPPER(TRIM(CLEAN(SUBSTITUTE(act_Country&amp;""," "," ")))),"Y","N"))</f>
        <v/>
      </c>
      <c r="G189" s="10">
        <f>IF($A189="","",IF($AM189&gt;0,"Y","N"))</f>
        <v/>
      </c>
      <c r="H189" s="10">
        <f>IF($A189="","",IF(SUMPRODUCT((excl_HTS&lt;&gt;"")*(LEFT($C189,LEN(excl_HTS))=excl_HTS))&gt;0,"Y","N"))</f>
        <v/>
      </c>
      <c r="I189" s="10">
        <f>IF($A189="","",IF($E189="","N",IF(SUMPRODUCT(--(UPPER(TRIM(CLEAN(SUBSTITUTE(scope_COO&amp;""," "," "))))=$E189))&gt;0,"Y","N")))</f>
        <v/>
      </c>
      <c r="J189" s="10">
        <f>IF($A189="","",IF(AND(UPPER(TRIM(CLEAN(SUBSTITUTE(act_USMCAExempt&amp;""," "," "))))="Y",UPPER(TRIM(CLEAN(SUBSTITUTE(Items!F189&amp;""," "," "))))="Y"),"Y","N"))</f>
        <v/>
      </c>
      <c r="K189" s="10">
        <f>IF($A189="","",IF($AQ189=0,"",UPPER(TRIM(CLEAN(SUBSTITUTE(INDEX(det_Status,$AQ189)&amp;""," "," "))))))</f>
        <v/>
      </c>
      <c r="L189" s="10">
        <f>IF($A189="","",IF($F189="N","N",IF($K189="IN","Y",IF($K189="OUT","N",IF(AND($G189="Y",$H189="N",$I189="Y",$J189="N"),"Y","N")))))</f>
        <v/>
      </c>
      <c r="M189" s="10">
        <f>IF($A189="","",IF($F189="N","Out: different import country",IF($K189="IN","In: Research determination",IF($K189="OUT","Out: Research determination",IF($G189="N","Out: HTS not on scope list",IF($H189="Y","Out: HTS on exclusion list",IF($I189="N","Out: origin not on scope list",IF($J189="Y","Out: USMCA-qualifying, exempt","In: matches scope rules"))))))))</f>
        <v/>
      </c>
      <c r="N189" s="10">
        <f>IF(OR($A189="",$AM189=0),"",UPPER(TRIM(CLEAN(SUBSTITUTE(INDEX(scope_Group,MOD($AM189,1000))&amp;""," "," ")))))</f>
        <v/>
      </c>
      <c r="O189" s="10">
        <f>IF($L189&lt;&gt;"Y","",IF($AO189=0,"Default (B15)",UPPER(TRIM(CLEAN(SUBSTITUTE(INDEX(rate_ID,MOD($AO189,100))&amp;""," "," "))))))</f>
        <v/>
      </c>
      <c r="P189" s="10">
        <f>IF($L189&lt;&gt;"Y","",IF($AO189=0,IF(UPPER(TRIM(CLEAN(SUBSTITUTE(act_DefaultBase&amp;""," "," "))))="PART","PART","FULL"),IF(UPPER(TRIM(CLEAN(SUBSTITUTE(INDEX(rate_Base,MOD($AO189,100))&amp;""," "," "))))="PART","PART","FULL")))</f>
        <v/>
      </c>
      <c r="Q189" s="17">
        <f>IF($A189="","",N(Items!J189))</f>
        <v/>
      </c>
      <c r="R189" s="17">
        <f>IF($A189="","",IF($L189&lt;&gt;"Y",0,IF($AO189=0,N(act_Rate),N(INDEX(rate_Rate,MOD($AO189,100))))))</f>
        <v/>
      </c>
      <c r="S189" s="17">
        <f>IF($A189="","",IF($L189&lt;&gt;"Y",0,IF($AO189=0,IF(UPPER(TRIM(CLEAN(SUBSTITUTE(act_RateType&amp;""," "," "))))="REPLACE",N(act_PriorRate),0),IF(ISNUMBER(INDEX(rate_Prior,MOD($AO189,100))),INDEX(rate_Prior,MOD($AO189,100)),IF(UPPER(TRIM(CLEAN(SUBSTITUTE(act_RateType&amp;""," "," "))))="REPLACE",N(act_PriorRate),0)))))</f>
        <v/>
      </c>
      <c r="T189" s="17">
        <f>IF($A189="","",IF(AND($L189="Y",$P189="PART",ISNUMBER(Items!M189)),Items!M189,1))</f>
        <v/>
      </c>
      <c r="U189" s="17">
        <f>IF($A189="","",IF($L189&lt;&gt;"Y",0,IF($AQ189&gt;0,IF(ISNUMBER(INDEX(det_Displaced,$AQ189)),INDEX(det_Displaced,$AQ189),IF($AO189=0,0,N(INDEX(rate_Displaced,MOD($AO189,100))))),IF($AO189=0,0,N(INDEX(rate_Displaced,MOD($AO189,100)))))))</f>
        <v/>
      </c>
      <c r="V189" s="17">
        <f>IF($A189="","",IF($L189="Y",$Q189+$T189*($R189-$S189)-$U189,$Q189))</f>
        <v/>
      </c>
      <c r="W189" s="18">
        <f>IF($A189="","",N(Items!H189)*$Q189)</f>
        <v/>
      </c>
      <c r="X189" s="18">
        <f>IF($A189="","",N(Items!H189)*$V189)</f>
        <v/>
      </c>
      <c r="Y189" s="18">
        <f>IF($A189="","",$X189-$W189)</f>
        <v/>
      </c>
      <c r="Z189" s="18">
        <f>IF($A189="","",N(Items!K189)+$Y189)</f>
        <v/>
      </c>
      <c r="AA189" s="17">
        <f>IF($A189="","",IF(N(Items!L189)=0,"",(N(Items!L189)-N(Items!K189))/N(Items!L189)))</f>
        <v/>
      </c>
      <c r="AB189" s="17">
        <f>IF($A189="","",IF(N(Items!L189)=0,"",(N(Items!L189)-$Z189)/N(Items!L189)))</f>
        <v/>
      </c>
      <c r="AC189" s="17">
        <f>IF(OR($AA189="",$AB189=""),"",$AB189-$AA189)</f>
        <v/>
      </c>
      <c r="AD189" s="13">
        <f>IF($A189="","",N(Items!I189))</f>
        <v/>
      </c>
      <c r="AE189" s="19">
        <f>IF($A189="","",$Y189*$AD189)</f>
        <v/>
      </c>
      <c r="AF189" s="10">
        <f>IF($A189="","",IF(N(Items!L189)&gt;0,"Y","N"))</f>
        <v/>
      </c>
      <c r="AG189" s="19">
        <f>IF($A189="","",IF($AF189="Y",N(Items!L189)*$AD189,0))</f>
        <v/>
      </c>
      <c r="AH189" s="19">
        <f>IF($A189="","",IF($AF189="Y",(N(Items!L189)-N(Items!K189))*$AD189,0))</f>
        <v/>
      </c>
      <c r="AI189" s="19">
        <f>IF($A189="","",IF($AF189="Y",$AH189-$AE189,0))</f>
        <v/>
      </c>
      <c r="AJ189" s="10">
        <f>IF($A189="","",IF(COUNTIF($AL$5:$AL$254,$AL189)&gt;1,"CHECK: duplicate item and import country",IF(TRIM(CLEAN(SUBSTITUTE(Items!C189&amp;""," "," ")))="","CHECK: import country missing",IF(AND(UPPER(TRIM(CLEAN(SUBSTITUTE(Items!C189&amp;""," "," "))))&lt;&gt;"US",UPPER(TRIM(CLEAN(SUBSTITUTE(Items!C189&amp;""," "," "))))&lt;&gt;"CA",UPPER(TRIM(CLEAN(SUBSTITUTE(Items!C189&amp;""," "," "))))&lt;&gt;"MX"),"CHECK: import country must be US, CA or MX",IF(NOT(AND(LEN($C189)=10,IFERROR(TEXT(VALUE($C189),REPT("0",LEN($C189)))=$C189,FALSE))),"CHECK: HTS must be 10 digits",IF(LEN($E189)&lt;&gt;2,"CHECK: origin code missing or not 2 letters",IF(TRIM(CLEAN(SUBSTITUTE(Items!G189&amp;""," "," ")))="","CHECK: unit of measure missing",IF(OR(Items!H189="",Items!J189="",Items!K189=""),"CHECK: value, rate or cost missing",IF(OR(NOT(ISNUMBER(Items!H189)),NOT(ISNUMBER(Items!J189)),NOT(ISNUMBER(Items!K189)),AND(Items!I189&lt;&gt;"",NOT(ISNUMBER(Items!I189))),AND(Items!L189&lt;&gt;"",NOT(ISNUMBER(Items!L189))),AND(Items!M189&lt;&gt;"",NOT(ISNUMBER(Items!M189)))),"CHECK: text in a number column",IF(AND(ISNUMBER(Items!M189),OR(N(Items!M189)&lt;0,N(Items!M189)&gt;1)),"CHECK: dutiable share must be 0% to 100%",IF(AND(UPPER(TRIM(CLEAN(SUBSTITUTE(Items!F189&amp;""," "," "))))&lt;&gt;"",UPPER(TRIM(CLEAN(SUBSTITUTE(Items!F189&amp;""," "," "))))&lt;&gt;"Y",UPPER(TRIM(CLEAN(SUBSTITUTE(Items!F189&amp;""," "," "))))&lt;&gt;"N"),"CHECK: USMCA flag must be Y, N or blank",IF(AND(UPPER(TRIM(CLEAN(SUBSTITUTE(Items!F189&amp;""," "," "))))="Y",$E189&lt;&gt;"US",$E189&lt;&gt;"CA",$E189&lt;&gt;"MX"),"CHECK: USMCA flag on an origin other than US, CA or MX",IF(AND($L189="Y",$AO189=0,NOT(ISNUMBER(act_Rate))),"CHECK: in scope but no rate (add a rate line or B15)",IF(AND($L189="Y",UPPER(TRIM(CLEAN(SUBSTITUTE(act_RateType&amp;""," "," "))))="REPLACE",NOT(ISNUMBER(act_PriorRate)),IF($AO189=0,TRUE,NOT(ISNUMBER(INDEX(rate_Prior,MOD($AO189,100)))))),"CHECK: REPLACE but no earlier rate (B17 or the rate line's AD)",IF(AND($L189="Y",$AP189&gt;1),"CHECK: two rate lines match equally",IF(AND($L189="Y",$AN189&gt;1),"CHECK: HTS prefix listed twice on the scope list",IF(AND($L189="Y",$P189="PART",NOT(ISNUMBER(Items!M189))),"CHECK: dutiable share missing (PART base)",IF(AND($L189="Y",$P189="FULL",ISNUMBER(Items!M189),N(Items!M189)&lt;&gt;1),"CHECK: dutiable share entered, but the rate taxes the full value",IF(AND($L189="Y",$Q189+0.0000001&lt;$T189*$S189+$U189),"CHECK: current rate is below the duty being replaced or displaced",IF(AND($L189="Y",$AD189=0),"NOTE: in scope, no quantity",IF(AND($L189="Y",$AF189="N"),"NOTE: in scope, no sell price (left out of margin %)",IF(AND($L189="Y",N(Items!H189)&gt;N(Items!K189)),"NOTE: customs value above standard cost (check unit of measure)",IF(AND($L189="Y",$Q189&gt;1),"NOTE: current rate above 100% (check it was entered as a percentage)","OK")))))))))))))))))))))))</f>
        <v/>
      </c>
      <c r="AK189" s="20">
        <f>IF($A189="","",IF(AND($L189="Y",$AE189&lt;&gt;0),ABS($AE189)+ROW()/1000000000,""))</f>
        <v/>
      </c>
      <c r="AL189" s="10">
        <f>IF($A189="","",UPPER($A189)&amp;"/"&amp;UPPER(TRIM(CLEAN(SUBSTITUTE(Items!C189&amp;""," "," ")))))</f>
        <v/>
      </c>
      <c r="AM189" s="13">
        <f>IF($A189="",0,SUMPRODUCT(MAX((scope_HTS&lt;&gt;"")*(LEFT($C189,LEN(scope_HTS))=scope_HTS)*(LEN(scope_HTS)*1000+ROW(scope_HTS)-4))))</f>
        <v/>
      </c>
      <c r="AN189" s="13">
        <f>IF($AM189=0,0,SUMPRODUCT((scope_HTS&lt;&gt;"")*(LEFT($C189,LEN(scope_HTS))=scope_HTS)*(LEN(scope_HTS)=INT($AM189/1000))))</f>
        <v/>
      </c>
      <c r="AO189" s="13">
        <f>IF($L189&lt;&gt;"Y",0,SUMPRODUCT(MAX(ISNUMBER(rate_Rate)*((UPPER(TRIM(CLEAN(SUBSTITUTE(rate_Group&amp;""," "," "))))="")+(UPPER(TRIM(CLEAN(SUBSTITUTE(rate_Group&amp;""," "," "))))=$N189)&gt;0)*((UPPER(TRIM(CLEAN(SUBSTITUTE(rate_COO&amp;""," "," "))))="")+(UPPER(TRIM(CLEAN(SUBSTITUTE(rate_COO&amp;""," "," "))))=$E189)&gt;0)*((UPPER(TRIM(CLEAN(SUBSTITUTE(rate_USMCA&amp;""," "," "))))="")+(UPPER(TRIM(CLEAN(SUBSTITUTE(rate_USMCA&amp;""," "," "))))=IF(UPPER(TRIM(CLEAN(SUBSTITUTE(Items!F189&amp;""," "," "))))="Y","Y","N"))&gt;0)*((1+(UPPER(TRIM(CLEAN(SUBSTITUTE(rate_Group&amp;""," "," "))))&lt;&gt;"")+2*(UPPER(TRIM(CLEAN(SUBSTITUTE(rate_USMCA&amp;""," "," "))))&lt;&gt;"")+4*(UPPER(TRIM(CLEAN(SUBSTITUTE(rate_COO&amp;""," "," "))))&lt;&gt;""))*100+ROW(rate_Rate)-4))))</f>
        <v/>
      </c>
      <c r="AP189" s="13">
        <f>IF($AO189=0,0,SUMPRODUCT(ISNUMBER(rate_Rate)*((UPPER(TRIM(CLEAN(SUBSTITUTE(rate_Group&amp;""," "," "))))="")+(UPPER(TRIM(CLEAN(SUBSTITUTE(rate_Group&amp;""," "," "))))=$N189)&gt;0)*((UPPER(TRIM(CLEAN(SUBSTITUTE(rate_COO&amp;""," "," "))))="")+(UPPER(TRIM(CLEAN(SUBSTITUTE(rate_COO&amp;""," "," "))))=$E189)&gt;0)*((UPPER(TRIM(CLEAN(SUBSTITUTE(rate_USMCA&amp;""," "," "))))="")+(UPPER(TRIM(CLEAN(SUBSTITUTE(rate_USMCA&amp;""," "," "))))=IF(UPPER(TRIM(CLEAN(SUBSTITUTE(Items!F189&amp;""," "," "))))="Y","Y","N"))&gt;0)*((1+(UPPER(TRIM(CLEAN(SUBSTITUTE(rate_Group&amp;""," "," "))))&lt;&gt;"")+2*(UPPER(TRIM(CLEAN(SUBSTITUTE(rate_USMCA&amp;""," "," "))))&lt;&gt;"")+4*(UPPER(TRIM(CLEAN(SUBSTITUTE(rate_COO&amp;""," "," "))))&lt;&gt;""))=INT($AO189/100))))</f>
        <v/>
      </c>
      <c r="AQ189" s="13">
        <f>IF($A189="",0,IFERROR(MATCH($AL189,det_Key,0),0))</f>
        <v/>
      </c>
    </row>
    <row r="190">
      <c r="A190" s="10">
        <f>IF(TRIM(CLEAN(SUBSTITUTE(Items!A190&amp;""," "," ")))="","",TRIM(CLEAN(SUBSTITUTE(Items!A190&amp;""," "," "))))</f>
        <v/>
      </c>
      <c r="B190" s="10">
        <f>IF($A190="","",Items!B190&amp;"")</f>
        <v/>
      </c>
      <c r="C190" s="10">
        <f>IF($A190="","",SUBSTITUTE(SUBSTITUTE(SUBSTITUTE(SUBSTITUTE(CLEAN(Items!D190&amp;"")," ",""),".","")," ",""),"-",""))</f>
        <v/>
      </c>
      <c r="D190" s="10">
        <f>IF($A190="","",LEFT($C190,2))</f>
        <v/>
      </c>
      <c r="E190" s="10">
        <f>IF($A190="","",UPPER(TRIM(CLEAN(SUBSTITUTE(Items!E190&amp;""," "," ")))))</f>
        <v/>
      </c>
      <c r="F190" s="10">
        <f>IF($A190="","",IF(UPPER(TRIM(CLEAN(SUBSTITUTE(Items!C190&amp;""," "," "))))=UPPER(TRIM(CLEAN(SUBSTITUTE(act_Country&amp;""," "," ")))),"Y","N"))</f>
        <v/>
      </c>
      <c r="G190" s="10">
        <f>IF($A190="","",IF($AM190&gt;0,"Y","N"))</f>
        <v/>
      </c>
      <c r="H190" s="10">
        <f>IF($A190="","",IF(SUMPRODUCT((excl_HTS&lt;&gt;"")*(LEFT($C190,LEN(excl_HTS))=excl_HTS))&gt;0,"Y","N"))</f>
        <v/>
      </c>
      <c r="I190" s="10">
        <f>IF($A190="","",IF($E190="","N",IF(SUMPRODUCT(--(UPPER(TRIM(CLEAN(SUBSTITUTE(scope_COO&amp;""," "," "))))=$E190))&gt;0,"Y","N")))</f>
        <v/>
      </c>
      <c r="J190" s="10">
        <f>IF($A190="","",IF(AND(UPPER(TRIM(CLEAN(SUBSTITUTE(act_USMCAExempt&amp;""," "," "))))="Y",UPPER(TRIM(CLEAN(SUBSTITUTE(Items!F190&amp;""," "," "))))="Y"),"Y","N"))</f>
        <v/>
      </c>
      <c r="K190" s="10">
        <f>IF($A190="","",IF($AQ190=0,"",UPPER(TRIM(CLEAN(SUBSTITUTE(INDEX(det_Status,$AQ190)&amp;""," "," "))))))</f>
        <v/>
      </c>
      <c r="L190" s="10">
        <f>IF($A190="","",IF($F190="N","N",IF($K190="IN","Y",IF($K190="OUT","N",IF(AND($G190="Y",$H190="N",$I190="Y",$J190="N"),"Y","N")))))</f>
        <v/>
      </c>
      <c r="M190" s="10">
        <f>IF($A190="","",IF($F190="N","Out: different import country",IF($K190="IN","In: Research determination",IF($K190="OUT","Out: Research determination",IF($G190="N","Out: HTS not on scope list",IF($H190="Y","Out: HTS on exclusion list",IF($I190="N","Out: origin not on scope list",IF($J190="Y","Out: USMCA-qualifying, exempt","In: matches scope rules"))))))))</f>
        <v/>
      </c>
      <c r="N190" s="10">
        <f>IF(OR($A190="",$AM190=0),"",UPPER(TRIM(CLEAN(SUBSTITUTE(INDEX(scope_Group,MOD($AM190,1000))&amp;""," "," ")))))</f>
        <v/>
      </c>
      <c r="O190" s="10">
        <f>IF($L190&lt;&gt;"Y","",IF($AO190=0,"Default (B15)",UPPER(TRIM(CLEAN(SUBSTITUTE(INDEX(rate_ID,MOD($AO190,100))&amp;""," "," "))))))</f>
        <v/>
      </c>
      <c r="P190" s="10">
        <f>IF($L190&lt;&gt;"Y","",IF($AO190=0,IF(UPPER(TRIM(CLEAN(SUBSTITUTE(act_DefaultBase&amp;""," "," "))))="PART","PART","FULL"),IF(UPPER(TRIM(CLEAN(SUBSTITUTE(INDEX(rate_Base,MOD($AO190,100))&amp;""," "," "))))="PART","PART","FULL")))</f>
        <v/>
      </c>
      <c r="Q190" s="17">
        <f>IF($A190="","",N(Items!J190))</f>
        <v/>
      </c>
      <c r="R190" s="17">
        <f>IF($A190="","",IF($L190&lt;&gt;"Y",0,IF($AO190=0,N(act_Rate),N(INDEX(rate_Rate,MOD($AO190,100))))))</f>
        <v/>
      </c>
      <c r="S190" s="17">
        <f>IF($A190="","",IF($L190&lt;&gt;"Y",0,IF($AO190=0,IF(UPPER(TRIM(CLEAN(SUBSTITUTE(act_RateType&amp;""," "," "))))="REPLACE",N(act_PriorRate),0),IF(ISNUMBER(INDEX(rate_Prior,MOD($AO190,100))),INDEX(rate_Prior,MOD($AO190,100)),IF(UPPER(TRIM(CLEAN(SUBSTITUTE(act_RateType&amp;""," "," "))))="REPLACE",N(act_PriorRate),0)))))</f>
        <v/>
      </c>
      <c r="T190" s="17">
        <f>IF($A190="","",IF(AND($L190="Y",$P190="PART",ISNUMBER(Items!M190)),Items!M190,1))</f>
        <v/>
      </c>
      <c r="U190" s="17">
        <f>IF($A190="","",IF($L190&lt;&gt;"Y",0,IF($AQ190&gt;0,IF(ISNUMBER(INDEX(det_Displaced,$AQ190)),INDEX(det_Displaced,$AQ190),IF($AO190=0,0,N(INDEX(rate_Displaced,MOD($AO190,100))))),IF($AO190=0,0,N(INDEX(rate_Displaced,MOD($AO190,100)))))))</f>
        <v/>
      </c>
      <c r="V190" s="17">
        <f>IF($A190="","",IF($L190="Y",$Q190+$T190*($R190-$S190)-$U190,$Q190))</f>
        <v/>
      </c>
      <c r="W190" s="18">
        <f>IF($A190="","",N(Items!H190)*$Q190)</f>
        <v/>
      </c>
      <c r="X190" s="18">
        <f>IF($A190="","",N(Items!H190)*$V190)</f>
        <v/>
      </c>
      <c r="Y190" s="18">
        <f>IF($A190="","",$X190-$W190)</f>
        <v/>
      </c>
      <c r="Z190" s="18">
        <f>IF($A190="","",N(Items!K190)+$Y190)</f>
        <v/>
      </c>
      <c r="AA190" s="17">
        <f>IF($A190="","",IF(N(Items!L190)=0,"",(N(Items!L190)-N(Items!K190))/N(Items!L190)))</f>
        <v/>
      </c>
      <c r="AB190" s="17">
        <f>IF($A190="","",IF(N(Items!L190)=0,"",(N(Items!L190)-$Z190)/N(Items!L190)))</f>
        <v/>
      </c>
      <c r="AC190" s="17">
        <f>IF(OR($AA190="",$AB190=""),"",$AB190-$AA190)</f>
        <v/>
      </c>
      <c r="AD190" s="13">
        <f>IF($A190="","",N(Items!I190))</f>
        <v/>
      </c>
      <c r="AE190" s="19">
        <f>IF($A190="","",$Y190*$AD190)</f>
        <v/>
      </c>
      <c r="AF190" s="10">
        <f>IF($A190="","",IF(N(Items!L190)&gt;0,"Y","N"))</f>
        <v/>
      </c>
      <c r="AG190" s="19">
        <f>IF($A190="","",IF($AF190="Y",N(Items!L190)*$AD190,0))</f>
        <v/>
      </c>
      <c r="AH190" s="19">
        <f>IF($A190="","",IF($AF190="Y",(N(Items!L190)-N(Items!K190))*$AD190,0))</f>
        <v/>
      </c>
      <c r="AI190" s="19">
        <f>IF($A190="","",IF($AF190="Y",$AH190-$AE190,0))</f>
        <v/>
      </c>
      <c r="AJ190" s="10">
        <f>IF($A190="","",IF(COUNTIF($AL$5:$AL$254,$AL190)&gt;1,"CHECK: duplicate item and import country",IF(TRIM(CLEAN(SUBSTITUTE(Items!C190&amp;""," "," ")))="","CHECK: import country missing",IF(AND(UPPER(TRIM(CLEAN(SUBSTITUTE(Items!C190&amp;""," "," "))))&lt;&gt;"US",UPPER(TRIM(CLEAN(SUBSTITUTE(Items!C190&amp;""," "," "))))&lt;&gt;"CA",UPPER(TRIM(CLEAN(SUBSTITUTE(Items!C190&amp;""," "," "))))&lt;&gt;"MX"),"CHECK: import country must be US, CA or MX",IF(NOT(AND(LEN($C190)=10,IFERROR(TEXT(VALUE($C190),REPT("0",LEN($C190)))=$C190,FALSE))),"CHECK: HTS must be 10 digits",IF(LEN($E190)&lt;&gt;2,"CHECK: origin code missing or not 2 letters",IF(TRIM(CLEAN(SUBSTITUTE(Items!G190&amp;""," "," ")))="","CHECK: unit of measure missing",IF(OR(Items!H190="",Items!J190="",Items!K190=""),"CHECK: value, rate or cost missing",IF(OR(NOT(ISNUMBER(Items!H190)),NOT(ISNUMBER(Items!J190)),NOT(ISNUMBER(Items!K190)),AND(Items!I190&lt;&gt;"",NOT(ISNUMBER(Items!I190))),AND(Items!L190&lt;&gt;"",NOT(ISNUMBER(Items!L190))),AND(Items!M190&lt;&gt;"",NOT(ISNUMBER(Items!M190)))),"CHECK: text in a number column",IF(AND(ISNUMBER(Items!M190),OR(N(Items!M190)&lt;0,N(Items!M190)&gt;1)),"CHECK: dutiable share must be 0% to 100%",IF(AND(UPPER(TRIM(CLEAN(SUBSTITUTE(Items!F190&amp;""," "," "))))&lt;&gt;"",UPPER(TRIM(CLEAN(SUBSTITUTE(Items!F190&amp;""," "," "))))&lt;&gt;"Y",UPPER(TRIM(CLEAN(SUBSTITUTE(Items!F190&amp;""," "," "))))&lt;&gt;"N"),"CHECK: USMCA flag must be Y, N or blank",IF(AND(UPPER(TRIM(CLEAN(SUBSTITUTE(Items!F190&amp;""," "," "))))="Y",$E190&lt;&gt;"US",$E190&lt;&gt;"CA",$E190&lt;&gt;"MX"),"CHECK: USMCA flag on an origin other than US, CA or MX",IF(AND($L190="Y",$AO190=0,NOT(ISNUMBER(act_Rate))),"CHECK: in scope but no rate (add a rate line or B15)",IF(AND($L190="Y",UPPER(TRIM(CLEAN(SUBSTITUTE(act_RateType&amp;""," "," "))))="REPLACE",NOT(ISNUMBER(act_PriorRate)),IF($AO190=0,TRUE,NOT(ISNUMBER(INDEX(rate_Prior,MOD($AO190,100)))))),"CHECK: REPLACE but no earlier rate (B17 or the rate line's AD)",IF(AND($L190="Y",$AP190&gt;1),"CHECK: two rate lines match equally",IF(AND($L190="Y",$AN190&gt;1),"CHECK: HTS prefix listed twice on the scope list",IF(AND($L190="Y",$P190="PART",NOT(ISNUMBER(Items!M190))),"CHECK: dutiable share missing (PART base)",IF(AND($L190="Y",$P190="FULL",ISNUMBER(Items!M190),N(Items!M190)&lt;&gt;1),"CHECK: dutiable share entered, but the rate taxes the full value",IF(AND($L190="Y",$Q190+0.0000001&lt;$T190*$S190+$U190),"CHECK: current rate is below the duty being replaced or displaced",IF(AND($L190="Y",$AD190=0),"NOTE: in scope, no quantity",IF(AND($L190="Y",$AF190="N"),"NOTE: in scope, no sell price (left out of margin %)",IF(AND($L190="Y",N(Items!H190)&gt;N(Items!K190)),"NOTE: customs value above standard cost (check unit of measure)",IF(AND($L190="Y",$Q190&gt;1),"NOTE: current rate above 100% (check it was entered as a percentage)","OK")))))))))))))))))))))))</f>
        <v/>
      </c>
      <c r="AK190" s="20">
        <f>IF($A190="","",IF(AND($L190="Y",$AE190&lt;&gt;0),ABS($AE190)+ROW()/1000000000,""))</f>
        <v/>
      </c>
      <c r="AL190" s="10">
        <f>IF($A190="","",UPPER($A190)&amp;"/"&amp;UPPER(TRIM(CLEAN(SUBSTITUTE(Items!C190&amp;""," "," ")))))</f>
        <v/>
      </c>
      <c r="AM190" s="13">
        <f>IF($A190="",0,SUMPRODUCT(MAX((scope_HTS&lt;&gt;"")*(LEFT($C190,LEN(scope_HTS))=scope_HTS)*(LEN(scope_HTS)*1000+ROW(scope_HTS)-4))))</f>
        <v/>
      </c>
      <c r="AN190" s="13">
        <f>IF($AM190=0,0,SUMPRODUCT((scope_HTS&lt;&gt;"")*(LEFT($C190,LEN(scope_HTS))=scope_HTS)*(LEN(scope_HTS)=INT($AM190/1000))))</f>
        <v/>
      </c>
      <c r="AO190" s="13">
        <f>IF($L190&lt;&gt;"Y",0,SUMPRODUCT(MAX(ISNUMBER(rate_Rate)*((UPPER(TRIM(CLEAN(SUBSTITUTE(rate_Group&amp;""," "," "))))="")+(UPPER(TRIM(CLEAN(SUBSTITUTE(rate_Group&amp;""," "," "))))=$N190)&gt;0)*((UPPER(TRIM(CLEAN(SUBSTITUTE(rate_COO&amp;""," "," "))))="")+(UPPER(TRIM(CLEAN(SUBSTITUTE(rate_COO&amp;""," "," "))))=$E190)&gt;0)*((UPPER(TRIM(CLEAN(SUBSTITUTE(rate_USMCA&amp;""," "," "))))="")+(UPPER(TRIM(CLEAN(SUBSTITUTE(rate_USMCA&amp;""," "," "))))=IF(UPPER(TRIM(CLEAN(SUBSTITUTE(Items!F190&amp;""," "," "))))="Y","Y","N"))&gt;0)*((1+(UPPER(TRIM(CLEAN(SUBSTITUTE(rate_Group&amp;""," "," "))))&lt;&gt;"")+2*(UPPER(TRIM(CLEAN(SUBSTITUTE(rate_USMCA&amp;""," "," "))))&lt;&gt;"")+4*(UPPER(TRIM(CLEAN(SUBSTITUTE(rate_COO&amp;""," "," "))))&lt;&gt;""))*100+ROW(rate_Rate)-4))))</f>
        <v/>
      </c>
      <c r="AP190" s="13">
        <f>IF($AO190=0,0,SUMPRODUCT(ISNUMBER(rate_Rate)*((UPPER(TRIM(CLEAN(SUBSTITUTE(rate_Group&amp;""," "," "))))="")+(UPPER(TRIM(CLEAN(SUBSTITUTE(rate_Group&amp;""," "," "))))=$N190)&gt;0)*((UPPER(TRIM(CLEAN(SUBSTITUTE(rate_COO&amp;""," "," "))))="")+(UPPER(TRIM(CLEAN(SUBSTITUTE(rate_COO&amp;""," "," "))))=$E190)&gt;0)*((UPPER(TRIM(CLEAN(SUBSTITUTE(rate_USMCA&amp;""," "," "))))="")+(UPPER(TRIM(CLEAN(SUBSTITUTE(rate_USMCA&amp;""," "," "))))=IF(UPPER(TRIM(CLEAN(SUBSTITUTE(Items!F190&amp;""," "," "))))="Y","Y","N"))&gt;0)*((1+(UPPER(TRIM(CLEAN(SUBSTITUTE(rate_Group&amp;""," "," "))))&lt;&gt;"")+2*(UPPER(TRIM(CLEAN(SUBSTITUTE(rate_USMCA&amp;""," "," "))))&lt;&gt;"")+4*(UPPER(TRIM(CLEAN(SUBSTITUTE(rate_COO&amp;""," "," "))))&lt;&gt;""))=INT($AO190/100))))</f>
        <v/>
      </c>
      <c r="AQ190" s="13">
        <f>IF($A190="",0,IFERROR(MATCH($AL190,det_Key,0),0))</f>
        <v/>
      </c>
    </row>
    <row r="191">
      <c r="A191" s="10">
        <f>IF(TRIM(CLEAN(SUBSTITUTE(Items!A191&amp;""," "," ")))="","",TRIM(CLEAN(SUBSTITUTE(Items!A191&amp;""," "," "))))</f>
        <v/>
      </c>
      <c r="B191" s="10">
        <f>IF($A191="","",Items!B191&amp;"")</f>
        <v/>
      </c>
      <c r="C191" s="10">
        <f>IF($A191="","",SUBSTITUTE(SUBSTITUTE(SUBSTITUTE(SUBSTITUTE(CLEAN(Items!D191&amp;"")," ",""),".","")," ",""),"-",""))</f>
        <v/>
      </c>
      <c r="D191" s="10">
        <f>IF($A191="","",LEFT($C191,2))</f>
        <v/>
      </c>
      <c r="E191" s="10">
        <f>IF($A191="","",UPPER(TRIM(CLEAN(SUBSTITUTE(Items!E191&amp;""," "," ")))))</f>
        <v/>
      </c>
      <c r="F191" s="10">
        <f>IF($A191="","",IF(UPPER(TRIM(CLEAN(SUBSTITUTE(Items!C191&amp;""," "," "))))=UPPER(TRIM(CLEAN(SUBSTITUTE(act_Country&amp;""," "," ")))),"Y","N"))</f>
        <v/>
      </c>
      <c r="G191" s="10">
        <f>IF($A191="","",IF($AM191&gt;0,"Y","N"))</f>
        <v/>
      </c>
      <c r="H191" s="10">
        <f>IF($A191="","",IF(SUMPRODUCT((excl_HTS&lt;&gt;"")*(LEFT($C191,LEN(excl_HTS))=excl_HTS))&gt;0,"Y","N"))</f>
        <v/>
      </c>
      <c r="I191" s="10">
        <f>IF($A191="","",IF($E191="","N",IF(SUMPRODUCT(--(UPPER(TRIM(CLEAN(SUBSTITUTE(scope_COO&amp;""," "," "))))=$E191))&gt;0,"Y","N")))</f>
        <v/>
      </c>
      <c r="J191" s="10">
        <f>IF($A191="","",IF(AND(UPPER(TRIM(CLEAN(SUBSTITUTE(act_USMCAExempt&amp;""," "," "))))="Y",UPPER(TRIM(CLEAN(SUBSTITUTE(Items!F191&amp;""," "," "))))="Y"),"Y","N"))</f>
        <v/>
      </c>
      <c r="K191" s="10">
        <f>IF($A191="","",IF($AQ191=0,"",UPPER(TRIM(CLEAN(SUBSTITUTE(INDEX(det_Status,$AQ191)&amp;""," "," "))))))</f>
        <v/>
      </c>
      <c r="L191" s="10">
        <f>IF($A191="","",IF($F191="N","N",IF($K191="IN","Y",IF($K191="OUT","N",IF(AND($G191="Y",$H191="N",$I191="Y",$J191="N"),"Y","N")))))</f>
        <v/>
      </c>
      <c r="M191" s="10">
        <f>IF($A191="","",IF($F191="N","Out: different import country",IF($K191="IN","In: Research determination",IF($K191="OUT","Out: Research determination",IF($G191="N","Out: HTS not on scope list",IF($H191="Y","Out: HTS on exclusion list",IF($I191="N","Out: origin not on scope list",IF($J191="Y","Out: USMCA-qualifying, exempt","In: matches scope rules"))))))))</f>
        <v/>
      </c>
      <c r="N191" s="10">
        <f>IF(OR($A191="",$AM191=0),"",UPPER(TRIM(CLEAN(SUBSTITUTE(INDEX(scope_Group,MOD($AM191,1000))&amp;""," "," ")))))</f>
        <v/>
      </c>
      <c r="O191" s="10">
        <f>IF($L191&lt;&gt;"Y","",IF($AO191=0,"Default (B15)",UPPER(TRIM(CLEAN(SUBSTITUTE(INDEX(rate_ID,MOD($AO191,100))&amp;""," "," "))))))</f>
        <v/>
      </c>
      <c r="P191" s="10">
        <f>IF($L191&lt;&gt;"Y","",IF($AO191=0,IF(UPPER(TRIM(CLEAN(SUBSTITUTE(act_DefaultBase&amp;""," "," "))))="PART","PART","FULL"),IF(UPPER(TRIM(CLEAN(SUBSTITUTE(INDEX(rate_Base,MOD($AO191,100))&amp;""," "," "))))="PART","PART","FULL")))</f>
        <v/>
      </c>
      <c r="Q191" s="17">
        <f>IF($A191="","",N(Items!J191))</f>
        <v/>
      </c>
      <c r="R191" s="17">
        <f>IF($A191="","",IF($L191&lt;&gt;"Y",0,IF($AO191=0,N(act_Rate),N(INDEX(rate_Rate,MOD($AO191,100))))))</f>
        <v/>
      </c>
      <c r="S191" s="17">
        <f>IF($A191="","",IF($L191&lt;&gt;"Y",0,IF($AO191=0,IF(UPPER(TRIM(CLEAN(SUBSTITUTE(act_RateType&amp;""," "," "))))="REPLACE",N(act_PriorRate),0),IF(ISNUMBER(INDEX(rate_Prior,MOD($AO191,100))),INDEX(rate_Prior,MOD($AO191,100)),IF(UPPER(TRIM(CLEAN(SUBSTITUTE(act_RateType&amp;""," "," "))))="REPLACE",N(act_PriorRate),0)))))</f>
        <v/>
      </c>
      <c r="T191" s="17">
        <f>IF($A191="","",IF(AND($L191="Y",$P191="PART",ISNUMBER(Items!M191)),Items!M191,1))</f>
        <v/>
      </c>
      <c r="U191" s="17">
        <f>IF($A191="","",IF($L191&lt;&gt;"Y",0,IF($AQ191&gt;0,IF(ISNUMBER(INDEX(det_Displaced,$AQ191)),INDEX(det_Displaced,$AQ191),IF($AO191=0,0,N(INDEX(rate_Displaced,MOD($AO191,100))))),IF($AO191=0,0,N(INDEX(rate_Displaced,MOD($AO191,100)))))))</f>
        <v/>
      </c>
      <c r="V191" s="17">
        <f>IF($A191="","",IF($L191="Y",$Q191+$T191*($R191-$S191)-$U191,$Q191))</f>
        <v/>
      </c>
      <c r="W191" s="18">
        <f>IF($A191="","",N(Items!H191)*$Q191)</f>
        <v/>
      </c>
      <c r="X191" s="18">
        <f>IF($A191="","",N(Items!H191)*$V191)</f>
        <v/>
      </c>
      <c r="Y191" s="18">
        <f>IF($A191="","",$X191-$W191)</f>
        <v/>
      </c>
      <c r="Z191" s="18">
        <f>IF($A191="","",N(Items!K191)+$Y191)</f>
        <v/>
      </c>
      <c r="AA191" s="17">
        <f>IF($A191="","",IF(N(Items!L191)=0,"",(N(Items!L191)-N(Items!K191))/N(Items!L191)))</f>
        <v/>
      </c>
      <c r="AB191" s="17">
        <f>IF($A191="","",IF(N(Items!L191)=0,"",(N(Items!L191)-$Z191)/N(Items!L191)))</f>
        <v/>
      </c>
      <c r="AC191" s="17">
        <f>IF(OR($AA191="",$AB191=""),"",$AB191-$AA191)</f>
        <v/>
      </c>
      <c r="AD191" s="13">
        <f>IF($A191="","",N(Items!I191))</f>
        <v/>
      </c>
      <c r="AE191" s="19">
        <f>IF($A191="","",$Y191*$AD191)</f>
        <v/>
      </c>
      <c r="AF191" s="10">
        <f>IF($A191="","",IF(N(Items!L191)&gt;0,"Y","N"))</f>
        <v/>
      </c>
      <c r="AG191" s="19">
        <f>IF($A191="","",IF($AF191="Y",N(Items!L191)*$AD191,0))</f>
        <v/>
      </c>
      <c r="AH191" s="19">
        <f>IF($A191="","",IF($AF191="Y",(N(Items!L191)-N(Items!K191))*$AD191,0))</f>
        <v/>
      </c>
      <c r="AI191" s="19">
        <f>IF($A191="","",IF($AF191="Y",$AH191-$AE191,0))</f>
        <v/>
      </c>
      <c r="AJ191" s="10">
        <f>IF($A191="","",IF(COUNTIF($AL$5:$AL$254,$AL191)&gt;1,"CHECK: duplicate item and import country",IF(TRIM(CLEAN(SUBSTITUTE(Items!C191&amp;""," "," ")))="","CHECK: import country missing",IF(AND(UPPER(TRIM(CLEAN(SUBSTITUTE(Items!C191&amp;""," "," "))))&lt;&gt;"US",UPPER(TRIM(CLEAN(SUBSTITUTE(Items!C191&amp;""," "," "))))&lt;&gt;"CA",UPPER(TRIM(CLEAN(SUBSTITUTE(Items!C191&amp;""," "," "))))&lt;&gt;"MX"),"CHECK: import country must be US, CA or MX",IF(NOT(AND(LEN($C191)=10,IFERROR(TEXT(VALUE($C191),REPT("0",LEN($C191)))=$C191,FALSE))),"CHECK: HTS must be 10 digits",IF(LEN($E191)&lt;&gt;2,"CHECK: origin code missing or not 2 letters",IF(TRIM(CLEAN(SUBSTITUTE(Items!G191&amp;""," "," ")))="","CHECK: unit of measure missing",IF(OR(Items!H191="",Items!J191="",Items!K191=""),"CHECK: value, rate or cost missing",IF(OR(NOT(ISNUMBER(Items!H191)),NOT(ISNUMBER(Items!J191)),NOT(ISNUMBER(Items!K191)),AND(Items!I191&lt;&gt;"",NOT(ISNUMBER(Items!I191))),AND(Items!L191&lt;&gt;"",NOT(ISNUMBER(Items!L191))),AND(Items!M191&lt;&gt;"",NOT(ISNUMBER(Items!M191)))),"CHECK: text in a number column",IF(AND(ISNUMBER(Items!M191),OR(N(Items!M191)&lt;0,N(Items!M191)&gt;1)),"CHECK: dutiable share must be 0% to 100%",IF(AND(UPPER(TRIM(CLEAN(SUBSTITUTE(Items!F191&amp;""," "," "))))&lt;&gt;"",UPPER(TRIM(CLEAN(SUBSTITUTE(Items!F191&amp;""," "," "))))&lt;&gt;"Y",UPPER(TRIM(CLEAN(SUBSTITUTE(Items!F191&amp;""," "," "))))&lt;&gt;"N"),"CHECK: USMCA flag must be Y, N or blank",IF(AND(UPPER(TRIM(CLEAN(SUBSTITUTE(Items!F191&amp;""," "," "))))="Y",$E191&lt;&gt;"US",$E191&lt;&gt;"CA",$E191&lt;&gt;"MX"),"CHECK: USMCA flag on an origin other than US, CA or MX",IF(AND($L191="Y",$AO191=0,NOT(ISNUMBER(act_Rate))),"CHECK: in scope but no rate (add a rate line or B15)",IF(AND($L191="Y",UPPER(TRIM(CLEAN(SUBSTITUTE(act_RateType&amp;""," "," "))))="REPLACE",NOT(ISNUMBER(act_PriorRate)),IF($AO191=0,TRUE,NOT(ISNUMBER(INDEX(rate_Prior,MOD($AO191,100)))))),"CHECK: REPLACE but no earlier rate (B17 or the rate line's AD)",IF(AND($L191="Y",$AP191&gt;1),"CHECK: two rate lines match equally",IF(AND($L191="Y",$AN191&gt;1),"CHECK: HTS prefix listed twice on the scope list",IF(AND($L191="Y",$P191="PART",NOT(ISNUMBER(Items!M191))),"CHECK: dutiable share missing (PART base)",IF(AND($L191="Y",$P191="FULL",ISNUMBER(Items!M191),N(Items!M191)&lt;&gt;1),"CHECK: dutiable share entered, but the rate taxes the full value",IF(AND($L191="Y",$Q191+0.0000001&lt;$T191*$S191+$U191),"CHECK: current rate is below the duty being replaced or displaced",IF(AND($L191="Y",$AD191=0),"NOTE: in scope, no quantity",IF(AND($L191="Y",$AF191="N"),"NOTE: in scope, no sell price (left out of margin %)",IF(AND($L191="Y",N(Items!H191)&gt;N(Items!K191)),"NOTE: customs value above standard cost (check unit of measure)",IF(AND($L191="Y",$Q191&gt;1),"NOTE: current rate above 100% (check it was entered as a percentage)","OK")))))))))))))))))))))))</f>
        <v/>
      </c>
      <c r="AK191" s="20">
        <f>IF($A191="","",IF(AND($L191="Y",$AE191&lt;&gt;0),ABS($AE191)+ROW()/1000000000,""))</f>
        <v/>
      </c>
      <c r="AL191" s="10">
        <f>IF($A191="","",UPPER($A191)&amp;"/"&amp;UPPER(TRIM(CLEAN(SUBSTITUTE(Items!C191&amp;""," "," ")))))</f>
        <v/>
      </c>
      <c r="AM191" s="13">
        <f>IF($A191="",0,SUMPRODUCT(MAX((scope_HTS&lt;&gt;"")*(LEFT($C191,LEN(scope_HTS))=scope_HTS)*(LEN(scope_HTS)*1000+ROW(scope_HTS)-4))))</f>
        <v/>
      </c>
      <c r="AN191" s="13">
        <f>IF($AM191=0,0,SUMPRODUCT((scope_HTS&lt;&gt;"")*(LEFT($C191,LEN(scope_HTS))=scope_HTS)*(LEN(scope_HTS)=INT($AM191/1000))))</f>
        <v/>
      </c>
      <c r="AO191" s="13">
        <f>IF($L191&lt;&gt;"Y",0,SUMPRODUCT(MAX(ISNUMBER(rate_Rate)*((UPPER(TRIM(CLEAN(SUBSTITUTE(rate_Group&amp;""," "," "))))="")+(UPPER(TRIM(CLEAN(SUBSTITUTE(rate_Group&amp;""," "," "))))=$N191)&gt;0)*((UPPER(TRIM(CLEAN(SUBSTITUTE(rate_COO&amp;""," "," "))))="")+(UPPER(TRIM(CLEAN(SUBSTITUTE(rate_COO&amp;""," "," "))))=$E191)&gt;0)*((UPPER(TRIM(CLEAN(SUBSTITUTE(rate_USMCA&amp;""," "," "))))="")+(UPPER(TRIM(CLEAN(SUBSTITUTE(rate_USMCA&amp;""," "," "))))=IF(UPPER(TRIM(CLEAN(SUBSTITUTE(Items!F191&amp;""," "," "))))="Y","Y","N"))&gt;0)*((1+(UPPER(TRIM(CLEAN(SUBSTITUTE(rate_Group&amp;""," "," "))))&lt;&gt;"")+2*(UPPER(TRIM(CLEAN(SUBSTITUTE(rate_USMCA&amp;""," "," "))))&lt;&gt;"")+4*(UPPER(TRIM(CLEAN(SUBSTITUTE(rate_COO&amp;""," "," "))))&lt;&gt;""))*100+ROW(rate_Rate)-4))))</f>
        <v/>
      </c>
      <c r="AP191" s="13">
        <f>IF($AO191=0,0,SUMPRODUCT(ISNUMBER(rate_Rate)*((UPPER(TRIM(CLEAN(SUBSTITUTE(rate_Group&amp;""," "," "))))="")+(UPPER(TRIM(CLEAN(SUBSTITUTE(rate_Group&amp;""," "," "))))=$N191)&gt;0)*((UPPER(TRIM(CLEAN(SUBSTITUTE(rate_COO&amp;""," "," "))))="")+(UPPER(TRIM(CLEAN(SUBSTITUTE(rate_COO&amp;""," "," "))))=$E191)&gt;0)*((UPPER(TRIM(CLEAN(SUBSTITUTE(rate_USMCA&amp;""," "," "))))="")+(UPPER(TRIM(CLEAN(SUBSTITUTE(rate_USMCA&amp;""," "," "))))=IF(UPPER(TRIM(CLEAN(SUBSTITUTE(Items!F191&amp;""," "," "))))="Y","Y","N"))&gt;0)*((1+(UPPER(TRIM(CLEAN(SUBSTITUTE(rate_Group&amp;""," "," "))))&lt;&gt;"")+2*(UPPER(TRIM(CLEAN(SUBSTITUTE(rate_USMCA&amp;""," "," "))))&lt;&gt;"")+4*(UPPER(TRIM(CLEAN(SUBSTITUTE(rate_COO&amp;""," "," "))))&lt;&gt;""))=INT($AO191/100))))</f>
        <v/>
      </c>
      <c r="AQ191" s="13">
        <f>IF($A191="",0,IFERROR(MATCH($AL191,det_Key,0),0))</f>
        <v/>
      </c>
    </row>
    <row r="192">
      <c r="A192" s="10">
        <f>IF(TRIM(CLEAN(SUBSTITUTE(Items!A192&amp;""," "," ")))="","",TRIM(CLEAN(SUBSTITUTE(Items!A192&amp;""," "," "))))</f>
        <v/>
      </c>
      <c r="B192" s="10">
        <f>IF($A192="","",Items!B192&amp;"")</f>
        <v/>
      </c>
      <c r="C192" s="10">
        <f>IF($A192="","",SUBSTITUTE(SUBSTITUTE(SUBSTITUTE(SUBSTITUTE(CLEAN(Items!D192&amp;"")," ",""),".","")," ",""),"-",""))</f>
        <v/>
      </c>
      <c r="D192" s="10">
        <f>IF($A192="","",LEFT($C192,2))</f>
        <v/>
      </c>
      <c r="E192" s="10">
        <f>IF($A192="","",UPPER(TRIM(CLEAN(SUBSTITUTE(Items!E192&amp;""," "," ")))))</f>
        <v/>
      </c>
      <c r="F192" s="10">
        <f>IF($A192="","",IF(UPPER(TRIM(CLEAN(SUBSTITUTE(Items!C192&amp;""," "," "))))=UPPER(TRIM(CLEAN(SUBSTITUTE(act_Country&amp;""," "," ")))),"Y","N"))</f>
        <v/>
      </c>
      <c r="G192" s="10">
        <f>IF($A192="","",IF($AM192&gt;0,"Y","N"))</f>
        <v/>
      </c>
      <c r="H192" s="10">
        <f>IF($A192="","",IF(SUMPRODUCT((excl_HTS&lt;&gt;"")*(LEFT($C192,LEN(excl_HTS))=excl_HTS))&gt;0,"Y","N"))</f>
        <v/>
      </c>
      <c r="I192" s="10">
        <f>IF($A192="","",IF($E192="","N",IF(SUMPRODUCT(--(UPPER(TRIM(CLEAN(SUBSTITUTE(scope_COO&amp;""," "," "))))=$E192))&gt;0,"Y","N")))</f>
        <v/>
      </c>
      <c r="J192" s="10">
        <f>IF($A192="","",IF(AND(UPPER(TRIM(CLEAN(SUBSTITUTE(act_USMCAExempt&amp;""," "," "))))="Y",UPPER(TRIM(CLEAN(SUBSTITUTE(Items!F192&amp;""," "," "))))="Y"),"Y","N"))</f>
        <v/>
      </c>
      <c r="K192" s="10">
        <f>IF($A192="","",IF($AQ192=0,"",UPPER(TRIM(CLEAN(SUBSTITUTE(INDEX(det_Status,$AQ192)&amp;""," "," "))))))</f>
        <v/>
      </c>
      <c r="L192" s="10">
        <f>IF($A192="","",IF($F192="N","N",IF($K192="IN","Y",IF($K192="OUT","N",IF(AND($G192="Y",$H192="N",$I192="Y",$J192="N"),"Y","N")))))</f>
        <v/>
      </c>
      <c r="M192" s="10">
        <f>IF($A192="","",IF($F192="N","Out: different import country",IF($K192="IN","In: Research determination",IF($K192="OUT","Out: Research determination",IF($G192="N","Out: HTS not on scope list",IF($H192="Y","Out: HTS on exclusion list",IF($I192="N","Out: origin not on scope list",IF($J192="Y","Out: USMCA-qualifying, exempt","In: matches scope rules"))))))))</f>
        <v/>
      </c>
      <c r="N192" s="10">
        <f>IF(OR($A192="",$AM192=0),"",UPPER(TRIM(CLEAN(SUBSTITUTE(INDEX(scope_Group,MOD($AM192,1000))&amp;""," "," ")))))</f>
        <v/>
      </c>
      <c r="O192" s="10">
        <f>IF($L192&lt;&gt;"Y","",IF($AO192=0,"Default (B15)",UPPER(TRIM(CLEAN(SUBSTITUTE(INDEX(rate_ID,MOD($AO192,100))&amp;""," "," "))))))</f>
        <v/>
      </c>
      <c r="P192" s="10">
        <f>IF($L192&lt;&gt;"Y","",IF($AO192=0,IF(UPPER(TRIM(CLEAN(SUBSTITUTE(act_DefaultBase&amp;""," "," "))))="PART","PART","FULL"),IF(UPPER(TRIM(CLEAN(SUBSTITUTE(INDEX(rate_Base,MOD($AO192,100))&amp;""," "," "))))="PART","PART","FULL")))</f>
        <v/>
      </c>
      <c r="Q192" s="17">
        <f>IF($A192="","",N(Items!J192))</f>
        <v/>
      </c>
      <c r="R192" s="17">
        <f>IF($A192="","",IF($L192&lt;&gt;"Y",0,IF($AO192=0,N(act_Rate),N(INDEX(rate_Rate,MOD($AO192,100))))))</f>
        <v/>
      </c>
      <c r="S192" s="17">
        <f>IF($A192="","",IF($L192&lt;&gt;"Y",0,IF($AO192=0,IF(UPPER(TRIM(CLEAN(SUBSTITUTE(act_RateType&amp;""," "," "))))="REPLACE",N(act_PriorRate),0),IF(ISNUMBER(INDEX(rate_Prior,MOD($AO192,100))),INDEX(rate_Prior,MOD($AO192,100)),IF(UPPER(TRIM(CLEAN(SUBSTITUTE(act_RateType&amp;""," "," "))))="REPLACE",N(act_PriorRate),0)))))</f>
        <v/>
      </c>
      <c r="T192" s="17">
        <f>IF($A192="","",IF(AND($L192="Y",$P192="PART",ISNUMBER(Items!M192)),Items!M192,1))</f>
        <v/>
      </c>
      <c r="U192" s="17">
        <f>IF($A192="","",IF($L192&lt;&gt;"Y",0,IF($AQ192&gt;0,IF(ISNUMBER(INDEX(det_Displaced,$AQ192)),INDEX(det_Displaced,$AQ192),IF($AO192=0,0,N(INDEX(rate_Displaced,MOD($AO192,100))))),IF($AO192=0,0,N(INDEX(rate_Displaced,MOD($AO192,100)))))))</f>
        <v/>
      </c>
      <c r="V192" s="17">
        <f>IF($A192="","",IF($L192="Y",$Q192+$T192*($R192-$S192)-$U192,$Q192))</f>
        <v/>
      </c>
      <c r="W192" s="18">
        <f>IF($A192="","",N(Items!H192)*$Q192)</f>
        <v/>
      </c>
      <c r="X192" s="18">
        <f>IF($A192="","",N(Items!H192)*$V192)</f>
        <v/>
      </c>
      <c r="Y192" s="18">
        <f>IF($A192="","",$X192-$W192)</f>
        <v/>
      </c>
      <c r="Z192" s="18">
        <f>IF($A192="","",N(Items!K192)+$Y192)</f>
        <v/>
      </c>
      <c r="AA192" s="17">
        <f>IF($A192="","",IF(N(Items!L192)=0,"",(N(Items!L192)-N(Items!K192))/N(Items!L192)))</f>
        <v/>
      </c>
      <c r="AB192" s="17">
        <f>IF($A192="","",IF(N(Items!L192)=0,"",(N(Items!L192)-$Z192)/N(Items!L192)))</f>
        <v/>
      </c>
      <c r="AC192" s="17">
        <f>IF(OR($AA192="",$AB192=""),"",$AB192-$AA192)</f>
        <v/>
      </c>
      <c r="AD192" s="13">
        <f>IF($A192="","",N(Items!I192))</f>
        <v/>
      </c>
      <c r="AE192" s="19">
        <f>IF($A192="","",$Y192*$AD192)</f>
        <v/>
      </c>
      <c r="AF192" s="10">
        <f>IF($A192="","",IF(N(Items!L192)&gt;0,"Y","N"))</f>
        <v/>
      </c>
      <c r="AG192" s="19">
        <f>IF($A192="","",IF($AF192="Y",N(Items!L192)*$AD192,0))</f>
        <v/>
      </c>
      <c r="AH192" s="19">
        <f>IF($A192="","",IF($AF192="Y",(N(Items!L192)-N(Items!K192))*$AD192,0))</f>
        <v/>
      </c>
      <c r="AI192" s="19">
        <f>IF($A192="","",IF($AF192="Y",$AH192-$AE192,0))</f>
        <v/>
      </c>
      <c r="AJ192" s="10">
        <f>IF($A192="","",IF(COUNTIF($AL$5:$AL$254,$AL192)&gt;1,"CHECK: duplicate item and import country",IF(TRIM(CLEAN(SUBSTITUTE(Items!C192&amp;""," "," ")))="","CHECK: import country missing",IF(AND(UPPER(TRIM(CLEAN(SUBSTITUTE(Items!C192&amp;""," "," "))))&lt;&gt;"US",UPPER(TRIM(CLEAN(SUBSTITUTE(Items!C192&amp;""," "," "))))&lt;&gt;"CA",UPPER(TRIM(CLEAN(SUBSTITUTE(Items!C192&amp;""," "," "))))&lt;&gt;"MX"),"CHECK: import country must be US, CA or MX",IF(NOT(AND(LEN($C192)=10,IFERROR(TEXT(VALUE($C192),REPT("0",LEN($C192)))=$C192,FALSE))),"CHECK: HTS must be 10 digits",IF(LEN($E192)&lt;&gt;2,"CHECK: origin code missing or not 2 letters",IF(TRIM(CLEAN(SUBSTITUTE(Items!G192&amp;""," "," ")))="","CHECK: unit of measure missing",IF(OR(Items!H192="",Items!J192="",Items!K192=""),"CHECK: value, rate or cost missing",IF(OR(NOT(ISNUMBER(Items!H192)),NOT(ISNUMBER(Items!J192)),NOT(ISNUMBER(Items!K192)),AND(Items!I192&lt;&gt;"",NOT(ISNUMBER(Items!I192))),AND(Items!L192&lt;&gt;"",NOT(ISNUMBER(Items!L192))),AND(Items!M192&lt;&gt;"",NOT(ISNUMBER(Items!M192)))),"CHECK: text in a number column",IF(AND(ISNUMBER(Items!M192),OR(N(Items!M192)&lt;0,N(Items!M192)&gt;1)),"CHECK: dutiable share must be 0% to 100%",IF(AND(UPPER(TRIM(CLEAN(SUBSTITUTE(Items!F192&amp;""," "," "))))&lt;&gt;"",UPPER(TRIM(CLEAN(SUBSTITUTE(Items!F192&amp;""," "," "))))&lt;&gt;"Y",UPPER(TRIM(CLEAN(SUBSTITUTE(Items!F192&amp;""," "," "))))&lt;&gt;"N"),"CHECK: USMCA flag must be Y, N or blank",IF(AND(UPPER(TRIM(CLEAN(SUBSTITUTE(Items!F192&amp;""," "," "))))="Y",$E192&lt;&gt;"US",$E192&lt;&gt;"CA",$E192&lt;&gt;"MX"),"CHECK: USMCA flag on an origin other than US, CA or MX",IF(AND($L192="Y",$AO192=0,NOT(ISNUMBER(act_Rate))),"CHECK: in scope but no rate (add a rate line or B15)",IF(AND($L192="Y",UPPER(TRIM(CLEAN(SUBSTITUTE(act_RateType&amp;""," "," "))))="REPLACE",NOT(ISNUMBER(act_PriorRate)),IF($AO192=0,TRUE,NOT(ISNUMBER(INDEX(rate_Prior,MOD($AO192,100)))))),"CHECK: REPLACE but no earlier rate (B17 or the rate line's AD)",IF(AND($L192="Y",$AP192&gt;1),"CHECK: two rate lines match equally",IF(AND($L192="Y",$AN192&gt;1),"CHECK: HTS prefix listed twice on the scope list",IF(AND($L192="Y",$P192="PART",NOT(ISNUMBER(Items!M192))),"CHECK: dutiable share missing (PART base)",IF(AND($L192="Y",$P192="FULL",ISNUMBER(Items!M192),N(Items!M192)&lt;&gt;1),"CHECK: dutiable share entered, but the rate taxes the full value",IF(AND($L192="Y",$Q192+0.0000001&lt;$T192*$S192+$U192),"CHECK: current rate is below the duty being replaced or displaced",IF(AND($L192="Y",$AD192=0),"NOTE: in scope, no quantity",IF(AND($L192="Y",$AF192="N"),"NOTE: in scope, no sell price (left out of margin %)",IF(AND($L192="Y",N(Items!H192)&gt;N(Items!K192)),"NOTE: customs value above standard cost (check unit of measure)",IF(AND($L192="Y",$Q192&gt;1),"NOTE: current rate above 100% (check it was entered as a percentage)","OK")))))))))))))))))))))))</f>
        <v/>
      </c>
      <c r="AK192" s="20">
        <f>IF($A192="","",IF(AND($L192="Y",$AE192&lt;&gt;0),ABS($AE192)+ROW()/1000000000,""))</f>
        <v/>
      </c>
      <c r="AL192" s="10">
        <f>IF($A192="","",UPPER($A192)&amp;"/"&amp;UPPER(TRIM(CLEAN(SUBSTITUTE(Items!C192&amp;""," "," ")))))</f>
        <v/>
      </c>
      <c r="AM192" s="13">
        <f>IF($A192="",0,SUMPRODUCT(MAX((scope_HTS&lt;&gt;"")*(LEFT($C192,LEN(scope_HTS))=scope_HTS)*(LEN(scope_HTS)*1000+ROW(scope_HTS)-4))))</f>
        <v/>
      </c>
      <c r="AN192" s="13">
        <f>IF($AM192=0,0,SUMPRODUCT((scope_HTS&lt;&gt;"")*(LEFT($C192,LEN(scope_HTS))=scope_HTS)*(LEN(scope_HTS)=INT($AM192/1000))))</f>
        <v/>
      </c>
      <c r="AO192" s="13">
        <f>IF($L192&lt;&gt;"Y",0,SUMPRODUCT(MAX(ISNUMBER(rate_Rate)*((UPPER(TRIM(CLEAN(SUBSTITUTE(rate_Group&amp;""," "," "))))="")+(UPPER(TRIM(CLEAN(SUBSTITUTE(rate_Group&amp;""," "," "))))=$N192)&gt;0)*((UPPER(TRIM(CLEAN(SUBSTITUTE(rate_COO&amp;""," "," "))))="")+(UPPER(TRIM(CLEAN(SUBSTITUTE(rate_COO&amp;""," "," "))))=$E192)&gt;0)*((UPPER(TRIM(CLEAN(SUBSTITUTE(rate_USMCA&amp;""," "," "))))="")+(UPPER(TRIM(CLEAN(SUBSTITUTE(rate_USMCA&amp;""," "," "))))=IF(UPPER(TRIM(CLEAN(SUBSTITUTE(Items!F192&amp;""," "," "))))="Y","Y","N"))&gt;0)*((1+(UPPER(TRIM(CLEAN(SUBSTITUTE(rate_Group&amp;""," "," "))))&lt;&gt;"")+2*(UPPER(TRIM(CLEAN(SUBSTITUTE(rate_USMCA&amp;""," "," "))))&lt;&gt;"")+4*(UPPER(TRIM(CLEAN(SUBSTITUTE(rate_COO&amp;""," "," "))))&lt;&gt;""))*100+ROW(rate_Rate)-4))))</f>
        <v/>
      </c>
      <c r="AP192" s="13">
        <f>IF($AO192=0,0,SUMPRODUCT(ISNUMBER(rate_Rate)*((UPPER(TRIM(CLEAN(SUBSTITUTE(rate_Group&amp;""," "," "))))="")+(UPPER(TRIM(CLEAN(SUBSTITUTE(rate_Group&amp;""," "," "))))=$N192)&gt;0)*((UPPER(TRIM(CLEAN(SUBSTITUTE(rate_COO&amp;""," "," "))))="")+(UPPER(TRIM(CLEAN(SUBSTITUTE(rate_COO&amp;""," "," "))))=$E192)&gt;0)*((UPPER(TRIM(CLEAN(SUBSTITUTE(rate_USMCA&amp;""," "," "))))="")+(UPPER(TRIM(CLEAN(SUBSTITUTE(rate_USMCA&amp;""," "," "))))=IF(UPPER(TRIM(CLEAN(SUBSTITUTE(Items!F192&amp;""," "," "))))="Y","Y","N"))&gt;0)*((1+(UPPER(TRIM(CLEAN(SUBSTITUTE(rate_Group&amp;""," "," "))))&lt;&gt;"")+2*(UPPER(TRIM(CLEAN(SUBSTITUTE(rate_USMCA&amp;""," "," "))))&lt;&gt;"")+4*(UPPER(TRIM(CLEAN(SUBSTITUTE(rate_COO&amp;""," "," "))))&lt;&gt;""))=INT($AO192/100))))</f>
        <v/>
      </c>
      <c r="AQ192" s="13">
        <f>IF($A192="",0,IFERROR(MATCH($AL192,det_Key,0),0))</f>
        <v/>
      </c>
    </row>
    <row r="193">
      <c r="A193" s="10">
        <f>IF(TRIM(CLEAN(SUBSTITUTE(Items!A193&amp;""," "," ")))="","",TRIM(CLEAN(SUBSTITUTE(Items!A193&amp;""," "," "))))</f>
        <v/>
      </c>
      <c r="B193" s="10">
        <f>IF($A193="","",Items!B193&amp;"")</f>
        <v/>
      </c>
      <c r="C193" s="10">
        <f>IF($A193="","",SUBSTITUTE(SUBSTITUTE(SUBSTITUTE(SUBSTITUTE(CLEAN(Items!D193&amp;"")," ",""),".","")," ",""),"-",""))</f>
        <v/>
      </c>
      <c r="D193" s="10">
        <f>IF($A193="","",LEFT($C193,2))</f>
        <v/>
      </c>
      <c r="E193" s="10">
        <f>IF($A193="","",UPPER(TRIM(CLEAN(SUBSTITUTE(Items!E193&amp;""," "," ")))))</f>
        <v/>
      </c>
      <c r="F193" s="10">
        <f>IF($A193="","",IF(UPPER(TRIM(CLEAN(SUBSTITUTE(Items!C193&amp;""," "," "))))=UPPER(TRIM(CLEAN(SUBSTITUTE(act_Country&amp;""," "," ")))),"Y","N"))</f>
        <v/>
      </c>
      <c r="G193" s="10">
        <f>IF($A193="","",IF($AM193&gt;0,"Y","N"))</f>
        <v/>
      </c>
      <c r="H193" s="10">
        <f>IF($A193="","",IF(SUMPRODUCT((excl_HTS&lt;&gt;"")*(LEFT($C193,LEN(excl_HTS))=excl_HTS))&gt;0,"Y","N"))</f>
        <v/>
      </c>
      <c r="I193" s="10">
        <f>IF($A193="","",IF($E193="","N",IF(SUMPRODUCT(--(UPPER(TRIM(CLEAN(SUBSTITUTE(scope_COO&amp;""," "," "))))=$E193))&gt;0,"Y","N")))</f>
        <v/>
      </c>
      <c r="J193" s="10">
        <f>IF($A193="","",IF(AND(UPPER(TRIM(CLEAN(SUBSTITUTE(act_USMCAExempt&amp;""," "," "))))="Y",UPPER(TRIM(CLEAN(SUBSTITUTE(Items!F193&amp;""," "," "))))="Y"),"Y","N"))</f>
        <v/>
      </c>
      <c r="K193" s="10">
        <f>IF($A193="","",IF($AQ193=0,"",UPPER(TRIM(CLEAN(SUBSTITUTE(INDEX(det_Status,$AQ193)&amp;""," "," "))))))</f>
        <v/>
      </c>
      <c r="L193" s="10">
        <f>IF($A193="","",IF($F193="N","N",IF($K193="IN","Y",IF($K193="OUT","N",IF(AND($G193="Y",$H193="N",$I193="Y",$J193="N"),"Y","N")))))</f>
        <v/>
      </c>
      <c r="M193" s="10">
        <f>IF($A193="","",IF($F193="N","Out: different import country",IF($K193="IN","In: Research determination",IF($K193="OUT","Out: Research determination",IF($G193="N","Out: HTS not on scope list",IF($H193="Y","Out: HTS on exclusion list",IF($I193="N","Out: origin not on scope list",IF($J193="Y","Out: USMCA-qualifying, exempt","In: matches scope rules"))))))))</f>
        <v/>
      </c>
      <c r="N193" s="10">
        <f>IF(OR($A193="",$AM193=0),"",UPPER(TRIM(CLEAN(SUBSTITUTE(INDEX(scope_Group,MOD($AM193,1000))&amp;""," "," ")))))</f>
        <v/>
      </c>
      <c r="O193" s="10">
        <f>IF($L193&lt;&gt;"Y","",IF($AO193=0,"Default (B15)",UPPER(TRIM(CLEAN(SUBSTITUTE(INDEX(rate_ID,MOD($AO193,100))&amp;""," "," "))))))</f>
        <v/>
      </c>
      <c r="P193" s="10">
        <f>IF($L193&lt;&gt;"Y","",IF($AO193=0,IF(UPPER(TRIM(CLEAN(SUBSTITUTE(act_DefaultBase&amp;""," "," "))))="PART","PART","FULL"),IF(UPPER(TRIM(CLEAN(SUBSTITUTE(INDEX(rate_Base,MOD($AO193,100))&amp;""," "," "))))="PART","PART","FULL")))</f>
        <v/>
      </c>
      <c r="Q193" s="17">
        <f>IF($A193="","",N(Items!J193))</f>
        <v/>
      </c>
      <c r="R193" s="17">
        <f>IF($A193="","",IF($L193&lt;&gt;"Y",0,IF($AO193=0,N(act_Rate),N(INDEX(rate_Rate,MOD($AO193,100))))))</f>
        <v/>
      </c>
      <c r="S193" s="17">
        <f>IF($A193="","",IF($L193&lt;&gt;"Y",0,IF($AO193=0,IF(UPPER(TRIM(CLEAN(SUBSTITUTE(act_RateType&amp;""," "," "))))="REPLACE",N(act_PriorRate),0),IF(ISNUMBER(INDEX(rate_Prior,MOD($AO193,100))),INDEX(rate_Prior,MOD($AO193,100)),IF(UPPER(TRIM(CLEAN(SUBSTITUTE(act_RateType&amp;""," "," "))))="REPLACE",N(act_PriorRate),0)))))</f>
        <v/>
      </c>
      <c r="T193" s="17">
        <f>IF($A193="","",IF(AND($L193="Y",$P193="PART",ISNUMBER(Items!M193)),Items!M193,1))</f>
        <v/>
      </c>
      <c r="U193" s="17">
        <f>IF($A193="","",IF($L193&lt;&gt;"Y",0,IF($AQ193&gt;0,IF(ISNUMBER(INDEX(det_Displaced,$AQ193)),INDEX(det_Displaced,$AQ193),IF($AO193=0,0,N(INDEX(rate_Displaced,MOD($AO193,100))))),IF($AO193=0,0,N(INDEX(rate_Displaced,MOD($AO193,100)))))))</f>
        <v/>
      </c>
      <c r="V193" s="17">
        <f>IF($A193="","",IF($L193="Y",$Q193+$T193*($R193-$S193)-$U193,$Q193))</f>
        <v/>
      </c>
      <c r="W193" s="18">
        <f>IF($A193="","",N(Items!H193)*$Q193)</f>
        <v/>
      </c>
      <c r="X193" s="18">
        <f>IF($A193="","",N(Items!H193)*$V193)</f>
        <v/>
      </c>
      <c r="Y193" s="18">
        <f>IF($A193="","",$X193-$W193)</f>
        <v/>
      </c>
      <c r="Z193" s="18">
        <f>IF($A193="","",N(Items!K193)+$Y193)</f>
        <v/>
      </c>
      <c r="AA193" s="17">
        <f>IF($A193="","",IF(N(Items!L193)=0,"",(N(Items!L193)-N(Items!K193))/N(Items!L193)))</f>
        <v/>
      </c>
      <c r="AB193" s="17">
        <f>IF($A193="","",IF(N(Items!L193)=0,"",(N(Items!L193)-$Z193)/N(Items!L193)))</f>
        <v/>
      </c>
      <c r="AC193" s="17">
        <f>IF(OR($AA193="",$AB193=""),"",$AB193-$AA193)</f>
        <v/>
      </c>
      <c r="AD193" s="13">
        <f>IF($A193="","",N(Items!I193))</f>
        <v/>
      </c>
      <c r="AE193" s="19">
        <f>IF($A193="","",$Y193*$AD193)</f>
        <v/>
      </c>
      <c r="AF193" s="10">
        <f>IF($A193="","",IF(N(Items!L193)&gt;0,"Y","N"))</f>
        <v/>
      </c>
      <c r="AG193" s="19">
        <f>IF($A193="","",IF($AF193="Y",N(Items!L193)*$AD193,0))</f>
        <v/>
      </c>
      <c r="AH193" s="19">
        <f>IF($A193="","",IF($AF193="Y",(N(Items!L193)-N(Items!K193))*$AD193,0))</f>
        <v/>
      </c>
      <c r="AI193" s="19">
        <f>IF($A193="","",IF($AF193="Y",$AH193-$AE193,0))</f>
        <v/>
      </c>
      <c r="AJ193" s="10">
        <f>IF($A193="","",IF(COUNTIF($AL$5:$AL$254,$AL193)&gt;1,"CHECK: duplicate item and import country",IF(TRIM(CLEAN(SUBSTITUTE(Items!C193&amp;""," "," ")))="","CHECK: import country missing",IF(AND(UPPER(TRIM(CLEAN(SUBSTITUTE(Items!C193&amp;""," "," "))))&lt;&gt;"US",UPPER(TRIM(CLEAN(SUBSTITUTE(Items!C193&amp;""," "," "))))&lt;&gt;"CA",UPPER(TRIM(CLEAN(SUBSTITUTE(Items!C193&amp;""," "," "))))&lt;&gt;"MX"),"CHECK: import country must be US, CA or MX",IF(NOT(AND(LEN($C193)=10,IFERROR(TEXT(VALUE($C193),REPT("0",LEN($C193)))=$C193,FALSE))),"CHECK: HTS must be 10 digits",IF(LEN($E193)&lt;&gt;2,"CHECK: origin code missing or not 2 letters",IF(TRIM(CLEAN(SUBSTITUTE(Items!G193&amp;""," "," ")))="","CHECK: unit of measure missing",IF(OR(Items!H193="",Items!J193="",Items!K193=""),"CHECK: value, rate or cost missing",IF(OR(NOT(ISNUMBER(Items!H193)),NOT(ISNUMBER(Items!J193)),NOT(ISNUMBER(Items!K193)),AND(Items!I193&lt;&gt;"",NOT(ISNUMBER(Items!I193))),AND(Items!L193&lt;&gt;"",NOT(ISNUMBER(Items!L193))),AND(Items!M193&lt;&gt;"",NOT(ISNUMBER(Items!M193)))),"CHECK: text in a number column",IF(AND(ISNUMBER(Items!M193),OR(N(Items!M193)&lt;0,N(Items!M193)&gt;1)),"CHECK: dutiable share must be 0% to 100%",IF(AND(UPPER(TRIM(CLEAN(SUBSTITUTE(Items!F193&amp;""," "," "))))&lt;&gt;"",UPPER(TRIM(CLEAN(SUBSTITUTE(Items!F193&amp;""," "," "))))&lt;&gt;"Y",UPPER(TRIM(CLEAN(SUBSTITUTE(Items!F193&amp;""," "," "))))&lt;&gt;"N"),"CHECK: USMCA flag must be Y, N or blank",IF(AND(UPPER(TRIM(CLEAN(SUBSTITUTE(Items!F193&amp;""," "," "))))="Y",$E193&lt;&gt;"US",$E193&lt;&gt;"CA",$E193&lt;&gt;"MX"),"CHECK: USMCA flag on an origin other than US, CA or MX",IF(AND($L193="Y",$AO193=0,NOT(ISNUMBER(act_Rate))),"CHECK: in scope but no rate (add a rate line or B15)",IF(AND($L193="Y",UPPER(TRIM(CLEAN(SUBSTITUTE(act_RateType&amp;""," "," "))))="REPLACE",NOT(ISNUMBER(act_PriorRate)),IF($AO193=0,TRUE,NOT(ISNUMBER(INDEX(rate_Prior,MOD($AO193,100)))))),"CHECK: REPLACE but no earlier rate (B17 or the rate line's AD)",IF(AND($L193="Y",$AP193&gt;1),"CHECK: two rate lines match equally",IF(AND($L193="Y",$AN193&gt;1),"CHECK: HTS prefix listed twice on the scope list",IF(AND($L193="Y",$P193="PART",NOT(ISNUMBER(Items!M193))),"CHECK: dutiable share missing (PART base)",IF(AND($L193="Y",$P193="FULL",ISNUMBER(Items!M193),N(Items!M193)&lt;&gt;1),"CHECK: dutiable share entered, but the rate taxes the full value",IF(AND($L193="Y",$Q193+0.0000001&lt;$T193*$S193+$U193),"CHECK: current rate is below the duty being replaced or displaced",IF(AND($L193="Y",$AD193=0),"NOTE: in scope, no quantity",IF(AND($L193="Y",$AF193="N"),"NOTE: in scope, no sell price (left out of margin %)",IF(AND($L193="Y",N(Items!H193)&gt;N(Items!K193)),"NOTE: customs value above standard cost (check unit of measure)",IF(AND($L193="Y",$Q193&gt;1),"NOTE: current rate above 100% (check it was entered as a percentage)","OK")))))))))))))))))))))))</f>
        <v/>
      </c>
      <c r="AK193" s="20">
        <f>IF($A193="","",IF(AND($L193="Y",$AE193&lt;&gt;0),ABS($AE193)+ROW()/1000000000,""))</f>
        <v/>
      </c>
      <c r="AL193" s="10">
        <f>IF($A193="","",UPPER($A193)&amp;"/"&amp;UPPER(TRIM(CLEAN(SUBSTITUTE(Items!C193&amp;""," "," ")))))</f>
        <v/>
      </c>
      <c r="AM193" s="13">
        <f>IF($A193="",0,SUMPRODUCT(MAX((scope_HTS&lt;&gt;"")*(LEFT($C193,LEN(scope_HTS))=scope_HTS)*(LEN(scope_HTS)*1000+ROW(scope_HTS)-4))))</f>
        <v/>
      </c>
      <c r="AN193" s="13">
        <f>IF($AM193=0,0,SUMPRODUCT((scope_HTS&lt;&gt;"")*(LEFT($C193,LEN(scope_HTS))=scope_HTS)*(LEN(scope_HTS)=INT($AM193/1000))))</f>
        <v/>
      </c>
      <c r="AO193" s="13">
        <f>IF($L193&lt;&gt;"Y",0,SUMPRODUCT(MAX(ISNUMBER(rate_Rate)*((UPPER(TRIM(CLEAN(SUBSTITUTE(rate_Group&amp;""," "," "))))="")+(UPPER(TRIM(CLEAN(SUBSTITUTE(rate_Group&amp;""," "," "))))=$N193)&gt;0)*((UPPER(TRIM(CLEAN(SUBSTITUTE(rate_COO&amp;""," "," "))))="")+(UPPER(TRIM(CLEAN(SUBSTITUTE(rate_COO&amp;""," "," "))))=$E193)&gt;0)*((UPPER(TRIM(CLEAN(SUBSTITUTE(rate_USMCA&amp;""," "," "))))="")+(UPPER(TRIM(CLEAN(SUBSTITUTE(rate_USMCA&amp;""," "," "))))=IF(UPPER(TRIM(CLEAN(SUBSTITUTE(Items!F193&amp;""," "," "))))="Y","Y","N"))&gt;0)*((1+(UPPER(TRIM(CLEAN(SUBSTITUTE(rate_Group&amp;""," "," "))))&lt;&gt;"")+2*(UPPER(TRIM(CLEAN(SUBSTITUTE(rate_USMCA&amp;""," "," "))))&lt;&gt;"")+4*(UPPER(TRIM(CLEAN(SUBSTITUTE(rate_COO&amp;""," "," "))))&lt;&gt;""))*100+ROW(rate_Rate)-4))))</f>
        <v/>
      </c>
      <c r="AP193" s="13">
        <f>IF($AO193=0,0,SUMPRODUCT(ISNUMBER(rate_Rate)*((UPPER(TRIM(CLEAN(SUBSTITUTE(rate_Group&amp;""," "," "))))="")+(UPPER(TRIM(CLEAN(SUBSTITUTE(rate_Group&amp;""," "," "))))=$N193)&gt;0)*((UPPER(TRIM(CLEAN(SUBSTITUTE(rate_COO&amp;""," "," "))))="")+(UPPER(TRIM(CLEAN(SUBSTITUTE(rate_COO&amp;""," "," "))))=$E193)&gt;0)*((UPPER(TRIM(CLEAN(SUBSTITUTE(rate_USMCA&amp;""," "," "))))="")+(UPPER(TRIM(CLEAN(SUBSTITUTE(rate_USMCA&amp;""," "," "))))=IF(UPPER(TRIM(CLEAN(SUBSTITUTE(Items!F193&amp;""," "," "))))="Y","Y","N"))&gt;0)*((1+(UPPER(TRIM(CLEAN(SUBSTITUTE(rate_Group&amp;""," "," "))))&lt;&gt;"")+2*(UPPER(TRIM(CLEAN(SUBSTITUTE(rate_USMCA&amp;""," "," "))))&lt;&gt;"")+4*(UPPER(TRIM(CLEAN(SUBSTITUTE(rate_COO&amp;""," "," "))))&lt;&gt;""))=INT($AO193/100))))</f>
        <v/>
      </c>
      <c r="AQ193" s="13">
        <f>IF($A193="",0,IFERROR(MATCH($AL193,det_Key,0),0))</f>
        <v/>
      </c>
    </row>
    <row r="194">
      <c r="A194" s="10">
        <f>IF(TRIM(CLEAN(SUBSTITUTE(Items!A194&amp;""," "," ")))="","",TRIM(CLEAN(SUBSTITUTE(Items!A194&amp;""," "," "))))</f>
        <v/>
      </c>
      <c r="B194" s="10">
        <f>IF($A194="","",Items!B194&amp;"")</f>
        <v/>
      </c>
      <c r="C194" s="10">
        <f>IF($A194="","",SUBSTITUTE(SUBSTITUTE(SUBSTITUTE(SUBSTITUTE(CLEAN(Items!D194&amp;"")," ",""),".","")," ",""),"-",""))</f>
        <v/>
      </c>
      <c r="D194" s="10">
        <f>IF($A194="","",LEFT($C194,2))</f>
        <v/>
      </c>
      <c r="E194" s="10">
        <f>IF($A194="","",UPPER(TRIM(CLEAN(SUBSTITUTE(Items!E194&amp;""," "," ")))))</f>
        <v/>
      </c>
      <c r="F194" s="10">
        <f>IF($A194="","",IF(UPPER(TRIM(CLEAN(SUBSTITUTE(Items!C194&amp;""," "," "))))=UPPER(TRIM(CLEAN(SUBSTITUTE(act_Country&amp;""," "," ")))),"Y","N"))</f>
        <v/>
      </c>
      <c r="G194" s="10">
        <f>IF($A194="","",IF($AM194&gt;0,"Y","N"))</f>
        <v/>
      </c>
      <c r="H194" s="10">
        <f>IF($A194="","",IF(SUMPRODUCT((excl_HTS&lt;&gt;"")*(LEFT($C194,LEN(excl_HTS))=excl_HTS))&gt;0,"Y","N"))</f>
        <v/>
      </c>
      <c r="I194" s="10">
        <f>IF($A194="","",IF($E194="","N",IF(SUMPRODUCT(--(UPPER(TRIM(CLEAN(SUBSTITUTE(scope_COO&amp;""," "," "))))=$E194))&gt;0,"Y","N")))</f>
        <v/>
      </c>
      <c r="J194" s="10">
        <f>IF($A194="","",IF(AND(UPPER(TRIM(CLEAN(SUBSTITUTE(act_USMCAExempt&amp;""," "," "))))="Y",UPPER(TRIM(CLEAN(SUBSTITUTE(Items!F194&amp;""," "," "))))="Y"),"Y","N"))</f>
        <v/>
      </c>
      <c r="K194" s="10">
        <f>IF($A194="","",IF($AQ194=0,"",UPPER(TRIM(CLEAN(SUBSTITUTE(INDEX(det_Status,$AQ194)&amp;""," "," "))))))</f>
        <v/>
      </c>
      <c r="L194" s="10">
        <f>IF($A194="","",IF($F194="N","N",IF($K194="IN","Y",IF($K194="OUT","N",IF(AND($G194="Y",$H194="N",$I194="Y",$J194="N"),"Y","N")))))</f>
        <v/>
      </c>
      <c r="M194" s="10">
        <f>IF($A194="","",IF($F194="N","Out: different import country",IF($K194="IN","In: Research determination",IF($K194="OUT","Out: Research determination",IF($G194="N","Out: HTS not on scope list",IF($H194="Y","Out: HTS on exclusion list",IF($I194="N","Out: origin not on scope list",IF($J194="Y","Out: USMCA-qualifying, exempt","In: matches scope rules"))))))))</f>
        <v/>
      </c>
      <c r="N194" s="10">
        <f>IF(OR($A194="",$AM194=0),"",UPPER(TRIM(CLEAN(SUBSTITUTE(INDEX(scope_Group,MOD($AM194,1000))&amp;""," "," ")))))</f>
        <v/>
      </c>
      <c r="O194" s="10">
        <f>IF($L194&lt;&gt;"Y","",IF($AO194=0,"Default (B15)",UPPER(TRIM(CLEAN(SUBSTITUTE(INDEX(rate_ID,MOD($AO194,100))&amp;""," "," "))))))</f>
        <v/>
      </c>
      <c r="P194" s="10">
        <f>IF($L194&lt;&gt;"Y","",IF($AO194=0,IF(UPPER(TRIM(CLEAN(SUBSTITUTE(act_DefaultBase&amp;""," "," "))))="PART","PART","FULL"),IF(UPPER(TRIM(CLEAN(SUBSTITUTE(INDEX(rate_Base,MOD($AO194,100))&amp;""," "," "))))="PART","PART","FULL")))</f>
        <v/>
      </c>
      <c r="Q194" s="17">
        <f>IF($A194="","",N(Items!J194))</f>
        <v/>
      </c>
      <c r="R194" s="17">
        <f>IF($A194="","",IF($L194&lt;&gt;"Y",0,IF($AO194=0,N(act_Rate),N(INDEX(rate_Rate,MOD($AO194,100))))))</f>
        <v/>
      </c>
      <c r="S194" s="17">
        <f>IF($A194="","",IF($L194&lt;&gt;"Y",0,IF($AO194=0,IF(UPPER(TRIM(CLEAN(SUBSTITUTE(act_RateType&amp;""," "," "))))="REPLACE",N(act_PriorRate),0),IF(ISNUMBER(INDEX(rate_Prior,MOD($AO194,100))),INDEX(rate_Prior,MOD($AO194,100)),IF(UPPER(TRIM(CLEAN(SUBSTITUTE(act_RateType&amp;""," "," "))))="REPLACE",N(act_PriorRate),0)))))</f>
        <v/>
      </c>
      <c r="T194" s="17">
        <f>IF($A194="","",IF(AND($L194="Y",$P194="PART",ISNUMBER(Items!M194)),Items!M194,1))</f>
        <v/>
      </c>
      <c r="U194" s="17">
        <f>IF($A194="","",IF($L194&lt;&gt;"Y",0,IF($AQ194&gt;0,IF(ISNUMBER(INDEX(det_Displaced,$AQ194)),INDEX(det_Displaced,$AQ194),IF($AO194=0,0,N(INDEX(rate_Displaced,MOD($AO194,100))))),IF($AO194=0,0,N(INDEX(rate_Displaced,MOD($AO194,100)))))))</f>
        <v/>
      </c>
      <c r="V194" s="17">
        <f>IF($A194="","",IF($L194="Y",$Q194+$T194*($R194-$S194)-$U194,$Q194))</f>
        <v/>
      </c>
      <c r="W194" s="18">
        <f>IF($A194="","",N(Items!H194)*$Q194)</f>
        <v/>
      </c>
      <c r="X194" s="18">
        <f>IF($A194="","",N(Items!H194)*$V194)</f>
        <v/>
      </c>
      <c r="Y194" s="18">
        <f>IF($A194="","",$X194-$W194)</f>
        <v/>
      </c>
      <c r="Z194" s="18">
        <f>IF($A194="","",N(Items!K194)+$Y194)</f>
        <v/>
      </c>
      <c r="AA194" s="17">
        <f>IF($A194="","",IF(N(Items!L194)=0,"",(N(Items!L194)-N(Items!K194))/N(Items!L194)))</f>
        <v/>
      </c>
      <c r="AB194" s="17">
        <f>IF($A194="","",IF(N(Items!L194)=0,"",(N(Items!L194)-$Z194)/N(Items!L194)))</f>
        <v/>
      </c>
      <c r="AC194" s="17">
        <f>IF(OR($AA194="",$AB194=""),"",$AB194-$AA194)</f>
        <v/>
      </c>
      <c r="AD194" s="13">
        <f>IF($A194="","",N(Items!I194))</f>
        <v/>
      </c>
      <c r="AE194" s="19">
        <f>IF($A194="","",$Y194*$AD194)</f>
        <v/>
      </c>
      <c r="AF194" s="10">
        <f>IF($A194="","",IF(N(Items!L194)&gt;0,"Y","N"))</f>
        <v/>
      </c>
      <c r="AG194" s="19">
        <f>IF($A194="","",IF($AF194="Y",N(Items!L194)*$AD194,0))</f>
        <v/>
      </c>
      <c r="AH194" s="19">
        <f>IF($A194="","",IF($AF194="Y",(N(Items!L194)-N(Items!K194))*$AD194,0))</f>
        <v/>
      </c>
      <c r="AI194" s="19">
        <f>IF($A194="","",IF($AF194="Y",$AH194-$AE194,0))</f>
        <v/>
      </c>
      <c r="AJ194" s="10">
        <f>IF($A194="","",IF(COUNTIF($AL$5:$AL$254,$AL194)&gt;1,"CHECK: duplicate item and import country",IF(TRIM(CLEAN(SUBSTITUTE(Items!C194&amp;""," "," ")))="","CHECK: import country missing",IF(AND(UPPER(TRIM(CLEAN(SUBSTITUTE(Items!C194&amp;""," "," "))))&lt;&gt;"US",UPPER(TRIM(CLEAN(SUBSTITUTE(Items!C194&amp;""," "," "))))&lt;&gt;"CA",UPPER(TRIM(CLEAN(SUBSTITUTE(Items!C194&amp;""," "," "))))&lt;&gt;"MX"),"CHECK: import country must be US, CA or MX",IF(NOT(AND(LEN($C194)=10,IFERROR(TEXT(VALUE($C194),REPT("0",LEN($C194)))=$C194,FALSE))),"CHECK: HTS must be 10 digits",IF(LEN($E194)&lt;&gt;2,"CHECK: origin code missing or not 2 letters",IF(TRIM(CLEAN(SUBSTITUTE(Items!G194&amp;""," "," ")))="","CHECK: unit of measure missing",IF(OR(Items!H194="",Items!J194="",Items!K194=""),"CHECK: value, rate or cost missing",IF(OR(NOT(ISNUMBER(Items!H194)),NOT(ISNUMBER(Items!J194)),NOT(ISNUMBER(Items!K194)),AND(Items!I194&lt;&gt;"",NOT(ISNUMBER(Items!I194))),AND(Items!L194&lt;&gt;"",NOT(ISNUMBER(Items!L194))),AND(Items!M194&lt;&gt;"",NOT(ISNUMBER(Items!M194)))),"CHECK: text in a number column",IF(AND(ISNUMBER(Items!M194),OR(N(Items!M194)&lt;0,N(Items!M194)&gt;1)),"CHECK: dutiable share must be 0% to 100%",IF(AND(UPPER(TRIM(CLEAN(SUBSTITUTE(Items!F194&amp;""," "," "))))&lt;&gt;"",UPPER(TRIM(CLEAN(SUBSTITUTE(Items!F194&amp;""," "," "))))&lt;&gt;"Y",UPPER(TRIM(CLEAN(SUBSTITUTE(Items!F194&amp;""," "," "))))&lt;&gt;"N"),"CHECK: USMCA flag must be Y, N or blank",IF(AND(UPPER(TRIM(CLEAN(SUBSTITUTE(Items!F194&amp;""," "," "))))="Y",$E194&lt;&gt;"US",$E194&lt;&gt;"CA",$E194&lt;&gt;"MX"),"CHECK: USMCA flag on an origin other than US, CA or MX",IF(AND($L194="Y",$AO194=0,NOT(ISNUMBER(act_Rate))),"CHECK: in scope but no rate (add a rate line or B15)",IF(AND($L194="Y",UPPER(TRIM(CLEAN(SUBSTITUTE(act_RateType&amp;""," "," "))))="REPLACE",NOT(ISNUMBER(act_PriorRate)),IF($AO194=0,TRUE,NOT(ISNUMBER(INDEX(rate_Prior,MOD($AO194,100)))))),"CHECK: REPLACE but no earlier rate (B17 or the rate line's AD)",IF(AND($L194="Y",$AP194&gt;1),"CHECK: two rate lines match equally",IF(AND($L194="Y",$AN194&gt;1),"CHECK: HTS prefix listed twice on the scope list",IF(AND($L194="Y",$P194="PART",NOT(ISNUMBER(Items!M194))),"CHECK: dutiable share missing (PART base)",IF(AND($L194="Y",$P194="FULL",ISNUMBER(Items!M194),N(Items!M194)&lt;&gt;1),"CHECK: dutiable share entered, but the rate taxes the full value",IF(AND($L194="Y",$Q194+0.0000001&lt;$T194*$S194+$U194),"CHECK: current rate is below the duty being replaced or displaced",IF(AND($L194="Y",$AD194=0),"NOTE: in scope, no quantity",IF(AND($L194="Y",$AF194="N"),"NOTE: in scope, no sell price (left out of margin %)",IF(AND($L194="Y",N(Items!H194)&gt;N(Items!K194)),"NOTE: customs value above standard cost (check unit of measure)",IF(AND($L194="Y",$Q194&gt;1),"NOTE: current rate above 100% (check it was entered as a percentage)","OK")))))))))))))))))))))))</f>
        <v/>
      </c>
      <c r="AK194" s="20">
        <f>IF($A194="","",IF(AND($L194="Y",$AE194&lt;&gt;0),ABS($AE194)+ROW()/1000000000,""))</f>
        <v/>
      </c>
      <c r="AL194" s="10">
        <f>IF($A194="","",UPPER($A194)&amp;"/"&amp;UPPER(TRIM(CLEAN(SUBSTITUTE(Items!C194&amp;""," "," ")))))</f>
        <v/>
      </c>
      <c r="AM194" s="13">
        <f>IF($A194="",0,SUMPRODUCT(MAX((scope_HTS&lt;&gt;"")*(LEFT($C194,LEN(scope_HTS))=scope_HTS)*(LEN(scope_HTS)*1000+ROW(scope_HTS)-4))))</f>
        <v/>
      </c>
      <c r="AN194" s="13">
        <f>IF($AM194=0,0,SUMPRODUCT((scope_HTS&lt;&gt;"")*(LEFT($C194,LEN(scope_HTS))=scope_HTS)*(LEN(scope_HTS)=INT($AM194/1000))))</f>
        <v/>
      </c>
      <c r="AO194" s="13">
        <f>IF($L194&lt;&gt;"Y",0,SUMPRODUCT(MAX(ISNUMBER(rate_Rate)*((UPPER(TRIM(CLEAN(SUBSTITUTE(rate_Group&amp;""," "," "))))="")+(UPPER(TRIM(CLEAN(SUBSTITUTE(rate_Group&amp;""," "," "))))=$N194)&gt;0)*((UPPER(TRIM(CLEAN(SUBSTITUTE(rate_COO&amp;""," "," "))))="")+(UPPER(TRIM(CLEAN(SUBSTITUTE(rate_COO&amp;""," "," "))))=$E194)&gt;0)*((UPPER(TRIM(CLEAN(SUBSTITUTE(rate_USMCA&amp;""," "," "))))="")+(UPPER(TRIM(CLEAN(SUBSTITUTE(rate_USMCA&amp;""," "," "))))=IF(UPPER(TRIM(CLEAN(SUBSTITUTE(Items!F194&amp;""," "," "))))="Y","Y","N"))&gt;0)*((1+(UPPER(TRIM(CLEAN(SUBSTITUTE(rate_Group&amp;""," "," "))))&lt;&gt;"")+2*(UPPER(TRIM(CLEAN(SUBSTITUTE(rate_USMCA&amp;""," "," "))))&lt;&gt;"")+4*(UPPER(TRIM(CLEAN(SUBSTITUTE(rate_COO&amp;""," "," "))))&lt;&gt;""))*100+ROW(rate_Rate)-4))))</f>
        <v/>
      </c>
      <c r="AP194" s="13">
        <f>IF($AO194=0,0,SUMPRODUCT(ISNUMBER(rate_Rate)*((UPPER(TRIM(CLEAN(SUBSTITUTE(rate_Group&amp;""," "," "))))="")+(UPPER(TRIM(CLEAN(SUBSTITUTE(rate_Group&amp;""," "," "))))=$N194)&gt;0)*((UPPER(TRIM(CLEAN(SUBSTITUTE(rate_COO&amp;""," "," "))))="")+(UPPER(TRIM(CLEAN(SUBSTITUTE(rate_COO&amp;""," "," "))))=$E194)&gt;0)*((UPPER(TRIM(CLEAN(SUBSTITUTE(rate_USMCA&amp;""," "," "))))="")+(UPPER(TRIM(CLEAN(SUBSTITUTE(rate_USMCA&amp;""," "," "))))=IF(UPPER(TRIM(CLEAN(SUBSTITUTE(Items!F194&amp;""," "," "))))="Y","Y","N"))&gt;0)*((1+(UPPER(TRIM(CLEAN(SUBSTITUTE(rate_Group&amp;""," "," "))))&lt;&gt;"")+2*(UPPER(TRIM(CLEAN(SUBSTITUTE(rate_USMCA&amp;""," "," "))))&lt;&gt;"")+4*(UPPER(TRIM(CLEAN(SUBSTITUTE(rate_COO&amp;""," "," "))))&lt;&gt;""))=INT($AO194/100))))</f>
        <v/>
      </c>
      <c r="AQ194" s="13">
        <f>IF($A194="",0,IFERROR(MATCH($AL194,det_Key,0),0))</f>
        <v/>
      </c>
    </row>
    <row r="195">
      <c r="A195" s="10">
        <f>IF(TRIM(CLEAN(SUBSTITUTE(Items!A195&amp;""," "," ")))="","",TRIM(CLEAN(SUBSTITUTE(Items!A195&amp;""," "," "))))</f>
        <v/>
      </c>
      <c r="B195" s="10">
        <f>IF($A195="","",Items!B195&amp;"")</f>
        <v/>
      </c>
      <c r="C195" s="10">
        <f>IF($A195="","",SUBSTITUTE(SUBSTITUTE(SUBSTITUTE(SUBSTITUTE(CLEAN(Items!D195&amp;"")," ",""),".","")," ",""),"-",""))</f>
        <v/>
      </c>
      <c r="D195" s="10">
        <f>IF($A195="","",LEFT($C195,2))</f>
        <v/>
      </c>
      <c r="E195" s="10">
        <f>IF($A195="","",UPPER(TRIM(CLEAN(SUBSTITUTE(Items!E195&amp;""," "," ")))))</f>
        <v/>
      </c>
      <c r="F195" s="10">
        <f>IF($A195="","",IF(UPPER(TRIM(CLEAN(SUBSTITUTE(Items!C195&amp;""," "," "))))=UPPER(TRIM(CLEAN(SUBSTITUTE(act_Country&amp;""," "," ")))),"Y","N"))</f>
        <v/>
      </c>
      <c r="G195" s="10">
        <f>IF($A195="","",IF($AM195&gt;0,"Y","N"))</f>
        <v/>
      </c>
      <c r="H195" s="10">
        <f>IF($A195="","",IF(SUMPRODUCT((excl_HTS&lt;&gt;"")*(LEFT($C195,LEN(excl_HTS))=excl_HTS))&gt;0,"Y","N"))</f>
        <v/>
      </c>
      <c r="I195" s="10">
        <f>IF($A195="","",IF($E195="","N",IF(SUMPRODUCT(--(UPPER(TRIM(CLEAN(SUBSTITUTE(scope_COO&amp;""," "," "))))=$E195))&gt;0,"Y","N")))</f>
        <v/>
      </c>
      <c r="J195" s="10">
        <f>IF($A195="","",IF(AND(UPPER(TRIM(CLEAN(SUBSTITUTE(act_USMCAExempt&amp;""," "," "))))="Y",UPPER(TRIM(CLEAN(SUBSTITUTE(Items!F195&amp;""," "," "))))="Y"),"Y","N"))</f>
        <v/>
      </c>
      <c r="K195" s="10">
        <f>IF($A195="","",IF($AQ195=0,"",UPPER(TRIM(CLEAN(SUBSTITUTE(INDEX(det_Status,$AQ195)&amp;""," "," "))))))</f>
        <v/>
      </c>
      <c r="L195" s="10">
        <f>IF($A195="","",IF($F195="N","N",IF($K195="IN","Y",IF($K195="OUT","N",IF(AND($G195="Y",$H195="N",$I195="Y",$J195="N"),"Y","N")))))</f>
        <v/>
      </c>
      <c r="M195" s="10">
        <f>IF($A195="","",IF($F195="N","Out: different import country",IF($K195="IN","In: Research determination",IF($K195="OUT","Out: Research determination",IF($G195="N","Out: HTS not on scope list",IF($H195="Y","Out: HTS on exclusion list",IF($I195="N","Out: origin not on scope list",IF($J195="Y","Out: USMCA-qualifying, exempt","In: matches scope rules"))))))))</f>
        <v/>
      </c>
      <c r="N195" s="10">
        <f>IF(OR($A195="",$AM195=0),"",UPPER(TRIM(CLEAN(SUBSTITUTE(INDEX(scope_Group,MOD($AM195,1000))&amp;""," "," ")))))</f>
        <v/>
      </c>
      <c r="O195" s="10">
        <f>IF($L195&lt;&gt;"Y","",IF($AO195=0,"Default (B15)",UPPER(TRIM(CLEAN(SUBSTITUTE(INDEX(rate_ID,MOD($AO195,100))&amp;""," "," "))))))</f>
        <v/>
      </c>
      <c r="P195" s="10">
        <f>IF($L195&lt;&gt;"Y","",IF($AO195=0,IF(UPPER(TRIM(CLEAN(SUBSTITUTE(act_DefaultBase&amp;""," "," "))))="PART","PART","FULL"),IF(UPPER(TRIM(CLEAN(SUBSTITUTE(INDEX(rate_Base,MOD($AO195,100))&amp;""," "," "))))="PART","PART","FULL")))</f>
        <v/>
      </c>
      <c r="Q195" s="17">
        <f>IF($A195="","",N(Items!J195))</f>
        <v/>
      </c>
      <c r="R195" s="17">
        <f>IF($A195="","",IF($L195&lt;&gt;"Y",0,IF($AO195=0,N(act_Rate),N(INDEX(rate_Rate,MOD($AO195,100))))))</f>
        <v/>
      </c>
      <c r="S195" s="17">
        <f>IF($A195="","",IF($L195&lt;&gt;"Y",0,IF($AO195=0,IF(UPPER(TRIM(CLEAN(SUBSTITUTE(act_RateType&amp;""," "," "))))="REPLACE",N(act_PriorRate),0),IF(ISNUMBER(INDEX(rate_Prior,MOD($AO195,100))),INDEX(rate_Prior,MOD($AO195,100)),IF(UPPER(TRIM(CLEAN(SUBSTITUTE(act_RateType&amp;""," "," "))))="REPLACE",N(act_PriorRate),0)))))</f>
        <v/>
      </c>
      <c r="T195" s="17">
        <f>IF($A195="","",IF(AND($L195="Y",$P195="PART",ISNUMBER(Items!M195)),Items!M195,1))</f>
        <v/>
      </c>
      <c r="U195" s="17">
        <f>IF($A195="","",IF($L195&lt;&gt;"Y",0,IF($AQ195&gt;0,IF(ISNUMBER(INDEX(det_Displaced,$AQ195)),INDEX(det_Displaced,$AQ195),IF($AO195=0,0,N(INDEX(rate_Displaced,MOD($AO195,100))))),IF($AO195=0,0,N(INDEX(rate_Displaced,MOD($AO195,100)))))))</f>
        <v/>
      </c>
      <c r="V195" s="17">
        <f>IF($A195="","",IF($L195="Y",$Q195+$T195*($R195-$S195)-$U195,$Q195))</f>
        <v/>
      </c>
      <c r="W195" s="18">
        <f>IF($A195="","",N(Items!H195)*$Q195)</f>
        <v/>
      </c>
      <c r="X195" s="18">
        <f>IF($A195="","",N(Items!H195)*$V195)</f>
        <v/>
      </c>
      <c r="Y195" s="18">
        <f>IF($A195="","",$X195-$W195)</f>
        <v/>
      </c>
      <c r="Z195" s="18">
        <f>IF($A195="","",N(Items!K195)+$Y195)</f>
        <v/>
      </c>
      <c r="AA195" s="17">
        <f>IF($A195="","",IF(N(Items!L195)=0,"",(N(Items!L195)-N(Items!K195))/N(Items!L195)))</f>
        <v/>
      </c>
      <c r="AB195" s="17">
        <f>IF($A195="","",IF(N(Items!L195)=0,"",(N(Items!L195)-$Z195)/N(Items!L195)))</f>
        <v/>
      </c>
      <c r="AC195" s="17">
        <f>IF(OR($AA195="",$AB195=""),"",$AB195-$AA195)</f>
        <v/>
      </c>
      <c r="AD195" s="13">
        <f>IF($A195="","",N(Items!I195))</f>
        <v/>
      </c>
      <c r="AE195" s="19">
        <f>IF($A195="","",$Y195*$AD195)</f>
        <v/>
      </c>
      <c r="AF195" s="10">
        <f>IF($A195="","",IF(N(Items!L195)&gt;0,"Y","N"))</f>
        <v/>
      </c>
      <c r="AG195" s="19">
        <f>IF($A195="","",IF($AF195="Y",N(Items!L195)*$AD195,0))</f>
        <v/>
      </c>
      <c r="AH195" s="19">
        <f>IF($A195="","",IF($AF195="Y",(N(Items!L195)-N(Items!K195))*$AD195,0))</f>
        <v/>
      </c>
      <c r="AI195" s="19">
        <f>IF($A195="","",IF($AF195="Y",$AH195-$AE195,0))</f>
        <v/>
      </c>
      <c r="AJ195" s="10">
        <f>IF($A195="","",IF(COUNTIF($AL$5:$AL$254,$AL195)&gt;1,"CHECK: duplicate item and import country",IF(TRIM(CLEAN(SUBSTITUTE(Items!C195&amp;""," "," ")))="","CHECK: import country missing",IF(AND(UPPER(TRIM(CLEAN(SUBSTITUTE(Items!C195&amp;""," "," "))))&lt;&gt;"US",UPPER(TRIM(CLEAN(SUBSTITUTE(Items!C195&amp;""," "," "))))&lt;&gt;"CA",UPPER(TRIM(CLEAN(SUBSTITUTE(Items!C195&amp;""," "," "))))&lt;&gt;"MX"),"CHECK: import country must be US, CA or MX",IF(NOT(AND(LEN($C195)=10,IFERROR(TEXT(VALUE($C195),REPT("0",LEN($C195)))=$C195,FALSE))),"CHECK: HTS must be 10 digits",IF(LEN($E195)&lt;&gt;2,"CHECK: origin code missing or not 2 letters",IF(TRIM(CLEAN(SUBSTITUTE(Items!G195&amp;""," "," ")))="","CHECK: unit of measure missing",IF(OR(Items!H195="",Items!J195="",Items!K195=""),"CHECK: value, rate or cost missing",IF(OR(NOT(ISNUMBER(Items!H195)),NOT(ISNUMBER(Items!J195)),NOT(ISNUMBER(Items!K195)),AND(Items!I195&lt;&gt;"",NOT(ISNUMBER(Items!I195))),AND(Items!L195&lt;&gt;"",NOT(ISNUMBER(Items!L195))),AND(Items!M195&lt;&gt;"",NOT(ISNUMBER(Items!M195)))),"CHECK: text in a number column",IF(AND(ISNUMBER(Items!M195),OR(N(Items!M195)&lt;0,N(Items!M195)&gt;1)),"CHECK: dutiable share must be 0% to 100%",IF(AND(UPPER(TRIM(CLEAN(SUBSTITUTE(Items!F195&amp;""," "," "))))&lt;&gt;"",UPPER(TRIM(CLEAN(SUBSTITUTE(Items!F195&amp;""," "," "))))&lt;&gt;"Y",UPPER(TRIM(CLEAN(SUBSTITUTE(Items!F195&amp;""," "," "))))&lt;&gt;"N"),"CHECK: USMCA flag must be Y, N or blank",IF(AND(UPPER(TRIM(CLEAN(SUBSTITUTE(Items!F195&amp;""," "," "))))="Y",$E195&lt;&gt;"US",$E195&lt;&gt;"CA",$E195&lt;&gt;"MX"),"CHECK: USMCA flag on an origin other than US, CA or MX",IF(AND($L195="Y",$AO195=0,NOT(ISNUMBER(act_Rate))),"CHECK: in scope but no rate (add a rate line or B15)",IF(AND($L195="Y",UPPER(TRIM(CLEAN(SUBSTITUTE(act_RateType&amp;""," "," "))))="REPLACE",NOT(ISNUMBER(act_PriorRate)),IF($AO195=0,TRUE,NOT(ISNUMBER(INDEX(rate_Prior,MOD($AO195,100)))))),"CHECK: REPLACE but no earlier rate (B17 or the rate line's AD)",IF(AND($L195="Y",$AP195&gt;1),"CHECK: two rate lines match equally",IF(AND($L195="Y",$AN195&gt;1),"CHECK: HTS prefix listed twice on the scope list",IF(AND($L195="Y",$P195="PART",NOT(ISNUMBER(Items!M195))),"CHECK: dutiable share missing (PART base)",IF(AND($L195="Y",$P195="FULL",ISNUMBER(Items!M195),N(Items!M195)&lt;&gt;1),"CHECK: dutiable share entered, but the rate taxes the full value",IF(AND($L195="Y",$Q195+0.0000001&lt;$T195*$S195+$U195),"CHECK: current rate is below the duty being replaced or displaced",IF(AND($L195="Y",$AD195=0),"NOTE: in scope, no quantity",IF(AND($L195="Y",$AF195="N"),"NOTE: in scope, no sell price (left out of margin %)",IF(AND($L195="Y",N(Items!H195)&gt;N(Items!K195)),"NOTE: customs value above standard cost (check unit of measure)",IF(AND($L195="Y",$Q195&gt;1),"NOTE: current rate above 100% (check it was entered as a percentage)","OK")))))))))))))))))))))))</f>
        <v/>
      </c>
      <c r="AK195" s="20">
        <f>IF($A195="","",IF(AND($L195="Y",$AE195&lt;&gt;0),ABS($AE195)+ROW()/1000000000,""))</f>
        <v/>
      </c>
      <c r="AL195" s="10">
        <f>IF($A195="","",UPPER($A195)&amp;"/"&amp;UPPER(TRIM(CLEAN(SUBSTITUTE(Items!C195&amp;""," "," ")))))</f>
        <v/>
      </c>
      <c r="AM195" s="13">
        <f>IF($A195="",0,SUMPRODUCT(MAX((scope_HTS&lt;&gt;"")*(LEFT($C195,LEN(scope_HTS))=scope_HTS)*(LEN(scope_HTS)*1000+ROW(scope_HTS)-4))))</f>
        <v/>
      </c>
      <c r="AN195" s="13">
        <f>IF($AM195=0,0,SUMPRODUCT((scope_HTS&lt;&gt;"")*(LEFT($C195,LEN(scope_HTS))=scope_HTS)*(LEN(scope_HTS)=INT($AM195/1000))))</f>
        <v/>
      </c>
      <c r="AO195" s="13">
        <f>IF($L195&lt;&gt;"Y",0,SUMPRODUCT(MAX(ISNUMBER(rate_Rate)*((UPPER(TRIM(CLEAN(SUBSTITUTE(rate_Group&amp;""," "," "))))="")+(UPPER(TRIM(CLEAN(SUBSTITUTE(rate_Group&amp;""," "," "))))=$N195)&gt;0)*((UPPER(TRIM(CLEAN(SUBSTITUTE(rate_COO&amp;""," "," "))))="")+(UPPER(TRIM(CLEAN(SUBSTITUTE(rate_COO&amp;""," "," "))))=$E195)&gt;0)*((UPPER(TRIM(CLEAN(SUBSTITUTE(rate_USMCA&amp;""," "," "))))="")+(UPPER(TRIM(CLEAN(SUBSTITUTE(rate_USMCA&amp;""," "," "))))=IF(UPPER(TRIM(CLEAN(SUBSTITUTE(Items!F195&amp;""," "," "))))="Y","Y","N"))&gt;0)*((1+(UPPER(TRIM(CLEAN(SUBSTITUTE(rate_Group&amp;""," "," "))))&lt;&gt;"")+2*(UPPER(TRIM(CLEAN(SUBSTITUTE(rate_USMCA&amp;""," "," "))))&lt;&gt;"")+4*(UPPER(TRIM(CLEAN(SUBSTITUTE(rate_COO&amp;""," "," "))))&lt;&gt;""))*100+ROW(rate_Rate)-4))))</f>
        <v/>
      </c>
      <c r="AP195" s="13">
        <f>IF($AO195=0,0,SUMPRODUCT(ISNUMBER(rate_Rate)*((UPPER(TRIM(CLEAN(SUBSTITUTE(rate_Group&amp;""," "," "))))="")+(UPPER(TRIM(CLEAN(SUBSTITUTE(rate_Group&amp;""," "," "))))=$N195)&gt;0)*((UPPER(TRIM(CLEAN(SUBSTITUTE(rate_COO&amp;""," "," "))))="")+(UPPER(TRIM(CLEAN(SUBSTITUTE(rate_COO&amp;""," "," "))))=$E195)&gt;0)*((UPPER(TRIM(CLEAN(SUBSTITUTE(rate_USMCA&amp;""," "," "))))="")+(UPPER(TRIM(CLEAN(SUBSTITUTE(rate_USMCA&amp;""," "," "))))=IF(UPPER(TRIM(CLEAN(SUBSTITUTE(Items!F195&amp;""," "," "))))="Y","Y","N"))&gt;0)*((1+(UPPER(TRIM(CLEAN(SUBSTITUTE(rate_Group&amp;""," "," "))))&lt;&gt;"")+2*(UPPER(TRIM(CLEAN(SUBSTITUTE(rate_USMCA&amp;""," "," "))))&lt;&gt;"")+4*(UPPER(TRIM(CLEAN(SUBSTITUTE(rate_COO&amp;""," "," "))))&lt;&gt;""))=INT($AO195/100))))</f>
        <v/>
      </c>
      <c r="AQ195" s="13">
        <f>IF($A195="",0,IFERROR(MATCH($AL195,det_Key,0),0))</f>
        <v/>
      </c>
    </row>
    <row r="196">
      <c r="A196" s="10">
        <f>IF(TRIM(CLEAN(SUBSTITUTE(Items!A196&amp;""," "," ")))="","",TRIM(CLEAN(SUBSTITUTE(Items!A196&amp;""," "," "))))</f>
        <v/>
      </c>
      <c r="B196" s="10">
        <f>IF($A196="","",Items!B196&amp;"")</f>
        <v/>
      </c>
      <c r="C196" s="10">
        <f>IF($A196="","",SUBSTITUTE(SUBSTITUTE(SUBSTITUTE(SUBSTITUTE(CLEAN(Items!D196&amp;"")," ",""),".","")," ",""),"-",""))</f>
        <v/>
      </c>
      <c r="D196" s="10">
        <f>IF($A196="","",LEFT($C196,2))</f>
        <v/>
      </c>
      <c r="E196" s="10">
        <f>IF($A196="","",UPPER(TRIM(CLEAN(SUBSTITUTE(Items!E196&amp;""," "," ")))))</f>
        <v/>
      </c>
      <c r="F196" s="10">
        <f>IF($A196="","",IF(UPPER(TRIM(CLEAN(SUBSTITUTE(Items!C196&amp;""," "," "))))=UPPER(TRIM(CLEAN(SUBSTITUTE(act_Country&amp;""," "," ")))),"Y","N"))</f>
        <v/>
      </c>
      <c r="G196" s="10">
        <f>IF($A196="","",IF($AM196&gt;0,"Y","N"))</f>
        <v/>
      </c>
      <c r="H196" s="10">
        <f>IF($A196="","",IF(SUMPRODUCT((excl_HTS&lt;&gt;"")*(LEFT($C196,LEN(excl_HTS))=excl_HTS))&gt;0,"Y","N"))</f>
        <v/>
      </c>
      <c r="I196" s="10">
        <f>IF($A196="","",IF($E196="","N",IF(SUMPRODUCT(--(UPPER(TRIM(CLEAN(SUBSTITUTE(scope_COO&amp;""," "," "))))=$E196))&gt;0,"Y","N")))</f>
        <v/>
      </c>
      <c r="J196" s="10">
        <f>IF($A196="","",IF(AND(UPPER(TRIM(CLEAN(SUBSTITUTE(act_USMCAExempt&amp;""," "," "))))="Y",UPPER(TRIM(CLEAN(SUBSTITUTE(Items!F196&amp;""," "," "))))="Y"),"Y","N"))</f>
        <v/>
      </c>
      <c r="K196" s="10">
        <f>IF($A196="","",IF($AQ196=0,"",UPPER(TRIM(CLEAN(SUBSTITUTE(INDEX(det_Status,$AQ196)&amp;""," "," "))))))</f>
        <v/>
      </c>
      <c r="L196" s="10">
        <f>IF($A196="","",IF($F196="N","N",IF($K196="IN","Y",IF($K196="OUT","N",IF(AND($G196="Y",$H196="N",$I196="Y",$J196="N"),"Y","N")))))</f>
        <v/>
      </c>
      <c r="M196" s="10">
        <f>IF($A196="","",IF($F196="N","Out: different import country",IF($K196="IN","In: Research determination",IF($K196="OUT","Out: Research determination",IF($G196="N","Out: HTS not on scope list",IF($H196="Y","Out: HTS on exclusion list",IF($I196="N","Out: origin not on scope list",IF($J196="Y","Out: USMCA-qualifying, exempt","In: matches scope rules"))))))))</f>
        <v/>
      </c>
      <c r="N196" s="10">
        <f>IF(OR($A196="",$AM196=0),"",UPPER(TRIM(CLEAN(SUBSTITUTE(INDEX(scope_Group,MOD($AM196,1000))&amp;""," "," ")))))</f>
        <v/>
      </c>
      <c r="O196" s="10">
        <f>IF($L196&lt;&gt;"Y","",IF($AO196=0,"Default (B15)",UPPER(TRIM(CLEAN(SUBSTITUTE(INDEX(rate_ID,MOD($AO196,100))&amp;""," "," "))))))</f>
        <v/>
      </c>
      <c r="P196" s="10">
        <f>IF($L196&lt;&gt;"Y","",IF($AO196=0,IF(UPPER(TRIM(CLEAN(SUBSTITUTE(act_DefaultBase&amp;""," "," "))))="PART","PART","FULL"),IF(UPPER(TRIM(CLEAN(SUBSTITUTE(INDEX(rate_Base,MOD($AO196,100))&amp;""," "," "))))="PART","PART","FULL")))</f>
        <v/>
      </c>
      <c r="Q196" s="17">
        <f>IF($A196="","",N(Items!J196))</f>
        <v/>
      </c>
      <c r="R196" s="17">
        <f>IF($A196="","",IF($L196&lt;&gt;"Y",0,IF($AO196=0,N(act_Rate),N(INDEX(rate_Rate,MOD($AO196,100))))))</f>
        <v/>
      </c>
      <c r="S196" s="17">
        <f>IF($A196="","",IF($L196&lt;&gt;"Y",0,IF($AO196=0,IF(UPPER(TRIM(CLEAN(SUBSTITUTE(act_RateType&amp;""," "," "))))="REPLACE",N(act_PriorRate),0),IF(ISNUMBER(INDEX(rate_Prior,MOD($AO196,100))),INDEX(rate_Prior,MOD($AO196,100)),IF(UPPER(TRIM(CLEAN(SUBSTITUTE(act_RateType&amp;""," "," "))))="REPLACE",N(act_PriorRate),0)))))</f>
        <v/>
      </c>
      <c r="T196" s="17">
        <f>IF($A196="","",IF(AND($L196="Y",$P196="PART",ISNUMBER(Items!M196)),Items!M196,1))</f>
        <v/>
      </c>
      <c r="U196" s="17">
        <f>IF($A196="","",IF($L196&lt;&gt;"Y",0,IF($AQ196&gt;0,IF(ISNUMBER(INDEX(det_Displaced,$AQ196)),INDEX(det_Displaced,$AQ196),IF($AO196=0,0,N(INDEX(rate_Displaced,MOD($AO196,100))))),IF($AO196=0,0,N(INDEX(rate_Displaced,MOD($AO196,100)))))))</f>
        <v/>
      </c>
      <c r="V196" s="17">
        <f>IF($A196="","",IF($L196="Y",$Q196+$T196*($R196-$S196)-$U196,$Q196))</f>
        <v/>
      </c>
      <c r="W196" s="18">
        <f>IF($A196="","",N(Items!H196)*$Q196)</f>
        <v/>
      </c>
      <c r="X196" s="18">
        <f>IF($A196="","",N(Items!H196)*$V196)</f>
        <v/>
      </c>
      <c r="Y196" s="18">
        <f>IF($A196="","",$X196-$W196)</f>
        <v/>
      </c>
      <c r="Z196" s="18">
        <f>IF($A196="","",N(Items!K196)+$Y196)</f>
        <v/>
      </c>
      <c r="AA196" s="17">
        <f>IF($A196="","",IF(N(Items!L196)=0,"",(N(Items!L196)-N(Items!K196))/N(Items!L196)))</f>
        <v/>
      </c>
      <c r="AB196" s="17">
        <f>IF($A196="","",IF(N(Items!L196)=0,"",(N(Items!L196)-$Z196)/N(Items!L196)))</f>
        <v/>
      </c>
      <c r="AC196" s="17">
        <f>IF(OR($AA196="",$AB196=""),"",$AB196-$AA196)</f>
        <v/>
      </c>
      <c r="AD196" s="13">
        <f>IF($A196="","",N(Items!I196))</f>
        <v/>
      </c>
      <c r="AE196" s="19">
        <f>IF($A196="","",$Y196*$AD196)</f>
        <v/>
      </c>
      <c r="AF196" s="10">
        <f>IF($A196="","",IF(N(Items!L196)&gt;0,"Y","N"))</f>
        <v/>
      </c>
      <c r="AG196" s="19">
        <f>IF($A196="","",IF($AF196="Y",N(Items!L196)*$AD196,0))</f>
        <v/>
      </c>
      <c r="AH196" s="19">
        <f>IF($A196="","",IF($AF196="Y",(N(Items!L196)-N(Items!K196))*$AD196,0))</f>
        <v/>
      </c>
      <c r="AI196" s="19">
        <f>IF($A196="","",IF($AF196="Y",$AH196-$AE196,0))</f>
        <v/>
      </c>
      <c r="AJ196" s="10">
        <f>IF($A196="","",IF(COUNTIF($AL$5:$AL$254,$AL196)&gt;1,"CHECK: duplicate item and import country",IF(TRIM(CLEAN(SUBSTITUTE(Items!C196&amp;""," "," ")))="","CHECK: import country missing",IF(AND(UPPER(TRIM(CLEAN(SUBSTITUTE(Items!C196&amp;""," "," "))))&lt;&gt;"US",UPPER(TRIM(CLEAN(SUBSTITUTE(Items!C196&amp;""," "," "))))&lt;&gt;"CA",UPPER(TRIM(CLEAN(SUBSTITUTE(Items!C196&amp;""," "," "))))&lt;&gt;"MX"),"CHECK: import country must be US, CA or MX",IF(NOT(AND(LEN($C196)=10,IFERROR(TEXT(VALUE($C196),REPT("0",LEN($C196)))=$C196,FALSE))),"CHECK: HTS must be 10 digits",IF(LEN($E196)&lt;&gt;2,"CHECK: origin code missing or not 2 letters",IF(TRIM(CLEAN(SUBSTITUTE(Items!G196&amp;""," "," ")))="","CHECK: unit of measure missing",IF(OR(Items!H196="",Items!J196="",Items!K196=""),"CHECK: value, rate or cost missing",IF(OR(NOT(ISNUMBER(Items!H196)),NOT(ISNUMBER(Items!J196)),NOT(ISNUMBER(Items!K196)),AND(Items!I196&lt;&gt;"",NOT(ISNUMBER(Items!I196))),AND(Items!L196&lt;&gt;"",NOT(ISNUMBER(Items!L196))),AND(Items!M196&lt;&gt;"",NOT(ISNUMBER(Items!M196)))),"CHECK: text in a number column",IF(AND(ISNUMBER(Items!M196),OR(N(Items!M196)&lt;0,N(Items!M196)&gt;1)),"CHECK: dutiable share must be 0% to 100%",IF(AND(UPPER(TRIM(CLEAN(SUBSTITUTE(Items!F196&amp;""," "," "))))&lt;&gt;"",UPPER(TRIM(CLEAN(SUBSTITUTE(Items!F196&amp;""," "," "))))&lt;&gt;"Y",UPPER(TRIM(CLEAN(SUBSTITUTE(Items!F196&amp;""," "," "))))&lt;&gt;"N"),"CHECK: USMCA flag must be Y, N or blank",IF(AND(UPPER(TRIM(CLEAN(SUBSTITUTE(Items!F196&amp;""," "," "))))="Y",$E196&lt;&gt;"US",$E196&lt;&gt;"CA",$E196&lt;&gt;"MX"),"CHECK: USMCA flag on an origin other than US, CA or MX",IF(AND($L196="Y",$AO196=0,NOT(ISNUMBER(act_Rate))),"CHECK: in scope but no rate (add a rate line or B15)",IF(AND($L196="Y",UPPER(TRIM(CLEAN(SUBSTITUTE(act_RateType&amp;""," "," "))))="REPLACE",NOT(ISNUMBER(act_PriorRate)),IF($AO196=0,TRUE,NOT(ISNUMBER(INDEX(rate_Prior,MOD($AO196,100)))))),"CHECK: REPLACE but no earlier rate (B17 or the rate line's AD)",IF(AND($L196="Y",$AP196&gt;1),"CHECK: two rate lines match equally",IF(AND($L196="Y",$AN196&gt;1),"CHECK: HTS prefix listed twice on the scope list",IF(AND($L196="Y",$P196="PART",NOT(ISNUMBER(Items!M196))),"CHECK: dutiable share missing (PART base)",IF(AND($L196="Y",$P196="FULL",ISNUMBER(Items!M196),N(Items!M196)&lt;&gt;1),"CHECK: dutiable share entered, but the rate taxes the full value",IF(AND($L196="Y",$Q196+0.0000001&lt;$T196*$S196+$U196),"CHECK: current rate is below the duty being replaced or displaced",IF(AND($L196="Y",$AD196=0),"NOTE: in scope, no quantity",IF(AND($L196="Y",$AF196="N"),"NOTE: in scope, no sell price (left out of margin %)",IF(AND($L196="Y",N(Items!H196)&gt;N(Items!K196)),"NOTE: customs value above standard cost (check unit of measure)",IF(AND($L196="Y",$Q196&gt;1),"NOTE: current rate above 100% (check it was entered as a percentage)","OK")))))))))))))))))))))))</f>
        <v/>
      </c>
      <c r="AK196" s="20">
        <f>IF($A196="","",IF(AND($L196="Y",$AE196&lt;&gt;0),ABS($AE196)+ROW()/1000000000,""))</f>
        <v/>
      </c>
      <c r="AL196" s="10">
        <f>IF($A196="","",UPPER($A196)&amp;"/"&amp;UPPER(TRIM(CLEAN(SUBSTITUTE(Items!C196&amp;""," "," ")))))</f>
        <v/>
      </c>
      <c r="AM196" s="13">
        <f>IF($A196="",0,SUMPRODUCT(MAX((scope_HTS&lt;&gt;"")*(LEFT($C196,LEN(scope_HTS))=scope_HTS)*(LEN(scope_HTS)*1000+ROW(scope_HTS)-4))))</f>
        <v/>
      </c>
      <c r="AN196" s="13">
        <f>IF($AM196=0,0,SUMPRODUCT((scope_HTS&lt;&gt;"")*(LEFT($C196,LEN(scope_HTS))=scope_HTS)*(LEN(scope_HTS)=INT($AM196/1000))))</f>
        <v/>
      </c>
      <c r="AO196" s="13">
        <f>IF($L196&lt;&gt;"Y",0,SUMPRODUCT(MAX(ISNUMBER(rate_Rate)*((UPPER(TRIM(CLEAN(SUBSTITUTE(rate_Group&amp;""," "," "))))="")+(UPPER(TRIM(CLEAN(SUBSTITUTE(rate_Group&amp;""," "," "))))=$N196)&gt;0)*((UPPER(TRIM(CLEAN(SUBSTITUTE(rate_COO&amp;""," "," "))))="")+(UPPER(TRIM(CLEAN(SUBSTITUTE(rate_COO&amp;""," "," "))))=$E196)&gt;0)*((UPPER(TRIM(CLEAN(SUBSTITUTE(rate_USMCA&amp;""," "," "))))="")+(UPPER(TRIM(CLEAN(SUBSTITUTE(rate_USMCA&amp;""," "," "))))=IF(UPPER(TRIM(CLEAN(SUBSTITUTE(Items!F196&amp;""," "," "))))="Y","Y","N"))&gt;0)*((1+(UPPER(TRIM(CLEAN(SUBSTITUTE(rate_Group&amp;""," "," "))))&lt;&gt;"")+2*(UPPER(TRIM(CLEAN(SUBSTITUTE(rate_USMCA&amp;""," "," "))))&lt;&gt;"")+4*(UPPER(TRIM(CLEAN(SUBSTITUTE(rate_COO&amp;""," "," "))))&lt;&gt;""))*100+ROW(rate_Rate)-4))))</f>
        <v/>
      </c>
      <c r="AP196" s="13">
        <f>IF($AO196=0,0,SUMPRODUCT(ISNUMBER(rate_Rate)*((UPPER(TRIM(CLEAN(SUBSTITUTE(rate_Group&amp;""," "," "))))="")+(UPPER(TRIM(CLEAN(SUBSTITUTE(rate_Group&amp;""," "," "))))=$N196)&gt;0)*((UPPER(TRIM(CLEAN(SUBSTITUTE(rate_COO&amp;""," "," "))))="")+(UPPER(TRIM(CLEAN(SUBSTITUTE(rate_COO&amp;""," "," "))))=$E196)&gt;0)*((UPPER(TRIM(CLEAN(SUBSTITUTE(rate_USMCA&amp;""," "," "))))="")+(UPPER(TRIM(CLEAN(SUBSTITUTE(rate_USMCA&amp;""," "," "))))=IF(UPPER(TRIM(CLEAN(SUBSTITUTE(Items!F196&amp;""," "," "))))="Y","Y","N"))&gt;0)*((1+(UPPER(TRIM(CLEAN(SUBSTITUTE(rate_Group&amp;""," "," "))))&lt;&gt;"")+2*(UPPER(TRIM(CLEAN(SUBSTITUTE(rate_USMCA&amp;""," "," "))))&lt;&gt;"")+4*(UPPER(TRIM(CLEAN(SUBSTITUTE(rate_COO&amp;""," "," "))))&lt;&gt;""))=INT($AO196/100))))</f>
        <v/>
      </c>
      <c r="AQ196" s="13">
        <f>IF($A196="",0,IFERROR(MATCH($AL196,det_Key,0),0))</f>
        <v/>
      </c>
    </row>
    <row r="197">
      <c r="A197" s="10">
        <f>IF(TRIM(CLEAN(SUBSTITUTE(Items!A197&amp;""," "," ")))="","",TRIM(CLEAN(SUBSTITUTE(Items!A197&amp;""," "," "))))</f>
        <v/>
      </c>
      <c r="B197" s="10">
        <f>IF($A197="","",Items!B197&amp;"")</f>
        <v/>
      </c>
      <c r="C197" s="10">
        <f>IF($A197="","",SUBSTITUTE(SUBSTITUTE(SUBSTITUTE(SUBSTITUTE(CLEAN(Items!D197&amp;"")," ",""),".","")," ",""),"-",""))</f>
        <v/>
      </c>
      <c r="D197" s="10">
        <f>IF($A197="","",LEFT($C197,2))</f>
        <v/>
      </c>
      <c r="E197" s="10">
        <f>IF($A197="","",UPPER(TRIM(CLEAN(SUBSTITUTE(Items!E197&amp;""," "," ")))))</f>
        <v/>
      </c>
      <c r="F197" s="10">
        <f>IF($A197="","",IF(UPPER(TRIM(CLEAN(SUBSTITUTE(Items!C197&amp;""," "," "))))=UPPER(TRIM(CLEAN(SUBSTITUTE(act_Country&amp;""," "," ")))),"Y","N"))</f>
        <v/>
      </c>
      <c r="G197" s="10">
        <f>IF($A197="","",IF($AM197&gt;0,"Y","N"))</f>
        <v/>
      </c>
      <c r="H197" s="10">
        <f>IF($A197="","",IF(SUMPRODUCT((excl_HTS&lt;&gt;"")*(LEFT($C197,LEN(excl_HTS))=excl_HTS))&gt;0,"Y","N"))</f>
        <v/>
      </c>
      <c r="I197" s="10">
        <f>IF($A197="","",IF($E197="","N",IF(SUMPRODUCT(--(UPPER(TRIM(CLEAN(SUBSTITUTE(scope_COO&amp;""," "," "))))=$E197))&gt;0,"Y","N")))</f>
        <v/>
      </c>
      <c r="J197" s="10">
        <f>IF($A197="","",IF(AND(UPPER(TRIM(CLEAN(SUBSTITUTE(act_USMCAExempt&amp;""," "," "))))="Y",UPPER(TRIM(CLEAN(SUBSTITUTE(Items!F197&amp;""," "," "))))="Y"),"Y","N"))</f>
        <v/>
      </c>
      <c r="K197" s="10">
        <f>IF($A197="","",IF($AQ197=0,"",UPPER(TRIM(CLEAN(SUBSTITUTE(INDEX(det_Status,$AQ197)&amp;""," "," "))))))</f>
        <v/>
      </c>
      <c r="L197" s="10">
        <f>IF($A197="","",IF($F197="N","N",IF($K197="IN","Y",IF($K197="OUT","N",IF(AND($G197="Y",$H197="N",$I197="Y",$J197="N"),"Y","N")))))</f>
        <v/>
      </c>
      <c r="M197" s="10">
        <f>IF($A197="","",IF($F197="N","Out: different import country",IF($K197="IN","In: Research determination",IF($K197="OUT","Out: Research determination",IF($G197="N","Out: HTS not on scope list",IF($H197="Y","Out: HTS on exclusion list",IF($I197="N","Out: origin not on scope list",IF($J197="Y","Out: USMCA-qualifying, exempt","In: matches scope rules"))))))))</f>
        <v/>
      </c>
      <c r="N197" s="10">
        <f>IF(OR($A197="",$AM197=0),"",UPPER(TRIM(CLEAN(SUBSTITUTE(INDEX(scope_Group,MOD($AM197,1000))&amp;""," "," ")))))</f>
        <v/>
      </c>
      <c r="O197" s="10">
        <f>IF($L197&lt;&gt;"Y","",IF($AO197=0,"Default (B15)",UPPER(TRIM(CLEAN(SUBSTITUTE(INDEX(rate_ID,MOD($AO197,100))&amp;""," "," "))))))</f>
        <v/>
      </c>
      <c r="P197" s="10">
        <f>IF($L197&lt;&gt;"Y","",IF($AO197=0,IF(UPPER(TRIM(CLEAN(SUBSTITUTE(act_DefaultBase&amp;""," "," "))))="PART","PART","FULL"),IF(UPPER(TRIM(CLEAN(SUBSTITUTE(INDEX(rate_Base,MOD($AO197,100))&amp;""," "," "))))="PART","PART","FULL")))</f>
        <v/>
      </c>
      <c r="Q197" s="17">
        <f>IF($A197="","",N(Items!J197))</f>
        <v/>
      </c>
      <c r="R197" s="17">
        <f>IF($A197="","",IF($L197&lt;&gt;"Y",0,IF($AO197=0,N(act_Rate),N(INDEX(rate_Rate,MOD($AO197,100))))))</f>
        <v/>
      </c>
      <c r="S197" s="17">
        <f>IF($A197="","",IF($L197&lt;&gt;"Y",0,IF($AO197=0,IF(UPPER(TRIM(CLEAN(SUBSTITUTE(act_RateType&amp;""," "," "))))="REPLACE",N(act_PriorRate),0),IF(ISNUMBER(INDEX(rate_Prior,MOD($AO197,100))),INDEX(rate_Prior,MOD($AO197,100)),IF(UPPER(TRIM(CLEAN(SUBSTITUTE(act_RateType&amp;""," "," "))))="REPLACE",N(act_PriorRate),0)))))</f>
        <v/>
      </c>
      <c r="T197" s="17">
        <f>IF($A197="","",IF(AND($L197="Y",$P197="PART",ISNUMBER(Items!M197)),Items!M197,1))</f>
        <v/>
      </c>
      <c r="U197" s="17">
        <f>IF($A197="","",IF($L197&lt;&gt;"Y",0,IF($AQ197&gt;0,IF(ISNUMBER(INDEX(det_Displaced,$AQ197)),INDEX(det_Displaced,$AQ197),IF($AO197=0,0,N(INDEX(rate_Displaced,MOD($AO197,100))))),IF($AO197=0,0,N(INDEX(rate_Displaced,MOD($AO197,100)))))))</f>
        <v/>
      </c>
      <c r="V197" s="17">
        <f>IF($A197="","",IF($L197="Y",$Q197+$T197*($R197-$S197)-$U197,$Q197))</f>
        <v/>
      </c>
      <c r="W197" s="18">
        <f>IF($A197="","",N(Items!H197)*$Q197)</f>
        <v/>
      </c>
      <c r="X197" s="18">
        <f>IF($A197="","",N(Items!H197)*$V197)</f>
        <v/>
      </c>
      <c r="Y197" s="18">
        <f>IF($A197="","",$X197-$W197)</f>
        <v/>
      </c>
      <c r="Z197" s="18">
        <f>IF($A197="","",N(Items!K197)+$Y197)</f>
        <v/>
      </c>
      <c r="AA197" s="17">
        <f>IF($A197="","",IF(N(Items!L197)=0,"",(N(Items!L197)-N(Items!K197))/N(Items!L197)))</f>
        <v/>
      </c>
      <c r="AB197" s="17">
        <f>IF($A197="","",IF(N(Items!L197)=0,"",(N(Items!L197)-$Z197)/N(Items!L197)))</f>
        <v/>
      </c>
      <c r="AC197" s="17">
        <f>IF(OR($AA197="",$AB197=""),"",$AB197-$AA197)</f>
        <v/>
      </c>
      <c r="AD197" s="13">
        <f>IF($A197="","",N(Items!I197))</f>
        <v/>
      </c>
      <c r="AE197" s="19">
        <f>IF($A197="","",$Y197*$AD197)</f>
        <v/>
      </c>
      <c r="AF197" s="10">
        <f>IF($A197="","",IF(N(Items!L197)&gt;0,"Y","N"))</f>
        <v/>
      </c>
      <c r="AG197" s="19">
        <f>IF($A197="","",IF($AF197="Y",N(Items!L197)*$AD197,0))</f>
        <v/>
      </c>
      <c r="AH197" s="19">
        <f>IF($A197="","",IF($AF197="Y",(N(Items!L197)-N(Items!K197))*$AD197,0))</f>
        <v/>
      </c>
      <c r="AI197" s="19">
        <f>IF($A197="","",IF($AF197="Y",$AH197-$AE197,0))</f>
        <v/>
      </c>
      <c r="AJ197" s="10">
        <f>IF($A197="","",IF(COUNTIF($AL$5:$AL$254,$AL197)&gt;1,"CHECK: duplicate item and import country",IF(TRIM(CLEAN(SUBSTITUTE(Items!C197&amp;""," "," ")))="","CHECK: import country missing",IF(AND(UPPER(TRIM(CLEAN(SUBSTITUTE(Items!C197&amp;""," "," "))))&lt;&gt;"US",UPPER(TRIM(CLEAN(SUBSTITUTE(Items!C197&amp;""," "," "))))&lt;&gt;"CA",UPPER(TRIM(CLEAN(SUBSTITUTE(Items!C197&amp;""," "," "))))&lt;&gt;"MX"),"CHECK: import country must be US, CA or MX",IF(NOT(AND(LEN($C197)=10,IFERROR(TEXT(VALUE($C197),REPT("0",LEN($C197)))=$C197,FALSE))),"CHECK: HTS must be 10 digits",IF(LEN($E197)&lt;&gt;2,"CHECK: origin code missing or not 2 letters",IF(TRIM(CLEAN(SUBSTITUTE(Items!G197&amp;""," "," ")))="","CHECK: unit of measure missing",IF(OR(Items!H197="",Items!J197="",Items!K197=""),"CHECK: value, rate or cost missing",IF(OR(NOT(ISNUMBER(Items!H197)),NOT(ISNUMBER(Items!J197)),NOT(ISNUMBER(Items!K197)),AND(Items!I197&lt;&gt;"",NOT(ISNUMBER(Items!I197))),AND(Items!L197&lt;&gt;"",NOT(ISNUMBER(Items!L197))),AND(Items!M197&lt;&gt;"",NOT(ISNUMBER(Items!M197)))),"CHECK: text in a number column",IF(AND(ISNUMBER(Items!M197),OR(N(Items!M197)&lt;0,N(Items!M197)&gt;1)),"CHECK: dutiable share must be 0% to 100%",IF(AND(UPPER(TRIM(CLEAN(SUBSTITUTE(Items!F197&amp;""," "," "))))&lt;&gt;"",UPPER(TRIM(CLEAN(SUBSTITUTE(Items!F197&amp;""," "," "))))&lt;&gt;"Y",UPPER(TRIM(CLEAN(SUBSTITUTE(Items!F197&amp;""," "," "))))&lt;&gt;"N"),"CHECK: USMCA flag must be Y, N or blank",IF(AND(UPPER(TRIM(CLEAN(SUBSTITUTE(Items!F197&amp;""," "," "))))="Y",$E197&lt;&gt;"US",$E197&lt;&gt;"CA",$E197&lt;&gt;"MX"),"CHECK: USMCA flag on an origin other than US, CA or MX",IF(AND($L197="Y",$AO197=0,NOT(ISNUMBER(act_Rate))),"CHECK: in scope but no rate (add a rate line or B15)",IF(AND($L197="Y",UPPER(TRIM(CLEAN(SUBSTITUTE(act_RateType&amp;""," "," "))))="REPLACE",NOT(ISNUMBER(act_PriorRate)),IF($AO197=0,TRUE,NOT(ISNUMBER(INDEX(rate_Prior,MOD($AO197,100)))))),"CHECK: REPLACE but no earlier rate (B17 or the rate line's AD)",IF(AND($L197="Y",$AP197&gt;1),"CHECK: two rate lines match equally",IF(AND($L197="Y",$AN197&gt;1),"CHECK: HTS prefix listed twice on the scope list",IF(AND($L197="Y",$P197="PART",NOT(ISNUMBER(Items!M197))),"CHECK: dutiable share missing (PART base)",IF(AND($L197="Y",$P197="FULL",ISNUMBER(Items!M197),N(Items!M197)&lt;&gt;1),"CHECK: dutiable share entered, but the rate taxes the full value",IF(AND($L197="Y",$Q197+0.0000001&lt;$T197*$S197+$U197),"CHECK: current rate is below the duty being replaced or displaced",IF(AND($L197="Y",$AD197=0),"NOTE: in scope, no quantity",IF(AND($L197="Y",$AF197="N"),"NOTE: in scope, no sell price (left out of margin %)",IF(AND($L197="Y",N(Items!H197)&gt;N(Items!K197)),"NOTE: customs value above standard cost (check unit of measure)",IF(AND($L197="Y",$Q197&gt;1),"NOTE: current rate above 100% (check it was entered as a percentage)","OK")))))))))))))))))))))))</f>
        <v/>
      </c>
      <c r="AK197" s="20">
        <f>IF($A197="","",IF(AND($L197="Y",$AE197&lt;&gt;0),ABS($AE197)+ROW()/1000000000,""))</f>
        <v/>
      </c>
      <c r="AL197" s="10">
        <f>IF($A197="","",UPPER($A197)&amp;"/"&amp;UPPER(TRIM(CLEAN(SUBSTITUTE(Items!C197&amp;""," "," ")))))</f>
        <v/>
      </c>
      <c r="AM197" s="13">
        <f>IF($A197="",0,SUMPRODUCT(MAX((scope_HTS&lt;&gt;"")*(LEFT($C197,LEN(scope_HTS))=scope_HTS)*(LEN(scope_HTS)*1000+ROW(scope_HTS)-4))))</f>
        <v/>
      </c>
      <c r="AN197" s="13">
        <f>IF($AM197=0,0,SUMPRODUCT((scope_HTS&lt;&gt;"")*(LEFT($C197,LEN(scope_HTS))=scope_HTS)*(LEN(scope_HTS)=INT($AM197/1000))))</f>
        <v/>
      </c>
      <c r="AO197" s="13">
        <f>IF($L197&lt;&gt;"Y",0,SUMPRODUCT(MAX(ISNUMBER(rate_Rate)*((UPPER(TRIM(CLEAN(SUBSTITUTE(rate_Group&amp;""," "," "))))="")+(UPPER(TRIM(CLEAN(SUBSTITUTE(rate_Group&amp;""," "," "))))=$N197)&gt;0)*((UPPER(TRIM(CLEAN(SUBSTITUTE(rate_COO&amp;""," "," "))))="")+(UPPER(TRIM(CLEAN(SUBSTITUTE(rate_COO&amp;""," "," "))))=$E197)&gt;0)*((UPPER(TRIM(CLEAN(SUBSTITUTE(rate_USMCA&amp;""," "," "))))="")+(UPPER(TRIM(CLEAN(SUBSTITUTE(rate_USMCA&amp;""," "," "))))=IF(UPPER(TRIM(CLEAN(SUBSTITUTE(Items!F197&amp;""," "," "))))="Y","Y","N"))&gt;0)*((1+(UPPER(TRIM(CLEAN(SUBSTITUTE(rate_Group&amp;""," "," "))))&lt;&gt;"")+2*(UPPER(TRIM(CLEAN(SUBSTITUTE(rate_USMCA&amp;""," "," "))))&lt;&gt;"")+4*(UPPER(TRIM(CLEAN(SUBSTITUTE(rate_COO&amp;""," "," "))))&lt;&gt;""))*100+ROW(rate_Rate)-4))))</f>
        <v/>
      </c>
      <c r="AP197" s="13">
        <f>IF($AO197=0,0,SUMPRODUCT(ISNUMBER(rate_Rate)*((UPPER(TRIM(CLEAN(SUBSTITUTE(rate_Group&amp;""," "," "))))="")+(UPPER(TRIM(CLEAN(SUBSTITUTE(rate_Group&amp;""," "," "))))=$N197)&gt;0)*((UPPER(TRIM(CLEAN(SUBSTITUTE(rate_COO&amp;""," "," "))))="")+(UPPER(TRIM(CLEAN(SUBSTITUTE(rate_COO&amp;""," "," "))))=$E197)&gt;0)*((UPPER(TRIM(CLEAN(SUBSTITUTE(rate_USMCA&amp;""," "," "))))="")+(UPPER(TRIM(CLEAN(SUBSTITUTE(rate_USMCA&amp;""," "," "))))=IF(UPPER(TRIM(CLEAN(SUBSTITUTE(Items!F197&amp;""," "," "))))="Y","Y","N"))&gt;0)*((1+(UPPER(TRIM(CLEAN(SUBSTITUTE(rate_Group&amp;""," "," "))))&lt;&gt;"")+2*(UPPER(TRIM(CLEAN(SUBSTITUTE(rate_USMCA&amp;""," "," "))))&lt;&gt;"")+4*(UPPER(TRIM(CLEAN(SUBSTITUTE(rate_COO&amp;""," "," "))))&lt;&gt;""))=INT($AO197/100))))</f>
        <v/>
      </c>
      <c r="AQ197" s="13">
        <f>IF($A197="",0,IFERROR(MATCH($AL197,det_Key,0),0))</f>
        <v/>
      </c>
    </row>
    <row r="198">
      <c r="A198" s="10">
        <f>IF(TRIM(CLEAN(SUBSTITUTE(Items!A198&amp;""," "," ")))="","",TRIM(CLEAN(SUBSTITUTE(Items!A198&amp;""," "," "))))</f>
        <v/>
      </c>
      <c r="B198" s="10">
        <f>IF($A198="","",Items!B198&amp;"")</f>
        <v/>
      </c>
      <c r="C198" s="10">
        <f>IF($A198="","",SUBSTITUTE(SUBSTITUTE(SUBSTITUTE(SUBSTITUTE(CLEAN(Items!D198&amp;"")," ",""),".","")," ",""),"-",""))</f>
        <v/>
      </c>
      <c r="D198" s="10">
        <f>IF($A198="","",LEFT($C198,2))</f>
        <v/>
      </c>
      <c r="E198" s="10">
        <f>IF($A198="","",UPPER(TRIM(CLEAN(SUBSTITUTE(Items!E198&amp;""," "," ")))))</f>
        <v/>
      </c>
      <c r="F198" s="10">
        <f>IF($A198="","",IF(UPPER(TRIM(CLEAN(SUBSTITUTE(Items!C198&amp;""," "," "))))=UPPER(TRIM(CLEAN(SUBSTITUTE(act_Country&amp;""," "," ")))),"Y","N"))</f>
        <v/>
      </c>
      <c r="G198" s="10">
        <f>IF($A198="","",IF($AM198&gt;0,"Y","N"))</f>
        <v/>
      </c>
      <c r="H198" s="10">
        <f>IF($A198="","",IF(SUMPRODUCT((excl_HTS&lt;&gt;"")*(LEFT($C198,LEN(excl_HTS))=excl_HTS))&gt;0,"Y","N"))</f>
        <v/>
      </c>
      <c r="I198" s="10">
        <f>IF($A198="","",IF($E198="","N",IF(SUMPRODUCT(--(UPPER(TRIM(CLEAN(SUBSTITUTE(scope_COO&amp;""," "," "))))=$E198))&gt;0,"Y","N")))</f>
        <v/>
      </c>
      <c r="J198" s="10">
        <f>IF($A198="","",IF(AND(UPPER(TRIM(CLEAN(SUBSTITUTE(act_USMCAExempt&amp;""," "," "))))="Y",UPPER(TRIM(CLEAN(SUBSTITUTE(Items!F198&amp;""," "," "))))="Y"),"Y","N"))</f>
        <v/>
      </c>
      <c r="K198" s="10">
        <f>IF($A198="","",IF($AQ198=0,"",UPPER(TRIM(CLEAN(SUBSTITUTE(INDEX(det_Status,$AQ198)&amp;""," "," "))))))</f>
        <v/>
      </c>
      <c r="L198" s="10">
        <f>IF($A198="","",IF($F198="N","N",IF($K198="IN","Y",IF($K198="OUT","N",IF(AND($G198="Y",$H198="N",$I198="Y",$J198="N"),"Y","N")))))</f>
        <v/>
      </c>
      <c r="M198" s="10">
        <f>IF($A198="","",IF($F198="N","Out: different import country",IF($K198="IN","In: Research determination",IF($K198="OUT","Out: Research determination",IF($G198="N","Out: HTS not on scope list",IF($H198="Y","Out: HTS on exclusion list",IF($I198="N","Out: origin not on scope list",IF($J198="Y","Out: USMCA-qualifying, exempt","In: matches scope rules"))))))))</f>
        <v/>
      </c>
      <c r="N198" s="10">
        <f>IF(OR($A198="",$AM198=0),"",UPPER(TRIM(CLEAN(SUBSTITUTE(INDEX(scope_Group,MOD($AM198,1000))&amp;""," "," ")))))</f>
        <v/>
      </c>
      <c r="O198" s="10">
        <f>IF($L198&lt;&gt;"Y","",IF($AO198=0,"Default (B15)",UPPER(TRIM(CLEAN(SUBSTITUTE(INDEX(rate_ID,MOD($AO198,100))&amp;""," "," "))))))</f>
        <v/>
      </c>
      <c r="P198" s="10">
        <f>IF($L198&lt;&gt;"Y","",IF($AO198=0,IF(UPPER(TRIM(CLEAN(SUBSTITUTE(act_DefaultBase&amp;""," "," "))))="PART","PART","FULL"),IF(UPPER(TRIM(CLEAN(SUBSTITUTE(INDEX(rate_Base,MOD($AO198,100))&amp;""," "," "))))="PART","PART","FULL")))</f>
        <v/>
      </c>
      <c r="Q198" s="17">
        <f>IF($A198="","",N(Items!J198))</f>
        <v/>
      </c>
      <c r="R198" s="17">
        <f>IF($A198="","",IF($L198&lt;&gt;"Y",0,IF($AO198=0,N(act_Rate),N(INDEX(rate_Rate,MOD($AO198,100))))))</f>
        <v/>
      </c>
      <c r="S198" s="17">
        <f>IF($A198="","",IF($L198&lt;&gt;"Y",0,IF($AO198=0,IF(UPPER(TRIM(CLEAN(SUBSTITUTE(act_RateType&amp;""," "," "))))="REPLACE",N(act_PriorRate),0),IF(ISNUMBER(INDEX(rate_Prior,MOD($AO198,100))),INDEX(rate_Prior,MOD($AO198,100)),IF(UPPER(TRIM(CLEAN(SUBSTITUTE(act_RateType&amp;""," "," "))))="REPLACE",N(act_PriorRate),0)))))</f>
        <v/>
      </c>
      <c r="T198" s="17">
        <f>IF($A198="","",IF(AND($L198="Y",$P198="PART",ISNUMBER(Items!M198)),Items!M198,1))</f>
        <v/>
      </c>
      <c r="U198" s="17">
        <f>IF($A198="","",IF($L198&lt;&gt;"Y",0,IF($AQ198&gt;0,IF(ISNUMBER(INDEX(det_Displaced,$AQ198)),INDEX(det_Displaced,$AQ198),IF($AO198=0,0,N(INDEX(rate_Displaced,MOD($AO198,100))))),IF($AO198=0,0,N(INDEX(rate_Displaced,MOD($AO198,100)))))))</f>
        <v/>
      </c>
      <c r="V198" s="17">
        <f>IF($A198="","",IF($L198="Y",$Q198+$T198*($R198-$S198)-$U198,$Q198))</f>
        <v/>
      </c>
      <c r="W198" s="18">
        <f>IF($A198="","",N(Items!H198)*$Q198)</f>
        <v/>
      </c>
      <c r="X198" s="18">
        <f>IF($A198="","",N(Items!H198)*$V198)</f>
        <v/>
      </c>
      <c r="Y198" s="18">
        <f>IF($A198="","",$X198-$W198)</f>
        <v/>
      </c>
      <c r="Z198" s="18">
        <f>IF($A198="","",N(Items!K198)+$Y198)</f>
        <v/>
      </c>
      <c r="AA198" s="17">
        <f>IF($A198="","",IF(N(Items!L198)=0,"",(N(Items!L198)-N(Items!K198))/N(Items!L198)))</f>
        <v/>
      </c>
      <c r="AB198" s="17">
        <f>IF($A198="","",IF(N(Items!L198)=0,"",(N(Items!L198)-$Z198)/N(Items!L198)))</f>
        <v/>
      </c>
      <c r="AC198" s="17">
        <f>IF(OR($AA198="",$AB198=""),"",$AB198-$AA198)</f>
        <v/>
      </c>
      <c r="AD198" s="13">
        <f>IF($A198="","",N(Items!I198))</f>
        <v/>
      </c>
      <c r="AE198" s="19">
        <f>IF($A198="","",$Y198*$AD198)</f>
        <v/>
      </c>
      <c r="AF198" s="10">
        <f>IF($A198="","",IF(N(Items!L198)&gt;0,"Y","N"))</f>
        <v/>
      </c>
      <c r="AG198" s="19">
        <f>IF($A198="","",IF($AF198="Y",N(Items!L198)*$AD198,0))</f>
        <v/>
      </c>
      <c r="AH198" s="19">
        <f>IF($A198="","",IF($AF198="Y",(N(Items!L198)-N(Items!K198))*$AD198,0))</f>
        <v/>
      </c>
      <c r="AI198" s="19">
        <f>IF($A198="","",IF($AF198="Y",$AH198-$AE198,0))</f>
        <v/>
      </c>
      <c r="AJ198" s="10">
        <f>IF($A198="","",IF(COUNTIF($AL$5:$AL$254,$AL198)&gt;1,"CHECK: duplicate item and import country",IF(TRIM(CLEAN(SUBSTITUTE(Items!C198&amp;""," "," ")))="","CHECK: import country missing",IF(AND(UPPER(TRIM(CLEAN(SUBSTITUTE(Items!C198&amp;""," "," "))))&lt;&gt;"US",UPPER(TRIM(CLEAN(SUBSTITUTE(Items!C198&amp;""," "," "))))&lt;&gt;"CA",UPPER(TRIM(CLEAN(SUBSTITUTE(Items!C198&amp;""," "," "))))&lt;&gt;"MX"),"CHECK: import country must be US, CA or MX",IF(NOT(AND(LEN($C198)=10,IFERROR(TEXT(VALUE($C198),REPT("0",LEN($C198)))=$C198,FALSE))),"CHECK: HTS must be 10 digits",IF(LEN($E198)&lt;&gt;2,"CHECK: origin code missing or not 2 letters",IF(TRIM(CLEAN(SUBSTITUTE(Items!G198&amp;""," "," ")))="","CHECK: unit of measure missing",IF(OR(Items!H198="",Items!J198="",Items!K198=""),"CHECK: value, rate or cost missing",IF(OR(NOT(ISNUMBER(Items!H198)),NOT(ISNUMBER(Items!J198)),NOT(ISNUMBER(Items!K198)),AND(Items!I198&lt;&gt;"",NOT(ISNUMBER(Items!I198))),AND(Items!L198&lt;&gt;"",NOT(ISNUMBER(Items!L198))),AND(Items!M198&lt;&gt;"",NOT(ISNUMBER(Items!M198)))),"CHECK: text in a number column",IF(AND(ISNUMBER(Items!M198),OR(N(Items!M198)&lt;0,N(Items!M198)&gt;1)),"CHECK: dutiable share must be 0% to 100%",IF(AND(UPPER(TRIM(CLEAN(SUBSTITUTE(Items!F198&amp;""," "," "))))&lt;&gt;"",UPPER(TRIM(CLEAN(SUBSTITUTE(Items!F198&amp;""," "," "))))&lt;&gt;"Y",UPPER(TRIM(CLEAN(SUBSTITUTE(Items!F198&amp;""," "," "))))&lt;&gt;"N"),"CHECK: USMCA flag must be Y, N or blank",IF(AND(UPPER(TRIM(CLEAN(SUBSTITUTE(Items!F198&amp;""," "," "))))="Y",$E198&lt;&gt;"US",$E198&lt;&gt;"CA",$E198&lt;&gt;"MX"),"CHECK: USMCA flag on an origin other than US, CA or MX",IF(AND($L198="Y",$AO198=0,NOT(ISNUMBER(act_Rate))),"CHECK: in scope but no rate (add a rate line or B15)",IF(AND($L198="Y",UPPER(TRIM(CLEAN(SUBSTITUTE(act_RateType&amp;""," "," "))))="REPLACE",NOT(ISNUMBER(act_PriorRate)),IF($AO198=0,TRUE,NOT(ISNUMBER(INDEX(rate_Prior,MOD($AO198,100)))))),"CHECK: REPLACE but no earlier rate (B17 or the rate line's AD)",IF(AND($L198="Y",$AP198&gt;1),"CHECK: two rate lines match equally",IF(AND($L198="Y",$AN198&gt;1),"CHECK: HTS prefix listed twice on the scope list",IF(AND($L198="Y",$P198="PART",NOT(ISNUMBER(Items!M198))),"CHECK: dutiable share missing (PART base)",IF(AND($L198="Y",$P198="FULL",ISNUMBER(Items!M198),N(Items!M198)&lt;&gt;1),"CHECK: dutiable share entered, but the rate taxes the full value",IF(AND($L198="Y",$Q198+0.0000001&lt;$T198*$S198+$U198),"CHECK: current rate is below the duty being replaced or displaced",IF(AND($L198="Y",$AD198=0),"NOTE: in scope, no quantity",IF(AND($L198="Y",$AF198="N"),"NOTE: in scope, no sell price (left out of margin %)",IF(AND($L198="Y",N(Items!H198)&gt;N(Items!K198)),"NOTE: customs value above standard cost (check unit of measure)",IF(AND($L198="Y",$Q198&gt;1),"NOTE: current rate above 100% (check it was entered as a percentage)","OK")))))))))))))))))))))))</f>
        <v/>
      </c>
      <c r="AK198" s="20">
        <f>IF($A198="","",IF(AND($L198="Y",$AE198&lt;&gt;0),ABS($AE198)+ROW()/1000000000,""))</f>
        <v/>
      </c>
      <c r="AL198" s="10">
        <f>IF($A198="","",UPPER($A198)&amp;"/"&amp;UPPER(TRIM(CLEAN(SUBSTITUTE(Items!C198&amp;""," "," ")))))</f>
        <v/>
      </c>
      <c r="AM198" s="13">
        <f>IF($A198="",0,SUMPRODUCT(MAX((scope_HTS&lt;&gt;"")*(LEFT($C198,LEN(scope_HTS))=scope_HTS)*(LEN(scope_HTS)*1000+ROW(scope_HTS)-4))))</f>
        <v/>
      </c>
      <c r="AN198" s="13">
        <f>IF($AM198=0,0,SUMPRODUCT((scope_HTS&lt;&gt;"")*(LEFT($C198,LEN(scope_HTS))=scope_HTS)*(LEN(scope_HTS)=INT($AM198/1000))))</f>
        <v/>
      </c>
      <c r="AO198" s="13">
        <f>IF($L198&lt;&gt;"Y",0,SUMPRODUCT(MAX(ISNUMBER(rate_Rate)*((UPPER(TRIM(CLEAN(SUBSTITUTE(rate_Group&amp;""," "," "))))="")+(UPPER(TRIM(CLEAN(SUBSTITUTE(rate_Group&amp;""," "," "))))=$N198)&gt;0)*((UPPER(TRIM(CLEAN(SUBSTITUTE(rate_COO&amp;""," "," "))))="")+(UPPER(TRIM(CLEAN(SUBSTITUTE(rate_COO&amp;""," "," "))))=$E198)&gt;0)*((UPPER(TRIM(CLEAN(SUBSTITUTE(rate_USMCA&amp;""," "," "))))="")+(UPPER(TRIM(CLEAN(SUBSTITUTE(rate_USMCA&amp;""," "," "))))=IF(UPPER(TRIM(CLEAN(SUBSTITUTE(Items!F198&amp;""," "," "))))="Y","Y","N"))&gt;0)*((1+(UPPER(TRIM(CLEAN(SUBSTITUTE(rate_Group&amp;""," "," "))))&lt;&gt;"")+2*(UPPER(TRIM(CLEAN(SUBSTITUTE(rate_USMCA&amp;""," "," "))))&lt;&gt;"")+4*(UPPER(TRIM(CLEAN(SUBSTITUTE(rate_COO&amp;""," "," "))))&lt;&gt;""))*100+ROW(rate_Rate)-4))))</f>
        <v/>
      </c>
      <c r="AP198" s="13">
        <f>IF($AO198=0,0,SUMPRODUCT(ISNUMBER(rate_Rate)*((UPPER(TRIM(CLEAN(SUBSTITUTE(rate_Group&amp;""," "," "))))="")+(UPPER(TRIM(CLEAN(SUBSTITUTE(rate_Group&amp;""," "," "))))=$N198)&gt;0)*((UPPER(TRIM(CLEAN(SUBSTITUTE(rate_COO&amp;""," "," "))))="")+(UPPER(TRIM(CLEAN(SUBSTITUTE(rate_COO&amp;""," "," "))))=$E198)&gt;0)*((UPPER(TRIM(CLEAN(SUBSTITUTE(rate_USMCA&amp;""," "," "))))="")+(UPPER(TRIM(CLEAN(SUBSTITUTE(rate_USMCA&amp;""," "," "))))=IF(UPPER(TRIM(CLEAN(SUBSTITUTE(Items!F198&amp;""," "," "))))="Y","Y","N"))&gt;0)*((1+(UPPER(TRIM(CLEAN(SUBSTITUTE(rate_Group&amp;""," "," "))))&lt;&gt;"")+2*(UPPER(TRIM(CLEAN(SUBSTITUTE(rate_USMCA&amp;""," "," "))))&lt;&gt;"")+4*(UPPER(TRIM(CLEAN(SUBSTITUTE(rate_COO&amp;""," "," "))))&lt;&gt;""))=INT($AO198/100))))</f>
        <v/>
      </c>
      <c r="AQ198" s="13">
        <f>IF($A198="",0,IFERROR(MATCH($AL198,det_Key,0),0))</f>
        <v/>
      </c>
    </row>
    <row r="199">
      <c r="A199" s="10">
        <f>IF(TRIM(CLEAN(SUBSTITUTE(Items!A199&amp;""," "," ")))="","",TRIM(CLEAN(SUBSTITUTE(Items!A199&amp;""," "," "))))</f>
        <v/>
      </c>
      <c r="B199" s="10">
        <f>IF($A199="","",Items!B199&amp;"")</f>
        <v/>
      </c>
      <c r="C199" s="10">
        <f>IF($A199="","",SUBSTITUTE(SUBSTITUTE(SUBSTITUTE(SUBSTITUTE(CLEAN(Items!D199&amp;"")," ",""),".","")," ",""),"-",""))</f>
        <v/>
      </c>
      <c r="D199" s="10">
        <f>IF($A199="","",LEFT($C199,2))</f>
        <v/>
      </c>
      <c r="E199" s="10">
        <f>IF($A199="","",UPPER(TRIM(CLEAN(SUBSTITUTE(Items!E199&amp;""," "," ")))))</f>
        <v/>
      </c>
      <c r="F199" s="10">
        <f>IF($A199="","",IF(UPPER(TRIM(CLEAN(SUBSTITUTE(Items!C199&amp;""," "," "))))=UPPER(TRIM(CLEAN(SUBSTITUTE(act_Country&amp;""," "," ")))),"Y","N"))</f>
        <v/>
      </c>
      <c r="G199" s="10">
        <f>IF($A199="","",IF($AM199&gt;0,"Y","N"))</f>
        <v/>
      </c>
      <c r="H199" s="10">
        <f>IF($A199="","",IF(SUMPRODUCT((excl_HTS&lt;&gt;"")*(LEFT($C199,LEN(excl_HTS))=excl_HTS))&gt;0,"Y","N"))</f>
        <v/>
      </c>
      <c r="I199" s="10">
        <f>IF($A199="","",IF($E199="","N",IF(SUMPRODUCT(--(UPPER(TRIM(CLEAN(SUBSTITUTE(scope_COO&amp;""," "," "))))=$E199))&gt;0,"Y","N")))</f>
        <v/>
      </c>
      <c r="J199" s="10">
        <f>IF($A199="","",IF(AND(UPPER(TRIM(CLEAN(SUBSTITUTE(act_USMCAExempt&amp;""," "," "))))="Y",UPPER(TRIM(CLEAN(SUBSTITUTE(Items!F199&amp;""," "," "))))="Y"),"Y","N"))</f>
        <v/>
      </c>
      <c r="K199" s="10">
        <f>IF($A199="","",IF($AQ199=0,"",UPPER(TRIM(CLEAN(SUBSTITUTE(INDEX(det_Status,$AQ199)&amp;""," "," "))))))</f>
        <v/>
      </c>
      <c r="L199" s="10">
        <f>IF($A199="","",IF($F199="N","N",IF($K199="IN","Y",IF($K199="OUT","N",IF(AND($G199="Y",$H199="N",$I199="Y",$J199="N"),"Y","N")))))</f>
        <v/>
      </c>
      <c r="M199" s="10">
        <f>IF($A199="","",IF($F199="N","Out: different import country",IF($K199="IN","In: Research determination",IF($K199="OUT","Out: Research determination",IF($G199="N","Out: HTS not on scope list",IF($H199="Y","Out: HTS on exclusion list",IF($I199="N","Out: origin not on scope list",IF($J199="Y","Out: USMCA-qualifying, exempt","In: matches scope rules"))))))))</f>
        <v/>
      </c>
      <c r="N199" s="10">
        <f>IF(OR($A199="",$AM199=0),"",UPPER(TRIM(CLEAN(SUBSTITUTE(INDEX(scope_Group,MOD($AM199,1000))&amp;""," "," ")))))</f>
        <v/>
      </c>
      <c r="O199" s="10">
        <f>IF($L199&lt;&gt;"Y","",IF($AO199=0,"Default (B15)",UPPER(TRIM(CLEAN(SUBSTITUTE(INDEX(rate_ID,MOD($AO199,100))&amp;""," "," "))))))</f>
        <v/>
      </c>
      <c r="P199" s="10">
        <f>IF($L199&lt;&gt;"Y","",IF($AO199=0,IF(UPPER(TRIM(CLEAN(SUBSTITUTE(act_DefaultBase&amp;""," "," "))))="PART","PART","FULL"),IF(UPPER(TRIM(CLEAN(SUBSTITUTE(INDEX(rate_Base,MOD($AO199,100))&amp;""," "," "))))="PART","PART","FULL")))</f>
        <v/>
      </c>
      <c r="Q199" s="17">
        <f>IF($A199="","",N(Items!J199))</f>
        <v/>
      </c>
      <c r="R199" s="17">
        <f>IF($A199="","",IF($L199&lt;&gt;"Y",0,IF($AO199=0,N(act_Rate),N(INDEX(rate_Rate,MOD($AO199,100))))))</f>
        <v/>
      </c>
      <c r="S199" s="17">
        <f>IF($A199="","",IF($L199&lt;&gt;"Y",0,IF($AO199=0,IF(UPPER(TRIM(CLEAN(SUBSTITUTE(act_RateType&amp;""," "," "))))="REPLACE",N(act_PriorRate),0),IF(ISNUMBER(INDEX(rate_Prior,MOD($AO199,100))),INDEX(rate_Prior,MOD($AO199,100)),IF(UPPER(TRIM(CLEAN(SUBSTITUTE(act_RateType&amp;""," "," "))))="REPLACE",N(act_PriorRate),0)))))</f>
        <v/>
      </c>
      <c r="T199" s="17">
        <f>IF($A199="","",IF(AND($L199="Y",$P199="PART",ISNUMBER(Items!M199)),Items!M199,1))</f>
        <v/>
      </c>
      <c r="U199" s="17">
        <f>IF($A199="","",IF($L199&lt;&gt;"Y",0,IF($AQ199&gt;0,IF(ISNUMBER(INDEX(det_Displaced,$AQ199)),INDEX(det_Displaced,$AQ199),IF($AO199=0,0,N(INDEX(rate_Displaced,MOD($AO199,100))))),IF($AO199=0,0,N(INDEX(rate_Displaced,MOD($AO199,100)))))))</f>
        <v/>
      </c>
      <c r="V199" s="17">
        <f>IF($A199="","",IF($L199="Y",$Q199+$T199*($R199-$S199)-$U199,$Q199))</f>
        <v/>
      </c>
      <c r="W199" s="18">
        <f>IF($A199="","",N(Items!H199)*$Q199)</f>
        <v/>
      </c>
      <c r="X199" s="18">
        <f>IF($A199="","",N(Items!H199)*$V199)</f>
        <v/>
      </c>
      <c r="Y199" s="18">
        <f>IF($A199="","",$X199-$W199)</f>
        <v/>
      </c>
      <c r="Z199" s="18">
        <f>IF($A199="","",N(Items!K199)+$Y199)</f>
        <v/>
      </c>
      <c r="AA199" s="17">
        <f>IF($A199="","",IF(N(Items!L199)=0,"",(N(Items!L199)-N(Items!K199))/N(Items!L199)))</f>
        <v/>
      </c>
      <c r="AB199" s="17">
        <f>IF($A199="","",IF(N(Items!L199)=0,"",(N(Items!L199)-$Z199)/N(Items!L199)))</f>
        <v/>
      </c>
      <c r="AC199" s="17">
        <f>IF(OR($AA199="",$AB199=""),"",$AB199-$AA199)</f>
        <v/>
      </c>
      <c r="AD199" s="13">
        <f>IF($A199="","",N(Items!I199))</f>
        <v/>
      </c>
      <c r="AE199" s="19">
        <f>IF($A199="","",$Y199*$AD199)</f>
        <v/>
      </c>
      <c r="AF199" s="10">
        <f>IF($A199="","",IF(N(Items!L199)&gt;0,"Y","N"))</f>
        <v/>
      </c>
      <c r="AG199" s="19">
        <f>IF($A199="","",IF($AF199="Y",N(Items!L199)*$AD199,0))</f>
        <v/>
      </c>
      <c r="AH199" s="19">
        <f>IF($A199="","",IF($AF199="Y",(N(Items!L199)-N(Items!K199))*$AD199,0))</f>
        <v/>
      </c>
      <c r="AI199" s="19">
        <f>IF($A199="","",IF($AF199="Y",$AH199-$AE199,0))</f>
        <v/>
      </c>
      <c r="AJ199" s="10">
        <f>IF($A199="","",IF(COUNTIF($AL$5:$AL$254,$AL199)&gt;1,"CHECK: duplicate item and import country",IF(TRIM(CLEAN(SUBSTITUTE(Items!C199&amp;""," "," ")))="","CHECK: import country missing",IF(AND(UPPER(TRIM(CLEAN(SUBSTITUTE(Items!C199&amp;""," "," "))))&lt;&gt;"US",UPPER(TRIM(CLEAN(SUBSTITUTE(Items!C199&amp;""," "," "))))&lt;&gt;"CA",UPPER(TRIM(CLEAN(SUBSTITUTE(Items!C199&amp;""," "," "))))&lt;&gt;"MX"),"CHECK: import country must be US, CA or MX",IF(NOT(AND(LEN($C199)=10,IFERROR(TEXT(VALUE($C199),REPT("0",LEN($C199)))=$C199,FALSE))),"CHECK: HTS must be 10 digits",IF(LEN($E199)&lt;&gt;2,"CHECK: origin code missing or not 2 letters",IF(TRIM(CLEAN(SUBSTITUTE(Items!G199&amp;""," "," ")))="","CHECK: unit of measure missing",IF(OR(Items!H199="",Items!J199="",Items!K199=""),"CHECK: value, rate or cost missing",IF(OR(NOT(ISNUMBER(Items!H199)),NOT(ISNUMBER(Items!J199)),NOT(ISNUMBER(Items!K199)),AND(Items!I199&lt;&gt;"",NOT(ISNUMBER(Items!I199))),AND(Items!L199&lt;&gt;"",NOT(ISNUMBER(Items!L199))),AND(Items!M199&lt;&gt;"",NOT(ISNUMBER(Items!M199)))),"CHECK: text in a number column",IF(AND(ISNUMBER(Items!M199),OR(N(Items!M199)&lt;0,N(Items!M199)&gt;1)),"CHECK: dutiable share must be 0% to 100%",IF(AND(UPPER(TRIM(CLEAN(SUBSTITUTE(Items!F199&amp;""," "," "))))&lt;&gt;"",UPPER(TRIM(CLEAN(SUBSTITUTE(Items!F199&amp;""," "," "))))&lt;&gt;"Y",UPPER(TRIM(CLEAN(SUBSTITUTE(Items!F199&amp;""," "," "))))&lt;&gt;"N"),"CHECK: USMCA flag must be Y, N or blank",IF(AND(UPPER(TRIM(CLEAN(SUBSTITUTE(Items!F199&amp;""," "," "))))="Y",$E199&lt;&gt;"US",$E199&lt;&gt;"CA",$E199&lt;&gt;"MX"),"CHECK: USMCA flag on an origin other than US, CA or MX",IF(AND($L199="Y",$AO199=0,NOT(ISNUMBER(act_Rate))),"CHECK: in scope but no rate (add a rate line or B15)",IF(AND($L199="Y",UPPER(TRIM(CLEAN(SUBSTITUTE(act_RateType&amp;""," "," "))))="REPLACE",NOT(ISNUMBER(act_PriorRate)),IF($AO199=0,TRUE,NOT(ISNUMBER(INDEX(rate_Prior,MOD($AO199,100)))))),"CHECK: REPLACE but no earlier rate (B17 or the rate line's AD)",IF(AND($L199="Y",$AP199&gt;1),"CHECK: two rate lines match equally",IF(AND($L199="Y",$AN199&gt;1),"CHECK: HTS prefix listed twice on the scope list",IF(AND($L199="Y",$P199="PART",NOT(ISNUMBER(Items!M199))),"CHECK: dutiable share missing (PART base)",IF(AND($L199="Y",$P199="FULL",ISNUMBER(Items!M199),N(Items!M199)&lt;&gt;1),"CHECK: dutiable share entered, but the rate taxes the full value",IF(AND($L199="Y",$Q199+0.0000001&lt;$T199*$S199+$U199),"CHECK: current rate is below the duty being replaced or displaced",IF(AND($L199="Y",$AD199=0),"NOTE: in scope, no quantity",IF(AND($L199="Y",$AF199="N"),"NOTE: in scope, no sell price (left out of margin %)",IF(AND($L199="Y",N(Items!H199)&gt;N(Items!K199)),"NOTE: customs value above standard cost (check unit of measure)",IF(AND($L199="Y",$Q199&gt;1),"NOTE: current rate above 100% (check it was entered as a percentage)","OK")))))))))))))))))))))))</f>
        <v/>
      </c>
      <c r="AK199" s="20">
        <f>IF($A199="","",IF(AND($L199="Y",$AE199&lt;&gt;0),ABS($AE199)+ROW()/1000000000,""))</f>
        <v/>
      </c>
      <c r="AL199" s="10">
        <f>IF($A199="","",UPPER($A199)&amp;"/"&amp;UPPER(TRIM(CLEAN(SUBSTITUTE(Items!C199&amp;""," "," ")))))</f>
        <v/>
      </c>
      <c r="AM199" s="13">
        <f>IF($A199="",0,SUMPRODUCT(MAX((scope_HTS&lt;&gt;"")*(LEFT($C199,LEN(scope_HTS))=scope_HTS)*(LEN(scope_HTS)*1000+ROW(scope_HTS)-4))))</f>
        <v/>
      </c>
      <c r="AN199" s="13">
        <f>IF($AM199=0,0,SUMPRODUCT((scope_HTS&lt;&gt;"")*(LEFT($C199,LEN(scope_HTS))=scope_HTS)*(LEN(scope_HTS)=INT($AM199/1000))))</f>
        <v/>
      </c>
      <c r="AO199" s="13">
        <f>IF($L199&lt;&gt;"Y",0,SUMPRODUCT(MAX(ISNUMBER(rate_Rate)*((UPPER(TRIM(CLEAN(SUBSTITUTE(rate_Group&amp;""," "," "))))="")+(UPPER(TRIM(CLEAN(SUBSTITUTE(rate_Group&amp;""," "," "))))=$N199)&gt;0)*((UPPER(TRIM(CLEAN(SUBSTITUTE(rate_COO&amp;""," "," "))))="")+(UPPER(TRIM(CLEAN(SUBSTITUTE(rate_COO&amp;""," "," "))))=$E199)&gt;0)*((UPPER(TRIM(CLEAN(SUBSTITUTE(rate_USMCA&amp;""," "," "))))="")+(UPPER(TRIM(CLEAN(SUBSTITUTE(rate_USMCA&amp;""," "," "))))=IF(UPPER(TRIM(CLEAN(SUBSTITUTE(Items!F199&amp;""," "," "))))="Y","Y","N"))&gt;0)*((1+(UPPER(TRIM(CLEAN(SUBSTITUTE(rate_Group&amp;""," "," "))))&lt;&gt;"")+2*(UPPER(TRIM(CLEAN(SUBSTITUTE(rate_USMCA&amp;""," "," "))))&lt;&gt;"")+4*(UPPER(TRIM(CLEAN(SUBSTITUTE(rate_COO&amp;""," "," "))))&lt;&gt;""))*100+ROW(rate_Rate)-4))))</f>
        <v/>
      </c>
      <c r="AP199" s="13">
        <f>IF($AO199=0,0,SUMPRODUCT(ISNUMBER(rate_Rate)*((UPPER(TRIM(CLEAN(SUBSTITUTE(rate_Group&amp;""," "," "))))="")+(UPPER(TRIM(CLEAN(SUBSTITUTE(rate_Group&amp;""," "," "))))=$N199)&gt;0)*((UPPER(TRIM(CLEAN(SUBSTITUTE(rate_COO&amp;""," "," "))))="")+(UPPER(TRIM(CLEAN(SUBSTITUTE(rate_COO&amp;""," "," "))))=$E199)&gt;0)*((UPPER(TRIM(CLEAN(SUBSTITUTE(rate_USMCA&amp;""," "," "))))="")+(UPPER(TRIM(CLEAN(SUBSTITUTE(rate_USMCA&amp;""," "," "))))=IF(UPPER(TRIM(CLEAN(SUBSTITUTE(Items!F199&amp;""," "," "))))="Y","Y","N"))&gt;0)*((1+(UPPER(TRIM(CLEAN(SUBSTITUTE(rate_Group&amp;""," "," "))))&lt;&gt;"")+2*(UPPER(TRIM(CLEAN(SUBSTITUTE(rate_USMCA&amp;""," "," "))))&lt;&gt;"")+4*(UPPER(TRIM(CLEAN(SUBSTITUTE(rate_COO&amp;""," "," "))))&lt;&gt;""))=INT($AO199/100))))</f>
        <v/>
      </c>
      <c r="AQ199" s="13">
        <f>IF($A199="",0,IFERROR(MATCH($AL199,det_Key,0),0))</f>
        <v/>
      </c>
    </row>
    <row r="200">
      <c r="A200" s="10">
        <f>IF(TRIM(CLEAN(SUBSTITUTE(Items!A200&amp;""," "," ")))="","",TRIM(CLEAN(SUBSTITUTE(Items!A200&amp;""," "," "))))</f>
        <v/>
      </c>
      <c r="B200" s="10">
        <f>IF($A200="","",Items!B200&amp;"")</f>
        <v/>
      </c>
      <c r="C200" s="10">
        <f>IF($A200="","",SUBSTITUTE(SUBSTITUTE(SUBSTITUTE(SUBSTITUTE(CLEAN(Items!D200&amp;"")," ",""),".","")," ",""),"-",""))</f>
        <v/>
      </c>
      <c r="D200" s="10">
        <f>IF($A200="","",LEFT($C200,2))</f>
        <v/>
      </c>
      <c r="E200" s="10">
        <f>IF($A200="","",UPPER(TRIM(CLEAN(SUBSTITUTE(Items!E200&amp;""," "," ")))))</f>
        <v/>
      </c>
      <c r="F200" s="10">
        <f>IF($A200="","",IF(UPPER(TRIM(CLEAN(SUBSTITUTE(Items!C200&amp;""," "," "))))=UPPER(TRIM(CLEAN(SUBSTITUTE(act_Country&amp;""," "," ")))),"Y","N"))</f>
        <v/>
      </c>
      <c r="G200" s="10">
        <f>IF($A200="","",IF($AM200&gt;0,"Y","N"))</f>
        <v/>
      </c>
      <c r="H200" s="10">
        <f>IF($A200="","",IF(SUMPRODUCT((excl_HTS&lt;&gt;"")*(LEFT($C200,LEN(excl_HTS))=excl_HTS))&gt;0,"Y","N"))</f>
        <v/>
      </c>
      <c r="I200" s="10">
        <f>IF($A200="","",IF($E200="","N",IF(SUMPRODUCT(--(UPPER(TRIM(CLEAN(SUBSTITUTE(scope_COO&amp;""," "," "))))=$E200))&gt;0,"Y","N")))</f>
        <v/>
      </c>
      <c r="J200" s="10">
        <f>IF($A200="","",IF(AND(UPPER(TRIM(CLEAN(SUBSTITUTE(act_USMCAExempt&amp;""," "," "))))="Y",UPPER(TRIM(CLEAN(SUBSTITUTE(Items!F200&amp;""," "," "))))="Y"),"Y","N"))</f>
        <v/>
      </c>
      <c r="K200" s="10">
        <f>IF($A200="","",IF($AQ200=0,"",UPPER(TRIM(CLEAN(SUBSTITUTE(INDEX(det_Status,$AQ200)&amp;""," "," "))))))</f>
        <v/>
      </c>
      <c r="L200" s="10">
        <f>IF($A200="","",IF($F200="N","N",IF($K200="IN","Y",IF($K200="OUT","N",IF(AND($G200="Y",$H200="N",$I200="Y",$J200="N"),"Y","N")))))</f>
        <v/>
      </c>
      <c r="M200" s="10">
        <f>IF($A200="","",IF($F200="N","Out: different import country",IF($K200="IN","In: Research determination",IF($K200="OUT","Out: Research determination",IF($G200="N","Out: HTS not on scope list",IF($H200="Y","Out: HTS on exclusion list",IF($I200="N","Out: origin not on scope list",IF($J200="Y","Out: USMCA-qualifying, exempt","In: matches scope rules"))))))))</f>
        <v/>
      </c>
      <c r="N200" s="10">
        <f>IF(OR($A200="",$AM200=0),"",UPPER(TRIM(CLEAN(SUBSTITUTE(INDEX(scope_Group,MOD($AM200,1000))&amp;""," "," ")))))</f>
        <v/>
      </c>
      <c r="O200" s="10">
        <f>IF($L200&lt;&gt;"Y","",IF($AO200=0,"Default (B15)",UPPER(TRIM(CLEAN(SUBSTITUTE(INDEX(rate_ID,MOD($AO200,100))&amp;""," "," "))))))</f>
        <v/>
      </c>
      <c r="P200" s="10">
        <f>IF($L200&lt;&gt;"Y","",IF($AO200=0,IF(UPPER(TRIM(CLEAN(SUBSTITUTE(act_DefaultBase&amp;""," "," "))))="PART","PART","FULL"),IF(UPPER(TRIM(CLEAN(SUBSTITUTE(INDEX(rate_Base,MOD($AO200,100))&amp;""," "," "))))="PART","PART","FULL")))</f>
        <v/>
      </c>
      <c r="Q200" s="17">
        <f>IF($A200="","",N(Items!J200))</f>
        <v/>
      </c>
      <c r="R200" s="17">
        <f>IF($A200="","",IF($L200&lt;&gt;"Y",0,IF($AO200=0,N(act_Rate),N(INDEX(rate_Rate,MOD($AO200,100))))))</f>
        <v/>
      </c>
      <c r="S200" s="17">
        <f>IF($A200="","",IF($L200&lt;&gt;"Y",0,IF($AO200=0,IF(UPPER(TRIM(CLEAN(SUBSTITUTE(act_RateType&amp;""," "," "))))="REPLACE",N(act_PriorRate),0),IF(ISNUMBER(INDEX(rate_Prior,MOD($AO200,100))),INDEX(rate_Prior,MOD($AO200,100)),IF(UPPER(TRIM(CLEAN(SUBSTITUTE(act_RateType&amp;""," "," "))))="REPLACE",N(act_PriorRate),0)))))</f>
        <v/>
      </c>
      <c r="T200" s="17">
        <f>IF($A200="","",IF(AND($L200="Y",$P200="PART",ISNUMBER(Items!M200)),Items!M200,1))</f>
        <v/>
      </c>
      <c r="U200" s="17">
        <f>IF($A200="","",IF($L200&lt;&gt;"Y",0,IF($AQ200&gt;0,IF(ISNUMBER(INDEX(det_Displaced,$AQ200)),INDEX(det_Displaced,$AQ200),IF($AO200=0,0,N(INDEX(rate_Displaced,MOD($AO200,100))))),IF($AO200=0,0,N(INDEX(rate_Displaced,MOD($AO200,100)))))))</f>
        <v/>
      </c>
      <c r="V200" s="17">
        <f>IF($A200="","",IF($L200="Y",$Q200+$T200*($R200-$S200)-$U200,$Q200))</f>
        <v/>
      </c>
      <c r="W200" s="18">
        <f>IF($A200="","",N(Items!H200)*$Q200)</f>
        <v/>
      </c>
      <c r="X200" s="18">
        <f>IF($A200="","",N(Items!H200)*$V200)</f>
        <v/>
      </c>
      <c r="Y200" s="18">
        <f>IF($A200="","",$X200-$W200)</f>
        <v/>
      </c>
      <c r="Z200" s="18">
        <f>IF($A200="","",N(Items!K200)+$Y200)</f>
        <v/>
      </c>
      <c r="AA200" s="17">
        <f>IF($A200="","",IF(N(Items!L200)=0,"",(N(Items!L200)-N(Items!K200))/N(Items!L200)))</f>
        <v/>
      </c>
      <c r="AB200" s="17">
        <f>IF($A200="","",IF(N(Items!L200)=0,"",(N(Items!L200)-$Z200)/N(Items!L200)))</f>
        <v/>
      </c>
      <c r="AC200" s="17">
        <f>IF(OR($AA200="",$AB200=""),"",$AB200-$AA200)</f>
        <v/>
      </c>
      <c r="AD200" s="13">
        <f>IF($A200="","",N(Items!I200))</f>
        <v/>
      </c>
      <c r="AE200" s="19">
        <f>IF($A200="","",$Y200*$AD200)</f>
        <v/>
      </c>
      <c r="AF200" s="10">
        <f>IF($A200="","",IF(N(Items!L200)&gt;0,"Y","N"))</f>
        <v/>
      </c>
      <c r="AG200" s="19">
        <f>IF($A200="","",IF($AF200="Y",N(Items!L200)*$AD200,0))</f>
        <v/>
      </c>
      <c r="AH200" s="19">
        <f>IF($A200="","",IF($AF200="Y",(N(Items!L200)-N(Items!K200))*$AD200,0))</f>
        <v/>
      </c>
      <c r="AI200" s="19">
        <f>IF($A200="","",IF($AF200="Y",$AH200-$AE200,0))</f>
        <v/>
      </c>
      <c r="AJ200" s="10">
        <f>IF($A200="","",IF(COUNTIF($AL$5:$AL$254,$AL200)&gt;1,"CHECK: duplicate item and import country",IF(TRIM(CLEAN(SUBSTITUTE(Items!C200&amp;""," "," ")))="","CHECK: import country missing",IF(AND(UPPER(TRIM(CLEAN(SUBSTITUTE(Items!C200&amp;""," "," "))))&lt;&gt;"US",UPPER(TRIM(CLEAN(SUBSTITUTE(Items!C200&amp;""," "," "))))&lt;&gt;"CA",UPPER(TRIM(CLEAN(SUBSTITUTE(Items!C200&amp;""," "," "))))&lt;&gt;"MX"),"CHECK: import country must be US, CA or MX",IF(NOT(AND(LEN($C200)=10,IFERROR(TEXT(VALUE($C200),REPT("0",LEN($C200)))=$C200,FALSE))),"CHECK: HTS must be 10 digits",IF(LEN($E200)&lt;&gt;2,"CHECK: origin code missing or not 2 letters",IF(TRIM(CLEAN(SUBSTITUTE(Items!G200&amp;""," "," ")))="","CHECK: unit of measure missing",IF(OR(Items!H200="",Items!J200="",Items!K200=""),"CHECK: value, rate or cost missing",IF(OR(NOT(ISNUMBER(Items!H200)),NOT(ISNUMBER(Items!J200)),NOT(ISNUMBER(Items!K200)),AND(Items!I200&lt;&gt;"",NOT(ISNUMBER(Items!I200))),AND(Items!L200&lt;&gt;"",NOT(ISNUMBER(Items!L200))),AND(Items!M200&lt;&gt;"",NOT(ISNUMBER(Items!M200)))),"CHECK: text in a number column",IF(AND(ISNUMBER(Items!M200),OR(N(Items!M200)&lt;0,N(Items!M200)&gt;1)),"CHECK: dutiable share must be 0% to 100%",IF(AND(UPPER(TRIM(CLEAN(SUBSTITUTE(Items!F200&amp;""," "," "))))&lt;&gt;"",UPPER(TRIM(CLEAN(SUBSTITUTE(Items!F200&amp;""," "," "))))&lt;&gt;"Y",UPPER(TRIM(CLEAN(SUBSTITUTE(Items!F200&amp;""," "," "))))&lt;&gt;"N"),"CHECK: USMCA flag must be Y, N or blank",IF(AND(UPPER(TRIM(CLEAN(SUBSTITUTE(Items!F200&amp;""," "," "))))="Y",$E200&lt;&gt;"US",$E200&lt;&gt;"CA",$E200&lt;&gt;"MX"),"CHECK: USMCA flag on an origin other than US, CA or MX",IF(AND($L200="Y",$AO200=0,NOT(ISNUMBER(act_Rate))),"CHECK: in scope but no rate (add a rate line or B15)",IF(AND($L200="Y",UPPER(TRIM(CLEAN(SUBSTITUTE(act_RateType&amp;""," "," "))))="REPLACE",NOT(ISNUMBER(act_PriorRate)),IF($AO200=0,TRUE,NOT(ISNUMBER(INDEX(rate_Prior,MOD($AO200,100)))))),"CHECK: REPLACE but no earlier rate (B17 or the rate line's AD)",IF(AND($L200="Y",$AP200&gt;1),"CHECK: two rate lines match equally",IF(AND($L200="Y",$AN200&gt;1),"CHECK: HTS prefix listed twice on the scope list",IF(AND($L200="Y",$P200="PART",NOT(ISNUMBER(Items!M200))),"CHECK: dutiable share missing (PART base)",IF(AND($L200="Y",$P200="FULL",ISNUMBER(Items!M200),N(Items!M200)&lt;&gt;1),"CHECK: dutiable share entered, but the rate taxes the full value",IF(AND($L200="Y",$Q200+0.0000001&lt;$T200*$S200+$U200),"CHECK: current rate is below the duty being replaced or displaced",IF(AND($L200="Y",$AD200=0),"NOTE: in scope, no quantity",IF(AND($L200="Y",$AF200="N"),"NOTE: in scope, no sell price (left out of margin %)",IF(AND($L200="Y",N(Items!H200)&gt;N(Items!K200)),"NOTE: customs value above standard cost (check unit of measure)",IF(AND($L200="Y",$Q200&gt;1),"NOTE: current rate above 100% (check it was entered as a percentage)","OK")))))))))))))))))))))))</f>
        <v/>
      </c>
      <c r="AK200" s="20">
        <f>IF($A200="","",IF(AND($L200="Y",$AE200&lt;&gt;0),ABS($AE200)+ROW()/1000000000,""))</f>
        <v/>
      </c>
      <c r="AL200" s="10">
        <f>IF($A200="","",UPPER($A200)&amp;"/"&amp;UPPER(TRIM(CLEAN(SUBSTITUTE(Items!C200&amp;""," "," ")))))</f>
        <v/>
      </c>
      <c r="AM200" s="13">
        <f>IF($A200="",0,SUMPRODUCT(MAX((scope_HTS&lt;&gt;"")*(LEFT($C200,LEN(scope_HTS))=scope_HTS)*(LEN(scope_HTS)*1000+ROW(scope_HTS)-4))))</f>
        <v/>
      </c>
      <c r="AN200" s="13">
        <f>IF($AM200=0,0,SUMPRODUCT((scope_HTS&lt;&gt;"")*(LEFT($C200,LEN(scope_HTS))=scope_HTS)*(LEN(scope_HTS)=INT($AM200/1000))))</f>
        <v/>
      </c>
      <c r="AO200" s="13">
        <f>IF($L200&lt;&gt;"Y",0,SUMPRODUCT(MAX(ISNUMBER(rate_Rate)*((UPPER(TRIM(CLEAN(SUBSTITUTE(rate_Group&amp;""," "," "))))="")+(UPPER(TRIM(CLEAN(SUBSTITUTE(rate_Group&amp;""," "," "))))=$N200)&gt;0)*((UPPER(TRIM(CLEAN(SUBSTITUTE(rate_COO&amp;""," "," "))))="")+(UPPER(TRIM(CLEAN(SUBSTITUTE(rate_COO&amp;""," "," "))))=$E200)&gt;0)*((UPPER(TRIM(CLEAN(SUBSTITUTE(rate_USMCA&amp;""," "," "))))="")+(UPPER(TRIM(CLEAN(SUBSTITUTE(rate_USMCA&amp;""," "," "))))=IF(UPPER(TRIM(CLEAN(SUBSTITUTE(Items!F200&amp;""," "," "))))="Y","Y","N"))&gt;0)*((1+(UPPER(TRIM(CLEAN(SUBSTITUTE(rate_Group&amp;""," "," "))))&lt;&gt;"")+2*(UPPER(TRIM(CLEAN(SUBSTITUTE(rate_USMCA&amp;""," "," "))))&lt;&gt;"")+4*(UPPER(TRIM(CLEAN(SUBSTITUTE(rate_COO&amp;""," "," "))))&lt;&gt;""))*100+ROW(rate_Rate)-4))))</f>
        <v/>
      </c>
      <c r="AP200" s="13">
        <f>IF($AO200=0,0,SUMPRODUCT(ISNUMBER(rate_Rate)*((UPPER(TRIM(CLEAN(SUBSTITUTE(rate_Group&amp;""," "," "))))="")+(UPPER(TRIM(CLEAN(SUBSTITUTE(rate_Group&amp;""," "," "))))=$N200)&gt;0)*((UPPER(TRIM(CLEAN(SUBSTITUTE(rate_COO&amp;""," "," "))))="")+(UPPER(TRIM(CLEAN(SUBSTITUTE(rate_COO&amp;""," "," "))))=$E200)&gt;0)*((UPPER(TRIM(CLEAN(SUBSTITUTE(rate_USMCA&amp;""," "," "))))="")+(UPPER(TRIM(CLEAN(SUBSTITUTE(rate_USMCA&amp;""," "," "))))=IF(UPPER(TRIM(CLEAN(SUBSTITUTE(Items!F200&amp;""," "," "))))="Y","Y","N"))&gt;0)*((1+(UPPER(TRIM(CLEAN(SUBSTITUTE(rate_Group&amp;""," "," "))))&lt;&gt;"")+2*(UPPER(TRIM(CLEAN(SUBSTITUTE(rate_USMCA&amp;""," "," "))))&lt;&gt;"")+4*(UPPER(TRIM(CLEAN(SUBSTITUTE(rate_COO&amp;""," "," "))))&lt;&gt;""))=INT($AO200/100))))</f>
        <v/>
      </c>
      <c r="AQ200" s="13">
        <f>IF($A200="",0,IFERROR(MATCH($AL200,det_Key,0),0))</f>
        <v/>
      </c>
    </row>
    <row r="201">
      <c r="A201" s="10">
        <f>IF(TRIM(CLEAN(SUBSTITUTE(Items!A201&amp;""," "," ")))="","",TRIM(CLEAN(SUBSTITUTE(Items!A201&amp;""," "," "))))</f>
        <v/>
      </c>
      <c r="B201" s="10">
        <f>IF($A201="","",Items!B201&amp;"")</f>
        <v/>
      </c>
      <c r="C201" s="10">
        <f>IF($A201="","",SUBSTITUTE(SUBSTITUTE(SUBSTITUTE(SUBSTITUTE(CLEAN(Items!D201&amp;"")," ",""),".","")," ",""),"-",""))</f>
        <v/>
      </c>
      <c r="D201" s="10">
        <f>IF($A201="","",LEFT($C201,2))</f>
        <v/>
      </c>
      <c r="E201" s="10">
        <f>IF($A201="","",UPPER(TRIM(CLEAN(SUBSTITUTE(Items!E201&amp;""," "," ")))))</f>
        <v/>
      </c>
      <c r="F201" s="10">
        <f>IF($A201="","",IF(UPPER(TRIM(CLEAN(SUBSTITUTE(Items!C201&amp;""," "," "))))=UPPER(TRIM(CLEAN(SUBSTITUTE(act_Country&amp;""," "," ")))),"Y","N"))</f>
        <v/>
      </c>
      <c r="G201" s="10">
        <f>IF($A201="","",IF($AM201&gt;0,"Y","N"))</f>
        <v/>
      </c>
      <c r="H201" s="10">
        <f>IF($A201="","",IF(SUMPRODUCT((excl_HTS&lt;&gt;"")*(LEFT($C201,LEN(excl_HTS))=excl_HTS))&gt;0,"Y","N"))</f>
        <v/>
      </c>
      <c r="I201" s="10">
        <f>IF($A201="","",IF($E201="","N",IF(SUMPRODUCT(--(UPPER(TRIM(CLEAN(SUBSTITUTE(scope_COO&amp;""," "," "))))=$E201))&gt;0,"Y","N")))</f>
        <v/>
      </c>
      <c r="J201" s="10">
        <f>IF($A201="","",IF(AND(UPPER(TRIM(CLEAN(SUBSTITUTE(act_USMCAExempt&amp;""," "," "))))="Y",UPPER(TRIM(CLEAN(SUBSTITUTE(Items!F201&amp;""," "," "))))="Y"),"Y","N"))</f>
        <v/>
      </c>
      <c r="K201" s="10">
        <f>IF($A201="","",IF($AQ201=0,"",UPPER(TRIM(CLEAN(SUBSTITUTE(INDEX(det_Status,$AQ201)&amp;""," "," "))))))</f>
        <v/>
      </c>
      <c r="L201" s="10">
        <f>IF($A201="","",IF($F201="N","N",IF($K201="IN","Y",IF($K201="OUT","N",IF(AND($G201="Y",$H201="N",$I201="Y",$J201="N"),"Y","N")))))</f>
        <v/>
      </c>
      <c r="M201" s="10">
        <f>IF($A201="","",IF($F201="N","Out: different import country",IF($K201="IN","In: Research determination",IF($K201="OUT","Out: Research determination",IF($G201="N","Out: HTS not on scope list",IF($H201="Y","Out: HTS on exclusion list",IF($I201="N","Out: origin not on scope list",IF($J201="Y","Out: USMCA-qualifying, exempt","In: matches scope rules"))))))))</f>
        <v/>
      </c>
      <c r="N201" s="10">
        <f>IF(OR($A201="",$AM201=0),"",UPPER(TRIM(CLEAN(SUBSTITUTE(INDEX(scope_Group,MOD($AM201,1000))&amp;""," "," ")))))</f>
        <v/>
      </c>
      <c r="O201" s="10">
        <f>IF($L201&lt;&gt;"Y","",IF($AO201=0,"Default (B15)",UPPER(TRIM(CLEAN(SUBSTITUTE(INDEX(rate_ID,MOD($AO201,100))&amp;""," "," "))))))</f>
        <v/>
      </c>
      <c r="P201" s="10">
        <f>IF($L201&lt;&gt;"Y","",IF($AO201=0,IF(UPPER(TRIM(CLEAN(SUBSTITUTE(act_DefaultBase&amp;""," "," "))))="PART","PART","FULL"),IF(UPPER(TRIM(CLEAN(SUBSTITUTE(INDEX(rate_Base,MOD($AO201,100))&amp;""," "," "))))="PART","PART","FULL")))</f>
        <v/>
      </c>
      <c r="Q201" s="17">
        <f>IF($A201="","",N(Items!J201))</f>
        <v/>
      </c>
      <c r="R201" s="17">
        <f>IF($A201="","",IF($L201&lt;&gt;"Y",0,IF($AO201=0,N(act_Rate),N(INDEX(rate_Rate,MOD($AO201,100))))))</f>
        <v/>
      </c>
      <c r="S201" s="17">
        <f>IF($A201="","",IF($L201&lt;&gt;"Y",0,IF($AO201=0,IF(UPPER(TRIM(CLEAN(SUBSTITUTE(act_RateType&amp;""," "," "))))="REPLACE",N(act_PriorRate),0),IF(ISNUMBER(INDEX(rate_Prior,MOD($AO201,100))),INDEX(rate_Prior,MOD($AO201,100)),IF(UPPER(TRIM(CLEAN(SUBSTITUTE(act_RateType&amp;""," "," "))))="REPLACE",N(act_PriorRate),0)))))</f>
        <v/>
      </c>
      <c r="T201" s="17">
        <f>IF($A201="","",IF(AND($L201="Y",$P201="PART",ISNUMBER(Items!M201)),Items!M201,1))</f>
        <v/>
      </c>
      <c r="U201" s="17">
        <f>IF($A201="","",IF($L201&lt;&gt;"Y",0,IF($AQ201&gt;0,IF(ISNUMBER(INDEX(det_Displaced,$AQ201)),INDEX(det_Displaced,$AQ201),IF($AO201=0,0,N(INDEX(rate_Displaced,MOD($AO201,100))))),IF($AO201=0,0,N(INDEX(rate_Displaced,MOD($AO201,100)))))))</f>
        <v/>
      </c>
      <c r="V201" s="17">
        <f>IF($A201="","",IF($L201="Y",$Q201+$T201*($R201-$S201)-$U201,$Q201))</f>
        <v/>
      </c>
      <c r="W201" s="18">
        <f>IF($A201="","",N(Items!H201)*$Q201)</f>
        <v/>
      </c>
      <c r="X201" s="18">
        <f>IF($A201="","",N(Items!H201)*$V201)</f>
        <v/>
      </c>
      <c r="Y201" s="18">
        <f>IF($A201="","",$X201-$W201)</f>
        <v/>
      </c>
      <c r="Z201" s="18">
        <f>IF($A201="","",N(Items!K201)+$Y201)</f>
        <v/>
      </c>
      <c r="AA201" s="17">
        <f>IF($A201="","",IF(N(Items!L201)=0,"",(N(Items!L201)-N(Items!K201))/N(Items!L201)))</f>
        <v/>
      </c>
      <c r="AB201" s="17">
        <f>IF($A201="","",IF(N(Items!L201)=0,"",(N(Items!L201)-$Z201)/N(Items!L201)))</f>
        <v/>
      </c>
      <c r="AC201" s="17">
        <f>IF(OR($AA201="",$AB201=""),"",$AB201-$AA201)</f>
        <v/>
      </c>
      <c r="AD201" s="13">
        <f>IF($A201="","",N(Items!I201))</f>
        <v/>
      </c>
      <c r="AE201" s="19">
        <f>IF($A201="","",$Y201*$AD201)</f>
        <v/>
      </c>
      <c r="AF201" s="10">
        <f>IF($A201="","",IF(N(Items!L201)&gt;0,"Y","N"))</f>
        <v/>
      </c>
      <c r="AG201" s="19">
        <f>IF($A201="","",IF($AF201="Y",N(Items!L201)*$AD201,0))</f>
        <v/>
      </c>
      <c r="AH201" s="19">
        <f>IF($A201="","",IF($AF201="Y",(N(Items!L201)-N(Items!K201))*$AD201,0))</f>
        <v/>
      </c>
      <c r="AI201" s="19">
        <f>IF($A201="","",IF($AF201="Y",$AH201-$AE201,0))</f>
        <v/>
      </c>
      <c r="AJ201" s="10">
        <f>IF($A201="","",IF(COUNTIF($AL$5:$AL$254,$AL201)&gt;1,"CHECK: duplicate item and import country",IF(TRIM(CLEAN(SUBSTITUTE(Items!C201&amp;""," "," ")))="","CHECK: import country missing",IF(AND(UPPER(TRIM(CLEAN(SUBSTITUTE(Items!C201&amp;""," "," "))))&lt;&gt;"US",UPPER(TRIM(CLEAN(SUBSTITUTE(Items!C201&amp;""," "," "))))&lt;&gt;"CA",UPPER(TRIM(CLEAN(SUBSTITUTE(Items!C201&amp;""," "," "))))&lt;&gt;"MX"),"CHECK: import country must be US, CA or MX",IF(NOT(AND(LEN($C201)=10,IFERROR(TEXT(VALUE($C201),REPT("0",LEN($C201)))=$C201,FALSE))),"CHECK: HTS must be 10 digits",IF(LEN($E201)&lt;&gt;2,"CHECK: origin code missing or not 2 letters",IF(TRIM(CLEAN(SUBSTITUTE(Items!G201&amp;""," "," ")))="","CHECK: unit of measure missing",IF(OR(Items!H201="",Items!J201="",Items!K201=""),"CHECK: value, rate or cost missing",IF(OR(NOT(ISNUMBER(Items!H201)),NOT(ISNUMBER(Items!J201)),NOT(ISNUMBER(Items!K201)),AND(Items!I201&lt;&gt;"",NOT(ISNUMBER(Items!I201))),AND(Items!L201&lt;&gt;"",NOT(ISNUMBER(Items!L201))),AND(Items!M201&lt;&gt;"",NOT(ISNUMBER(Items!M201)))),"CHECK: text in a number column",IF(AND(ISNUMBER(Items!M201),OR(N(Items!M201)&lt;0,N(Items!M201)&gt;1)),"CHECK: dutiable share must be 0% to 100%",IF(AND(UPPER(TRIM(CLEAN(SUBSTITUTE(Items!F201&amp;""," "," "))))&lt;&gt;"",UPPER(TRIM(CLEAN(SUBSTITUTE(Items!F201&amp;""," "," "))))&lt;&gt;"Y",UPPER(TRIM(CLEAN(SUBSTITUTE(Items!F201&amp;""," "," "))))&lt;&gt;"N"),"CHECK: USMCA flag must be Y, N or blank",IF(AND(UPPER(TRIM(CLEAN(SUBSTITUTE(Items!F201&amp;""," "," "))))="Y",$E201&lt;&gt;"US",$E201&lt;&gt;"CA",$E201&lt;&gt;"MX"),"CHECK: USMCA flag on an origin other than US, CA or MX",IF(AND($L201="Y",$AO201=0,NOT(ISNUMBER(act_Rate))),"CHECK: in scope but no rate (add a rate line or B15)",IF(AND($L201="Y",UPPER(TRIM(CLEAN(SUBSTITUTE(act_RateType&amp;""," "," "))))="REPLACE",NOT(ISNUMBER(act_PriorRate)),IF($AO201=0,TRUE,NOT(ISNUMBER(INDEX(rate_Prior,MOD($AO201,100)))))),"CHECK: REPLACE but no earlier rate (B17 or the rate line's AD)",IF(AND($L201="Y",$AP201&gt;1),"CHECK: two rate lines match equally",IF(AND($L201="Y",$AN201&gt;1),"CHECK: HTS prefix listed twice on the scope list",IF(AND($L201="Y",$P201="PART",NOT(ISNUMBER(Items!M201))),"CHECK: dutiable share missing (PART base)",IF(AND($L201="Y",$P201="FULL",ISNUMBER(Items!M201),N(Items!M201)&lt;&gt;1),"CHECK: dutiable share entered, but the rate taxes the full value",IF(AND($L201="Y",$Q201+0.0000001&lt;$T201*$S201+$U201),"CHECK: current rate is below the duty being replaced or displaced",IF(AND($L201="Y",$AD201=0),"NOTE: in scope, no quantity",IF(AND($L201="Y",$AF201="N"),"NOTE: in scope, no sell price (left out of margin %)",IF(AND($L201="Y",N(Items!H201)&gt;N(Items!K201)),"NOTE: customs value above standard cost (check unit of measure)",IF(AND($L201="Y",$Q201&gt;1),"NOTE: current rate above 100% (check it was entered as a percentage)","OK")))))))))))))))))))))))</f>
        <v/>
      </c>
      <c r="AK201" s="20">
        <f>IF($A201="","",IF(AND($L201="Y",$AE201&lt;&gt;0),ABS($AE201)+ROW()/1000000000,""))</f>
        <v/>
      </c>
      <c r="AL201" s="10">
        <f>IF($A201="","",UPPER($A201)&amp;"/"&amp;UPPER(TRIM(CLEAN(SUBSTITUTE(Items!C201&amp;""," "," ")))))</f>
        <v/>
      </c>
      <c r="AM201" s="13">
        <f>IF($A201="",0,SUMPRODUCT(MAX((scope_HTS&lt;&gt;"")*(LEFT($C201,LEN(scope_HTS))=scope_HTS)*(LEN(scope_HTS)*1000+ROW(scope_HTS)-4))))</f>
        <v/>
      </c>
      <c r="AN201" s="13">
        <f>IF($AM201=0,0,SUMPRODUCT((scope_HTS&lt;&gt;"")*(LEFT($C201,LEN(scope_HTS))=scope_HTS)*(LEN(scope_HTS)=INT($AM201/1000))))</f>
        <v/>
      </c>
      <c r="AO201" s="13">
        <f>IF($L201&lt;&gt;"Y",0,SUMPRODUCT(MAX(ISNUMBER(rate_Rate)*((UPPER(TRIM(CLEAN(SUBSTITUTE(rate_Group&amp;""," "," "))))="")+(UPPER(TRIM(CLEAN(SUBSTITUTE(rate_Group&amp;""," "," "))))=$N201)&gt;0)*((UPPER(TRIM(CLEAN(SUBSTITUTE(rate_COO&amp;""," "," "))))="")+(UPPER(TRIM(CLEAN(SUBSTITUTE(rate_COO&amp;""," "," "))))=$E201)&gt;0)*((UPPER(TRIM(CLEAN(SUBSTITUTE(rate_USMCA&amp;""," "," "))))="")+(UPPER(TRIM(CLEAN(SUBSTITUTE(rate_USMCA&amp;""," "," "))))=IF(UPPER(TRIM(CLEAN(SUBSTITUTE(Items!F201&amp;""," "," "))))="Y","Y","N"))&gt;0)*((1+(UPPER(TRIM(CLEAN(SUBSTITUTE(rate_Group&amp;""," "," "))))&lt;&gt;"")+2*(UPPER(TRIM(CLEAN(SUBSTITUTE(rate_USMCA&amp;""," "," "))))&lt;&gt;"")+4*(UPPER(TRIM(CLEAN(SUBSTITUTE(rate_COO&amp;""," "," "))))&lt;&gt;""))*100+ROW(rate_Rate)-4))))</f>
        <v/>
      </c>
      <c r="AP201" s="13">
        <f>IF($AO201=0,0,SUMPRODUCT(ISNUMBER(rate_Rate)*((UPPER(TRIM(CLEAN(SUBSTITUTE(rate_Group&amp;""," "," "))))="")+(UPPER(TRIM(CLEAN(SUBSTITUTE(rate_Group&amp;""," "," "))))=$N201)&gt;0)*((UPPER(TRIM(CLEAN(SUBSTITUTE(rate_COO&amp;""," "," "))))="")+(UPPER(TRIM(CLEAN(SUBSTITUTE(rate_COO&amp;""," "," "))))=$E201)&gt;0)*((UPPER(TRIM(CLEAN(SUBSTITUTE(rate_USMCA&amp;""," "," "))))="")+(UPPER(TRIM(CLEAN(SUBSTITUTE(rate_USMCA&amp;""," "," "))))=IF(UPPER(TRIM(CLEAN(SUBSTITUTE(Items!F201&amp;""," "," "))))="Y","Y","N"))&gt;0)*((1+(UPPER(TRIM(CLEAN(SUBSTITUTE(rate_Group&amp;""," "," "))))&lt;&gt;"")+2*(UPPER(TRIM(CLEAN(SUBSTITUTE(rate_USMCA&amp;""," "," "))))&lt;&gt;"")+4*(UPPER(TRIM(CLEAN(SUBSTITUTE(rate_COO&amp;""," "," "))))&lt;&gt;""))=INT($AO201/100))))</f>
        <v/>
      </c>
      <c r="AQ201" s="13">
        <f>IF($A201="",0,IFERROR(MATCH($AL201,det_Key,0),0))</f>
        <v/>
      </c>
    </row>
    <row r="202">
      <c r="A202" s="10">
        <f>IF(TRIM(CLEAN(SUBSTITUTE(Items!A202&amp;""," "," ")))="","",TRIM(CLEAN(SUBSTITUTE(Items!A202&amp;""," "," "))))</f>
        <v/>
      </c>
      <c r="B202" s="10">
        <f>IF($A202="","",Items!B202&amp;"")</f>
        <v/>
      </c>
      <c r="C202" s="10">
        <f>IF($A202="","",SUBSTITUTE(SUBSTITUTE(SUBSTITUTE(SUBSTITUTE(CLEAN(Items!D202&amp;"")," ",""),".","")," ",""),"-",""))</f>
        <v/>
      </c>
      <c r="D202" s="10">
        <f>IF($A202="","",LEFT($C202,2))</f>
        <v/>
      </c>
      <c r="E202" s="10">
        <f>IF($A202="","",UPPER(TRIM(CLEAN(SUBSTITUTE(Items!E202&amp;""," "," ")))))</f>
        <v/>
      </c>
      <c r="F202" s="10">
        <f>IF($A202="","",IF(UPPER(TRIM(CLEAN(SUBSTITUTE(Items!C202&amp;""," "," "))))=UPPER(TRIM(CLEAN(SUBSTITUTE(act_Country&amp;""," "," ")))),"Y","N"))</f>
        <v/>
      </c>
      <c r="G202" s="10">
        <f>IF($A202="","",IF($AM202&gt;0,"Y","N"))</f>
        <v/>
      </c>
      <c r="H202" s="10">
        <f>IF($A202="","",IF(SUMPRODUCT((excl_HTS&lt;&gt;"")*(LEFT($C202,LEN(excl_HTS))=excl_HTS))&gt;0,"Y","N"))</f>
        <v/>
      </c>
      <c r="I202" s="10">
        <f>IF($A202="","",IF($E202="","N",IF(SUMPRODUCT(--(UPPER(TRIM(CLEAN(SUBSTITUTE(scope_COO&amp;""," "," "))))=$E202))&gt;0,"Y","N")))</f>
        <v/>
      </c>
      <c r="J202" s="10">
        <f>IF($A202="","",IF(AND(UPPER(TRIM(CLEAN(SUBSTITUTE(act_USMCAExempt&amp;""," "," "))))="Y",UPPER(TRIM(CLEAN(SUBSTITUTE(Items!F202&amp;""," "," "))))="Y"),"Y","N"))</f>
        <v/>
      </c>
      <c r="K202" s="10">
        <f>IF($A202="","",IF($AQ202=0,"",UPPER(TRIM(CLEAN(SUBSTITUTE(INDEX(det_Status,$AQ202)&amp;""," "," "))))))</f>
        <v/>
      </c>
      <c r="L202" s="10">
        <f>IF($A202="","",IF($F202="N","N",IF($K202="IN","Y",IF($K202="OUT","N",IF(AND($G202="Y",$H202="N",$I202="Y",$J202="N"),"Y","N")))))</f>
        <v/>
      </c>
      <c r="M202" s="10">
        <f>IF($A202="","",IF($F202="N","Out: different import country",IF($K202="IN","In: Research determination",IF($K202="OUT","Out: Research determination",IF($G202="N","Out: HTS not on scope list",IF($H202="Y","Out: HTS on exclusion list",IF($I202="N","Out: origin not on scope list",IF($J202="Y","Out: USMCA-qualifying, exempt","In: matches scope rules"))))))))</f>
        <v/>
      </c>
      <c r="N202" s="10">
        <f>IF(OR($A202="",$AM202=0),"",UPPER(TRIM(CLEAN(SUBSTITUTE(INDEX(scope_Group,MOD($AM202,1000))&amp;""," "," ")))))</f>
        <v/>
      </c>
      <c r="O202" s="10">
        <f>IF($L202&lt;&gt;"Y","",IF($AO202=0,"Default (B15)",UPPER(TRIM(CLEAN(SUBSTITUTE(INDEX(rate_ID,MOD($AO202,100))&amp;""," "," "))))))</f>
        <v/>
      </c>
      <c r="P202" s="10">
        <f>IF($L202&lt;&gt;"Y","",IF($AO202=0,IF(UPPER(TRIM(CLEAN(SUBSTITUTE(act_DefaultBase&amp;""," "," "))))="PART","PART","FULL"),IF(UPPER(TRIM(CLEAN(SUBSTITUTE(INDEX(rate_Base,MOD($AO202,100))&amp;""," "," "))))="PART","PART","FULL")))</f>
        <v/>
      </c>
      <c r="Q202" s="17">
        <f>IF($A202="","",N(Items!J202))</f>
        <v/>
      </c>
      <c r="R202" s="17">
        <f>IF($A202="","",IF($L202&lt;&gt;"Y",0,IF($AO202=0,N(act_Rate),N(INDEX(rate_Rate,MOD($AO202,100))))))</f>
        <v/>
      </c>
      <c r="S202" s="17">
        <f>IF($A202="","",IF($L202&lt;&gt;"Y",0,IF($AO202=0,IF(UPPER(TRIM(CLEAN(SUBSTITUTE(act_RateType&amp;""," "," "))))="REPLACE",N(act_PriorRate),0),IF(ISNUMBER(INDEX(rate_Prior,MOD($AO202,100))),INDEX(rate_Prior,MOD($AO202,100)),IF(UPPER(TRIM(CLEAN(SUBSTITUTE(act_RateType&amp;""," "," "))))="REPLACE",N(act_PriorRate),0)))))</f>
        <v/>
      </c>
      <c r="T202" s="17">
        <f>IF($A202="","",IF(AND($L202="Y",$P202="PART",ISNUMBER(Items!M202)),Items!M202,1))</f>
        <v/>
      </c>
      <c r="U202" s="17">
        <f>IF($A202="","",IF($L202&lt;&gt;"Y",0,IF($AQ202&gt;0,IF(ISNUMBER(INDEX(det_Displaced,$AQ202)),INDEX(det_Displaced,$AQ202),IF($AO202=0,0,N(INDEX(rate_Displaced,MOD($AO202,100))))),IF($AO202=0,0,N(INDEX(rate_Displaced,MOD($AO202,100)))))))</f>
        <v/>
      </c>
      <c r="V202" s="17">
        <f>IF($A202="","",IF($L202="Y",$Q202+$T202*($R202-$S202)-$U202,$Q202))</f>
        <v/>
      </c>
      <c r="W202" s="18">
        <f>IF($A202="","",N(Items!H202)*$Q202)</f>
        <v/>
      </c>
      <c r="X202" s="18">
        <f>IF($A202="","",N(Items!H202)*$V202)</f>
        <v/>
      </c>
      <c r="Y202" s="18">
        <f>IF($A202="","",$X202-$W202)</f>
        <v/>
      </c>
      <c r="Z202" s="18">
        <f>IF($A202="","",N(Items!K202)+$Y202)</f>
        <v/>
      </c>
      <c r="AA202" s="17">
        <f>IF($A202="","",IF(N(Items!L202)=0,"",(N(Items!L202)-N(Items!K202))/N(Items!L202)))</f>
        <v/>
      </c>
      <c r="AB202" s="17">
        <f>IF($A202="","",IF(N(Items!L202)=0,"",(N(Items!L202)-$Z202)/N(Items!L202)))</f>
        <v/>
      </c>
      <c r="AC202" s="17">
        <f>IF(OR($AA202="",$AB202=""),"",$AB202-$AA202)</f>
        <v/>
      </c>
      <c r="AD202" s="13">
        <f>IF($A202="","",N(Items!I202))</f>
        <v/>
      </c>
      <c r="AE202" s="19">
        <f>IF($A202="","",$Y202*$AD202)</f>
        <v/>
      </c>
      <c r="AF202" s="10">
        <f>IF($A202="","",IF(N(Items!L202)&gt;0,"Y","N"))</f>
        <v/>
      </c>
      <c r="AG202" s="19">
        <f>IF($A202="","",IF($AF202="Y",N(Items!L202)*$AD202,0))</f>
        <v/>
      </c>
      <c r="AH202" s="19">
        <f>IF($A202="","",IF($AF202="Y",(N(Items!L202)-N(Items!K202))*$AD202,0))</f>
        <v/>
      </c>
      <c r="AI202" s="19">
        <f>IF($A202="","",IF($AF202="Y",$AH202-$AE202,0))</f>
        <v/>
      </c>
      <c r="AJ202" s="10">
        <f>IF($A202="","",IF(COUNTIF($AL$5:$AL$254,$AL202)&gt;1,"CHECK: duplicate item and import country",IF(TRIM(CLEAN(SUBSTITUTE(Items!C202&amp;""," "," ")))="","CHECK: import country missing",IF(AND(UPPER(TRIM(CLEAN(SUBSTITUTE(Items!C202&amp;""," "," "))))&lt;&gt;"US",UPPER(TRIM(CLEAN(SUBSTITUTE(Items!C202&amp;""," "," "))))&lt;&gt;"CA",UPPER(TRIM(CLEAN(SUBSTITUTE(Items!C202&amp;""," "," "))))&lt;&gt;"MX"),"CHECK: import country must be US, CA or MX",IF(NOT(AND(LEN($C202)=10,IFERROR(TEXT(VALUE($C202),REPT("0",LEN($C202)))=$C202,FALSE))),"CHECK: HTS must be 10 digits",IF(LEN($E202)&lt;&gt;2,"CHECK: origin code missing or not 2 letters",IF(TRIM(CLEAN(SUBSTITUTE(Items!G202&amp;""," "," ")))="","CHECK: unit of measure missing",IF(OR(Items!H202="",Items!J202="",Items!K202=""),"CHECK: value, rate or cost missing",IF(OR(NOT(ISNUMBER(Items!H202)),NOT(ISNUMBER(Items!J202)),NOT(ISNUMBER(Items!K202)),AND(Items!I202&lt;&gt;"",NOT(ISNUMBER(Items!I202))),AND(Items!L202&lt;&gt;"",NOT(ISNUMBER(Items!L202))),AND(Items!M202&lt;&gt;"",NOT(ISNUMBER(Items!M202)))),"CHECK: text in a number column",IF(AND(ISNUMBER(Items!M202),OR(N(Items!M202)&lt;0,N(Items!M202)&gt;1)),"CHECK: dutiable share must be 0% to 100%",IF(AND(UPPER(TRIM(CLEAN(SUBSTITUTE(Items!F202&amp;""," "," "))))&lt;&gt;"",UPPER(TRIM(CLEAN(SUBSTITUTE(Items!F202&amp;""," "," "))))&lt;&gt;"Y",UPPER(TRIM(CLEAN(SUBSTITUTE(Items!F202&amp;""," "," "))))&lt;&gt;"N"),"CHECK: USMCA flag must be Y, N or blank",IF(AND(UPPER(TRIM(CLEAN(SUBSTITUTE(Items!F202&amp;""," "," "))))="Y",$E202&lt;&gt;"US",$E202&lt;&gt;"CA",$E202&lt;&gt;"MX"),"CHECK: USMCA flag on an origin other than US, CA or MX",IF(AND($L202="Y",$AO202=0,NOT(ISNUMBER(act_Rate))),"CHECK: in scope but no rate (add a rate line or B15)",IF(AND($L202="Y",UPPER(TRIM(CLEAN(SUBSTITUTE(act_RateType&amp;""," "," "))))="REPLACE",NOT(ISNUMBER(act_PriorRate)),IF($AO202=0,TRUE,NOT(ISNUMBER(INDEX(rate_Prior,MOD($AO202,100)))))),"CHECK: REPLACE but no earlier rate (B17 or the rate line's AD)",IF(AND($L202="Y",$AP202&gt;1),"CHECK: two rate lines match equally",IF(AND($L202="Y",$AN202&gt;1),"CHECK: HTS prefix listed twice on the scope list",IF(AND($L202="Y",$P202="PART",NOT(ISNUMBER(Items!M202))),"CHECK: dutiable share missing (PART base)",IF(AND($L202="Y",$P202="FULL",ISNUMBER(Items!M202),N(Items!M202)&lt;&gt;1),"CHECK: dutiable share entered, but the rate taxes the full value",IF(AND($L202="Y",$Q202+0.0000001&lt;$T202*$S202+$U202),"CHECK: current rate is below the duty being replaced or displaced",IF(AND($L202="Y",$AD202=0),"NOTE: in scope, no quantity",IF(AND($L202="Y",$AF202="N"),"NOTE: in scope, no sell price (left out of margin %)",IF(AND($L202="Y",N(Items!H202)&gt;N(Items!K202)),"NOTE: customs value above standard cost (check unit of measure)",IF(AND($L202="Y",$Q202&gt;1),"NOTE: current rate above 100% (check it was entered as a percentage)","OK")))))))))))))))))))))))</f>
        <v/>
      </c>
      <c r="AK202" s="20">
        <f>IF($A202="","",IF(AND($L202="Y",$AE202&lt;&gt;0),ABS($AE202)+ROW()/1000000000,""))</f>
        <v/>
      </c>
      <c r="AL202" s="10">
        <f>IF($A202="","",UPPER($A202)&amp;"/"&amp;UPPER(TRIM(CLEAN(SUBSTITUTE(Items!C202&amp;""," "," ")))))</f>
        <v/>
      </c>
      <c r="AM202" s="13">
        <f>IF($A202="",0,SUMPRODUCT(MAX((scope_HTS&lt;&gt;"")*(LEFT($C202,LEN(scope_HTS))=scope_HTS)*(LEN(scope_HTS)*1000+ROW(scope_HTS)-4))))</f>
        <v/>
      </c>
      <c r="AN202" s="13">
        <f>IF($AM202=0,0,SUMPRODUCT((scope_HTS&lt;&gt;"")*(LEFT($C202,LEN(scope_HTS))=scope_HTS)*(LEN(scope_HTS)=INT($AM202/1000))))</f>
        <v/>
      </c>
      <c r="AO202" s="13">
        <f>IF($L202&lt;&gt;"Y",0,SUMPRODUCT(MAX(ISNUMBER(rate_Rate)*((UPPER(TRIM(CLEAN(SUBSTITUTE(rate_Group&amp;""," "," "))))="")+(UPPER(TRIM(CLEAN(SUBSTITUTE(rate_Group&amp;""," "," "))))=$N202)&gt;0)*((UPPER(TRIM(CLEAN(SUBSTITUTE(rate_COO&amp;""," "," "))))="")+(UPPER(TRIM(CLEAN(SUBSTITUTE(rate_COO&amp;""," "," "))))=$E202)&gt;0)*((UPPER(TRIM(CLEAN(SUBSTITUTE(rate_USMCA&amp;""," "," "))))="")+(UPPER(TRIM(CLEAN(SUBSTITUTE(rate_USMCA&amp;""," "," "))))=IF(UPPER(TRIM(CLEAN(SUBSTITUTE(Items!F202&amp;""," "," "))))="Y","Y","N"))&gt;0)*((1+(UPPER(TRIM(CLEAN(SUBSTITUTE(rate_Group&amp;""," "," "))))&lt;&gt;"")+2*(UPPER(TRIM(CLEAN(SUBSTITUTE(rate_USMCA&amp;""," "," "))))&lt;&gt;"")+4*(UPPER(TRIM(CLEAN(SUBSTITUTE(rate_COO&amp;""," "," "))))&lt;&gt;""))*100+ROW(rate_Rate)-4))))</f>
        <v/>
      </c>
      <c r="AP202" s="13">
        <f>IF($AO202=0,0,SUMPRODUCT(ISNUMBER(rate_Rate)*((UPPER(TRIM(CLEAN(SUBSTITUTE(rate_Group&amp;""," "," "))))="")+(UPPER(TRIM(CLEAN(SUBSTITUTE(rate_Group&amp;""," "," "))))=$N202)&gt;0)*((UPPER(TRIM(CLEAN(SUBSTITUTE(rate_COO&amp;""," "," "))))="")+(UPPER(TRIM(CLEAN(SUBSTITUTE(rate_COO&amp;""," "," "))))=$E202)&gt;0)*((UPPER(TRIM(CLEAN(SUBSTITUTE(rate_USMCA&amp;""," "," "))))="")+(UPPER(TRIM(CLEAN(SUBSTITUTE(rate_USMCA&amp;""," "," "))))=IF(UPPER(TRIM(CLEAN(SUBSTITUTE(Items!F202&amp;""," "," "))))="Y","Y","N"))&gt;0)*((1+(UPPER(TRIM(CLEAN(SUBSTITUTE(rate_Group&amp;""," "," "))))&lt;&gt;"")+2*(UPPER(TRIM(CLEAN(SUBSTITUTE(rate_USMCA&amp;""," "," "))))&lt;&gt;"")+4*(UPPER(TRIM(CLEAN(SUBSTITUTE(rate_COO&amp;""," "," "))))&lt;&gt;""))=INT($AO202/100))))</f>
        <v/>
      </c>
      <c r="AQ202" s="13">
        <f>IF($A202="",0,IFERROR(MATCH($AL202,det_Key,0),0))</f>
        <v/>
      </c>
    </row>
    <row r="203">
      <c r="A203" s="10">
        <f>IF(TRIM(CLEAN(SUBSTITUTE(Items!A203&amp;""," "," ")))="","",TRIM(CLEAN(SUBSTITUTE(Items!A203&amp;""," "," "))))</f>
        <v/>
      </c>
      <c r="B203" s="10">
        <f>IF($A203="","",Items!B203&amp;"")</f>
        <v/>
      </c>
      <c r="C203" s="10">
        <f>IF($A203="","",SUBSTITUTE(SUBSTITUTE(SUBSTITUTE(SUBSTITUTE(CLEAN(Items!D203&amp;"")," ",""),".","")," ",""),"-",""))</f>
        <v/>
      </c>
      <c r="D203" s="10">
        <f>IF($A203="","",LEFT($C203,2))</f>
        <v/>
      </c>
      <c r="E203" s="10">
        <f>IF($A203="","",UPPER(TRIM(CLEAN(SUBSTITUTE(Items!E203&amp;""," "," ")))))</f>
        <v/>
      </c>
      <c r="F203" s="10">
        <f>IF($A203="","",IF(UPPER(TRIM(CLEAN(SUBSTITUTE(Items!C203&amp;""," "," "))))=UPPER(TRIM(CLEAN(SUBSTITUTE(act_Country&amp;""," "," ")))),"Y","N"))</f>
        <v/>
      </c>
      <c r="G203" s="10">
        <f>IF($A203="","",IF($AM203&gt;0,"Y","N"))</f>
        <v/>
      </c>
      <c r="H203" s="10">
        <f>IF($A203="","",IF(SUMPRODUCT((excl_HTS&lt;&gt;"")*(LEFT($C203,LEN(excl_HTS))=excl_HTS))&gt;0,"Y","N"))</f>
        <v/>
      </c>
      <c r="I203" s="10">
        <f>IF($A203="","",IF($E203="","N",IF(SUMPRODUCT(--(UPPER(TRIM(CLEAN(SUBSTITUTE(scope_COO&amp;""," "," "))))=$E203))&gt;0,"Y","N")))</f>
        <v/>
      </c>
      <c r="J203" s="10">
        <f>IF($A203="","",IF(AND(UPPER(TRIM(CLEAN(SUBSTITUTE(act_USMCAExempt&amp;""," "," "))))="Y",UPPER(TRIM(CLEAN(SUBSTITUTE(Items!F203&amp;""," "," "))))="Y"),"Y","N"))</f>
        <v/>
      </c>
      <c r="K203" s="10">
        <f>IF($A203="","",IF($AQ203=0,"",UPPER(TRIM(CLEAN(SUBSTITUTE(INDEX(det_Status,$AQ203)&amp;""," "," "))))))</f>
        <v/>
      </c>
      <c r="L203" s="10">
        <f>IF($A203="","",IF($F203="N","N",IF($K203="IN","Y",IF($K203="OUT","N",IF(AND($G203="Y",$H203="N",$I203="Y",$J203="N"),"Y","N")))))</f>
        <v/>
      </c>
      <c r="M203" s="10">
        <f>IF($A203="","",IF($F203="N","Out: different import country",IF($K203="IN","In: Research determination",IF($K203="OUT","Out: Research determination",IF($G203="N","Out: HTS not on scope list",IF($H203="Y","Out: HTS on exclusion list",IF($I203="N","Out: origin not on scope list",IF($J203="Y","Out: USMCA-qualifying, exempt","In: matches scope rules"))))))))</f>
        <v/>
      </c>
      <c r="N203" s="10">
        <f>IF(OR($A203="",$AM203=0),"",UPPER(TRIM(CLEAN(SUBSTITUTE(INDEX(scope_Group,MOD($AM203,1000))&amp;""," "," ")))))</f>
        <v/>
      </c>
      <c r="O203" s="10">
        <f>IF($L203&lt;&gt;"Y","",IF($AO203=0,"Default (B15)",UPPER(TRIM(CLEAN(SUBSTITUTE(INDEX(rate_ID,MOD($AO203,100))&amp;""," "," "))))))</f>
        <v/>
      </c>
      <c r="P203" s="10">
        <f>IF($L203&lt;&gt;"Y","",IF($AO203=0,IF(UPPER(TRIM(CLEAN(SUBSTITUTE(act_DefaultBase&amp;""," "," "))))="PART","PART","FULL"),IF(UPPER(TRIM(CLEAN(SUBSTITUTE(INDEX(rate_Base,MOD($AO203,100))&amp;""," "," "))))="PART","PART","FULL")))</f>
        <v/>
      </c>
      <c r="Q203" s="17">
        <f>IF($A203="","",N(Items!J203))</f>
        <v/>
      </c>
      <c r="R203" s="17">
        <f>IF($A203="","",IF($L203&lt;&gt;"Y",0,IF($AO203=0,N(act_Rate),N(INDEX(rate_Rate,MOD($AO203,100))))))</f>
        <v/>
      </c>
      <c r="S203" s="17">
        <f>IF($A203="","",IF($L203&lt;&gt;"Y",0,IF($AO203=0,IF(UPPER(TRIM(CLEAN(SUBSTITUTE(act_RateType&amp;""," "," "))))="REPLACE",N(act_PriorRate),0),IF(ISNUMBER(INDEX(rate_Prior,MOD($AO203,100))),INDEX(rate_Prior,MOD($AO203,100)),IF(UPPER(TRIM(CLEAN(SUBSTITUTE(act_RateType&amp;""," "," "))))="REPLACE",N(act_PriorRate),0)))))</f>
        <v/>
      </c>
      <c r="T203" s="17">
        <f>IF($A203="","",IF(AND($L203="Y",$P203="PART",ISNUMBER(Items!M203)),Items!M203,1))</f>
        <v/>
      </c>
      <c r="U203" s="17">
        <f>IF($A203="","",IF($L203&lt;&gt;"Y",0,IF($AQ203&gt;0,IF(ISNUMBER(INDEX(det_Displaced,$AQ203)),INDEX(det_Displaced,$AQ203),IF($AO203=0,0,N(INDEX(rate_Displaced,MOD($AO203,100))))),IF($AO203=0,0,N(INDEX(rate_Displaced,MOD($AO203,100)))))))</f>
        <v/>
      </c>
      <c r="V203" s="17">
        <f>IF($A203="","",IF($L203="Y",$Q203+$T203*($R203-$S203)-$U203,$Q203))</f>
        <v/>
      </c>
      <c r="W203" s="18">
        <f>IF($A203="","",N(Items!H203)*$Q203)</f>
        <v/>
      </c>
      <c r="X203" s="18">
        <f>IF($A203="","",N(Items!H203)*$V203)</f>
        <v/>
      </c>
      <c r="Y203" s="18">
        <f>IF($A203="","",$X203-$W203)</f>
        <v/>
      </c>
      <c r="Z203" s="18">
        <f>IF($A203="","",N(Items!K203)+$Y203)</f>
        <v/>
      </c>
      <c r="AA203" s="17">
        <f>IF($A203="","",IF(N(Items!L203)=0,"",(N(Items!L203)-N(Items!K203))/N(Items!L203)))</f>
        <v/>
      </c>
      <c r="AB203" s="17">
        <f>IF($A203="","",IF(N(Items!L203)=0,"",(N(Items!L203)-$Z203)/N(Items!L203)))</f>
        <v/>
      </c>
      <c r="AC203" s="17">
        <f>IF(OR($AA203="",$AB203=""),"",$AB203-$AA203)</f>
        <v/>
      </c>
      <c r="AD203" s="13">
        <f>IF($A203="","",N(Items!I203))</f>
        <v/>
      </c>
      <c r="AE203" s="19">
        <f>IF($A203="","",$Y203*$AD203)</f>
        <v/>
      </c>
      <c r="AF203" s="10">
        <f>IF($A203="","",IF(N(Items!L203)&gt;0,"Y","N"))</f>
        <v/>
      </c>
      <c r="AG203" s="19">
        <f>IF($A203="","",IF($AF203="Y",N(Items!L203)*$AD203,0))</f>
        <v/>
      </c>
      <c r="AH203" s="19">
        <f>IF($A203="","",IF($AF203="Y",(N(Items!L203)-N(Items!K203))*$AD203,0))</f>
        <v/>
      </c>
      <c r="AI203" s="19">
        <f>IF($A203="","",IF($AF203="Y",$AH203-$AE203,0))</f>
        <v/>
      </c>
      <c r="AJ203" s="10">
        <f>IF($A203="","",IF(COUNTIF($AL$5:$AL$254,$AL203)&gt;1,"CHECK: duplicate item and import country",IF(TRIM(CLEAN(SUBSTITUTE(Items!C203&amp;""," "," ")))="","CHECK: import country missing",IF(AND(UPPER(TRIM(CLEAN(SUBSTITUTE(Items!C203&amp;""," "," "))))&lt;&gt;"US",UPPER(TRIM(CLEAN(SUBSTITUTE(Items!C203&amp;""," "," "))))&lt;&gt;"CA",UPPER(TRIM(CLEAN(SUBSTITUTE(Items!C203&amp;""," "," "))))&lt;&gt;"MX"),"CHECK: import country must be US, CA or MX",IF(NOT(AND(LEN($C203)=10,IFERROR(TEXT(VALUE($C203),REPT("0",LEN($C203)))=$C203,FALSE))),"CHECK: HTS must be 10 digits",IF(LEN($E203)&lt;&gt;2,"CHECK: origin code missing or not 2 letters",IF(TRIM(CLEAN(SUBSTITUTE(Items!G203&amp;""," "," ")))="","CHECK: unit of measure missing",IF(OR(Items!H203="",Items!J203="",Items!K203=""),"CHECK: value, rate or cost missing",IF(OR(NOT(ISNUMBER(Items!H203)),NOT(ISNUMBER(Items!J203)),NOT(ISNUMBER(Items!K203)),AND(Items!I203&lt;&gt;"",NOT(ISNUMBER(Items!I203))),AND(Items!L203&lt;&gt;"",NOT(ISNUMBER(Items!L203))),AND(Items!M203&lt;&gt;"",NOT(ISNUMBER(Items!M203)))),"CHECK: text in a number column",IF(AND(ISNUMBER(Items!M203),OR(N(Items!M203)&lt;0,N(Items!M203)&gt;1)),"CHECK: dutiable share must be 0% to 100%",IF(AND(UPPER(TRIM(CLEAN(SUBSTITUTE(Items!F203&amp;""," "," "))))&lt;&gt;"",UPPER(TRIM(CLEAN(SUBSTITUTE(Items!F203&amp;""," "," "))))&lt;&gt;"Y",UPPER(TRIM(CLEAN(SUBSTITUTE(Items!F203&amp;""," "," "))))&lt;&gt;"N"),"CHECK: USMCA flag must be Y, N or blank",IF(AND(UPPER(TRIM(CLEAN(SUBSTITUTE(Items!F203&amp;""," "," "))))="Y",$E203&lt;&gt;"US",$E203&lt;&gt;"CA",$E203&lt;&gt;"MX"),"CHECK: USMCA flag on an origin other than US, CA or MX",IF(AND($L203="Y",$AO203=0,NOT(ISNUMBER(act_Rate))),"CHECK: in scope but no rate (add a rate line or B15)",IF(AND($L203="Y",UPPER(TRIM(CLEAN(SUBSTITUTE(act_RateType&amp;""," "," "))))="REPLACE",NOT(ISNUMBER(act_PriorRate)),IF($AO203=0,TRUE,NOT(ISNUMBER(INDEX(rate_Prior,MOD($AO203,100)))))),"CHECK: REPLACE but no earlier rate (B17 or the rate line's AD)",IF(AND($L203="Y",$AP203&gt;1),"CHECK: two rate lines match equally",IF(AND($L203="Y",$AN203&gt;1),"CHECK: HTS prefix listed twice on the scope list",IF(AND($L203="Y",$P203="PART",NOT(ISNUMBER(Items!M203))),"CHECK: dutiable share missing (PART base)",IF(AND($L203="Y",$P203="FULL",ISNUMBER(Items!M203),N(Items!M203)&lt;&gt;1),"CHECK: dutiable share entered, but the rate taxes the full value",IF(AND($L203="Y",$Q203+0.0000001&lt;$T203*$S203+$U203),"CHECK: current rate is below the duty being replaced or displaced",IF(AND($L203="Y",$AD203=0),"NOTE: in scope, no quantity",IF(AND($L203="Y",$AF203="N"),"NOTE: in scope, no sell price (left out of margin %)",IF(AND($L203="Y",N(Items!H203)&gt;N(Items!K203)),"NOTE: customs value above standard cost (check unit of measure)",IF(AND($L203="Y",$Q203&gt;1),"NOTE: current rate above 100% (check it was entered as a percentage)","OK")))))))))))))))))))))))</f>
        <v/>
      </c>
      <c r="AK203" s="20">
        <f>IF($A203="","",IF(AND($L203="Y",$AE203&lt;&gt;0),ABS($AE203)+ROW()/1000000000,""))</f>
        <v/>
      </c>
      <c r="AL203" s="10">
        <f>IF($A203="","",UPPER($A203)&amp;"/"&amp;UPPER(TRIM(CLEAN(SUBSTITUTE(Items!C203&amp;""," "," ")))))</f>
        <v/>
      </c>
      <c r="AM203" s="13">
        <f>IF($A203="",0,SUMPRODUCT(MAX((scope_HTS&lt;&gt;"")*(LEFT($C203,LEN(scope_HTS))=scope_HTS)*(LEN(scope_HTS)*1000+ROW(scope_HTS)-4))))</f>
        <v/>
      </c>
      <c r="AN203" s="13">
        <f>IF($AM203=0,0,SUMPRODUCT((scope_HTS&lt;&gt;"")*(LEFT($C203,LEN(scope_HTS))=scope_HTS)*(LEN(scope_HTS)=INT($AM203/1000))))</f>
        <v/>
      </c>
      <c r="AO203" s="13">
        <f>IF($L203&lt;&gt;"Y",0,SUMPRODUCT(MAX(ISNUMBER(rate_Rate)*((UPPER(TRIM(CLEAN(SUBSTITUTE(rate_Group&amp;""," "," "))))="")+(UPPER(TRIM(CLEAN(SUBSTITUTE(rate_Group&amp;""," "," "))))=$N203)&gt;0)*((UPPER(TRIM(CLEAN(SUBSTITUTE(rate_COO&amp;""," "," "))))="")+(UPPER(TRIM(CLEAN(SUBSTITUTE(rate_COO&amp;""," "," "))))=$E203)&gt;0)*((UPPER(TRIM(CLEAN(SUBSTITUTE(rate_USMCA&amp;""," "," "))))="")+(UPPER(TRIM(CLEAN(SUBSTITUTE(rate_USMCA&amp;""," "," "))))=IF(UPPER(TRIM(CLEAN(SUBSTITUTE(Items!F203&amp;""," "," "))))="Y","Y","N"))&gt;0)*((1+(UPPER(TRIM(CLEAN(SUBSTITUTE(rate_Group&amp;""," "," "))))&lt;&gt;"")+2*(UPPER(TRIM(CLEAN(SUBSTITUTE(rate_USMCA&amp;""," "," "))))&lt;&gt;"")+4*(UPPER(TRIM(CLEAN(SUBSTITUTE(rate_COO&amp;""," "," "))))&lt;&gt;""))*100+ROW(rate_Rate)-4))))</f>
        <v/>
      </c>
      <c r="AP203" s="13">
        <f>IF($AO203=0,0,SUMPRODUCT(ISNUMBER(rate_Rate)*((UPPER(TRIM(CLEAN(SUBSTITUTE(rate_Group&amp;""," "," "))))="")+(UPPER(TRIM(CLEAN(SUBSTITUTE(rate_Group&amp;""," "," "))))=$N203)&gt;0)*((UPPER(TRIM(CLEAN(SUBSTITUTE(rate_COO&amp;""," "," "))))="")+(UPPER(TRIM(CLEAN(SUBSTITUTE(rate_COO&amp;""," "," "))))=$E203)&gt;0)*((UPPER(TRIM(CLEAN(SUBSTITUTE(rate_USMCA&amp;""," "," "))))="")+(UPPER(TRIM(CLEAN(SUBSTITUTE(rate_USMCA&amp;""," "," "))))=IF(UPPER(TRIM(CLEAN(SUBSTITUTE(Items!F203&amp;""," "," "))))="Y","Y","N"))&gt;0)*((1+(UPPER(TRIM(CLEAN(SUBSTITUTE(rate_Group&amp;""," "," "))))&lt;&gt;"")+2*(UPPER(TRIM(CLEAN(SUBSTITUTE(rate_USMCA&amp;""," "," "))))&lt;&gt;"")+4*(UPPER(TRIM(CLEAN(SUBSTITUTE(rate_COO&amp;""," "," "))))&lt;&gt;""))=INT($AO203/100))))</f>
        <v/>
      </c>
      <c r="AQ203" s="13">
        <f>IF($A203="",0,IFERROR(MATCH($AL203,det_Key,0),0))</f>
        <v/>
      </c>
    </row>
    <row r="204">
      <c r="A204" s="10">
        <f>IF(TRIM(CLEAN(SUBSTITUTE(Items!A204&amp;""," "," ")))="","",TRIM(CLEAN(SUBSTITUTE(Items!A204&amp;""," "," "))))</f>
        <v/>
      </c>
      <c r="B204" s="10">
        <f>IF($A204="","",Items!B204&amp;"")</f>
        <v/>
      </c>
      <c r="C204" s="10">
        <f>IF($A204="","",SUBSTITUTE(SUBSTITUTE(SUBSTITUTE(SUBSTITUTE(CLEAN(Items!D204&amp;"")," ",""),".","")," ",""),"-",""))</f>
        <v/>
      </c>
      <c r="D204" s="10">
        <f>IF($A204="","",LEFT($C204,2))</f>
        <v/>
      </c>
      <c r="E204" s="10">
        <f>IF($A204="","",UPPER(TRIM(CLEAN(SUBSTITUTE(Items!E204&amp;""," "," ")))))</f>
        <v/>
      </c>
      <c r="F204" s="10">
        <f>IF($A204="","",IF(UPPER(TRIM(CLEAN(SUBSTITUTE(Items!C204&amp;""," "," "))))=UPPER(TRIM(CLEAN(SUBSTITUTE(act_Country&amp;""," "," ")))),"Y","N"))</f>
        <v/>
      </c>
      <c r="G204" s="10">
        <f>IF($A204="","",IF($AM204&gt;0,"Y","N"))</f>
        <v/>
      </c>
      <c r="H204" s="10">
        <f>IF($A204="","",IF(SUMPRODUCT((excl_HTS&lt;&gt;"")*(LEFT($C204,LEN(excl_HTS))=excl_HTS))&gt;0,"Y","N"))</f>
        <v/>
      </c>
      <c r="I204" s="10">
        <f>IF($A204="","",IF($E204="","N",IF(SUMPRODUCT(--(UPPER(TRIM(CLEAN(SUBSTITUTE(scope_COO&amp;""," "," "))))=$E204))&gt;0,"Y","N")))</f>
        <v/>
      </c>
      <c r="J204" s="10">
        <f>IF($A204="","",IF(AND(UPPER(TRIM(CLEAN(SUBSTITUTE(act_USMCAExempt&amp;""," "," "))))="Y",UPPER(TRIM(CLEAN(SUBSTITUTE(Items!F204&amp;""," "," "))))="Y"),"Y","N"))</f>
        <v/>
      </c>
      <c r="K204" s="10">
        <f>IF($A204="","",IF($AQ204=0,"",UPPER(TRIM(CLEAN(SUBSTITUTE(INDEX(det_Status,$AQ204)&amp;""," "," "))))))</f>
        <v/>
      </c>
      <c r="L204" s="10">
        <f>IF($A204="","",IF($F204="N","N",IF($K204="IN","Y",IF($K204="OUT","N",IF(AND($G204="Y",$H204="N",$I204="Y",$J204="N"),"Y","N")))))</f>
        <v/>
      </c>
      <c r="M204" s="10">
        <f>IF($A204="","",IF($F204="N","Out: different import country",IF($K204="IN","In: Research determination",IF($K204="OUT","Out: Research determination",IF($G204="N","Out: HTS not on scope list",IF($H204="Y","Out: HTS on exclusion list",IF($I204="N","Out: origin not on scope list",IF($J204="Y","Out: USMCA-qualifying, exempt","In: matches scope rules"))))))))</f>
        <v/>
      </c>
      <c r="N204" s="10">
        <f>IF(OR($A204="",$AM204=0),"",UPPER(TRIM(CLEAN(SUBSTITUTE(INDEX(scope_Group,MOD($AM204,1000))&amp;""," "," ")))))</f>
        <v/>
      </c>
      <c r="O204" s="10">
        <f>IF($L204&lt;&gt;"Y","",IF($AO204=0,"Default (B15)",UPPER(TRIM(CLEAN(SUBSTITUTE(INDEX(rate_ID,MOD($AO204,100))&amp;""," "," "))))))</f>
        <v/>
      </c>
      <c r="P204" s="10">
        <f>IF($L204&lt;&gt;"Y","",IF($AO204=0,IF(UPPER(TRIM(CLEAN(SUBSTITUTE(act_DefaultBase&amp;""," "," "))))="PART","PART","FULL"),IF(UPPER(TRIM(CLEAN(SUBSTITUTE(INDEX(rate_Base,MOD($AO204,100))&amp;""," "," "))))="PART","PART","FULL")))</f>
        <v/>
      </c>
      <c r="Q204" s="17">
        <f>IF($A204="","",N(Items!J204))</f>
        <v/>
      </c>
      <c r="R204" s="17">
        <f>IF($A204="","",IF($L204&lt;&gt;"Y",0,IF($AO204=0,N(act_Rate),N(INDEX(rate_Rate,MOD($AO204,100))))))</f>
        <v/>
      </c>
      <c r="S204" s="17">
        <f>IF($A204="","",IF($L204&lt;&gt;"Y",0,IF($AO204=0,IF(UPPER(TRIM(CLEAN(SUBSTITUTE(act_RateType&amp;""," "," "))))="REPLACE",N(act_PriorRate),0),IF(ISNUMBER(INDEX(rate_Prior,MOD($AO204,100))),INDEX(rate_Prior,MOD($AO204,100)),IF(UPPER(TRIM(CLEAN(SUBSTITUTE(act_RateType&amp;""," "," "))))="REPLACE",N(act_PriorRate),0)))))</f>
        <v/>
      </c>
      <c r="T204" s="17">
        <f>IF($A204="","",IF(AND($L204="Y",$P204="PART",ISNUMBER(Items!M204)),Items!M204,1))</f>
        <v/>
      </c>
      <c r="U204" s="17">
        <f>IF($A204="","",IF($L204&lt;&gt;"Y",0,IF($AQ204&gt;0,IF(ISNUMBER(INDEX(det_Displaced,$AQ204)),INDEX(det_Displaced,$AQ204),IF($AO204=0,0,N(INDEX(rate_Displaced,MOD($AO204,100))))),IF($AO204=0,0,N(INDEX(rate_Displaced,MOD($AO204,100)))))))</f>
        <v/>
      </c>
      <c r="V204" s="17">
        <f>IF($A204="","",IF($L204="Y",$Q204+$T204*($R204-$S204)-$U204,$Q204))</f>
        <v/>
      </c>
      <c r="W204" s="18">
        <f>IF($A204="","",N(Items!H204)*$Q204)</f>
        <v/>
      </c>
      <c r="X204" s="18">
        <f>IF($A204="","",N(Items!H204)*$V204)</f>
        <v/>
      </c>
      <c r="Y204" s="18">
        <f>IF($A204="","",$X204-$W204)</f>
        <v/>
      </c>
      <c r="Z204" s="18">
        <f>IF($A204="","",N(Items!K204)+$Y204)</f>
        <v/>
      </c>
      <c r="AA204" s="17">
        <f>IF($A204="","",IF(N(Items!L204)=0,"",(N(Items!L204)-N(Items!K204))/N(Items!L204)))</f>
        <v/>
      </c>
      <c r="AB204" s="17">
        <f>IF($A204="","",IF(N(Items!L204)=0,"",(N(Items!L204)-$Z204)/N(Items!L204)))</f>
        <v/>
      </c>
      <c r="AC204" s="17">
        <f>IF(OR($AA204="",$AB204=""),"",$AB204-$AA204)</f>
        <v/>
      </c>
      <c r="AD204" s="13">
        <f>IF($A204="","",N(Items!I204))</f>
        <v/>
      </c>
      <c r="AE204" s="19">
        <f>IF($A204="","",$Y204*$AD204)</f>
        <v/>
      </c>
      <c r="AF204" s="10">
        <f>IF($A204="","",IF(N(Items!L204)&gt;0,"Y","N"))</f>
        <v/>
      </c>
      <c r="AG204" s="19">
        <f>IF($A204="","",IF($AF204="Y",N(Items!L204)*$AD204,0))</f>
        <v/>
      </c>
      <c r="AH204" s="19">
        <f>IF($A204="","",IF($AF204="Y",(N(Items!L204)-N(Items!K204))*$AD204,0))</f>
        <v/>
      </c>
      <c r="AI204" s="19">
        <f>IF($A204="","",IF($AF204="Y",$AH204-$AE204,0))</f>
        <v/>
      </c>
      <c r="AJ204" s="10">
        <f>IF($A204="","",IF(COUNTIF($AL$5:$AL$254,$AL204)&gt;1,"CHECK: duplicate item and import country",IF(TRIM(CLEAN(SUBSTITUTE(Items!C204&amp;""," "," ")))="","CHECK: import country missing",IF(AND(UPPER(TRIM(CLEAN(SUBSTITUTE(Items!C204&amp;""," "," "))))&lt;&gt;"US",UPPER(TRIM(CLEAN(SUBSTITUTE(Items!C204&amp;""," "," "))))&lt;&gt;"CA",UPPER(TRIM(CLEAN(SUBSTITUTE(Items!C204&amp;""," "," "))))&lt;&gt;"MX"),"CHECK: import country must be US, CA or MX",IF(NOT(AND(LEN($C204)=10,IFERROR(TEXT(VALUE($C204),REPT("0",LEN($C204)))=$C204,FALSE))),"CHECK: HTS must be 10 digits",IF(LEN($E204)&lt;&gt;2,"CHECK: origin code missing or not 2 letters",IF(TRIM(CLEAN(SUBSTITUTE(Items!G204&amp;""," "," ")))="","CHECK: unit of measure missing",IF(OR(Items!H204="",Items!J204="",Items!K204=""),"CHECK: value, rate or cost missing",IF(OR(NOT(ISNUMBER(Items!H204)),NOT(ISNUMBER(Items!J204)),NOT(ISNUMBER(Items!K204)),AND(Items!I204&lt;&gt;"",NOT(ISNUMBER(Items!I204))),AND(Items!L204&lt;&gt;"",NOT(ISNUMBER(Items!L204))),AND(Items!M204&lt;&gt;"",NOT(ISNUMBER(Items!M204)))),"CHECK: text in a number column",IF(AND(ISNUMBER(Items!M204),OR(N(Items!M204)&lt;0,N(Items!M204)&gt;1)),"CHECK: dutiable share must be 0% to 100%",IF(AND(UPPER(TRIM(CLEAN(SUBSTITUTE(Items!F204&amp;""," "," "))))&lt;&gt;"",UPPER(TRIM(CLEAN(SUBSTITUTE(Items!F204&amp;""," "," "))))&lt;&gt;"Y",UPPER(TRIM(CLEAN(SUBSTITUTE(Items!F204&amp;""," "," "))))&lt;&gt;"N"),"CHECK: USMCA flag must be Y, N or blank",IF(AND(UPPER(TRIM(CLEAN(SUBSTITUTE(Items!F204&amp;""," "," "))))="Y",$E204&lt;&gt;"US",$E204&lt;&gt;"CA",$E204&lt;&gt;"MX"),"CHECK: USMCA flag on an origin other than US, CA or MX",IF(AND($L204="Y",$AO204=0,NOT(ISNUMBER(act_Rate))),"CHECK: in scope but no rate (add a rate line or B15)",IF(AND($L204="Y",UPPER(TRIM(CLEAN(SUBSTITUTE(act_RateType&amp;""," "," "))))="REPLACE",NOT(ISNUMBER(act_PriorRate)),IF($AO204=0,TRUE,NOT(ISNUMBER(INDEX(rate_Prior,MOD($AO204,100)))))),"CHECK: REPLACE but no earlier rate (B17 or the rate line's AD)",IF(AND($L204="Y",$AP204&gt;1),"CHECK: two rate lines match equally",IF(AND($L204="Y",$AN204&gt;1),"CHECK: HTS prefix listed twice on the scope list",IF(AND($L204="Y",$P204="PART",NOT(ISNUMBER(Items!M204))),"CHECK: dutiable share missing (PART base)",IF(AND($L204="Y",$P204="FULL",ISNUMBER(Items!M204),N(Items!M204)&lt;&gt;1),"CHECK: dutiable share entered, but the rate taxes the full value",IF(AND($L204="Y",$Q204+0.0000001&lt;$T204*$S204+$U204),"CHECK: current rate is below the duty being replaced or displaced",IF(AND($L204="Y",$AD204=0),"NOTE: in scope, no quantity",IF(AND($L204="Y",$AF204="N"),"NOTE: in scope, no sell price (left out of margin %)",IF(AND($L204="Y",N(Items!H204)&gt;N(Items!K204)),"NOTE: customs value above standard cost (check unit of measure)",IF(AND($L204="Y",$Q204&gt;1),"NOTE: current rate above 100% (check it was entered as a percentage)","OK")))))))))))))))))))))))</f>
        <v/>
      </c>
      <c r="AK204" s="20">
        <f>IF($A204="","",IF(AND($L204="Y",$AE204&lt;&gt;0),ABS($AE204)+ROW()/1000000000,""))</f>
        <v/>
      </c>
      <c r="AL204" s="10">
        <f>IF($A204="","",UPPER($A204)&amp;"/"&amp;UPPER(TRIM(CLEAN(SUBSTITUTE(Items!C204&amp;""," "," ")))))</f>
        <v/>
      </c>
      <c r="AM204" s="13">
        <f>IF($A204="",0,SUMPRODUCT(MAX((scope_HTS&lt;&gt;"")*(LEFT($C204,LEN(scope_HTS))=scope_HTS)*(LEN(scope_HTS)*1000+ROW(scope_HTS)-4))))</f>
        <v/>
      </c>
      <c r="AN204" s="13">
        <f>IF($AM204=0,0,SUMPRODUCT((scope_HTS&lt;&gt;"")*(LEFT($C204,LEN(scope_HTS))=scope_HTS)*(LEN(scope_HTS)=INT($AM204/1000))))</f>
        <v/>
      </c>
      <c r="AO204" s="13">
        <f>IF($L204&lt;&gt;"Y",0,SUMPRODUCT(MAX(ISNUMBER(rate_Rate)*((UPPER(TRIM(CLEAN(SUBSTITUTE(rate_Group&amp;""," "," "))))="")+(UPPER(TRIM(CLEAN(SUBSTITUTE(rate_Group&amp;""," "," "))))=$N204)&gt;0)*((UPPER(TRIM(CLEAN(SUBSTITUTE(rate_COO&amp;""," "," "))))="")+(UPPER(TRIM(CLEAN(SUBSTITUTE(rate_COO&amp;""," "," "))))=$E204)&gt;0)*((UPPER(TRIM(CLEAN(SUBSTITUTE(rate_USMCA&amp;""," "," "))))="")+(UPPER(TRIM(CLEAN(SUBSTITUTE(rate_USMCA&amp;""," "," "))))=IF(UPPER(TRIM(CLEAN(SUBSTITUTE(Items!F204&amp;""," "," "))))="Y","Y","N"))&gt;0)*((1+(UPPER(TRIM(CLEAN(SUBSTITUTE(rate_Group&amp;""," "," "))))&lt;&gt;"")+2*(UPPER(TRIM(CLEAN(SUBSTITUTE(rate_USMCA&amp;""," "," "))))&lt;&gt;"")+4*(UPPER(TRIM(CLEAN(SUBSTITUTE(rate_COO&amp;""," "," "))))&lt;&gt;""))*100+ROW(rate_Rate)-4))))</f>
        <v/>
      </c>
      <c r="AP204" s="13">
        <f>IF($AO204=0,0,SUMPRODUCT(ISNUMBER(rate_Rate)*((UPPER(TRIM(CLEAN(SUBSTITUTE(rate_Group&amp;""," "," "))))="")+(UPPER(TRIM(CLEAN(SUBSTITUTE(rate_Group&amp;""," "," "))))=$N204)&gt;0)*((UPPER(TRIM(CLEAN(SUBSTITUTE(rate_COO&amp;""," "," "))))="")+(UPPER(TRIM(CLEAN(SUBSTITUTE(rate_COO&amp;""," "," "))))=$E204)&gt;0)*((UPPER(TRIM(CLEAN(SUBSTITUTE(rate_USMCA&amp;""," "," "))))="")+(UPPER(TRIM(CLEAN(SUBSTITUTE(rate_USMCA&amp;""," "," "))))=IF(UPPER(TRIM(CLEAN(SUBSTITUTE(Items!F204&amp;""," "," "))))="Y","Y","N"))&gt;0)*((1+(UPPER(TRIM(CLEAN(SUBSTITUTE(rate_Group&amp;""," "," "))))&lt;&gt;"")+2*(UPPER(TRIM(CLEAN(SUBSTITUTE(rate_USMCA&amp;""," "," "))))&lt;&gt;"")+4*(UPPER(TRIM(CLEAN(SUBSTITUTE(rate_COO&amp;""," "," "))))&lt;&gt;""))=INT($AO204/100))))</f>
        <v/>
      </c>
      <c r="AQ204" s="13">
        <f>IF($A204="",0,IFERROR(MATCH($AL204,det_Key,0),0))</f>
        <v/>
      </c>
    </row>
    <row r="205">
      <c r="A205" s="10">
        <f>IF(TRIM(CLEAN(SUBSTITUTE(Items!A205&amp;""," "," ")))="","",TRIM(CLEAN(SUBSTITUTE(Items!A205&amp;""," "," "))))</f>
        <v/>
      </c>
      <c r="B205" s="10">
        <f>IF($A205="","",Items!B205&amp;"")</f>
        <v/>
      </c>
      <c r="C205" s="10">
        <f>IF($A205="","",SUBSTITUTE(SUBSTITUTE(SUBSTITUTE(SUBSTITUTE(CLEAN(Items!D205&amp;"")," ",""),".","")," ",""),"-",""))</f>
        <v/>
      </c>
      <c r="D205" s="10">
        <f>IF($A205="","",LEFT($C205,2))</f>
        <v/>
      </c>
      <c r="E205" s="10">
        <f>IF($A205="","",UPPER(TRIM(CLEAN(SUBSTITUTE(Items!E205&amp;""," "," ")))))</f>
        <v/>
      </c>
      <c r="F205" s="10">
        <f>IF($A205="","",IF(UPPER(TRIM(CLEAN(SUBSTITUTE(Items!C205&amp;""," "," "))))=UPPER(TRIM(CLEAN(SUBSTITUTE(act_Country&amp;""," "," ")))),"Y","N"))</f>
        <v/>
      </c>
      <c r="G205" s="10">
        <f>IF($A205="","",IF($AM205&gt;0,"Y","N"))</f>
        <v/>
      </c>
      <c r="H205" s="10">
        <f>IF($A205="","",IF(SUMPRODUCT((excl_HTS&lt;&gt;"")*(LEFT($C205,LEN(excl_HTS))=excl_HTS))&gt;0,"Y","N"))</f>
        <v/>
      </c>
      <c r="I205" s="10">
        <f>IF($A205="","",IF($E205="","N",IF(SUMPRODUCT(--(UPPER(TRIM(CLEAN(SUBSTITUTE(scope_COO&amp;""," "," "))))=$E205))&gt;0,"Y","N")))</f>
        <v/>
      </c>
      <c r="J205" s="10">
        <f>IF($A205="","",IF(AND(UPPER(TRIM(CLEAN(SUBSTITUTE(act_USMCAExempt&amp;""," "," "))))="Y",UPPER(TRIM(CLEAN(SUBSTITUTE(Items!F205&amp;""," "," "))))="Y"),"Y","N"))</f>
        <v/>
      </c>
      <c r="K205" s="10">
        <f>IF($A205="","",IF($AQ205=0,"",UPPER(TRIM(CLEAN(SUBSTITUTE(INDEX(det_Status,$AQ205)&amp;""," "," "))))))</f>
        <v/>
      </c>
      <c r="L205" s="10">
        <f>IF($A205="","",IF($F205="N","N",IF($K205="IN","Y",IF($K205="OUT","N",IF(AND($G205="Y",$H205="N",$I205="Y",$J205="N"),"Y","N")))))</f>
        <v/>
      </c>
      <c r="M205" s="10">
        <f>IF($A205="","",IF($F205="N","Out: different import country",IF($K205="IN","In: Research determination",IF($K205="OUT","Out: Research determination",IF($G205="N","Out: HTS not on scope list",IF($H205="Y","Out: HTS on exclusion list",IF($I205="N","Out: origin not on scope list",IF($J205="Y","Out: USMCA-qualifying, exempt","In: matches scope rules"))))))))</f>
        <v/>
      </c>
      <c r="N205" s="10">
        <f>IF(OR($A205="",$AM205=0),"",UPPER(TRIM(CLEAN(SUBSTITUTE(INDEX(scope_Group,MOD($AM205,1000))&amp;""," "," ")))))</f>
        <v/>
      </c>
      <c r="O205" s="10">
        <f>IF($L205&lt;&gt;"Y","",IF($AO205=0,"Default (B15)",UPPER(TRIM(CLEAN(SUBSTITUTE(INDEX(rate_ID,MOD($AO205,100))&amp;""," "," "))))))</f>
        <v/>
      </c>
      <c r="P205" s="10">
        <f>IF($L205&lt;&gt;"Y","",IF($AO205=0,IF(UPPER(TRIM(CLEAN(SUBSTITUTE(act_DefaultBase&amp;""," "," "))))="PART","PART","FULL"),IF(UPPER(TRIM(CLEAN(SUBSTITUTE(INDEX(rate_Base,MOD($AO205,100))&amp;""," "," "))))="PART","PART","FULL")))</f>
        <v/>
      </c>
      <c r="Q205" s="17">
        <f>IF($A205="","",N(Items!J205))</f>
        <v/>
      </c>
      <c r="R205" s="17">
        <f>IF($A205="","",IF($L205&lt;&gt;"Y",0,IF($AO205=0,N(act_Rate),N(INDEX(rate_Rate,MOD($AO205,100))))))</f>
        <v/>
      </c>
      <c r="S205" s="17">
        <f>IF($A205="","",IF($L205&lt;&gt;"Y",0,IF($AO205=0,IF(UPPER(TRIM(CLEAN(SUBSTITUTE(act_RateType&amp;""," "," "))))="REPLACE",N(act_PriorRate),0),IF(ISNUMBER(INDEX(rate_Prior,MOD($AO205,100))),INDEX(rate_Prior,MOD($AO205,100)),IF(UPPER(TRIM(CLEAN(SUBSTITUTE(act_RateType&amp;""," "," "))))="REPLACE",N(act_PriorRate),0)))))</f>
        <v/>
      </c>
      <c r="T205" s="17">
        <f>IF($A205="","",IF(AND($L205="Y",$P205="PART",ISNUMBER(Items!M205)),Items!M205,1))</f>
        <v/>
      </c>
      <c r="U205" s="17">
        <f>IF($A205="","",IF($L205&lt;&gt;"Y",0,IF($AQ205&gt;0,IF(ISNUMBER(INDEX(det_Displaced,$AQ205)),INDEX(det_Displaced,$AQ205),IF($AO205=0,0,N(INDEX(rate_Displaced,MOD($AO205,100))))),IF($AO205=0,0,N(INDEX(rate_Displaced,MOD($AO205,100)))))))</f>
        <v/>
      </c>
      <c r="V205" s="17">
        <f>IF($A205="","",IF($L205="Y",$Q205+$T205*($R205-$S205)-$U205,$Q205))</f>
        <v/>
      </c>
      <c r="W205" s="18">
        <f>IF($A205="","",N(Items!H205)*$Q205)</f>
        <v/>
      </c>
      <c r="X205" s="18">
        <f>IF($A205="","",N(Items!H205)*$V205)</f>
        <v/>
      </c>
      <c r="Y205" s="18">
        <f>IF($A205="","",$X205-$W205)</f>
        <v/>
      </c>
      <c r="Z205" s="18">
        <f>IF($A205="","",N(Items!K205)+$Y205)</f>
        <v/>
      </c>
      <c r="AA205" s="17">
        <f>IF($A205="","",IF(N(Items!L205)=0,"",(N(Items!L205)-N(Items!K205))/N(Items!L205)))</f>
        <v/>
      </c>
      <c r="AB205" s="17">
        <f>IF($A205="","",IF(N(Items!L205)=0,"",(N(Items!L205)-$Z205)/N(Items!L205)))</f>
        <v/>
      </c>
      <c r="AC205" s="17">
        <f>IF(OR($AA205="",$AB205=""),"",$AB205-$AA205)</f>
        <v/>
      </c>
      <c r="AD205" s="13">
        <f>IF($A205="","",N(Items!I205))</f>
        <v/>
      </c>
      <c r="AE205" s="19">
        <f>IF($A205="","",$Y205*$AD205)</f>
        <v/>
      </c>
      <c r="AF205" s="10">
        <f>IF($A205="","",IF(N(Items!L205)&gt;0,"Y","N"))</f>
        <v/>
      </c>
      <c r="AG205" s="19">
        <f>IF($A205="","",IF($AF205="Y",N(Items!L205)*$AD205,0))</f>
        <v/>
      </c>
      <c r="AH205" s="19">
        <f>IF($A205="","",IF($AF205="Y",(N(Items!L205)-N(Items!K205))*$AD205,0))</f>
        <v/>
      </c>
      <c r="AI205" s="19">
        <f>IF($A205="","",IF($AF205="Y",$AH205-$AE205,0))</f>
        <v/>
      </c>
      <c r="AJ205" s="10">
        <f>IF($A205="","",IF(COUNTIF($AL$5:$AL$254,$AL205)&gt;1,"CHECK: duplicate item and import country",IF(TRIM(CLEAN(SUBSTITUTE(Items!C205&amp;""," "," ")))="","CHECK: import country missing",IF(AND(UPPER(TRIM(CLEAN(SUBSTITUTE(Items!C205&amp;""," "," "))))&lt;&gt;"US",UPPER(TRIM(CLEAN(SUBSTITUTE(Items!C205&amp;""," "," "))))&lt;&gt;"CA",UPPER(TRIM(CLEAN(SUBSTITUTE(Items!C205&amp;""," "," "))))&lt;&gt;"MX"),"CHECK: import country must be US, CA or MX",IF(NOT(AND(LEN($C205)=10,IFERROR(TEXT(VALUE($C205),REPT("0",LEN($C205)))=$C205,FALSE))),"CHECK: HTS must be 10 digits",IF(LEN($E205)&lt;&gt;2,"CHECK: origin code missing or not 2 letters",IF(TRIM(CLEAN(SUBSTITUTE(Items!G205&amp;""," "," ")))="","CHECK: unit of measure missing",IF(OR(Items!H205="",Items!J205="",Items!K205=""),"CHECK: value, rate or cost missing",IF(OR(NOT(ISNUMBER(Items!H205)),NOT(ISNUMBER(Items!J205)),NOT(ISNUMBER(Items!K205)),AND(Items!I205&lt;&gt;"",NOT(ISNUMBER(Items!I205))),AND(Items!L205&lt;&gt;"",NOT(ISNUMBER(Items!L205))),AND(Items!M205&lt;&gt;"",NOT(ISNUMBER(Items!M205)))),"CHECK: text in a number column",IF(AND(ISNUMBER(Items!M205),OR(N(Items!M205)&lt;0,N(Items!M205)&gt;1)),"CHECK: dutiable share must be 0% to 100%",IF(AND(UPPER(TRIM(CLEAN(SUBSTITUTE(Items!F205&amp;""," "," "))))&lt;&gt;"",UPPER(TRIM(CLEAN(SUBSTITUTE(Items!F205&amp;""," "," "))))&lt;&gt;"Y",UPPER(TRIM(CLEAN(SUBSTITUTE(Items!F205&amp;""," "," "))))&lt;&gt;"N"),"CHECK: USMCA flag must be Y, N or blank",IF(AND(UPPER(TRIM(CLEAN(SUBSTITUTE(Items!F205&amp;""," "," "))))="Y",$E205&lt;&gt;"US",$E205&lt;&gt;"CA",$E205&lt;&gt;"MX"),"CHECK: USMCA flag on an origin other than US, CA or MX",IF(AND($L205="Y",$AO205=0,NOT(ISNUMBER(act_Rate))),"CHECK: in scope but no rate (add a rate line or B15)",IF(AND($L205="Y",UPPER(TRIM(CLEAN(SUBSTITUTE(act_RateType&amp;""," "," "))))="REPLACE",NOT(ISNUMBER(act_PriorRate)),IF($AO205=0,TRUE,NOT(ISNUMBER(INDEX(rate_Prior,MOD($AO205,100)))))),"CHECK: REPLACE but no earlier rate (B17 or the rate line's AD)",IF(AND($L205="Y",$AP205&gt;1),"CHECK: two rate lines match equally",IF(AND($L205="Y",$AN205&gt;1),"CHECK: HTS prefix listed twice on the scope list",IF(AND($L205="Y",$P205="PART",NOT(ISNUMBER(Items!M205))),"CHECK: dutiable share missing (PART base)",IF(AND($L205="Y",$P205="FULL",ISNUMBER(Items!M205),N(Items!M205)&lt;&gt;1),"CHECK: dutiable share entered, but the rate taxes the full value",IF(AND($L205="Y",$Q205+0.0000001&lt;$T205*$S205+$U205),"CHECK: current rate is below the duty being replaced or displaced",IF(AND($L205="Y",$AD205=0),"NOTE: in scope, no quantity",IF(AND($L205="Y",$AF205="N"),"NOTE: in scope, no sell price (left out of margin %)",IF(AND($L205="Y",N(Items!H205)&gt;N(Items!K205)),"NOTE: customs value above standard cost (check unit of measure)",IF(AND($L205="Y",$Q205&gt;1),"NOTE: current rate above 100% (check it was entered as a percentage)","OK")))))))))))))))))))))))</f>
        <v/>
      </c>
      <c r="AK205" s="20">
        <f>IF($A205="","",IF(AND($L205="Y",$AE205&lt;&gt;0),ABS($AE205)+ROW()/1000000000,""))</f>
        <v/>
      </c>
      <c r="AL205" s="10">
        <f>IF($A205="","",UPPER($A205)&amp;"/"&amp;UPPER(TRIM(CLEAN(SUBSTITUTE(Items!C205&amp;""," "," ")))))</f>
        <v/>
      </c>
      <c r="AM205" s="13">
        <f>IF($A205="",0,SUMPRODUCT(MAX((scope_HTS&lt;&gt;"")*(LEFT($C205,LEN(scope_HTS))=scope_HTS)*(LEN(scope_HTS)*1000+ROW(scope_HTS)-4))))</f>
        <v/>
      </c>
      <c r="AN205" s="13">
        <f>IF($AM205=0,0,SUMPRODUCT((scope_HTS&lt;&gt;"")*(LEFT($C205,LEN(scope_HTS))=scope_HTS)*(LEN(scope_HTS)=INT($AM205/1000))))</f>
        <v/>
      </c>
      <c r="AO205" s="13">
        <f>IF($L205&lt;&gt;"Y",0,SUMPRODUCT(MAX(ISNUMBER(rate_Rate)*((UPPER(TRIM(CLEAN(SUBSTITUTE(rate_Group&amp;""," "," "))))="")+(UPPER(TRIM(CLEAN(SUBSTITUTE(rate_Group&amp;""," "," "))))=$N205)&gt;0)*((UPPER(TRIM(CLEAN(SUBSTITUTE(rate_COO&amp;""," "," "))))="")+(UPPER(TRIM(CLEAN(SUBSTITUTE(rate_COO&amp;""," "," "))))=$E205)&gt;0)*((UPPER(TRIM(CLEAN(SUBSTITUTE(rate_USMCA&amp;""," "," "))))="")+(UPPER(TRIM(CLEAN(SUBSTITUTE(rate_USMCA&amp;""," "," "))))=IF(UPPER(TRIM(CLEAN(SUBSTITUTE(Items!F205&amp;""," "," "))))="Y","Y","N"))&gt;0)*((1+(UPPER(TRIM(CLEAN(SUBSTITUTE(rate_Group&amp;""," "," "))))&lt;&gt;"")+2*(UPPER(TRIM(CLEAN(SUBSTITUTE(rate_USMCA&amp;""," "," "))))&lt;&gt;"")+4*(UPPER(TRIM(CLEAN(SUBSTITUTE(rate_COO&amp;""," "," "))))&lt;&gt;""))*100+ROW(rate_Rate)-4))))</f>
        <v/>
      </c>
      <c r="AP205" s="13">
        <f>IF($AO205=0,0,SUMPRODUCT(ISNUMBER(rate_Rate)*((UPPER(TRIM(CLEAN(SUBSTITUTE(rate_Group&amp;""," "," "))))="")+(UPPER(TRIM(CLEAN(SUBSTITUTE(rate_Group&amp;""," "," "))))=$N205)&gt;0)*((UPPER(TRIM(CLEAN(SUBSTITUTE(rate_COO&amp;""," "," "))))="")+(UPPER(TRIM(CLEAN(SUBSTITUTE(rate_COO&amp;""," "," "))))=$E205)&gt;0)*((UPPER(TRIM(CLEAN(SUBSTITUTE(rate_USMCA&amp;""," "," "))))="")+(UPPER(TRIM(CLEAN(SUBSTITUTE(rate_USMCA&amp;""," "," "))))=IF(UPPER(TRIM(CLEAN(SUBSTITUTE(Items!F205&amp;""," "," "))))="Y","Y","N"))&gt;0)*((1+(UPPER(TRIM(CLEAN(SUBSTITUTE(rate_Group&amp;""," "," "))))&lt;&gt;"")+2*(UPPER(TRIM(CLEAN(SUBSTITUTE(rate_USMCA&amp;""," "," "))))&lt;&gt;"")+4*(UPPER(TRIM(CLEAN(SUBSTITUTE(rate_COO&amp;""," "," "))))&lt;&gt;""))=INT($AO205/100))))</f>
        <v/>
      </c>
      <c r="AQ205" s="13">
        <f>IF($A205="",0,IFERROR(MATCH($AL205,det_Key,0),0))</f>
        <v/>
      </c>
    </row>
    <row r="206">
      <c r="A206" s="10">
        <f>IF(TRIM(CLEAN(SUBSTITUTE(Items!A206&amp;""," "," ")))="","",TRIM(CLEAN(SUBSTITUTE(Items!A206&amp;""," "," "))))</f>
        <v/>
      </c>
      <c r="B206" s="10">
        <f>IF($A206="","",Items!B206&amp;"")</f>
        <v/>
      </c>
      <c r="C206" s="10">
        <f>IF($A206="","",SUBSTITUTE(SUBSTITUTE(SUBSTITUTE(SUBSTITUTE(CLEAN(Items!D206&amp;"")," ",""),".","")," ",""),"-",""))</f>
        <v/>
      </c>
      <c r="D206" s="10">
        <f>IF($A206="","",LEFT($C206,2))</f>
        <v/>
      </c>
      <c r="E206" s="10">
        <f>IF($A206="","",UPPER(TRIM(CLEAN(SUBSTITUTE(Items!E206&amp;""," "," ")))))</f>
        <v/>
      </c>
      <c r="F206" s="10">
        <f>IF($A206="","",IF(UPPER(TRIM(CLEAN(SUBSTITUTE(Items!C206&amp;""," "," "))))=UPPER(TRIM(CLEAN(SUBSTITUTE(act_Country&amp;""," "," ")))),"Y","N"))</f>
        <v/>
      </c>
      <c r="G206" s="10">
        <f>IF($A206="","",IF($AM206&gt;0,"Y","N"))</f>
        <v/>
      </c>
      <c r="H206" s="10">
        <f>IF($A206="","",IF(SUMPRODUCT((excl_HTS&lt;&gt;"")*(LEFT($C206,LEN(excl_HTS))=excl_HTS))&gt;0,"Y","N"))</f>
        <v/>
      </c>
      <c r="I206" s="10">
        <f>IF($A206="","",IF($E206="","N",IF(SUMPRODUCT(--(UPPER(TRIM(CLEAN(SUBSTITUTE(scope_COO&amp;""," "," "))))=$E206))&gt;0,"Y","N")))</f>
        <v/>
      </c>
      <c r="J206" s="10">
        <f>IF($A206="","",IF(AND(UPPER(TRIM(CLEAN(SUBSTITUTE(act_USMCAExempt&amp;""," "," "))))="Y",UPPER(TRIM(CLEAN(SUBSTITUTE(Items!F206&amp;""," "," "))))="Y"),"Y","N"))</f>
        <v/>
      </c>
      <c r="K206" s="10">
        <f>IF($A206="","",IF($AQ206=0,"",UPPER(TRIM(CLEAN(SUBSTITUTE(INDEX(det_Status,$AQ206)&amp;""," "," "))))))</f>
        <v/>
      </c>
      <c r="L206" s="10">
        <f>IF($A206="","",IF($F206="N","N",IF($K206="IN","Y",IF($K206="OUT","N",IF(AND($G206="Y",$H206="N",$I206="Y",$J206="N"),"Y","N")))))</f>
        <v/>
      </c>
      <c r="M206" s="10">
        <f>IF($A206="","",IF($F206="N","Out: different import country",IF($K206="IN","In: Research determination",IF($K206="OUT","Out: Research determination",IF($G206="N","Out: HTS not on scope list",IF($H206="Y","Out: HTS on exclusion list",IF($I206="N","Out: origin not on scope list",IF($J206="Y","Out: USMCA-qualifying, exempt","In: matches scope rules"))))))))</f>
        <v/>
      </c>
      <c r="N206" s="10">
        <f>IF(OR($A206="",$AM206=0),"",UPPER(TRIM(CLEAN(SUBSTITUTE(INDEX(scope_Group,MOD($AM206,1000))&amp;""," "," ")))))</f>
        <v/>
      </c>
      <c r="O206" s="10">
        <f>IF($L206&lt;&gt;"Y","",IF($AO206=0,"Default (B15)",UPPER(TRIM(CLEAN(SUBSTITUTE(INDEX(rate_ID,MOD($AO206,100))&amp;""," "," "))))))</f>
        <v/>
      </c>
      <c r="P206" s="10">
        <f>IF($L206&lt;&gt;"Y","",IF($AO206=0,IF(UPPER(TRIM(CLEAN(SUBSTITUTE(act_DefaultBase&amp;""," "," "))))="PART","PART","FULL"),IF(UPPER(TRIM(CLEAN(SUBSTITUTE(INDEX(rate_Base,MOD($AO206,100))&amp;""," "," "))))="PART","PART","FULL")))</f>
        <v/>
      </c>
      <c r="Q206" s="17">
        <f>IF($A206="","",N(Items!J206))</f>
        <v/>
      </c>
      <c r="R206" s="17">
        <f>IF($A206="","",IF($L206&lt;&gt;"Y",0,IF($AO206=0,N(act_Rate),N(INDEX(rate_Rate,MOD($AO206,100))))))</f>
        <v/>
      </c>
      <c r="S206" s="17">
        <f>IF($A206="","",IF($L206&lt;&gt;"Y",0,IF($AO206=0,IF(UPPER(TRIM(CLEAN(SUBSTITUTE(act_RateType&amp;""," "," "))))="REPLACE",N(act_PriorRate),0),IF(ISNUMBER(INDEX(rate_Prior,MOD($AO206,100))),INDEX(rate_Prior,MOD($AO206,100)),IF(UPPER(TRIM(CLEAN(SUBSTITUTE(act_RateType&amp;""," "," "))))="REPLACE",N(act_PriorRate),0)))))</f>
        <v/>
      </c>
      <c r="T206" s="17">
        <f>IF($A206="","",IF(AND($L206="Y",$P206="PART",ISNUMBER(Items!M206)),Items!M206,1))</f>
        <v/>
      </c>
      <c r="U206" s="17">
        <f>IF($A206="","",IF($L206&lt;&gt;"Y",0,IF($AQ206&gt;0,IF(ISNUMBER(INDEX(det_Displaced,$AQ206)),INDEX(det_Displaced,$AQ206),IF($AO206=0,0,N(INDEX(rate_Displaced,MOD($AO206,100))))),IF($AO206=0,0,N(INDEX(rate_Displaced,MOD($AO206,100)))))))</f>
        <v/>
      </c>
      <c r="V206" s="17">
        <f>IF($A206="","",IF($L206="Y",$Q206+$T206*($R206-$S206)-$U206,$Q206))</f>
        <v/>
      </c>
      <c r="W206" s="18">
        <f>IF($A206="","",N(Items!H206)*$Q206)</f>
        <v/>
      </c>
      <c r="X206" s="18">
        <f>IF($A206="","",N(Items!H206)*$V206)</f>
        <v/>
      </c>
      <c r="Y206" s="18">
        <f>IF($A206="","",$X206-$W206)</f>
        <v/>
      </c>
      <c r="Z206" s="18">
        <f>IF($A206="","",N(Items!K206)+$Y206)</f>
        <v/>
      </c>
      <c r="AA206" s="17">
        <f>IF($A206="","",IF(N(Items!L206)=0,"",(N(Items!L206)-N(Items!K206))/N(Items!L206)))</f>
        <v/>
      </c>
      <c r="AB206" s="17">
        <f>IF($A206="","",IF(N(Items!L206)=0,"",(N(Items!L206)-$Z206)/N(Items!L206)))</f>
        <v/>
      </c>
      <c r="AC206" s="17">
        <f>IF(OR($AA206="",$AB206=""),"",$AB206-$AA206)</f>
        <v/>
      </c>
      <c r="AD206" s="13">
        <f>IF($A206="","",N(Items!I206))</f>
        <v/>
      </c>
      <c r="AE206" s="19">
        <f>IF($A206="","",$Y206*$AD206)</f>
        <v/>
      </c>
      <c r="AF206" s="10">
        <f>IF($A206="","",IF(N(Items!L206)&gt;0,"Y","N"))</f>
        <v/>
      </c>
      <c r="AG206" s="19">
        <f>IF($A206="","",IF($AF206="Y",N(Items!L206)*$AD206,0))</f>
        <v/>
      </c>
      <c r="AH206" s="19">
        <f>IF($A206="","",IF($AF206="Y",(N(Items!L206)-N(Items!K206))*$AD206,0))</f>
        <v/>
      </c>
      <c r="AI206" s="19">
        <f>IF($A206="","",IF($AF206="Y",$AH206-$AE206,0))</f>
        <v/>
      </c>
      <c r="AJ206" s="10">
        <f>IF($A206="","",IF(COUNTIF($AL$5:$AL$254,$AL206)&gt;1,"CHECK: duplicate item and import country",IF(TRIM(CLEAN(SUBSTITUTE(Items!C206&amp;""," "," ")))="","CHECK: import country missing",IF(AND(UPPER(TRIM(CLEAN(SUBSTITUTE(Items!C206&amp;""," "," "))))&lt;&gt;"US",UPPER(TRIM(CLEAN(SUBSTITUTE(Items!C206&amp;""," "," "))))&lt;&gt;"CA",UPPER(TRIM(CLEAN(SUBSTITUTE(Items!C206&amp;""," "," "))))&lt;&gt;"MX"),"CHECK: import country must be US, CA or MX",IF(NOT(AND(LEN($C206)=10,IFERROR(TEXT(VALUE($C206),REPT("0",LEN($C206)))=$C206,FALSE))),"CHECK: HTS must be 10 digits",IF(LEN($E206)&lt;&gt;2,"CHECK: origin code missing or not 2 letters",IF(TRIM(CLEAN(SUBSTITUTE(Items!G206&amp;""," "," ")))="","CHECK: unit of measure missing",IF(OR(Items!H206="",Items!J206="",Items!K206=""),"CHECK: value, rate or cost missing",IF(OR(NOT(ISNUMBER(Items!H206)),NOT(ISNUMBER(Items!J206)),NOT(ISNUMBER(Items!K206)),AND(Items!I206&lt;&gt;"",NOT(ISNUMBER(Items!I206))),AND(Items!L206&lt;&gt;"",NOT(ISNUMBER(Items!L206))),AND(Items!M206&lt;&gt;"",NOT(ISNUMBER(Items!M206)))),"CHECK: text in a number column",IF(AND(ISNUMBER(Items!M206),OR(N(Items!M206)&lt;0,N(Items!M206)&gt;1)),"CHECK: dutiable share must be 0% to 100%",IF(AND(UPPER(TRIM(CLEAN(SUBSTITUTE(Items!F206&amp;""," "," "))))&lt;&gt;"",UPPER(TRIM(CLEAN(SUBSTITUTE(Items!F206&amp;""," "," "))))&lt;&gt;"Y",UPPER(TRIM(CLEAN(SUBSTITUTE(Items!F206&amp;""," "," "))))&lt;&gt;"N"),"CHECK: USMCA flag must be Y, N or blank",IF(AND(UPPER(TRIM(CLEAN(SUBSTITUTE(Items!F206&amp;""," "," "))))="Y",$E206&lt;&gt;"US",$E206&lt;&gt;"CA",$E206&lt;&gt;"MX"),"CHECK: USMCA flag on an origin other than US, CA or MX",IF(AND($L206="Y",$AO206=0,NOT(ISNUMBER(act_Rate))),"CHECK: in scope but no rate (add a rate line or B15)",IF(AND($L206="Y",UPPER(TRIM(CLEAN(SUBSTITUTE(act_RateType&amp;""," "," "))))="REPLACE",NOT(ISNUMBER(act_PriorRate)),IF($AO206=0,TRUE,NOT(ISNUMBER(INDEX(rate_Prior,MOD($AO206,100)))))),"CHECK: REPLACE but no earlier rate (B17 or the rate line's AD)",IF(AND($L206="Y",$AP206&gt;1),"CHECK: two rate lines match equally",IF(AND($L206="Y",$AN206&gt;1),"CHECK: HTS prefix listed twice on the scope list",IF(AND($L206="Y",$P206="PART",NOT(ISNUMBER(Items!M206))),"CHECK: dutiable share missing (PART base)",IF(AND($L206="Y",$P206="FULL",ISNUMBER(Items!M206),N(Items!M206)&lt;&gt;1),"CHECK: dutiable share entered, but the rate taxes the full value",IF(AND($L206="Y",$Q206+0.0000001&lt;$T206*$S206+$U206),"CHECK: current rate is below the duty being replaced or displaced",IF(AND($L206="Y",$AD206=0),"NOTE: in scope, no quantity",IF(AND($L206="Y",$AF206="N"),"NOTE: in scope, no sell price (left out of margin %)",IF(AND($L206="Y",N(Items!H206)&gt;N(Items!K206)),"NOTE: customs value above standard cost (check unit of measure)",IF(AND($L206="Y",$Q206&gt;1),"NOTE: current rate above 100% (check it was entered as a percentage)","OK")))))))))))))))))))))))</f>
        <v/>
      </c>
      <c r="AK206" s="20">
        <f>IF($A206="","",IF(AND($L206="Y",$AE206&lt;&gt;0),ABS($AE206)+ROW()/1000000000,""))</f>
        <v/>
      </c>
      <c r="AL206" s="10">
        <f>IF($A206="","",UPPER($A206)&amp;"/"&amp;UPPER(TRIM(CLEAN(SUBSTITUTE(Items!C206&amp;""," "," ")))))</f>
        <v/>
      </c>
      <c r="AM206" s="13">
        <f>IF($A206="",0,SUMPRODUCT(MAX((scope_HTS&lt;&gt;"")*(LEFT($C206,LEN(scope_HTS))=scope_HTS)*(LEN(scope_HTS)*1000+ROW(scope_HTS)-4))))</f>
        <v/>
      </c>
      <c r="AN206" s="13">
        <f>IF($AM206=0,0,SUMPRODUCT((scope_HTS&lt;&gt;"")*(LEFT($C206,LEN(scope_HTS))=scope_HTS)*(LEN(scope_HTS)=INT($AM206/1000))))</f>
        <v/>
      </c>
      <c r="AO206" s="13">
        <f>IF($L206&lt;&gt;"Y",0,SUMPRODUCT(MAX(ISNUMBER(rate_Rate)*((UPPER(TRIM(CLEAN(SUBSTITUTE(rate_Group&amp;""," "," "))))="")+(UPPER(TRIM(CLEAN(SUBSTITUTE(rate_Group&amp;""," "," "))))=$N206)&gt;0)*((UPPER(TRIM(CLEAN(SUBSTITUTE(rate_COO&amp;""," "," "))))="")+(UPPER(TRIM(CLEAN(SUBSTITUTE(rate_COO&amp;""," "," "))))=$E206)&gt;0)*((UPPER(TRIM(CLEAN(SUBSTITUTE(rate_USMCA&amp;""," "," "))))="")+(UPPER(TRIM(CLEAN(SUBSTITUTE(rate_USMCA&amp;""," "," "))))=IF(UPPER(TRIM(CLEAN(SUBSTITUTE(Items!F206&amp;""," "," "))))="Y","Y","N"))&gt;0)*((1+(UPPER(TRIM(CLEAN(SUBSTITUTE(rate_Group&amp;""," "," "))))&lt;&gt;"")+2*(UPPER(TRIM(CLEAN(SUBSTITUTE(rate_USMCA&amp;""," "," "))))&lt;&gt;"")+4*(UPPER(TRIM(CLEAN(SUBSTITUTE(rate_COO&amp;""," "," "))))&lt;&gt;""))*100+ROW(rate_Rate)-4))))</f>
        <v/>
      </c>
      <c r="AP206" s="13">
        <f>IF($AO206=0,0,SUMPRODUCT(ISNUMBER(rate_Rate)*((UPPER(TRIM(CLEAN(SUBSTITUTE(rate_Group&amp;""," "," "))))="")+(UPPER(TRIM(CLEAN(SUBSTITUTE(rate_Group&amp;""," "," "))))=$N206)&gt;0)*((UPPER(TRIM(CLEAN(SUBSTITUTE(rate_COO&amp;""," "," "))))="")+(UPPER(TRIM(CLEAN(SUBSTITUTE(rate_COO&amp;""," "," "))))=$E206)&gt;0)*((UPPER(TRIM(CLEAN(SUBSTITUTE(rate_USMCA&amp;""," "," "))))="")+(UPPER(TRIM(CLEAN(SUBSTITUTE(rate_USMCA&amp;""," "," "))))=IF(UPPER(TRIM(CLEAN(SUBSTITUTE(Items!F206&amp;""," "," "))))="Y","Y","N"))&gt;0)*((1+(UPPER(TRIM(CLEAN(SUBSTITUTE(rate_Group&amp;""," "," "))))&lt;&gt;"")+2*(UPPER(TRIM(CLEAN(SUBSTITUTE(rate_USMCA&amp;""," "," "))))&lt;&gt;"")+4*(UPPER(TRIM(CLEAN(SUBSTITUTE(rate_COO&amp;""," "," "))))&lt;&gt;""))=INT($AO206/100))))</f>
        <v/>
      </c>
      <c r="AQ206" s="13">
        <f>IF($A206="",0,IFERROR(MATCH($AL206,det_Key,0),0))</f>
        <v/>
      </c>
    </row>
    <row r="207">
      <c r="A207" s="10">
        <f>IF(TRIM(CLEAN(SUBSTITUTE(Items!A207&amp;""," "," ")))="","",TRIM(CLEAN(SUBSTITUTE(Items!A207&amp;""," "," "))))</f>
        <v/>
      </c>
      <c r="B207" s="10">
        <f>IF($A207="","",Items!B207&amp;"")</f>
        <v/>
      </c>
      <c r="C207" s="10">
        <f>IF($A207="","",SUBSTITUTE(SUBSTITUTE(SUBSTITUTE(SUBSTITUTE(CLEAN(Items!D207&amp;"")," ",""),".","")," ",""),"-",""))</f>
        <v/>
      </c>
      <c r="D207" s="10">
        <f>IF($A207="","",LEFT($C207,2))</f>
        <v/>
      </c>
      <c r="E207" s="10">
        <f>IF($A207="","",UPPER(TRIM(CLEAN(SUBSTITUTE(Items!E207&amp;""," "," ")))))</f>
        <v/>
      </c>
      <c r="F207" s="10">
        <f>IF($A207="","",IF(UPPER(TRIM(CLEAN(SUBSTITUTE(Items!C207&amp;""," "," "))))=UPPER(TRIM(CLEAN(SUBSTITUTE(act_Country&amp;""," "," ")))),"Y","N"))</f>
        <v/>
      </c>
      <c r="G207" s="10">
        <f>IF($A207="","",IF($AM207&gt;0,"Y","N"))</f>
        <v/>
      </c>
      <c r="H207" s="10">
        <f>IF($A207="","",IF(SUMPRODUCT((excl_HTS&lt;&gt;"")*(LEFT($C207,LEN(excl_HTS))=excl_HTS))&gt;0,"Y","N"))</f>
        <v/>
      </c>
      <c r="I207" s="10">
        <f>IF($A207="","",IF($E207="","N",IF(SUMPRODUCT(--(UPPER(TRIM(CLEAN(SUBSTITUTE(scope_COO&amp;""," "," "))))=$E207))&gt;0,"Y","N")))</f>
        <v/>
      </c>
      <c r="J207" s="10">
        <f>IF($A207="","",IF(AND(UPPER(TRIM(CLEAN(SUBSTITUTE(act_USMCAExempt&amp;""," "," "))))="Y",UPPER(TRIM(CLEAN(SUBSTITUTE(Items!F207&amp;""," "," "))))="Y"),"Y","N"))</f>
        <v/>
      </c>
      <c r="K207" s="10">
        <f>IF($A207="","",IF($AQ207=0,"",UPPER(TRIM(CLEAN(SUBSTITUTE(INDEX(det_Status,$AQ207)&amp;""," "," "))))))</f>
        <v/>
      </c>
      <c r="L207" s="10">
        <f>IF($A207="","",IF($F207="N","N",IF($K207="IN","Y",IF($K207="OUT","N",IF(AND($G207="Y",$H207="N",$I207="Y",$J207="N"),"Y","N")))))</f>
        <v/>
      </c>
      <c r="M207" s="10">
        <f>IF($A207="","",IF($F207="N","Out: different import country",IF($K207="IN","In: Research determination",IF($K207="OUT","Out: Research determination",IF($G207="N","Out: HTS not on scope list",IF($H207="Y","Out: HTS on exclusion list",IF($I207="N","Out: origin not on scope list",IF($J207="Y","Out: USMCA-qualifying, exempt","In: matches scope rules"))))))))</f>
        <v/>
      </c>
      <c r="N207" s="10">
        <f>IF(OR($A207="",$AM207=0),"",UPPER(TRIM(CLEAN(SUBSTITUTE(INDEX(scope_Group,MOD($AM207,1000))&amp;""," "," ")))))</f>
        <v/>
      </c>
      <c r="O207" s="10">
        <f>IF($L207&lt;&gt;"Y","",IF($AO207=0,"Default (B15)",UPPER(TRIM(CLEAN(SUBSTITUTE(INDEX(rate_ID,MOD($AO207,100))&amp;""," "," "))))))</f>
        <v/>
      </c>
      <c r="P207" s="10">
        <f>IF($L207&lt;&gt;"Y","",IF($AO207=0,IF(UPPER(TRIM(CLEAN(SUBSTITUTE(act_DefaultBase&amp;""," "," "))))="PART","PART","FULL"),IF(UPPER(TRIM(CLEAN(SUBSTITUTE(INDEX(rate_Base,MOD($AO207,100))&amp;""," "," "))))="PART","PART","FULL")))</f>
        <v/>
      </c>
      <c r="Q207" s="17">
        <f>IF($A207="","",N(Items!J207))</f>
        <v/>
      </c>
      <c r="R207" s="17">
        <f>IF($A207="","",IF($L207&lt;&gt;"Y",0,IF($AO207=0,N(act_Rate),N(INDEX(rate_Rate,MOD($AO207,100))))))</f>
        <v/>
      </c>
      <c r="S207" s="17">
        <f>IF($A207="","",IF($L207&lt;&gt;"Y",0,IF($AO207=0,IF(UPPER(TRIM(CLEAN(SUBSTITUTE(act_RateType&amp;""," "," "))))="REPLACE",N(act_PriorRate),0),IF(ISNUMBER(INDEX(rate_Prior,MOD($AO207,100))),INDEX(rate_Prior,MOD($AO207,100)),IF(UPPER(TRIM(CLEAN(SUBSTITUTE(act_RateType&amp;""," "," "))))="REPLACE",N(act_PriorRate),0)))))</f>
        <v/>
      </c>
      <c r="T207" s="17">
        <f>IF($A207="","",IF(AND($L207="Y",$P207="PART",ISNUMBER(Items!M207)),Items!M207,1))</f>
        <v/>
      </c>
      <c r="U207" s="17">
        <f>IF($A207="","",IF($L207&lt;&gt;"Y",0,IF($AQ207&gt;0,IF(ISNUMBER(INDEX(det_Displaced,$AQ207)),INDEX(det_Displaced,$AQ207),IF($AO207=0,0,N(INDEX(rate_Displaced,MOD($AO207,100))))),IF($AO207=0,0,N(INDEX(rate_Displaced,MOD($AO207,100)))))))</f>
        <v/>
      </c>
      <c r="V207" s="17">
        <f>IF($A207="","",IF($L207="Y",$Q207+$T207*($R207-$S207)-$U207,$Q207))</f>
        <v/>
      </c>
      <c r="W207" s="18">
        <f>IF($A207="","",N(Items!H207)*$Q207)</f>
        <v/>
      </c>
      <c r="X207" s="18">
        <f>IF($A207="","",N(Items!H207)*$V207)</f>
        <v/>
      </c>
      <c r="Y207" s="18">
        <f>IF($A207="","",$X207-$W207)</f>
        <v/>
      </c>
      <c r="Z207" s="18">
        <f>IF($A207="","",N(Items!K207)+$Y207)</f>
        <v/>
      </c>
      <c r="AA207" s="17">
        <f>IF($A207="","",IF(N(Items!L207)=0,"",(N(Items!L207)-N(Items!K207))/N(Items!L207)))</f>
        <v/>
      </c>
      <c r="AB207" s="17">
        <f>IF($A207="","",IF(N(Items!L207)=0,"",(N(Items!L207)-$Z207)/N(Items!L207)))</f>
        <v/>
      </c>
      <c r="AC207" s="17">
        <f>IF(OR($AA207="",$AB207=""),"",$AB207-$AA207)</f>
        <v/>
      </c>
      <c r="AD207" s="13">
        <f>IF($A207="","",N(Items!I207))</f>
        <v/>
      </c>
      <c r="AE207" s="19">
        <f>IF($A207="","",$Y207*$AD207)</f>
        <v/>
      </c>
      <c r="AF207" s="10">
        <f>IF($A207="","",IF(N(Items!L207)&gt;0,"Y","N"))</f>
        <v/>
      </c>
      <c r="AG207" s="19">
        <f>IF($A207="","",IF($AF207="Y",N(Items!L207)*$AD207,0))</f>
        <v/>
      </c>
      <c r="AH207" s="19">
        <f>IF($A207="","",IF($AF207="Y",(N(Items!L207)-N(Items!K207))*$AD207,0))</f>
        <v/>
      </c>
      <c r="AI207" s="19">
        <f>IF($A207="","",IF($AF207="Y",$AH207-$AE207,0))</f>
        <v/>
      </c>
      <c r="AJ207" s="10">
        <f>IF($A207="","",IF(COUNTIF($AL$5:$AL$254,$AL207)&gt;1,"CHECK: duplicate item and import country",IF(TRIM(CLEAN(SUBSTITUTE(Items!C207&amp;""," "," ")))="","CHECK: import country missing",IF(AND(UPPER(TRIM(CLEAN(SUBSTITUTE(Items!C207&amp;""," "," "))))&lt;&gt;"US",UPPER(TRIM(CLEAN(SUBSTITUTE(Items!C207&amp;""," "," "))))&lt;&gt;"CA",UPPER(TRIM(CLEAN(SUBSTITUTE(Items!C207&amp;""," "," "))))&lt;&gt;"MX"),"CHECK: import country must be US, CA or MX",IF(NOT(AND(LEN($C207)=10,IFERROR(TEXT(VALUE($C207),REPT("0",LEN($C207)))=$C207,FALSE))),"CHECK: HTS must be 10 digits",IF(LEN($E207)&lt;&gt;2,"CHECK: origin code missing or not 2 letters",IF(TRIM(CLEAN(SUBSTITUTE(Items!G207&amp;""," "," ")))="","CHECK: unit of measure missing",IF(OR(Items!H207="",Items!J207="",Items!K207=""),"CHECK: value, rate or cost missing",IF(OR(NOT(ISNUMBER(Items!H207)),NOT(ISNUMBER(Items!J207)),NOT(ISNUMBER(Items!K207)),AND(Items!I207&lt;&gt;"",NOT(ISNUMBER(Items!I207))),AND(Items!L207&lt;&gt;"",NOT(ISNUMBER(Items!L207))),AND(Items!M207&lt;&gt;"",NOT(ISNUMBER(Items!M207)))),"CHECK: text in a number column",IF(AND(ISNUMBER(Items!M207),OR(N(Items!M207)&lt;0,N(Items!M207)&gt;1)),"CHECK: dutiable share must be 0% to 100%",IF(AND(UPPER(TRIM(CLEAN(SUBSTITUTE(Items!F207&amp;""," "," "))))&lt;&gt;"",UPPER(TRIM(CLEAN(SUBSTITUTE(Items!F207&amp;""," "," "))))&lt;&gt;"Y",UPPER(TRIM(CLEAN(SUBSTITUTE(Items!F207&amp;""," "," "))))&lt;&gt;"N"),"CHECK: USMCA flag must be Y, N or blank",IF(AND(UPPER(TRIM(CLEAN(SUBSTITUTE(Items!F207&amp;""," "," "))))="Y",$E207&lt;&gt;"US",$E207&lt;&gt;"CA",$E207&lt;&gt;"MX"),"CHECK: USMCA flag on an origin other than US, CA or MX",IF(AND($L207="Y",$AO207=0,NOT(ISNUMBER(act_Rate))),"CHECK: in scope but no rate (add a rate line or B15)",IF(AND($L207="Y",UPPER(TRIM(CLEAN(SUBSTITUTE(act_RateType&amp;""," "," "))))="REPLACE",NOT(ISNUMBER(act_PriorRate)),IF($AO207=0,TRUE,NOT(ISNUMBER(INDEX(rate_Prior,MOD($AO207,100)))))),"CHECK: REPLACE but no earlier rate (B17 or the rate line's AD)",IF(AND($L207="Y",$AP207&gt;1),"CHECK: two rate lines match equally",IF(AND($L207="Y",$AN207&gt;1),"CHECK: HTS prefix listed twice on the scope list",IF(AND($L207="Y",$P207="PART",NOT(ISNUMBER(Items!M207))),"CHECK: dutiable share missing (PART base)",IF(AND($L207="Y",$P207="FULL",ISNUMBER(Items!M207),N(Items!M207)&lt;&gt;1),"CHECK: dutiable share entered, but the rate taxes the full value",IF(AND($L207="Y",$Q207+0.0000001&lt;$T207*$S207+$U207),"CHECK: current rate is below the duty being replaced or displaced",IF(AND($L207="Y",$AD207=0),"NOTE: in scope, no quantity",IF(AND($L207="Y",$AF207="N"),"NOTE: in scope, no sell price (left out of margin %)",IF(AND($L207="Y",N(Items!H207)&gt;N(Items!K207)),"NOTE: customs value above standard cost (check unit of measure)",IF(AND($L207="Y",$Q207&gt;1),"NOTE: current rate above 100% (check it was entered as a percentage)","OK")))))))))))))))))))))))</f>
        <v/>
      </c>
      <c r="AK207" s="20">
        <f>IF($A207="","",IF(AND($L207="Y",$AE207&lt;&gt;0),ABS($AE207)+ROW()/1000000000,""))</f>
        <v/>
      </c>
      <c r="AL207" s="10">
        <f>IF($A207="","",UPPER($A207)&amp;"/"&amp;UPPER(TRIM(CLEAN(SUBSTITUTE(Items!C207&amp;""," "," ")))))</f>
        <v/>
      </c>
      <c r="AM207" s="13">
        <f>IF($A207="",0,SUMPRODUCT(MAX((scope_HTS&lt;&gt;"")*(LEFT($C207,LEN(scope_HTS))=scope_HTS)*(LEN(scope_HTS)*1000+ROW(scope_HTS)-4))))</f>
        <v/>
      </c>
      <c r="AN207" s="13">
        <f>IF($AM207=0,0,SUMPRODUCT((scope_HTS&lt;&gt;"")*(LEFT($C207,LEN(scope_HTS))=scope_HTS)*(LEN(scope_HTS)=INT($AM207/1000))))</f>
        <v/>
      </c>
      <c r="AO207" s="13">
        <f>IF($L207&lt;&gt;"Y",0,SUMPRODUCT(MAX(ISNUMBER(rate_Rate)*((UPPER(TRIM(CLEAN(SUBSTITUTE(rate_Group&amp;""," "," "))))="")+(UPPER(TRIM(CLEAN(SUBSTITUTE(rate_Group&amp;""," "," "))))=$N207)&gt;0)*((UPPER(TRIM(CLEAN(SUBSTITUTE(rate_COO&amp;""," "," "))))="")+(UPPER(TRIM(CLEAN(SUBSTITUTE(rate_COO&amp;""," "," "))))=$E207)&gt;0)*((UPPER(TRIM(CLEAN(SUBSTITUTE(rate_USMCA&amp;""," "," "))))="")+(UPPER(TRIM(CLEAN(SUBSTITUTE(rate_USMCA&amp;""," "," "))))=IF(UPPER(TRIM(CLEAN(SUBSTITUTE(Items!F207&amp;""," "," "))))="Y","Y","N"))&gt;0)*((1+(UPPER(TRIM(CLEAN(SUBSTITUTE(rate_Group&amp;""," "," "))))&lt;&gt;"")+2*(UPPER(TRIM(CLEAN(SUBSTITUTE(rate_USMCA&amp;""," "," "))))&lt;&gt;"")+4*(UPPER(TRIM(CLEAN(SUBSTITUTE(rate_COO&amp;""," "," "))))&lt;&gt;""))*100+ROW(rate_Rate)-4))))</f>
        <v/>
      </c>
      <c r="AP207" s="13">
        <f>IF($AO207=0,0,SUMPRODUCT(ISNUMBER(rate_Rate)*((UPPER(TRIM(CLEAN(SUBSTITUTE(rate_Group&amp;""," "," "))))="")+(UPPER(TRIM(CLEAN(SUBSTITUTE(rate_Group&amp;""," "," "))))=$N207)&gt;0)*((UPPER(TRIM(CLEAN(SUBSTITUTE(rate_COO&amp;""," "," "))))="")+(UPPER(TRIM(CLEAN(SUBSTITUTE(rate_COO&amp;""," "," "))))=$E207)&gt;0)*((UPPER(TRIM(CLEAN(SUBSTITUTE(rate_USMCA&amp;""," "," "))))="")+(UPPER(TRIM(CLEAN(SUBSTITUTE(rate_USMCA&amp;""," "," "))))=IF(UPPER(TRIM(CLEAN(SUBSTITUTE(Items!F207&amp;""," "," "))))="Y","Y","N"))&gt;0)*((1+(UPPER(TRIM(CLEAN(SUBSTITUTE(rate_Group&amp;""," "," "))))&lt;&gt;"")+2*(UPPER(TRIM(CLEAN(SUBSTITUTE(rate_USMCA&amp;""," "," "))))&lt;&gt;"")+4*(UPPER(TRIM(CLEAN(SUBSTITUTE(rate_COO&amp;""," "," "))))&lt;&gt;""))=INT($AO207/100))))</f>
        <v/>
      </c>
      <c r="AQ207" s="13">
        <f>IF($A207="",0,IFERROR(MATCH($AL207,det_Key,0),0))</f>
        <v/>
      </c>
    </row>
    <row r="208">
      <c r="A208" s="10">
        <f>IF(TRIM(CLEAN(SUBSTITUTE(Items!A208&amp;""," "," ")))="","",TRIM(CLEAN(SUBSTITUTE(Items!A208&amp;""," "," "))))</f>
        <v/>
      </c>
      <c r="B208" s="10">
        <f>IF($A208="","",Items!B208&amp;"")</f>
        <v/>
      </c>
      <c r="C208" s="10">
        <f>IF($A208="","",SUBSTITUTE(SUBSTITUTE(SUBSTITUTE(SUBSTITUTE(CLEAN(Items!D208&amp;"")," ",""),".","")," ",""),"-",""))</f>
        <v/>
      </c>
      <c r="D208" s="10">
        <f>IF($A208="","",LEFT($C208,2))</f>
        <v/>
      </c>
      <c r="E208" s="10">
        <f>IF($A208="","",UPPER(TRIM(CLEAN(SUBSTITUTE(Items!E208&amp;""," "," ")))))</f>
        <v/>
      </c>
      <c r="F208" s="10">
        <f>IF($A208="","",IF(UPPER(TRIM(CLEAN(SUBSTITUTE(Items!C208&amp;""," "," "))))=UPPER(TRIM(CLEAN(SUBSTITUTE(act_Country&amp;""," "," ")))),"Y","N"))</f>
        <v/>
      </c>
      <c r="G208" s="10">
        <f>IF($A208="","",IF($AM208&gt;0,"Y","N"))</f>
        <v/>
      </c>
      <c r="H208" s="10">
        <f>IF($A208="","",IF(SUMPRODUCT((excl_HTS&lt;&gt;"")*(LEFT($C208,LEN(excl_HTS))=excl_HTS))&gt;0,"Y","N"))</f>
        <v/>
      </c>
      <c r="I208" s="10">
        <f>IF($A208="","",IF($E208="","N",IF(SUMPRODUCT(--(UPPER(TRIM(CLEAN(SUBSTITUTE(scope_COO&amp;""," "," "))))=$E208))&gt;0,"Y","N")))</f>
        <v/>
      </c>
      <c r="J208" s="10">
        <f>IF($A208="","",IF(AND(UPPER(TRIM(CLEAN(SUBSTITUTE(act_USMCAExempt&amp;""," "," "))))="Y",UPPER(TRIM(CLEAN(SUBSTITUTE(Items!F208&amp;""," "," "))))="Y"),"Y","N"))</f>
        <v/>
      </c>
      <c r="K208" s="10">
        <f>IF($A208="","",IF($AQ208=0,"",UPPER(TRIM(CLEAN(SUBSTITUTE(INDEX(det_Status,$AQ208)&amp;""," "," "))))))</f>
        <v/>
      </c>
      <c r="L208" s="10">
        <f>IF($A208="","",IF($F208="N","N",IF($K208="IN","Y",IF($K208="OUT","N",IF(AND($G208="Y",$H208="N",$I208="Y",$J208="N"),"Y","N")))))</f>
        <v/>
      </c>
      <c r="M208" s="10">
        <f>IF($A208="","",IF($F208="N","Out: different import country",IF($K208="IN","In: Research determination",IF($K208="OUT","Out: Research determination",IF($G208="N","Out: HTS not on scope list",IF($H208="Y","Out: HTS on exclusion list",IF($I208="N","Out: origin not on scope list",IF($J208="Y","Out: USMCA-qualifying, exempt","In: matches scope rules"))))))))</f>
        <v/>
      </c>
      <c r="N208" s="10">
        <f>IF(OR($A208="",$AM208=0),"",UPPER(TRIM(CLEAN(SUBSTITUTE(INDEX(scope_Group,MOD($AM208,1000))&amp;""," "," ")))))</f>
        <v/>
      </c>
      <c r="O208" s="10">
        <f>IF($L208&lt;&gt;"Y","",IF($AO208=0,"Default (B15)",UPPER(TRIM(CLEAN(SUBSTITUTE(INDEX(rate_ID,MOD($AO208,100))&amp;""," "," "))))))</f>
        <v/>
      </c>
      <c r="P208" s="10">
        <f>IF($L208&lt;&gt;"Y","",IF($AO208=0,IF(UPPER(TRIM(CLEAN(SUBSTITUTE(act_DefaultBase&amp;""," "," "))))="PART","PART","FULL"),IF(UPPER(TRIM(CLEAN(SUBSTITUTE(INDEX(rate_Base,MOD($AO208,100))&amp;""," "," "))))="PART","PART","FULL")))</f>
        <v/>
      </c>
      <c r="Q208" s="17">
        <f>IF($A208="","",N(Items!J208))</f>
        <v/>
      </c>
      <c r="R208" s="17">
        <f>IF($A208="","",IF($L208&lt;&gt;"Y",0,IF($AO208=0,N(act_Rate),N(INDEX(rate_Rate,MOD($AO208,100))))))</f>
        <v/>
      </c>
      <c r="S208" s="17">
        <f>IF($A208="","",IF($L208&lt;&gt;"Y",0,IF($AO208=0,IF(UPPER(TRIM(CLEAN(SUBSTITUTE(act_RateType&amp;""," "," "))))="REPLACE",N(act_PriorRate),0),IF(ISNUMBER(INDEX(rate_Prior,MOD($AO208,100))),INDEX(rate_Prior,MOD($AO208,100)),IF(UPPER(TRIM(CLEAN(SUBSTITUTE(act_RateType&amp;""," "," "))))="REPLACE",N(act_PriorRate),0)))))</f>
        <v/>
      </c>
      <c r="T208" s="17">
        <f>IF($A208="","",IF(AND($L208="Y",$P208="PART",ISNUMBER(Items!M208)),Items!M208,1))</f>
        <v/>
      </c>
      <c r="U208" s="17">
        <f>IF($A208="","",IF($L208&lt;&gt;"Y",0,IF($AQ208&gt;0,IF(ISNUMBER(INDEX(det_Displaced,$AQ208)),INDEX(det_Displaced,$AQ208),IF($AO208=0,0,N(INDEX(rate_Displaced,MOD($AO208,100))))),IF($AO208=0,0,N(INDEX(rate_Displaced,MOD($AO208,100)))))))</f>
        <v/>
      </c>
      <c r="V208" s="17">
        <f>IF($A208="","",IF($L208="Y",$Q208+$T208*($R208-$S208)-$U208,$Q208))</f>
        <v/>
      </c>
      <c r="W208" s="18">
        <f>IF($A208="","",N(Items!H208)*$Q208)</f>
        <v/>
      </c>
      <c r="X208" s="18">
        <f>IF($A208="","",N(Items!H208)*$V208)</f>
        <v/>
      </c>
      <c r="Y208" s="18">
        <f>IF($A208="","",$X208-$W208)</f>
        <v/>
      </c>
      <c r="Z208" s="18">
        <f>IF($A208="","",N(Items!K208)+$Y208)</f>
        <v/>
      </c>
      <c r="AA208" s="17">
        <f>IF($A208="","",IF(N(Items!L208)=0,"",(N(Items!L208)-N(Items!K208))/N(Items!L208)))</f>
        <v/>
      </c>
      <c r="AB208" s="17">
        <f>IF($A208="","",IF(N(Items!L208)=0,"",(N(Items!L208)-$Z208)/N(Items!L208)))</f>
        <v/>
      </c>
      <c r="AC208" s="17">
        <f>IF(OR($AA208="",$AB208=""),"",$AB208-$AA208)</f>
        <v/>
      </c>
      <c r="AD208" s="13">
        <f>IF($A208="","",N(Items!I208))</f>
        <v/>
      </c>
      <c r="AE208" s="19">
        <f>IF($A208="","",$Y208*$AD208)</f>
        <v/>
      </c>
      <c r="AF208" s="10">
        <f>IF($A208="","",IF(N(Items!L208)&gt;0,"Y","N"))</f>
        <v/>
      </c>
      <c r="AG208" s="19">
        <f>IF($A208="","",IF($AF208="Y",N(Items!L208)*$AD208,0))</f>
        <v/>
      </c>
      <c r="AH208" s="19">
        <f>IF($A208="","",IF($AF208="Y",(N(Items!L208)-N(Items!K208))*$AD208,0))</f>
        <v/>
      </c>
      <c r="AI208" s="19">
        <f>IF($A208="","",IF($AF208="Y",$AH208-$AE208,0))</f>
        <v/>
      </c>
      <c r="AJ208" s="10">
        <f>IF($A208="","",IF(COUNTIF($AL$5:$AL$254,$AL208)&gt;1,"CHECK: duplicate item and import country",IF(TRIM(CLEAN(SUBSTITUTE(Items!C208&amp;""," "," ")))="","CHECK: import country missing",IF(AND(UPPER(TRIM(CLEAN(SUBSTITUTE(Items!C208&amp;""," "," "))))&lt;&gt;"US",UPPER(TRIM(CLEAN(SUBSTITUTE(Items!C208&amp;""," "," "))))&lt;&gt;"CA",UPPER(TRIM(CLEAN(SUBSTITUTE(Items!C208&amp;""," "," "))))&lt;&gt;"MX"),"CHECK: import country must be US, CA or MX",IF(NOT(AND(LEN($C208)=10,IFERROR(TEXT(VALUE($C208),REPT("0",LEN($C208)))=$C208,FALSE))),"CHECK: HTS must be 10 digits",IF(LEN($E208)&lt;&gt;2,"CHECK: origin code missing or not 2 letters",IF(TRIM(CLEAN(SUBSTITUTE(Items!G208&amp;""," "," ")))="","CHECK: unit of measure missing",IF(OR(Items!H208="",Items!J208="",Items!K208=""),"CHECK: value, rate or cost missing",IF(OR(NOT(ISNUMBER(Items!H208)),NOT(ISNUMBER(Items!J208)),NOT(ISNUMBER(Items!K208)),AND(Items!I208&lt;&gt;"",NOT(ISNUMBER(Items!I208))),AND(Items!L208&lt;&gt;"",NOT(ISNUMBER(Items!L208))),AND(Items!M208&lt;&gt;"",NOT(ISNUMBER(Items!M208)))),"CHECK: text in a number column",IF(AND(ISNUMBER(Items!M208),OR(N(Items!M208)&lt;0,N(Items!M208)&gt;1)),"CHECK: dutiable share must be 0% to 100%",IF(AND(UPPER(TRIM(CLEAN(SUBSTITUTE(Items!F208&amp;""," "," "))))&lt;&gt;"",UPPER(TRIM(CLEAN(SUBSTITUTE(Items!F208&amp;""," "," "))))&lt;&gt;"Y",UPPER(TRIM(CLEAN(SUBSTITUTE(Items!F208&amp;""," "," "))))&lt;&gt;"N"),"CHECK: USMCA flag must be Y, N or blank",IF(AND(UPPER(TRIM(CLEAN(SUBSTITUTE(Items!F208&amp;""," "," "))))="Y",$E208&lt;&gt;"US",$E208&lt;&gt;"CA",$E208&lt;&gt;"MX"),"CHECK: USMCA flag on an origin other than US, CA or MX",IF(AND($L208="Y",$AO208=0,NOT(ISNUMBER(act_Rate))),"CHECK: in scope but no rate (add a rate line or B15)",IF(AND($L208="Y",UPPER(TRIM(CLEAN(SUBSTITUTE(act_RateType&amp;""," "," "))))="REPLACE",NOT(ISNUMBER(act_PriorRate)),IF($AO208=0,TRUE,NOT(ISNUMBER(INDEX(rate_Prior,MOD($AO208,100)))))),"CHECK: REPLACE but no earlier rate (B17 or the rate line's AD)",IF(AND($L208="Y",$AP208&gt;1),"CHECK: two rate lines match equally",IF(AND($L208="Y",$AN208&gt;1),"CHECK: HTS prefix listed twice on the scope list",IF(AND($L208="Y",$P208="PART",NOT(ISNUMBER(Items!M208))),"CHECK: dutiable share missing (PART base)",IF(AND($L208="Y",$P208="FULL",ISNUMBER(Items!M208),N(Items!M208)&lt;&gt;1),"CHECK: dutiable share entered, but the rate taxes the full value",IF(AND($L208="Y",$Q208+0.0000001&lt;$T208*$S208+$U208),"CHECK: current rate is below the duty being replaced or displaced",IF(AND($L208="Y",$AD208=0),"NOTE: in scope, no quantity",IF(AND($L208="Y",$AF208="N"),"NOTE: in scope, no sell price (left out of margin %)",IF(AND($L208="Y",N(Items!H208)&gt;N(Items!K208)),"NOTE: customs value above standard cost (check unit of measure)",IF(AND($L208="Y",$Q208&gt;1),"NOTE: current rate above 100% (check it was entered as a percentage)","OK")))))))))))))))))))))))</f>
        <v/>
      </c>
      <c r="AK208" s="20">
        <f>IF($A208="","",IF(AND($L208="Y",$AE208&lt;&gt;0),ABS($AE208)+ROW()/1000000000,""))</f>
        <v/>
      </c>
      <c r="AL208" s="10">
        <f>IF($A208="","",UPPER($A208)&amp;"/"&amp;UPPER(TRIM(CLEAN(SUBSTITUTE(Items!C208&amp;""," "," ")))))</f>
        <v/>
      </c>
      <c r="AM208" s="13">
        <f>IF($A208="",0,SUMPRODUCT(MAX((scope_HTS&lt;&gt;"")*(LEFT($C208,LEN(scope_HTS))=scope_HTS)*(LEN(scope_HTS)*1000+ROW(scope_HTS)-4))))</f>
        <v/>
      </c>
      <c r="AN208" s="13">
        <f>IF($AM208=0,0,SUMPRODUCT((scope_HTS&lt;&gt;"")*(LEFT($C208,LEN(scope_HTS))=scope_HTS)*(LEN(scope_HTS)=INT($AM208/1000))))</f>
        <v/>
      </c>
      <c r="AO208" s="13">
        <f>IF($L208&lt;&gt;"Y",0,SUMPRODUCT(MAX(ISNUMBER(rate_Rate)*((UPPER(TRIM(CLEAN(SUBSTITUTE(rate_Group&amp;""," "," "))))="")+(UPPER(TRIM(CLEAN(SUBSTITUTE(rate_Group&amp;""," "," "))))=$N208)&gt;0)*((UPPER(TRIM(CLEAN(SUBSTITUTE(rate_COO&amp;""," "," "))))="")+(UPPER(TRIM(CLEAN(SUBSTITUTE(rate_COO&amp;""," "," "))))=$E208)&gt;0)*((UPPER(TRIM(CLEAN(SUBSTITUTE(rate_USMCA&amp;""," "," "))))="")+(UPPER(TRIM(CLEAN(SUBSTITUTE(rate_USMCA&amp;""," "," "))))=IF(UPPER(TRIM(CLEAN(SUBSTITUTE(Items!F208&amp;""," "," "))))="Y","Y","N"))&gt;0)*((1+(UPPER(TRIM(CLEAN(SUBSTITUTE(rate_Group&amp;""," "," "))))&lt;&gt;"")+2*(UPPER(TRIM(CLEAN(SUBSTITUTE(rate_USMCA&amp;""," "," "))))&lt;&gt;"")+4*(UPPER(TRIM(CLEAN(SUBSTITUTE(rate_COO&amp;""," "," "))))&lt;&gt;""))*100+ROW(rate_Rate)-4))))</f>
        <v/>
      </c>
      <c r="AP208" s="13">
        <f>IF($AO208=0,0,SUMPRODUCT(ISNUMBER(rate_Rate)*((UPPER(TRIM(CLEAN(SUBSTITUTE(rate_Group&amp;""," "," "))))="")+(UPPER(TRIM(CLEAN(SUBSTITUTE(rate_Group&amp;""," "," "))))=$N208)&gt;0)*((UPPER(TRIM(CLEAN(SUBSTITUTE(rate_COO&amp;""," "," "))))="")+(UPPER(TRIM(CLEAN(SUBSTITUTE(rate_COO&amp;""," "," "))))=$E208)&gt;0)*((UPPER(TRIM(CLEAN(SUBSTITUTE(rate_USMCA&amp;""," "," "))))="")+(UPPER(TRIM(CLEAN(SUBSTITUTE(rate_USMCA&amp;""," "," "))))=IF(UPPER(TRIM(CLEAN(SUBSTITUTE(Items!F208&amp;""," "," "))))="Y","Y","N"))&gt;0)*((1+(UPPER(TRIM(CLEAN(SUBSTITUTE(rate_Group&amp;""," "," "))))&lt;&gt;"")+2*(UPPER(TRIM(CLEAN(SUBSTITUTE(rate_USMCA&amp;""," "," "))))&lt;&gt;"")+4*(UPPER(TRIM(CLEAN(SUBSTITUTE(rate_COO&amp;""," "," "))))&lt;&gt;""))=INT($AO208/100))))</f>
        <v/>
      </c>
      <c r="AQ208" s="13">
        <f>IF($A208="",0,IFERROR(MATCH($AL208,det_Key,0),0))</f>
        <v/>
      </c>
    </row>
    <row r="209">
      <c r="A209" s="10">
        <f>IF(TRIM(CLEAN(SUBSTITUTE(Items!A209&amp;""," "," ")))="","",TRIM(CLEAN(SUBSTITUTE(Items!A209&amp;""," "," "))))</f>
        <v/>
      </c>
      <c r="B209" s="10">
        <f>IF($A209="","",Items!B209&amp;"")</f>
        <v/>
      </c>
      <c r="C209" s="10">
        <f>IF($A209="","",SUBSTITUTE(SUBSTITUTE(SUBSTITUTE(SUBSTITUTE(CLEAN(Items!D209&amp;"")," ",""),".","")," ",""),"-",""))</f>
        <v/>
      </c>
      <c r="D209" s="10">
        <f>IF($A209="","",LEFT($C209,2))</f>
        <v/>
      </c>
      <c r="E209" s="10">
        <f>IF($A209="","",UPPER(TRIM(CLEAN(SUBSTITUTE(Items!E209&amp;""," "," ")))))</f>
        <v/>
      </c>
      <c r="F209" s="10">
        <f>IF($A209="","",IF(UPPER(TRIM(CLEAN(SUBSTITUTE(Items!C209&amp;""," "," "))))=UPPER(TRIM(CLEAN(SUBSTITUTE(act_Country&amp;""," "," ")))),"Y","N"))</f>
        <v/>
      </c>
      <c r="G209" s="10">
        <f>IF($A209="","",IF($AM209&gt;0,"Y","N"))</f>
        <v/>
      </c>
      <c r="H209" s="10">
        <f>IF($A209="","",IF(SUMPRODUCT((excl_HTS&lt;&gt;"")*(LEFT($C209,LEN(excl_HTS))=excl_HTS))&gt;0,"Y","N"))</f>
        <v/>
      </c>
      <c r="I209" s="10">
        <f>IF($A209="","",IF($E209="","N",IF(SUMPRODUCT(--(UPPER(TRIM(CLEAN(SUBSTITUTE(scope_COO&amp;""," "," "))))=$E209))&gt;0,"Y","N")))</f>
        <v/>
      </c>
      <c r="J209" s="10">
        <f>IF($A209="","",IF(AND(UPPER(TRIM(CLEAN(SUBSTITUTE(act_USMCAExempt&amp;""," "," "))))="Y",UPPER(TRIM(CLEAN(SUBSTITUTE(Items!F209&amp;""," "," "))))="Y"),"Y","N"))</f>
        <v/>
      </c>
      <c r="K209" s="10">
        <f>IF($A209="","",IF($AQ209=0,"",UPPER(TRIM(CLEAN(SUBSTITUTE(INDEX(det_Status,$AQ209)&amp;""," "," "))))))</f>
        <v/>
      </c>
      <c r="L209" s="10">
        <f>IF($A209="","",IF($F209="N","N",IF($K209="IN","Y",IF($K209="OUT","N",IF(AND($G209="Y",$H209="N",$I209="Y",$J209="N"),"Y","N")))))</f>
        <v/>
      </c>
      <c r="M209" s="10">
        <f>IF($A209="","",IF($F209="N","Out: different import country",IF($K209="IN","In: Research determination",IF($K209="OUT","Out: Research determination",IF($G209="N","Out: HTS not on scope list",IF($H209="Y","Out: HTS on exclusion list",IF($I209="N","Out: origin not on scope list",IF($J209="Y","Out: USMCA-qualifying, exempt","In: matches scope rules"))))))))</f>
        <v/>
      </c>
      <c r="N209" s="10">
        <f>IF(OR($A209="",$AM209=0),"",UPPER(TRIM(CLEAN(SUBSTITUTE(INDEX(scope_Group,MOD($AM209,1000))&amp;""," "," ")))))</f>
        <v/>
      </c>
      <c r="O209" s="10">
        <f>IF($L209&lt;&gt;"Y","",IF($AO209=0,"Default (B15)",UPPER(TRIM(CLEAN(SUBSTITUTE(INDEX(rate_ID,MOD($AO209,100))&amp;""," "," "))))))</f>
        <v/>
      </c>
      <c r="P209" s="10">
        <f>IF($L209&lt;&gt;"Y","",IF($AO209=0,IF(UPPER(TRIM(CLEAN(SUBSTITUTE(act_DefaultBase&amp;""," "," "))))="PART","PART","FULL"),IF(UPPER(TRIM(CLEAN(SUBSTITUTE(INDEX(rate_Base,MOD($AO209,100))&amp;""," "," "))))="PART","PART","FULL")))</f>
        <v/>
      </c>
      <c r="Q209" s="17">
        <f>IF($A209="","",N(Items!J209))</f>
        <v/>
      </c>
      <c r="R209" s="17">
        <f>IF($A209="","",IF($L209&lt;&gt;"Y",0,IF($AO209=0,N(act_Rate),N(INDEX(rate_Rate,MOD($AO209,100))))))</f>
        <v/>
      </c>
      <c r="S209" s="17">
        <f>IF($A209="","",IF($L209&lt;&gt;"Y",0,IF($AO209=0,IF(UPPER(TRIM(CLEAN(SUBSTITUTE(act_RateType&amp;""," "," "))))="REPLACE",N(act_PriorRate),0),IF(ISNUMBER(INDEX(rate_Prior,MOD($AO209,100))),INDEX(rate_Prior,MOD($AO209,100)),IF(UPPER(TRIM(CLEAN(SUBSTITUTE(act_RateType&amp;""," "," "))))="REPLACE",N(act_PriorRate),0)))))</f>
        <v/>
      </c>
      <c r="T209" s="17">
        <f>IF($A209="","",IF(AND($L209="Y",$P209="PART",ISNUMBER(Items!M209)),Items!M209,1))</f>
        <v/>
      </c>
      <c r="U209" s="17">
        <f>IF($A209="","",IF($L209&lt;&gt;"Y",0,IF($AQ209&gt;0,IF(ISNUMBER(INDEX(det_Displaced,$AQ209)),INDEX(det_Displaced,$AQ209),IF($AO209=0,0,N(INDEX(rate_Displaced,MOD($AO209,100))))),IF($AO209=0,0,N(INDEX(rate_Displaced,MOD($AO209,100)))))))</f>
        <v/>
      </c>
      <c r="V209" s="17">
        <f>IF($A209="","",IF($L209="Y",$Q209+$T209*($R209-$S209)-$U209,$Q209))</f>
        <v/>
      </c>
      <c r="W209" s="18">
        <f>IF($A209="","",N(Items!H209)*$Q209)</f>
        <v/>
      </c>
      <c r="X209" s="18">
        <f>IF($A209="","",N(Items!H209)*$V209)</f>
        <v/>
      </c>
      <c r="Y209" s="18">
        <f>IF($A209="","",$X209-$W209)</f>
        <v/>
      </c>
      <c r="Z209" s="18">
        <f>IF($A209="","",N(Items!K209)+$Y209)</f>
        <v/>
      </c>
      <c r="AA209" s="17">
        <f>IF($A209="","",IF(N(Items!L209)=0,"",(N(Items!L209)-N(Items!K209))/N(Items!L209)))</f>
        <v/>
      </c>
      <c r="AB209" s="17">
        <f>IF($A209="","",IF(N(Items!L209)=0,"",(N(Items!L209)-$Z209)/N(Items!L209)))</f>
        <v/>
      </c>
      <c r="AC209" s="17">
        <f>IF(OR($AA209="",$AB209=""),"",$AB209-$AA209)</f>
        <v/>
      </c>
      <c r="AD209" s="13">
        <f>IF($A209="","",N(Items!I209))</f>
        <v/>
      </c>
      <c r="AE209" s="19">
        <f>IF($A209="","",$Y209*$AD209)</f>
        <v/>
      </c>
      <c r="AF209" s="10">
        <f>IF($A209="","",IF(N(Items!L209)&gt;0,"Y","N"))</f>
        <v/>
      </c>
      <c r="AG209" s="19">
        <f>IF($A209="","",IF($AF209="Y",N(Items!L209)*$AD209,0))</f>
        <v/>
      </c>
      <c r="AH209" s="19">
        <f>IF($A209="","",IF($AF209="Y",(N(Items!L209)-N(Items!K209))*$AD209,0))</f>
        <v/>
      </c>
      <c r="AI209" s="19">
        <f>IF($A209="","",IF($AF209="Y",$AH209-$AE209,0))</f>
        <v/>
      </c>
      <c r="AJ209" s="10">
        <f>IF($A209="","",IF(COUNTIF($AL$5:$AL$254,$AL209)&gt;1,"CHECK: duplicate item and import country",IF(TRIM(CLEAN(SUBSTITUTE(Items!C209&amp;""," "," ")))="","CHECK: import country missing",IF(AND(UPPER(TRIM(CLEAN(SUBSTITUTE(Items!C209&amp;""," "," "))))&lt;&gt;"US",UPPER(TRIM(CLEAN(SUBSTITUTE(Items!C209&amp;""," "," "))))&lt;&gt;"CA",UPPER(TRIM(CLEAN(SUBSTITUTE(Items!C209&amp;""," "," "))))&lt;&gt;"MX"),"CHECK: import country must be US, CA or MX",IF(NOT(AND(LEN($C209)=10,IFERROR(TEXT(VALUE($C209),REPT("0",LEN($C209)))=$C209,FALSE))),"CHECK: HTS must be 10 digits",IF(LEN($E209)&lt;&gt;2,"CHECK: origin code missing or not 2 letters",IF(TRIM(CLEAN(SUBSTITUTE(Items!G209&amp;""," "," ")))="","CHECK: unit of measure missing",IF(OR(Items!H209="",Items!J209="",Items!K209=""),"CHECK: value, rate or cost missing",IF(OR(NOT(ISNUMBER(Items!H209)),NOT(ISNUMBER(Items!J209)),NOT(ISNUMBER(Items!K209)),AND(Items!I209&lt;&gt;"",NOT(ISNUMBER(Items!I209))),AND(Items!L209&lt;&gt;"",NOT(ISNUMBER(Items!L209))),AND(Items!M209&lt;&gt;"",NOT(ISNUMBER(Items!M209)))),"CHECK: text in a number column",IF(AND(ISNUMBER(Items!M209),OR(N(Items!M209)&lt;0,N(Items!M209)&gt;1)),"CHECK: dutiable share must be 0% to 100%",IF(AND(UPPER(TRIM(CLEAN(SUBSTITUTE(Items!F209&amp;""," "," "))))&lt;&gt;"",UPPER(TRIM(CLEAN(SUBSTITUTE(Items!F209&amp;""," "," "))))&lt;&gt;"Y",UPPER(TRIM(CLEAN(SUBSTITUTE(Items!F209&amp;""," "," "))))&lt;&gt;"N"),"CHECK: USMCA flag must be Y, N or blank",IF(AND(UPPER(TRIM(CLEAN(SUBSTITUTE(Items!F209&amp;""," "," "))))="Y",$E209&lt;&gt;"US",$E209&lt;&gt;"CA",$E209&lt;&gt;"MX"),"CHECK: USMCA flag on an origin other than US, CA or MX",IF(AND($L209="Y",$AO209=0,NOT(ISNUMBER(act_Rate))),"CHECK: in scope but no rate (add a rate line or B15)",IF(AND($L209="Y",UPPER(TRIM(CLEAN(SUBSTITUTE(act_RateType&amp;""," "," "))))="REPLACE",NOT(ISNUMBER(act_PriorRate)),IF($AO209=0,TRUE,NOT(ISNUMBER(INDEX(rate_Prior,MOD($AO209,100)))))),"CHECK: REPLACE but no earlier rate (B17 or the rate line's AD)",IF(AND($L209="Y",$AP209&gt;1),"CHECK: two rate lines match equally",IF(AND($L209="Y",$AN209&gt;1),"CHECK: HTS prefix listed twice on the scope list",IF(AND($L209="Y",$P209="PART",NOT(ISNUMBER(Items!M209))),"CHECK: dutiable share missing (PART base)",IF(AND($L209="Y",$P209="FULL",ISNUMBER(Items!M209),N(Items!M209)&lt;&gt;1),"CHECK: dutiable share entered, but the rate taxes the full value",IF(AND($L209="Y",$Q209+0.0000001&lt;$T209*$S209+$U209),"CHECK: current rate is below the duty being replaced or displaced",IF(AND($L209="Y",$AD209=0),"NOTE: in scope, no quantity",IF(AND($L209="Y",$AF209="N"),"NOTE: in scope, no sell price (left out of margin %)",IF(AND($L209="Y",N(Items!H209)&gt;N(Items!K209)),"NOTE: customs value above standard cost (check unit of measure)",IF(AND($L209="Y",$Q209&gt;1),"NOTE: current rate above 100% (check it was entered as a percentage)","OK")))))))))))))))))))))))</f>
        <v/>
      </c>
      <c r="AK209" s="20">
        <f>IF($A209="","",IF(AND($L209="Y",$AE209&lt;&gt;0),ABS($AE209)+ROW()/1000000000,""))</f>
        <v/>
      </c>
      <c r="AL209" s="10">
        <f>IF($A209="","",UPPER($A209)&amp;"/"&amp;UPPER(TRIM(CLEAN(SUBSTITUTE(Items!C209&amp;""," "," ")))))</f>
        <v/>
      </c>
      <c r="AM209" s="13">
        <f>IF($A209="",0,SUMPRODUCT(MAX((scope_HTS&lt;&gt;"")*(LEFT($C209,LEN(scope_HTS))=scope_HTS)*(LEN(scope_HTS)*1000+ROW(scope_HTS)-4))))</f>
        <v/>
      </c>
      <c r="AN209" s="13">
        <f>IF($AM209=0,0,SUMPRODUCT((scope_HTS&lt;&gt;"")*(LEFT($C209,LEN(scope_HTS))=scope_HTS)*(LEN(scope_HTS)=INT($AM209/1000))))</f>
        <v/>
      </c>
      <c r="AO209" s="13">
        <f>IF($L209&lt;&gt;"Y",0,SUMPRODUCT(MAX(ISNUMBER(rate_Rate)*((UPPER(TRIM(CLEAN(SUBSTITUTE(rate_Group&amp;""," "," "))))="")+(UPPER(TRIM(CLEAN(SUBSTITUTE(rate_Group&amp;""," "," "))))=$N209)&gt;0)*((UPPER(TRIM(CLEAN(SUBSTITUTE(rate_COO&amp;""," "," "))))="")+(UPPER(TRIM(CLEAN(SUBSTITUTE(rate_COO&amp;""," "," "))))=$E209)&gt;0)*((UPPER(TRIM(CLEAN(SUBSTITUTE(rate_USMCA&amp;""," "," "))))="")+(UPPER(TRIM(CLEAN(SUBSTITUTE(rate_USMCA&amp;""," "," "))))=IF(UPPER(TRIM(CLEAN(SUBSTITUTE(Items!F209&amp;""," "," "))))="Y","Y","N"))&gt;0)*((1+(UPPER(TRIM(CLEAN(SUBSTITUTE(rate_Group&amp;""," "," "))))&lt;&gt;"")+2*(UPPER(TRIM(CLEAN(SUBSTITUTE(rate_USMCA&amp;""," "," "))))&lt;&gt;"")+4*(UPPER(TRIM(CLEAN(SUBSTITUTE(rate_COO&amp;""," "," "))))&lt;&gt;""))*100+ROW(rate_Rate)-4))))</f>
        <v/>
      </c>
      <c r="AP209" s="13">
        <f>IF($AO209=0,0,SUMPRODUCT(ISNUMBER(rate_Rate)*((UPPER(TRIM(CLEAN(SUBSTITUTE(rate_Group&amp;""," "," "))))="")+(UPPER(TRIM(CLEAN(SUBSTITUTE(rate_Group&amp;""," "," "))))=$N209)&gt;0)*((UPPER(TRIM(CLEAN(SUBSTITUTE(rate_COO&amp;""," "," "))))="")+(UPPER(TRIM(CLEAN(SUBSTITUTE(rate_COO&amp;""," "," "))))=$E209)&gt;0)*((UPPER(TRIM(CLEAN(SUBSTITUTE(rate_USMCA&amp;""," "," "))))="")+(UPPER(TRIM(CLEAN(SUBSTITUTE(rate_USMCA&amp;""," "," "))))=IF(UPPER(TRIM(CLEAN(SUBSTITUTE(Items!F209&amp;""," "," "))))="Y","Y","N"))&gt;0)*((1+(UPPER(TRIM(CLEAN(SUBSTITUTE(rate_Group&amp;""," "," "))))&lt;&gt;"")+2*(UPPER(TRIM(CLEAN(SUBSTITUTE(rate_USMCA&amp;""," "," "))))&lt;&gt;"")+4*(UPPER(TRIM(CLEAN(SUBSTITUTE(rate_COO&amp;""," "," "))))&lt;&gt;""))=INT($AO209/100))))</f>
        <v/>
      </c>
      <c r="AQ209" s="13">
        <f>IF($A209="",0,IFERROR(MATCH($AL209,det_Key,0),0))</f>
        <v/>
      </c>
    </row>
    <row r="210">
      <c r="A210" s="10">
        <f>IF(TRIM(CLEAN(SUBSTITUTE(Items!A210&amp;""," "," ")))="","",TRIM(CLEAN(SUBSTITUTE(Items!A210&amp;""," "," "))))</f>
        <v/>
      </c>
      <c r="B210" s="10">
        <f>IF($A210="","",Items!B210&amp;"")</f>
        <v/>
      </c>
      <c r="C210" s="10">
        <f>IF($A210="","",SUBSTITUTE(SUBSTITUTE(SUBSTITUTE(SUBSTITUTE(CLEAN(Items!D210&amp;"")," ",""),".","")," ",""),"-",""))</f>
        <v/>
      </c>
      <c r="D210" s="10">
        <f>IF($A210="","",LEFT($C210,2))</f>
        <v/>
      </c>
      <c r="E210" s="10">
        <f>IF($A210="","",UPPER(TRIM(CLEAN(SUBSTITUTE(Items!E210&amp;""," "," ")))))</f>
        <v/>
      </c>
      <c r="F210" s="10">
        <f>IF($A210="","",IF(UPPER(TRIM(CLEAN(SUBSTITUTE(Items!C210&amp;""," "," "))))=UPPER(TRIM(CLEAN(SUBSTITUTE(act_Country&amp;""," "," ")))),"Y","N"))</f>
        <v/>
      </c>
      <c r="G210" s="10">
        <f>IF($A210="","",IF($AM210&gt;0,"Y","N"))</f>
        <v/>
      </c>
      <c r="H210" s="10">
        <f>IF($A210="","",IF(SUMPRODUCT((excl_HTS&lt;&gt;"")*(LEFT($C210,LEN(excl_HTS))=excl_HTS))&gt;0,"Y","N"))</f>
        <v/>
      </c>
      <c r="I210" s="10">
        <f>IF($A210="","",IF($E210="","N",IF(SUMPRODUCT(--(UPPER(TRIM(CLEAN(SUBSTITUTE(scope_COO&amp;""," "," "))))=$E210))&gt;0,"Y","N")))</f>
        <v/>
      </c>
      <c r="J210" s="10">
        <f>IF($A210="","",IF(AND(UPPER(TRIM(CLEAN(SUBSTITUTE(act_USMCAExempt&amp;""," "," "))))="Y",UPPER(TRIM(CLEAN(SUBSTITUTE(Items!F210&amp;""," "," "))))="Y"),"Y","N"))</f>
        <v/>
      </c>
      <c r="K210" s="10">
        <f>IF($A210="","",IF($AQ210=0,"",UPPER(TRIM(CLEAN(SUBSTITUTE(INDEX(det_Status,$AQ210)&amp;""," "," "))))))</f>
        <v/>
      </c>
      <c r="L210" s="10">
        <f>IF($A210="","",IF($F210="N","N",IF($K210="IN","Y",IF($K210="OUT","N",IF(AND($G210="Y",$H210="N",$I210="Y",$J210="N"),"Y","N")))))</f>
        <v/>
      </c>
      <c r="M210" s="10">
        <f>IF($A210="","",IF($F210="N","Out: different import country",IF($K210="IN","In: Research determination",IF($K210="OUT","Out: Research determination",IF($G210="N","Out: HTS not on scope list",IF($H210="Y","Out: HTS on exclusion list",IF($I210="N","Out: origin not on scope list",IF($J210="Y","Out: USMCA-qualifying, exempt","In: matches scope rules"))))))))</f>
        <v/>
      </c>
      <c r="N210" s="10">
        <f>IF(OR($A210="",$AM210=0),"",UPPER(TRIM(CLEAN(SUBSTITUTE(INDEX(scope_Group,MOD($AM210,1000))&amp;""," "," ")))))</f>
        <v/>
      </c>
      <c r="O210" s="10">
        <f>IF($L210&lt;&gt;"Y","",IF($AO210=0,"Default (B15)",UPPER(TRIM(CLEAN(SUBSTITUTE(INDEX(rate_ID,MOD($AO210,100))&amp;""," "," "))))))</f>
        <v/>
      </c>
      <c r="P210" s="10">
        <f>IF($L210&lt;&gt;"Y","",IF($AO210=0,IF(UPPER(TRIM(CLEAN(SUBSTITUTE(act_DefaultBase&amp;""," "," "))))="PART","PART","FULL"),IF(UPPER(TRIM(CLEAN(SUBSTITUTE(INDEX(rate_Base,MOD($AO210,100))&amp;""," "," "))))="PART","PART","FULL")))</f>
        <v/>
      </c>
      <c r="Q210" s="17">
        <f>IF($A210="","",N(Items!J210))</f>
        <v/>
      </c>
      <c r="R210" s="17">
        <f>IF($A210="","",IF($L210&lt;&gt;"Y",0,IF($AO210=0,N(act_Rate),N(INDEX(rate_Rate,MOD($AO210,100))))))</f>
        <v/>
      </c>
      <c r="S210" s="17">
        <f>IF($A210="","",IF($L210&lt;&gt;"Y",0,IF($AO210=0,IF(UPPER(TRIM(CLEAN(SUBSTITUTE(act_RateType&amp;""," "," "))))="REPLACE",N(act_PriorRate),0),IF(ISNUMBER(INDEX(rate_Prior,MOD($AO210,100))),INDEX(rate_Prior,MOD($AO210,100)),IF(UPPER(TRIM(CLEAN(SUBSTITUTE(act_RateType&amp;""," "," "))))="REPLACE",N(act_PriorRate),0)))))</f>
        <v/>
      </c>
      <c r="T210" s="17">
        <f>IF($A210="","",IF(AND($L210="Y",$P210="PART",ISNUMBER(Items!M210)),Items!M210,1))</f>
        <v/>
      </c>
      <c r="U210" s="17">
        <f>IF($A210="","",IF($L210&lt;&gt;"Y",0,IF($AQ210&gt;0,IF(ISNUMBER(INDEX(det_Displaced,$AQ210)),INDEX(det_Displaced,$AQ210),IF($AO210=0,0,N(INDEX(rate_Displaced,MOD($AO210,100))))),IF($AO210=0,0,N(INDEX(rate_Displaced,MOD($AO210,100)))))))</f>
        <v/>
      </c>
      <c r="V210" s="17">
        <f>IF($A210="","",IF($L210="Y",$Q210+$T210*($R210-$S210)-$U210,$Q210))</f>
        <v/>
      </c>
      <c r="W210" s="18">
        <f>IF($A210="","",N(Items!H210)*$Q210)</f>
        <v/>
      </c>
      <c r="X210" s="18">
        <f>IF($A210="","",N(Items!H210)*$V210)</f>
        <v/>
      </c>
      <c r="Y210" s="18">
        <f>IF($A210="","",$X210-$W210)</f>
        <v/>
      </c>
      <c r="Z210" s="18">
        <f>IF($A210="","",N(Items!K210)+$Y210)</f>
        <v/>
      </c>
      <c r="AA210" s="17">
        <f>IF($A210="","",IF(N(Items!L210)=0,"",(N(Items!L210)-N(Items!K210))/N(Items!L210)))</f>
        <v/>
      </c>
      <c r="AB210" s="17">
        <f>IF($A210="","",IF(N(Items!L210)=0,"",(N(Items!L210)-$Z210)/N(Items!L210)))</f>
        <v/>
      </c>
      <c r="AC210" s="17">
        <f>IF(OR($AA210="",$AB210=""),"",$AB210-$AA210)</f>
        <v/>
      </c>
      <c r="AD210" s="13">
        <f>IF($A210="","",N(Items!I210))</f>
        <v/>
      </c>
      <c r="AE210" s="19">
        <f>IF($A210="","",$Y210*$AD210)</f>
        <v/>
      </c>
      <c r="AF210" s="10">
        <f>IF($A210="","",IF(N(Items!L210)&gt;0,"Y","N"))</f>
        <v/>
      </c>
      <c r="AG210" s="19">
        <f>IF($A210="","",IF($AF210="Y",N(Items!L210)*$AD210,0))</f>
        <v/>
      </c>
      <c r="AH210" s="19">
        <f>IF($A210="","",IF($AF210="Y",(N(Items!L210)-N(Items!K210))*$AD210,0))</f>
        <v/>
      </c>
      <c r="AI210" s="19">
        <f>IF($A210="","",IF($AF210="Y",$AH210-$AE210,0))</f>
        <v/>
      </c>
      <c r="AJ210" s="10">
        <f>IF($A210="","",IF(COUNTIF($AL$5:$AL$254,$AL210)&gt;1,"CHECK: duplicate item and import country",IF(TRIM(CLEAN(SUBSTITUTE(Items!C210&amp;""," "," ")))="","CHECK: import country missing",IF(AND(UPPER(TRIM(CLEAN(SUBSTITUTE(Items!C210&amp;""," "," "))))&lt;&gt;"US",UPPER(TRIM(CLEAN(SUBSTITUTE(Items!C210&amp;""," "," "))))&lt;&gt;"CA",UPPER(TRIM(CLEAN(SUBSTITUTE(Items!C210&amp;""," "," "))))&lt;&gt;"MX"),"CHECK: import country must be US, CA or MX",IF(NOT(AND(LEN($C210)=10,IFERROR(TEXT(VALUE($C210),REPT("0",LEN($C210)))=$C210,FALSE))),"CHECK: HTS must be 10 digits",IF(LEN($E210)&lt;&gt;2,"CHECK: origin code missing or not 2 letters",IF(TRIM(CLEAN(SUBSTITUTE(Items!G210&amp;""," "," ")))="","CHECK: unit of measure missing",IF(OR(Items!H210="",Items!J210="",Items!K210=""),"CHECK: value, rate or cost missing",IF(OR(NOT(ISNUMBER(Items!H210)),NOT(ISNUMBER(Items!J210)),NOT(ISNUMBER(Items!K210)),AND(Items!I210&lt;&gt;"",NOT(ISNUMBER(Items!I210))),AND(Items!L210&lt;&gt;"",NOT(ISNUMBER(Items!L210))),AND(Items!M210&lt;&gt;"",NOT(ISNUMBER(Items!M210)))),"CHECK: text in a number column",IF(AND(ISNUMBER(Items!M210),OR(N(Items!M210)&lt;0,N(Items!M210)&gt;1)),"CHECK: dutiable share must be 0% to 100%",IF(AND(UPPER(TRIM(CLEAN(SUBSTITUTE(Items!F210&amp;""," "," "))))&lt;&gt;"",UPPER(TRIM(CLEAN(SUBSTITUTE(Items!F210&amp;""," "," "))))&lt;&gt;"Y",UPPER(TRIM(CLEAN(SUBSTITUTE(Items!F210&amp;""," "," "))))&lt;&gt;"N"),"CHECK: USMCA flag must be Y, N or blank",IF(AND(UPPER(TRIM(CLEAN(SUBSTITUTE(Items!F210&amp;""," "," "))))="Y",$E210&lt;&gt;"US",$E210&lt;&gt;"CA",$E210&lt;&gt;"MX"),"CHECK: USMCA flag on an origin other than US, CA or MX",IF(AND($L210="Y",$AO210=0,NOT(ISNUMBER(act_Rate))),"CHECK: in scope but no rate (add a rate line or B15)",IF(AND($L210="Y",UPPER(TRIM(CLEAN(SUBSTITUTE(act_RateType&amp;""," "," "))))="REPLACE",NOT(ISNUMBER(act_PriorRate)),IF($AO210=0,TRUE,NOT(ISNUMBER(INDEX(rate_Prior,MOD($AO210,100)))))),"CHECK: REPLACE but no earlier rate (B17 or the rate line's AD)",IF(AND($L210="Y",$AP210&gt;1),"CHECK: two rate lines match equally",IF(AND($L210="Y",$AN210&gt;1),"CHECK: HTS prefix listed twice on the scope list",IF(AND($L210="Y",$P210="PART",NOT(ISNUMBER(Items!M210))),"CHECK: dutiable share missing (PART base)",IF(AND($L210="Y",$P210="FULL",ISNUMBER(Items!M210),N(Items!M210)&lt;&gt;1),"CHECK: dutiable share entered, but the rate taxes the full value",IF(AND($L210="Y",$Q210+0.0000001&lt;$T210*$S210+$U210),"CHECK: current rate is below the duty being replaced or displaced",IF(AND($L210="Y",$AD210=0),"NOTE: in scope, no quantity",IF(AND($L210="Y",$AF210="N"),"NOTE: in scope, no sell price (left out of margin %)",IF(AND($L210="Y",N(Items!H210)&gt;N(Items!K210)),"NOTE: customs value above standard cost (check unit of measure)",IF(AND($L210="Y",$Q210&gt;1),"NOTE: current rate above 100% (check it was entered as a percentage)","OK")))))))))))))))))))))))</f>
        <v/>
      </c>
      <c r="AK210" s="20">
        <f>IF($A210="","",IF(AND($L210="Y",$AE210&lt;&gt;0),ABS($AE210)+ROW()/1000000000,""))</f>
        <v/>
      </c>
      <c r="AL210" s="10">
        <f>IF($A210="","",UPPER($A210)&amp;"/"&amp;UPPER(TRIM(CLEAN(SUBSTITUTE(Items!C210&amp;""," "," ")))))</f>
        <v/>
      </c>
      <c r="AM210" s="13">
        <f>IF($A210="",0,SUMPRODUCT(MAX((scope_HTS&lt;&gt;"")*(LEFT($C210,LEN(scope_HTS))=scope_HTS)*(LEN(scope_HTS)*1000+ROW(scope_HTS)-4))))</f>
        <v/>
      </c>
      <c r="AN210" s="13">
        <f>IF($AM210=0,0,SUMPRODUCT((scope_HTS&lt;&gt;"")*(LEFT($C210,LEN(scope_HTS))=scope_HTS)*(LEN(scope_HTS)=INT($AM210/1000))))</f>
        <v/>
      </c>
      <c r="AO210" s="13">
        <f>IF($L210&lt;&gt;"Y",0,SUMPRODUCT(MAX(ISNUMBER(rate_Rate)*((UPPER(TRIM(CLEAN(SUBSTITUTE(rate_Group&amp;""," "," "))))="")+(UPPER(TRIM(CLEAN(SUBSTITUTE(rate_Group&amp;""," "," "))))=$N210)&gt;0)*((UPPER(TRIM(CLEAN(SUBSTITUTE(rate_COO&amp;""," "," "))))="")+(UPPER(TRIM(CLEAN(SUBSTITUTE(rate_COO&amp;""," "," "))))=$E210)&gt;0)*((UPPER(TRIM(CLEAN(SUBSTITUTE(rate_USMCA&amp;""," "," "))))="")+(UPPER(TRIM(CLEAN(SUBSTITUTE(rate_USMCA&amp;""," "," "))))=IF(UPPER(TRIM(CLEAN(SUBSTITUTE(Items!F210&amp;""," "," "))))="Y","Y","N"))&gt;0)*((1+(UPPER(TRIM(CLEAN(SUBSTITUTE(rate_Group&amp;""," "," "))))&lt;&gt;"")+2*(UPPER(TRIM(CLEAN(SUBSTITUTE(rate_USMCA&amp;""," "," "))))&lt;&gt;"")+4*(UPPER(TRIM(CLEAN(SUBSTITUTE(rate_COO&amp;""," "," "))))&lt;&gt;""))*100+ROW(rate_Rate)-4))))</f>
        <v/>
      </c>
      <c r="AP210" s="13">
        <f>IF($AO210=0,0,SUMPRODUCT(ISNUMBER(rate_Rate)*((UPPER(TRIM(CLEAN(SUBSTITUTE(rate_Group&amp;""," "," "))))="")+(UPPER(TRIM(CLEAN(SUBSTITUTE(rate_Group&amp;""," "," "))))=$N210)&gt;0)*((UPPER(TRIM(CLEAN(SUBSTITUTE(rate_COO&amp;""," "," "))))="")+(UPPER(TRIM(CLEAN(SUBSTITUTE(rate_COO&amp;""," "," "))))=$E210)&gt;0)*((UPPER(TRIM(CLEAN(SUBSTITUTE(rate_USMCA&amp;""," "," "))))="")+(UPPER(TRIM(CLEAN(SUBSTITUTE(rate_USMCA&amp;""," "," "))))=IF(UPPER(TRIM(CLEAN(SUBSTITUTE(Items!F210&amp;""," "," "))))="Y","Y","N"))&gt;0)*((1+(UPPER(TRIM(CLEAN(SUBSTITUTE(rate_Group&amp;""," "," "))))&lt;&gt;"")+2*(UPPER(TRIM(CLEAN(SUBSTITUTE(rate_USMCA&amp;""," "," "))))&lt;&gt;"")+4*(UPPER(TRIM(CLEAN(SUBSTITUTE(rate_COO&amp;""," "," "))))&lt;&gt;""))=INT($AO210/100))))</f>
        <v/>
      </c>
      <c r="AQ210" s="13">
        <f>IF($A210="",0,IFERROR(MATCH($AL210,det_Key,0),0))</f>
        <v/>
      </c>
    </row>
    <row r="211">
      <c r="A211" s="10">
        <f>IF(TRIM(CLEAN(SUBSTITUTE(Items!A211&amp;""," "," ")))="","",TRIM(CLEAN(SUBSTITUTE(Items!A211&amp;""," "," "))))</f>
        <v/>
      </c>
      <c r="B211" s="10">
        <f>IF($A211="","",Items!B211&amp;"")</f>
        <v/>
      </c>
      <c r="C211" s="10">
        <f>IF($A211="","",SUBSTITUTE(SUBSTITUTE(SUBSTITUTE(SUBSTITUTE(CLEAN(Items!D211&amp;"")," ",""),".","")," ",""),"-",""))</f>
        <v/>
      </c>
      <c r="D211" s="10">
        <f>IF($A211="","",LEFT($C211,2))</f>
        <v/>
      </c>
      <c r="E211" s="10">
        <f>IF($A211="","",UPPER(TRIM(CLEAN(SUBSTITUTE(Items!E211&amp;""," "," ")))))</f>
        <v/>
      </c>
      <c r="F211" s="10">
        <f>IF($A211="","",IF(UPPER(TRIM(CLEAN(SUBSTITUTE(Items!C211&amp;""," "," "))))=UPPER(TRIM(CLEAN(SUBSTITUTE(act_Country&amp;""," "," ")))),"Y","N"))</f>
        <v/>
      </c>
      <c r="G211" s="10">
        <f>IF($A211="","",IF($AM211&gt;0,"Y","N"))</f>
        <v/>
      </c>
      <c r="H211" s="10">
        <f>IF($A211="","",IF(SUMPRODUCT((excl_HTS&lt;&gt;"")*(LEFT($C211,LEN(excl_HTS))=excl_HTS))&gt;0,"Y","N"))</f>
        <v/>
      </c>
      <c r="I211" s="10">
        <f>IF($A211="","",IF($E211="","N",IF(SUMPRODUCT(--(UPPER(TRIM(CLEAN(SUBSTITUTE(scope_COO&amp;""," "," "))))=$E211))&gt;0,"Y","N")))</f>
        <v/>
      </c>
      <c r="J211" s="10">
        <f>IF($A211="","",IF(AND(UPPER(TRIM(CLEAN(SUBSTITUTE(act_USMCAExempt&amp;""," "," "))))="Y",UPPER(TRIM(CLEAN(SUBSTITUTE(Items!F211&amp;""," "," "))))="Y"),"Y","N"))</f>
        <v/>
      </c>
      <c r="K211" s="10">
        <f>IF($A211="","",IF($AQ211=0,"",UPPER(TRIM(CLEAN(SUBSTITUTE(INDEX(det_Status,$AQ211)&amp;""," "," "))))))</f>
        <v/>
      </c>
      <c r="L211" s="10">
        <f>IF($A211="","",IF($F211="N","N",IF($K211="IN","Y",IF($K211="OUT","N",IF(AND($G211="Y",$H211="N",$I211="Y",$J211="N"),"Y","N")))))</f>
        <v/>
      </c>
      <c r="M211" s="10">
        <f>IF($A211="","",IF($F211="N","Out: different import country",IF($K211="IN","In: Research determination",IF($K211="OUT","Out: Research determination",IF($G211="N","Out: HTS not on scope list",IF($H211="Y","Out: HTS on exclusion list",IF($I211="N","Out: origin not on scope list",IF($J211="Y","Out: USMCA-qualifying, exempt","In: matches scope rules"))))))))</f>
        <v/>
      </c>
      <c r="N211" s="10">
        <f>IF(OR($A211="",$AM211=0),"",UPPER(TRIM(CLEAN(SUBSTITUTE(INDEX(scope_Group,MOD($AM211,1000))&amp;""," "," ")))))</f>
        <v/>
      </c>
      <c r="O211" s="10">
        <f>IF($L211&lt;&gt;"Y","",IF($AO211=0,"Default (B15)",UPPER(TRIM(CLEAN(SUBSTITUTE(INDEX(rate_ID,MOD($AO211,100))&amp;""," "," "))))))</f>
        <v/>
      </c>
      <c r="P211" s="10">
        <f>IF($L211&lt;&gt;"Y","",IF($AO211=0,IF(UPPER(TRIM(CLEAN(SUBSTITUTE(act_DefaultBase&amp;""," "," "))))="PART","PART","FULL"),IF(UPPER(TRIM(CLEAN(SUBSTITUTE(INDEX(rate_Base,MOD($AO211,100))&amp;""," "," "))))="PART","PART","FULL")))</f>
        <v/>
      </c>
      <c r="Q211" s="17">
        <f>IF($A211="","",N(Items!J211))</f>
        <v/>
      </c>
      <c r="R211" s="17">
        <f>IF($A211="","",IF($L211&lt;&gt;"Y",0,IF($AO211=0,N(act_Rate),N(INDEX(rate_Rate,MOD($AO211,100))))))</f>
        <v/>
      </c>
      <c r="S211" s="17">
        <f>IF($A211="","",IF($L211&lt;&gt;"Y",0,IF($AO211=0,IF(UPPER(TRIM(CLEAN(SUBSTITUTE(act_RateType&amp;""," "," "))))="REPLACE",N(act_PriorRate),0),IF(ISNUMBER(INDEX(rate_Prior,MOD($AO211,100))),INDEX(rate_Prior,MOD($AO211,100)),IF(UPPER(TRIM(CLEAN(SUBSTITUTE(act_RateType&amp;""," "," "))))="REPLACE",N(act_PriorRate),0)))))</f>
        <v/>
      </c>
      <c r="T211" s="17">
        <f>IF($A211="","",IF(AND($L211="Y",$P211="PART",ISNUMBER(Items!M211)),Items!M211,1))</f>
        <v/>
      </c>
      <c r="U211" s="17">
        <f>IF($A211="","",IF($L211&lt;&gt;"Y",0,IF($AQ211&gt;0,IF(ISNUMBER(INDEX(det_Displaced,$AQ211)),INDEX(det_Displaced,$AQ211),IF($AO211=0,0,N(INDEX(rate_Displaced,MOD($AO211,100))))),IF($AO211=0,0,N(INDEX(rate_Displaced,MOD($AO211,100)))))))</f>
        <v/>
      </c>
      <c r="V211" s="17">
        <f>IF($A211="","",IF($L211="Y",$Q211+$T211*($R211-$S211)-$U211,$Q211))</f>
        <v/>
      </c>
      <c r="W211" s="18">
        <f>IF($A211="","",N(Items!H211)*$Q211)</f>
        <v/>
      </c>
      <c r="X211" s="18">
        <f>IF($A211="","",N(Items!H211)*$V211)</f>
        <v/>
      </c>
      <c r="Y211" s="18">
        <f>IF($A211="","",$X211-$W211)</f>
        <v/>
      </c>
      <c r="Z211" s="18">
        <f>IF($A211="","",N(Items!K211)+$Y211)</f>
        <v/>
      </c>
      <c r="AA211" s="17">
        <f>IF($A211="","",IF(N(Items!L211)=0,"",(N(Items!L211)-N(Items!K211))/N(Items!L211)))</f>
        <v/>
      </c>
      <c r="AB211" s="17">
        <f>IF($A211="","",IF(N(Items!L211)=0,"",(N(Items!L211)-$Z211)/N(Items!L211)))</f>
        <v/>
      </c>
      <c r="AC211" s="17">
        <f>IF(OR($AA211="",$AB211=""),"",$AB211-$AA211)</f>
        <v/>
      </c>
      <c r="AD211" s="13">
        <f>IF($A211="","",N(Items!I211))</f>
        <v/>
      </c>
      <c r="AE211" s="19">
        <f>IF($A211="","",$Y211*$AD211)</f>
        <v/>
      </c>
      <c r="AF211" s="10">
        <f>IF($A211="","",IF(N(Items!L211)&gt;0,"Y","N"))</f>
        <v/>
      </c>
      <c r="AG211" s="19">
        <f>IF($A211="","",IF($AF211="Y",N(Items!L211)*$AD211,0))</f>
        <v/>
      </c>
      <c r="AH211" s="19">
        <f>IF($A211="","",IF($AF211="Y",(N(Items!L211)-N(Items!K211))*$AD211,0))</f>
        <v/>
      </c>
      <c r="AI211" s="19">
        <f>IF($A211="","",IF($AF211="Y",$AH211-$AE211,0))</f>
        <v/>
      </c>
      <c r="AJ211" s="10">
        <f>IF($A211="","",IF(COUNTIF($AL$5:$AL$254,$AL211)&gt;1,"CHECK: duplicate item and import country",IF(TRIM(CLEAN(SUBSTITUTE(Items!C211&amp;""," "," ")))="","CHECK: import country missing",IF(AND(UPPER(TRIM(CLEAN(SUBSTITUTE(Items!C211&amp;""," "," "))))&lt;&gt;"US",UPPER(TRIM(CLEAN(SUBSTITUTE(Items!C211&amp;""," "," "))))&lt;&gt;"CA",UPPER(TRIM(CLEAN(SUBSTITUTE(Items!C211&amp;""," "," "))))&lt;&gt;"MX"),"CHECK: import country must be US, CA or MX",IF(NOT(AND(LEN($C211)=10,IFERROR(TEXT(VALUE($C211),REPT("0",LEN($C211)))=$C211,FALSE))),"CHECK: HTS must be 10 digits",IF(LEN($E211)&lt;&gt;2,"CHECK: origin code missing or not 2 letters",IF(TRIM(CLEAN(SUBSTITUTE(Items!G211&amp;""," "," ")))="","CHECK: unit of measure missing",IF(OR(Items!H211="",Items!J211="",Items!K211=""),"CHECK: value, rate or cost missing",IF(OR(NOT(ISNUMBER(Items!H211)),NOT(ISNUMBER(Items!J211)),NOT(ISNUMBER(Items!K211)),AND(Items!I211&lt;&gt;"",NOT(ISNUMBER(Items!I211))),AND(Items!L211&lt;&gt;"",NOT(ISNUMBER(Items!L211))),AND(Items!M211&lt;&gt;"",NOT(ISNUMBER(Items!M211)))),"CHECK: text in a number column",IF(AND(ISNUMBER(Items!M211),OR(N(Items!M211)&lt;0,N(Items!M211)&gt;1)),"CHECK: dutiable share must be 0% to 100%",IF(AND(UPPER(TRIM(CLEAN(SUBSTITUTE(Items!F211&amp;""," "," "))))&lt;&gt;"",UPPER(TRIM(CLEAN(SUBSTITUTE(Items!F211&amp;""," "," "))))&lt;&gt;"Y",UPPER(TRIM(CLEAN(SUBSTITUTE(Items!F211&amp;""," "," "))))&lt;&gt;"N"),"CHECK: USMCA flag must be Y, N or blank",IF(AND(UPPER(TRIM(CLEAN(SUBSTITUTE(Items!F211&amp;""," "," "))))="Y",$E211&lt;&gt;"US",$E211&lt;&gt;"CA",$E211&lt;&gt;"MX"),"CHECK: USMCA flag on an origin other than US, CA or MX",IF(AND($L211="Y",$AO211=0,NOT(ISNUMBER(act_Rate))),"CHECK: in scope but no rate (add a rate line or B15)",IF(AND($L211="Y",UPPER(TRIM(CLEAN(SUBSTITUTE(act_RateType&amp;""," "," "))))="REPLACE",NOT(ISNUMBER(act_PriorRate)),IF($AO211=0,TRUE,NOT(ISNUMBER(INDEX(rate_Prior,MOD($AO211,100)))))),"CHECK: REPLACE but no earlier rate (B17 or the rate line's AD)",IF(AND($L211="Y",$AP211&gt;1),"CHECK: two rate lines match equally",IF(AND($L211="Y",$AN211&gt;1),"CHECK: HTS prefix listed twice on the scope list",IF(AND($L211="Y",$P211="PART",NOT(ISNUMBER(Items!M211))),"CHECK: dutiable share missing (PART base)",IF(AND($L211="Y",$P211="FULL",ISNUMBER(Items!M211),N(Items!M211)&lt;&gt;1),"CHECK: dutiable share entered, but the rate taxes the full value",IF(AND($L211="Y",$Q211+0.0000001&lt;$T211*$S211+$U211),"CHECK: current rate is below the duty being replaced or displaced",IF(AND($L211="Y",$AD211=0),"NOTE: in scope, no quantity",IF(AND($L211="Y",$AF211="N"),"NOTE: in scope, no sell price (left out of margin %)",IF(AND($L211="Y",N(Items!H211)&gt;N(Items!K211)),"NOTE: customs value above standard cost (check unit of measure)",IF(AND($L211="Y",$Q211&gt;1),"NOTE: current rate above 100% (check it was entered as a percentage)","OK")))))))))))))))))))))))</f>
        <v/>
      </c>
      <c r="AK211" s="20">
        <f>IF($A211="","",IF(AND($L211="Y",$AE211&lt;&gt;0),ABS($AE211)+ROW()/1000000000,""))</f>
        <v/>
      </c>
      <c r="AL211" s="10">
        <f>IF($A211="","",UPPER($A211)&amp;"/"&amp;UPPER(TRIM(CLEAN(SUBSTITUTE(Items!C211&amp;""," "," ")))))</f>
        <v/>
      </c>
      <c r="AM211" s="13">
        <f>IF($A211="",0,SUMPRODUCT(MAX((scope_HTS&lt;&gt;"")*(LEFT($C211,LEN(scope_HTS))=scope_HTS)*(LEN(scope_HTS)*1000+ROW(scope_HTS)-4))))</f>
        <v/>
      </c>
      <c r="AN211" s="13">
        <f>IF($AM211=0,0,SUMPRODUCT((scope_HTS&lt;&gt;"")*(LEFT($C211,LEN(scope_HTS))=scope_HTS)*(LEN(scope_HTS)=INT($AM211/1000))))</f>
        <v/>
      </c>
      <c r="AO211" s="13">
        <f>IF($L211&lt;&gt;"Y",0,SUMPRODUCT(MAX(ISNUMBER(rate_Rate)*((UPPER(TRIM(CLEAN(SUBSTITUTE(rate_Group&amp;""," "," "))))="")+(UPPER(TRIM(CLEAN(SUBSTITUTE(rate_Group&amp;""," "," "))))=$N211)&gt;0)*((UPPER(TRIM(CLEAN(SUBSTITUTE(rate_COO&amp;""," "," "))))="")+(UPPER(TRIM(CLEAN(SUBSTITUTE(rate_COO&amp;""," "," "))))=$E211)&gt;0)*((UPPER(TRIM(CLEAN(SUBSTITUTE(rate_USMCA&amp;""," "," "))))="")+(UPPER(TRIM(CLEAN(SUBSTITUTE(rate_USMCA&amp;""," "," "))))=IF(UPPER(TRIM(CLEAN(SUBSTITUTE(Items!F211&amp;""," "," "))))="Y","Y","N"))&gt;0)*((1+(UPPER(TRIM(CLEAN(SUBSTITUTE(rate_Group&amp;""," "," "))))&lt;&gt;"")+2*(UPPER(TRIM(CLEAN(SUBSTITUTE(rate_USMCA&amp;""," "," "))))&lt;&gt;"")+4*(UPPER(TRIM(CLEAN(SUBSTITUTE(rate_COO&amp;""," "," "))))&lt;&gt;""))*100+ROW(rate_Rate)-4))))</f>
        <v/>
      </c>
      <c r="AP211" s="13">
        <f>IF($AO211=0,0,SUMPRODUCT(ISNUMBER(rate_Rate)*((UPPER(TRIM(CLEAN(SUBSTITUTE(rate_Group&amp;""," "," "))))="")+(UPPER(TRIM(CLEAN(SUBSTITUTE(rate_Group&amp;""," "," "))))=$N211)&gt;0)*((UPPER(TRIM(CLEAN(SUBSTITUTE(rate_COO&amp;""," "," "))))="")+(UPPER(TRIM(CLEAN(SUBSTITUTE(rate_COO&amp;""," "," "))))=$E211)&gt;0)*((UPPER(TRIM(CLEAN(SUBSTITUTE(rate_USMCA&amp;""," "," "))))="")+(UPPER(TRIM(CLEAN(SUBSTITUTE(rate_USMCA&amp;""," "," "))))=IF(UPPER(TRIM(CLEAN(SUBSTITUTE(Items!F211&amp;""," "," "))))="Y","Y","N"))&gt;0)*((1+(UPPER(TRIM(CLEAN(SUBSTITUTE(rate_Group&amp;""," "," "))))&lt;&gt;"")+2*(UPPER(TRIM(CLEAN(SUBSTITUTE(rate_USMCA&amp;""," "," "))))&lt;&gt;"")+4*(UPPER(TRIM(CLEAN(SUBSTITUTE(rate_COO&amp;""," "," "))))&lt;&gt;""))=INT($AO211/100))))</f>
        <v/>
      </c>
      <c r="AQ211" s="13">
        <f>IF($A211="",0,IFERROR(MATCH($AL211,det_Key,0),0))</f>
        <v/>
      </c>
    </row>
    <row r="212">
      <c r="A212" s="10">
        <f>IF(TRIM(CLEAN(SUBSTITUTE(Items!A212&amp;""," "," ")))="","",TRIM(CLEAN(SUBSTITUTE(Items!A212&amp;""," "," "))))</f>
        <v/>
      </c>
      <c r="B212" s="10">
        <f>IF($A212="","",Items!B212&amp;"")</f>
        <v/>
      </c>
      <c r="C212" s="10">
        <f>IF($A212="","",SUBSTITUTE(SUBSTITUTE(SUBSTITUTE(SUBSTITUTE(CLEAN(Items!D212&amp;"")," ",""),".","")," ",""),"-",""))</f>
        <v/>
      </c>
      <c r="D212" s="10">
        <f>IF($A212="","",LEFT($C212,2))</f>
        <v/>
      </c>
      <c r="E212" s="10">
        <f>IF($A212="","",UPPER(TRIM(CLEAN(SUBSTITUTE(Items!E212&amp;""," "," ")))))</f>
        <v/>
      </c>
      <c r="F212" s="10">
        <f>IF($A212="","",IF(UPPER(TRIM(CLEAN(SUBSTITUTE(Items!C212&amp;""," "," "))))=UPPER(TRIM(CLEAN(SUBSTITUTE(act_Country&amp;""," "," ")))),"Y","N"))</f>
        <v/>
      </c>
      <c r="G212" s="10">
        <f>IF($A212="","",IF($AM212&gt;0,"Y","N"))</f>
        <v/>
      </c>
      <c r="H212" s="10">
        <f>IF($A212="","",IF(SUMPRODUCT((excl_HTS&lt;&gt;"")*(LEFT($C212,LEN(excl_HTS))=excl_HTS))&gt;0,"Y","N"))</f>
        <v/>
      </c>
      <c r="I212" s="10">
        <f>IF($A212="","",IF($E212="","N",IF(SUMPRODUCT(--(UPPER(TRIM(CLEAN(SUBSTITUTE(scope_COO&amp;""," "," "))))=$E212))&gt;0,"Y","N")))</f>
        <v/>
      </c>
      <c r="J212" s="10">
        <f>IF($A212="","",IF(AND(UPPER(TRIM(CLEAN(SUBSTITUTE(act_USMCAExempt&amp;""," "," "))))="Y",UPPER(TRIM(CLEAN(SUBSTITUTE(Items!F212&amp;""," "," "))))="Y"),"Y","N"))</f>
        <v/>
      </c>
      <c r="K212" s="10">
        <f>IF($A212="","",IF($AQ212=0,"",UPPER(TRIM(CLEAN(SUBSTITUTE(INDEX(det_Status,$AQ212)&amp;""," "," "))))))</f>
        <v/>
      </c>
      <c r="L212" s="10">
        <f>IF($A212="","",IF($F212="N","N",IF($K212="IN","Y",IF($K212="OUT","N",IF(AND($G212="Y",$H212="N",$I212="Y",$J212="N"),"Y","N")))))</f>
        <v/>
      </c>
      <c r="M212" s="10">
        <f>IF($A212="","",IF($F212="N","Out: different import country",IF($K212="IN","In: Research determination",IF($K212="OUT","Out: Research determination",IF($G212="N","Out: HTS not on scope list",IF($H212="Y","Out: HTS on exclusion list",IF($I212="N","Out: origin not on scope list",IF($J212="Y","Out: USMCA-qualifying, exempt","In: matches scope rules"))))))))</f>
        <v/>
      </c>
      <c r="N212" s="10">
        <f>IF(OR($A212="",$AM212=0),"",UPPER(TRIM(CLEAN(SUBSTITUTE(INDEX(scope_Group,MOD($AM212,1000))&amp;""," "," ")))))</f>
        <v/>
      </c>
      <c r="O212" s="10">
        <f>IF($L212&lt;&gt;"Y","",IF($AO212=0,"Default (B15)",UPPER(TRIM(CLEAN(SUBSTITUTE(INDEX(rate_ID,MOD($AO212,100))&amp;""," "," "))))))</f>
        <v/>
      </c>
      <c r="P212" s="10">
        <f>IF($L212&lt;&gt;"Y","",IF($AO212=0,IF(UPPER(TRIM(CLEAN(SUBSTITUTE(act_DefaultBase&amp;""," "," "))))="PART","PART","FULL"),IF(UPPER(TRIM(CLEAN(SUBSTITUTE(INDEX(rate_Base,MOD($AO212,100))&amp;""," "," "))))="PART","PART","FULL")))</f>
        <v/>
      </c>
      <c r="Q212" s="17">
        <f>IF($A212="","",N(Items!J212))</f>
        <v/>
      </c>
      <c r="R212" s="17">
        <f>IF($A212="","",IF($L212&lt;&gt;"Y",0,IF($AO212=0,N(act_Rate),N(INDEX(rate_Rate,MOD($AO212,100))))))</f>
        <v/>
      </c>
      <c r="S212" s="17">
        <f>IF($A212="","",IF($L212&lt;&gt;"Y",0,IF($AO212=0,IF(UPPER(TRIM(CLEAN(SUBSTITUTE(act_RateType&amp;""," "," "))))="REPLACE",N(act_PriorRate),0),IF(ISNUMBER(INDEX(rate_Prior,MOD($AO212,100))),INDEX(rate_Prior,MOD($AO212,100)),IF(UPPER(TRIM(CLEAN(SUBSTITUTE(act_RateType&amp;""," "," "))))="REPLACE",N(act_PriorRate),0)))))</f>
        <v/>
      </c>
      <c r="T212" s="17">
        <f>IF($A212="","",IF(AND($L212="Y",$P212="PART",ISNUMBER(Items!M212)),Items!M212,1))</f>
        <v/>
      </c>
      <c r="U212" s="17">
        <f>IF($A212="","",IF($L212&lt;&gt;"Y",0,IF($AQ212&gt;0,IF(ISNUMBER(INDEX(det_Displaced,$AQ212)),INDEX(det_Displaced,$AQ212),IF($AO212=0,0,N(INDEX(rate_Displaced,MOD($AO212,100))))),IF($AO212=0,0,N(INDEX(rate_Displaced,MOD($AO212,100)))))))</f>
        <v/>
      </c>
      <c r="V212" s="17">
        <f>IF($A212="","",IF($L212="Y",$Q212+$T212*($R212-$S212)-$U212,$Q212))</f>
        <v/>
      </c>
      <c r="W212" s="18">
        <f>IF($A212="","",N(Items!H212)*$Q212)</f>
        <v/>
      </c>
      <c r="X212" s="18">
        <f>IF($A212="","",N(Items!H212)*$V212)</f>
        <v/>
      </c>
      <c r="Y212" s="18">
        <f>IF($A212="","",$X212-$W212)</f>
        <v/>
      </c>
      <c r="Z212" s="18">
        <f>IF($A212="","",N(Items!K212)+$Y212)</f>
        <v/>
      </c>
      <c r="AA212" s="17">
        <f>IF($A212="","",IF(N(Items!L212)=0,"",(N(Items!L212)-N(Items!K212))/N(Items!L212)))</f>
        <v/>
      </c>
      <c r="AB212" s="17">
        <f>IF($A212="","",IF(N(Items!L212)=0,"",(N(Items!L212)-$Z212)/N(Items!L212)))</f>
        <v/>
      </c>
      <c r="AC212" s="17">
        <f>IF(OR($AA212="",$AB212=""),"",$AB212-$AA212)</f>
        <v/>
      </c>
      <c r="AD212" s="13">
        <f>IF($A212="","",N(Items!I212))</f>
        <v/>
      </c>
      <c r="AE212" s="19">
        <f>IF($A212="","",$Y212*$AD212)</f>
        <v/>
      </c>
      <c r="AF212" s="10">
        <f>IF($A212="","",IF(N(Items!L212)&gt;0,"Y","N"))</f>
        <v/>
      </c>
      <c r="AG212" s="19">
        <f>IF($A212="","",IF($AF212="Y",N(Items!L212)*$AD212,0))</f>
        <v/>
      </c>
      <c r="AH212" s="19">
        <f>IF($A212="","",IF($AF212="Y",(N(Items!L212)-N(Items!K212))*$AD212,0))</f>
        <v/>
      </c>
      <c r="AI212" s="19">
        <f>IF($A212="","",IF($AF212="Y",$AH212-$AE212,0))</f>
        <v/>
      </c>
      <c r="AJ212" s="10">
        <f>IF($A212="","",IF(COUNTIF($AL$5:$AL$254,$AL212)&gt;1,"CHECK: duplicate item and import country",IF(TRIM(CLEAN(SUBSTITUTE(Items!C212&amp;""," "," ")))="","CHECK: import country missing",IF(AND(UPPER(TRIM(CLEAN(SUBSTITUTE(Items!C212&amp;""," "," "))))&lt;&gt;"US",UPPER(TRIM(CLEAN(SUBSTITUTE(Items!C212&amp;""," "," "))))&lt;&gt;"CA",UPPER(TRIM(CLEAN(SUBSTITUTE(Items!C212&amp;""," "," "))))&lt;&gt;"MX"),"CHECK: import country must be US, CA or MX",IF(NOT(AND(LEN($C212)=10,IFERROR(TEXT(VALUE($C212),REPT("0",LEN($C212)))=$C212,FALSE))),"CHECK: HTS must be 10 digits",IF(LEN($E212)&lt;&gt;2,"CHECK: origin code missing or not 2 letters",IF(TRIM(CLEAN(SUBSTITUTE(Items!G212&amp;""," "," ")))="","CHECK: unit of measure missing",IF(OR(Items!H212="",Items!J212="",Items!K212=""),"CHECK: value, rate or cost missing",IF(OR(NOT(ISNUMBER(Items!H212)),NOT(ISNUMBER(Items!J212)),NOT(ISNUMBER(Items!K212)),AND(Items!I212&lt;&gt;"",NOT(ISNUMBER(Items!I212))),AND(Items!L212&lt;&gt;"",NOT(ISNUMBER(Items!L212))),AND(Items!M212&lt;&gt;"",NOT(ISNUMBER(Items!M212)))),"CHECK: text in a number column",IF(AND(ISNUMBER(Items!M212),OR(N(Items!M212)&lt;0,N(Items!M212)&gt;1)),"CHECK: dutiable share must be 0% to 100%",IF(AND(UPPER(TRIM(CLEAN(SUBSTITUTE(Items!F212&amp;""," "," "))))&lt;&gt;"",UPPER(TRIM(CLEAN(SUBSTITUTE(Items!F212&amp;""," "," "))))&lt;&gt;"Y",UPPER(TRIM(CLEAN(SUBSTITUTE(Items!F212&amp;""," "," "))))&lt;&gt;"N"),"CHECK: USMCA flag must be Y, N or blank",IF(AND(UPPER(TRIM(CLEAN(SUBSTITUTE(Items!F212&amp;""," "," "))))="Y",$E212&lt;&gt;"US",$E212&lt;&gt;"CA",$E212&lt;&gt;"MX"),"CHECK: USMCA flag on an origin other than US, CA or MX",IF(AND($L212="Y",$AO212=0,NOT(ISNUMBER(act_Rate))),"CHECK: in scope but no rate (add a rate line or B15)",IF(AND($L212="Y",UPPER(TRIM(CLEAN(SUBSTITUTE(act_RateType&amp;""," "," "))))="REPLACE",NOT(ISNUMBER(act_PriorRate)),IF($AO212=0,TRUE,NOT(ISNUMBER(INDEX(rate_Prior,MOD($AO212,100)))))),"CHECK: REPLACE but no earlier rate (B17 or the rate line's AD)",IF(AND($L212="Y",$AP212&gt;1),"CHECK: two rate lines match equally",IF(AND($L212="Y",$AN212&gt;1),"CHECK: HTS prefix listed twice on the scope list",IF(AND($L212="Y",$P212="PART",NOT(ISNUMBER(Items!M212))),"CHECK: dutiable share missing (PART base)",IF(AND($L212="Y",$P212="FULL",ISNUMBER(Items!M212),N(Items!M212)&lt;&gt;1),"CHECK: dutiable share entered, but the rate taxes the full value",IF(AND($L212="Y",$Q212+0.0000001&lt;$T212*$S212+$U212),"CHECK: current rate is below the duty being replaced or displaced",IF(AND($L212="Y",$AD212=0),"NOTE: in scope, no quantity",IF(AND($L212="Y",$AF212="N"),"NOTE: in scope, no sell price (left out of margin %)",IF(AND($L212="Y",N(Items!H212)&gt;N(Items!K212)),"NOTE: customs value above standard cost (check unit of measure)",IF(AND($L212="Y",$Q212&gt;1),"NOTE: current rate above 100% (check it was entered as a percentage)","OK")))))))))))))))))))))))</f>
        <v/>
      </c>
      <c r="AK212" s="20">
        <f>IF($A212="","",IF(AND($L212="Y",$AE212&lt;&gt;0),ABS($AE212)+ROW()/1000000000,""))</f>
        <v/>
      </c>
      <c r="AL212" s="10">
        <f>IF($A212="","",UPPER($A212)&amp;"/"&amp;UPPER(TRIM(CLEAN(SUBSTITUTE(Items!C212&amp;""," "," ")))))</f>
        <v/>
      </c>
      <c r="AM212" s="13">
        <f>IF($A212="",0,SUMPRODUCT(MAX((scope_HTS&lt;&gt;"")*(LEFT($C212,LEN(scope_HTS))=scope_HTS)*(LEN(scope_HTS)*1000+ROW(scope_HTS)-4))))</f>
        <v/>
      </c>
      <c r="AN212" s="13">
        <f>IF($AM212=0,0,SUMPRODUCT((scope_HTS&lt;&gt;"")*(LEFT($C212,LEN(scope_HTS))=scope_HTS)*(LEN(scope_HTS)=INT($AM212/1000))))</f>
        <v/>
      </c>
      <c r="AO212" s="13">
        <f>IF($L212&lt;&gt;"Y",0,SUMPRODUCT(MAX(ISNUMBER(rate_Rate)*((UPPER(TRIM(CLEAN(SUBSTITUTE(rate_Group&amp;""," "," "))))="")+(UPPER(TRIM(CLEAN(SUBSTITUTE(rate_Group&amp;""," "," "))))=$N212)&gt;0)*((UPPER(TRIM(CLEAN(SUBSTITUTE(rate_COO&amp;""," "," "))))="")+(UPPER(TRIM(CLEAN(SUBSTITUTE(rate_COO&amp;""," "," "))))=$E212)&gt;0)*((UPPER(TRIM(CLEAN(SUBSTITUTE(rate_USMCA&amp;""," "," "))))="")+(UPPER(TRIM(CLEAN(SUBSTITUTE(rate_USMCA&amp;""," "," "))))=IF(UPPER(TRIM(CLEAN(SUBSTITUTE(Items!F212&amp;""," "," "))))="Y","Y","N"))&gt;0)*((1+(UPPER(TRIM(CLEAN(SUBSTITUTE(rate_Group&amp;""," "," "))))&lt;&gt;"")+2*(UPPER(TRIM(CLEAN(SUBSTITUTE(rate_USMCA&amp;""," "," "))))&lt;&gt;"")+4*(UPPER(TRIM(CLEAN(SUBSTITUTE(rate_COO&amp;""," "," "))))&lt;&gt;""))*100+ROW(rate_Rate)-4))))</f>
        <v/>
      </c>
      <c r="AP212" s="13">
        <f>IF($AO212=0,0,SUMPRODUCT(ISNUMBER(rate_Rate)*((UPPER(TRIM(CLEAN(SUBSTITUTE(rate_Group&amp;""," "," "))))="")+(UPPER(TRIM(CLEAN(SUBSTITUTE(rate_Group&amp;""," "," "))))=$N212)&gt;0)*((UPPER(TRIM(CLEAN(SUBSTITUTE(rate_COO&amp;""," "," "))))="")+(UPPER(TRIM(CLEAN(SUBSTITUTE(rate_COO&amp;""," "," "))))=$E212)&gt;0)*((UPPER(TRIM(CLEAN(SUBSTITUTE(rate_USMCA&amp;""," "," "))))="")+(UPPER(TRIM(CLEAN(SUBSTITUTE(rate_USMCA&amp;""," "," "))))=IF(UPPER(TRIM(CLEAN(SUBSTITUTE(Items!F212&amp;""," "," "))))="Y","Y","N"))&gt;0)*((1+(UPPER(TRIM(CLEAN(SUBSTITUTE(rate_Group&amp;""," "," "))))&lt;&gt;"")+2*(UPPER(TRIM(CLEAN(SUBSTITUTE(rate_USMCA&amp;""," "," "))))&lt;&gt;"")+4*(UPPER(TRIM(CLEAN(SUBSTITUTE(rate_COO&amp;""," "," "))))&lt;&gt;""))=INT($AO212/100))))</f>
        <v/>
      </c>
      <c r="AQ212" s="13">
        <f>IF($A212="",0,IFERROR(MATCH($AL212,det_Key,0),0))</f>
        <v/>
      </c>
    </row>
    <row r="213">
      <c r="A213" s="10">
        <f>IF(TRIM(CLEAN(SUBSTITUTE(Items!A213&amp;""," "," ")))="","",TRIM(CLEAN(SUBSTITUTE(Items!A213&amp;""," "," "))))</f>
        <v/>
      </c>
      <c r="B213" s="10">
        <f>IF($A213="","",Items!B213&amp;"")</f>
        <v/>
      </c>
      <c r="C213" s="10">
        <f>IF($A213="","",SUBSTITUTE(SUBSTITUTE(SUBSTITUTE(SUBSTITUTE(CLEAN(Items!D213&amp;"")," ",""),".","")," ",""),"-",""))</f>
        <v/>
      </c>
      <c r="D213" s="10">
        <f>IF($A213="","",LEFT($C213,2))</f>
        <v/>
      </c>
      <c r="E213" s="10">
        <f>IF($A213="","",UPPER(TRIM(CLEAN(SUBSTITUTE(Items!E213&amp;""," "," ")))))</f>
        <v/>
      </c>
      <c r="F213" s="10">
        <f>IF($A213="","",IF(UPPER(TRIM(CLEAN(SUBSTITUTE(Items!C213&amp;""," "," "))))=UPPER(TRIM(CLEAN(SUBSTITUTE(act_Country&amp;""," "," ")))),"Y","N"))</f>
        <v/>
      </c>
      <c r="G213" s="10">
        <f>IF($A213="","",IF($AM213&gt;0,"Y","N"))</f>
        <v/>
      </c>
      <c r="H213" s="10">
        <f>IF($A213="","",IF(SUMPRODUCT((excl_HTS&lt;&gt;"")*(LEFT($C213,LEN(excl_HTS))=excl_HTS))&gt;0,"Y","N"))</f>
        <v/>
      </c>
      <c r="I213" s="10">
        <f>IF($A213="","",IF($E213="","N",IF(SUMPRODUCT(--(UPPER(TRIM(CLEAN(SUBSTITUTE(scope_COO&amp;""," "," "))))=$E213))&gt;0,"Y","N")))</f>
        <v/>
      </c>
      <c r="J213" s="10">
        <f>IF($A213="","",IF(AND(UPPER(TRIM(CLEAN(SUBSTITUTE(act_USMCAExempt&amp;""," "," "))))="Y",UPPER(TRIM(CLEAN(SUBSTITUTE(Items!F213&amp;""," "," "))))="Y"),"Y","N"))</f>
        <v/>
      </c>
      <c r="K213" s="10">
        <f>IF($A213="","",IF($AQ213=0,"",UPPER(TRIM(CLEAN(SUBSTITUTE(INDEX(det_Status,$AQ213)&amp;""," "," "))))))</f>
        <v/>
      </c>
      <c r="L213" s="10">
        <f>IF($A213="","",IF($F213="N","N",IF($K213="IN","Y",IF($K213="OUT","N",IF(AND($G213="Y",$H213="N",$I213="Y",$J213="N"),"Y","N")))))</f>
        <v/>
      </c>
      <c r="M213" s="10">
        <f>IF($A213="","",IF($F213="N","Out: different import country",IF($K213="IN","In: Research determination",IF($K213="OUT","Out: Research determination",IF($G213="N","Out: HTS not on scope list",IF($H213="Y","Out: HTS on exclusion list",IF($I213="N","Out: origin not on scope list",IF($J213="Y","Out: USMCA-qualifying, exempt","In: matches scope rules"))))))))</f>
        <v/>
      </c>
      <c r="N213" s="10">
        <f>IF(OR($A213="",$AM213=0),"",UPPER(TRIM(CLEAN(SUBSTITUTE(INDEX(scope_Group,MOD($AM213,1000))&amp;""," "," ")))))</f>
        <v/>
      </c>
      <c r="O213" s="10">
        <f>IF($L213&lt;&gt;"Y","",IF($AO213=0,"Default (B15)",UPPER(TRIM(CLEAN(SUBSTITUTE(INDEX(rate_ID,MOD($AO213,100))&amp;""," "," "))))))</f>
        <v/>
      </c>
      <c r="P213" s="10">
        <f>IF($L213&lt;&gt;"Y","",IF($AO213=0,IF(UPPER(TRIM(CLEAN(SUBSTITUTE(act_DefaultBase&amp;""," "," "))))="PART","PART","FULL"),IF(UPPER(TRIM(CLEAN(SUBSTITUTE(INDEX(rate_Base,MOD($AO213,100))&amp;""," "," "))))="PART","PART","FULL")))</f>
        <v/>
      </c>
      <c r="Q213" s="17">
        <f>IF($A213="","",N(Items!J213))</f>
        <v/>
      </c>
      <c r="R213" s="17">
        <f>IF($A213="","",IF($L213&lt;&gt;"Y",0,IF($AO213=0,N(act_Rate),N(INDEX(rate_Rate,MOD($AO213,100))))))</f>
        <v/>
      </c>
      <c r="S213" s="17">
        <f>IF($A213="","",IF($L213&lt;&gt;"Y",0,IF($AO213=0,IF(UPPER(TRIM(CLEAN(SUBSTITUTE(act_RateType&amp;""," "," "))))="REPLACE",N(act_PriorRate),0),IF(ISNUMBER(INDEX(rate_Prior,MOD($AO213,100))),INDEX(rate_Prior,MOD($AO213,100)),IF(UPPER(TRIM(CLEAN(SUBSTITUTE(act_RateType&amp;""," "," "))))="REPLACE",N(act_PriorRate),0)))))</f>
        <v/>
      </c>
      <c r="T213" s="17">
        <f>IF($A213="","",IF(AND($L213="Y",$P213="PART",ISNUMBER(Items!M213)),Items!M213,1))</f>
        <v/>
      </c>
      <c r="U213" s="17">
        <f>IF($A213="","",IF($L213&lt;&gt;"Y",0,IF($AQ213&gt;0,IF(ISNUMBER(INDEX(det_Displaced,$AQ213)),INDEX(det_Displaced,$AQ213),IF($AO213=0,0,N(INDEX(rate_Displaced,MOD($AO213,100))))),IF($AO213=0,0,N(INDEX(rate_Displaced,MOD($AO213,100)))))))</f>
        <v/>
      </c>
      <c r="V213" s="17">
        <f>IF($A213="","",IF($L213="Y",$Q213+$T213*($R213-$S213)-$U213,$Q213))</f>
        <v/>
      </c>
      <c r="W213" s="18">
        <f>IF($A213="","",N(Items!H213)*$Q213)</f>
        <v/>
      </c>
      <c r="X213" s="18">
        <f>IF($A213="","",N(Items!H213)*$V213)</f>
        <v/>
      </c>
      <c r="Y213" s="18">
        <f>IF($A213="","",$X213-$W213)</f>
        <v/>
      </c>
      <c r="Z213" s="18">
        <f>IF($A213="","",N(Items!K213)+$Y213)</f>
        <v/>
      </c>
      <c r="AA213" s="17">
        <f>IF($A213="","",IF(N(Items!L213)=0,"",(N(Items!L213)-N(Items!K213))/N(Items!L213)))</f>
        <v/>
      </c>
      <c r="AB213" s="17">
        <f>IF($A213="","",IF(N(Items!L213)=0,"",(N(Items!L213)-$Z213)/N(Items!L213)))</f>
        <v/>
      </c>
      <c r="AC213" s="17">
        <f>IF(OR($AA213="",$AB213=""),"",$AB213-$AA213)</f>
        <v/>
      </c>
      <c r="AD213" s="13">
        <f>IF($A213="","",N(Items!I213))</f>
        <v/>
      </c>
      <c r="AE213" s="19">
        <f>IF($A213="","",$Y213*$AD213)</f>
        <v/>
      </c>
      <c r="AF213" s="10">
        <f>IF($A213="","",IF(N(Items!L213)&gt;0,"Y","N"))</f>
        <v/>
      </c>
      <c r="AG213" s="19">
        <f>IF($A213="","",IF($AF213="Y",N(Items!L213)*$AD213,0))</f>
        <v/>
      </c>
      <c r="AH213" s="19">
        <f>IF($A213="","",IF($AF213="Y",(N(Items!L213)-N(Items!K213))*$AD213,0))</f>
        <v/>
      </c>
      <c r="AI213" s="19">
        <f>IF($A213="","",IF($AF213="Y",$AH213-$AE213,0))</f>
        <v/>
      </c>
      <c r="AJ213" s="10">
        <f>IF($A213="","",IF(COUNTIF($AL$5:$AL$254,$AL213)&gt;1,"CHECK: duplicate item and import country",IF(TRIM(CLEAN(SUBSTITUTE(Items!C213&amp;""," "," ")))="","CHECK: import country missing",IF(AND(UPPER(TRIM(CLEAN(SUBSTITUTE(Items!C213&amp;""," "," "))))&lt;&gt;"US",UPPER(TRIM(CLEAN(SUBSTITUTE(Items!C213&amp;""," "," "))))&lt;&gt;"CA",UPPER(TRIM(CLEAN(SUBSTITUTE(Items!C213&amp;""," "," "))))&lt;&gt;"MX"),"CHECK: import country must be US, CA or MX",IF(NOT(AND(LEN($C213)=10,IFERROR(TEXT(VALUE($C213),REPT("0",LEN($C213)))=$C213,FALSE))),"CHECK: HTS must be 10 digits",IF(LEN($E213)&lt;&gt;2,"CHECK: origin code missing or not 2 letters",IF(TRIM(CLEAN(SUBSTITUTE(Items!G213&amp;""," "," ")))="","CHECK: unit of measure missing",IF(OR(Items!H213="",Items!J213="",Items!K213=""),"CHECK: value, rate or cost missing",IF(OR(NOT(ISNUMBER(Items!H213)),NOT(ISNUMBER(Items!J213)),NOT(ISNUMBER(Items!K213)),AND(Items!I213&lt;&gt;"",NOT(ISNUMBER(Items!I213))),AND(Items!L213&lt;&gt;"",NOT(ISNUMBER(Items!L213))),AND(Items!M213&lt;&gt;"",NOT(ISNUMBER(Items!M213)))),"CHECK: text in a number column",IF(AND(ISNUMBER(Items!M213),OR(N(Items!M213)&lt;0,N(Items!M213)&gt;1)),"CHECK: dutiable share must be 0% to 100%",IF(AND(UPPER(TRIM(CLEAN(SUBSTITUTE(Items!F213&amp;""," "," "))))&lt;&gt;"",UPPER(TRIM(CLEAN(SUBSTITUTE(Items!F213&amp;""," "," "))))&lt;&gt;"Y",UPPER(TRIM(CLEAN(SUBSTITUTE(Items!F213&amp;""," "," "))))&lt;&gt;"N"),"CHECK: USMCA flag must be Y, N or blank",IF(AND(UPPER(TRIM(CLEAN(SUBSTITUTE(Items!F213&amp;""," "," "))))="Y",$E213&lt;&gt;"US",$E213&lt;&gt;"CA",$E213&lt;&gt;"MX"),"CHECK: USMCA flag on an origin other than US, CA or MX",IF(AND($L213="Y",$AO213=0,NOT(ISNUMBER(act_Rate))),"CHECK: in scope but no rate (add a rate line or B15)",IF(AND($L213="Y",UPPER(TRIM(CLEAN(SUBSTITUTE(act_RateType&amp;""," "," "))))="REPLACE",NOT(ISNUMBER(act_PriorRate)),IF($AO213=0,TRUE,NOT(ISNUMBER(INDEX(rate_Prior,MOD($AO213,100)))))),"CHECK: REPLACE but no earlier rate (B17 or the rate line's AD)",IF(AND($L213="Y",$AP213&gt;1),"CHECK: two rate lines match equally",IF(AND($L213="Y",$AN213&gt;1),"CHECK: HTS prefix listed twice on the scope list",IF(AND($L213="Y",$P213="PART",NOT(ISNUMBER(Items!M213))),"CHECK: dutiable share missing (PART base)",IF(AND($L213="Y",$P213="FULL",ISNUMBER(Items!M213),N(Items!M213)&lt;&gt;1),"CHECK: dutiable share entered, but the rate taxes the full value",IF(AND($L213="Y",$Q213+0.0000001&lt;$T213*$S213+$U213),"CHECK: current rate is below the duty being replaced or displaced",IF(AND($L213="Y",$AD213=0),"NOTE: in scope, no quantity",IF(AND($L213="Y",$AF213="N"),"NOTE: in scope, no sell price (left out of margin %)",IF(AND($L213="Y",N(Items!H213)&gt;N(Items!K213)),"NOTE: customs value above standard cost (check unit of measure)",IF(AND($L213="Y",$Q213&gt;1),"NOTE: current rate above 100% (check it was entered as a percentage)","OK")))))))))))))))))))))))</f>
        <v/>
      </c>
      <c r="AK213" s="20">
        <f>IF($A213="","",IF(AND($L213="Y",$AE213&lt;&gt;0),ABS($AE213)+ROW()/1000000000,""))</f>
        <v/>
      </c>
      <c r="AL213" s="10">
        <f>IF($A213="","",UPPER($A213)&amp;"/"&amp;UPPER(TRIM(CLEAN(SUBSTITUTE(Items!C213&amp;""," "," ")))))</f>
        <v/>
      </c>
      <c r="AM213" s="13">
        <f>IF($A213="",0,SUMPRODUCT(MAX((scope_HTS&lt;&gt;"")*(LEFT($C213,LEN(scope_HTS))=scope_HTS)*(LEN(scope_HTS)*1000+ROW(scope_HTS)-4))))</f>
        <v/>
      </c>
      <c r="AN213" s="13">
        <f>IF($AM213=0,0,SUMPRODUCT((scope_HTS&lt;&gt;"")*(LEFT($C213,LEN(scope_HTS))=scope_HTS)*(LEN(scope_HTS)=INT($AM213/1000))))</f>
        <v/>
      </c>
      <c r="AO213" s="13">
        <f>IF($L213&lt;&gt;"Y",0,SUMPRODUCT(MAX(ISNUMBER(rate_Rate)*((UPPER(TRIM(CLEAN(SUBSTITUTE(rate_Group&amp;""," "," "))))="")+(UPPER(TRIM(CLEAN(SUBSTITUTE(rate_Group&amp;""," "," "))))=$N213)&gt;0)*((UPPER(TRIM(CLEAN(SUBSTITUTE(rate_COO&amp;""," "," "))))="")+(UPPER(TRIM(CLEAN(SUBSTITUTE(rate_COO&amp;""," "," "))))=$E213)&gt;0)*((UPPER(TRIM(CLEAN(SUBSTITUTE(rate_USMCA&amp;""," "," "))))="")+(UPPER(TRIM(CLEAN(SUBSTITUTE(rate_USMCA&amp;""," "," "))))=IF(UPPER(TRIM(CLEAN(SUBSTITUTE(Items!F213&amp;""," "," "))))="Y","Y","N"))&gt;0)*((1+(UPPER(TRIM(CLEAN(SUBSTITUTE(rate_Group&amp;""," "," "))))&lt;&gt;"")+2*(UPPER(TRIM(CLEAN(SUBSTITUTE(rate_USMCA&amp;""," "," "))))&lt;&gt;"")+4*(UPPER(TRIM(CLEAN(SUBSTITUTE(rate_COO&amp;""," "," "))))&lt;&gt;""))*100+ROW(rate_Rate)-4))))</f>
        <v/>
      </c>
      <c r="AP213" s="13">
        <f>IF($AO213=0,0,SUMPRODUCT(ISNUMBER(rate_Rate)*((UPPER(TRIM(CLEAN(SUBSTITUTE(rate_Group&amp;""," "," "))))="")+(UPPER(TRIM(CLEAN(SUBSTITUTE(rate_Group&amp;""," "," "))))=$N213)&gt;0)*((UPPER(TRIM(CLEAN(SUBSTITUTE(rate_COO&amp;""," "," "))))="")+(UPPER(TRIM(CLEAN(SUBSTITUTE(rate_COO&amp;""," "," "))))=$E213)&gt;0)*((UPPER(TRIM(CLEAN(SUBSTITUTE(rate_USMCA&amp;""," "," "))))="")+(UPPER(TRIM(CLEAN(SUBSTITUTE(rate_USMCA&amp;""," "," "))))=IF(UPPER(TRIM(CLEAN(SUBSTITUTE(Items!F213&amp;""," "," "))))="Y","Y","N"))&gt;0)*((1+(UPPER(TRIM(CLEAN(SUBSTITUTE(rate_Group&amp;""," "," "))))&lt;&gt;"")+2*(UPPER(TRIM(CLEAN(SUBSTITUTE(rate_USMCA&amp;""," "," "))))&lt;&gt;"")+4*(UPPER(TRIM(CLEAN(SUBSTITUTE(rate_COO&amp;""," "," "))))&lt;&gt;""))=INT($AO213/100))))</f>
        <v/>
      </c>
      <c r="AQ213" s="13">
        <f>IF($A213="",0,IFERROR(MATCH($AL213,det_Key,0),0))</f>
        <v/>
      </c>
    </row>
    <row r="214">
      <c r="A214" s="10">
        <f>IF(TRIM(CLEAN(SUBSTITUTE(Items!A214&amp;""," "," ")))="","",TRIM(CLEAN(SUBSTITUTE(Items!A214&amp;""," "," "))))</f>
        <v/>
      </c>
      <c r="B214" s="10">
        <f>IF($A214="","",Items!B214&amp;"")</f>
        <v/>
      </c>
      <c r="C214" s="10">
        <f>IF($A214="","",SUBSTITUTE(SUBSTITUTE(SUBSTITUTE(SUBSTITUTE(CLEAN(Items!D214&amp;"")," ",""),".","")," ",""),"-",""))</f>
        <v/>
      </c>
      <c r="D214" s="10">
        <f>IF($A214="","",LEFT($C214,2))</f>
        <v/>
      </c>
      <c r="E214" s="10">
        <f>IF($A214="","",UPPER(TRIM(CLEAN(SUBSTITUTE(Items!E214&amp;""," "," ")))))</f>
        <v/>
      </c>
      <c r="F214" s="10">
        <f>IF($A214="","",IF(UPPER(TRIM(CLEAN(SUBSTITUTE(Items!C214&amp;""," "," "))))=UPPER(TRIM(CLEAN(SUBSTITUTE(act_Country&amp;""," "," ")))),"Y","N"))</f>
        <v/>
      </c>
      <c r="G214" s="10">
        <f>IF($A214="","",IF($AM214&gt;0,"Y","N"))</f>
        <v/>
      </c>
      <c r="H214" s="10">
        <f>IF($A214="","",IF(SUMPRODUCT((excl_HTS&lt;&gt;"")*(LEFT($C214,LEN(excl_HTS))=excl_HTS))&gt;0,"Y","N"))</f>
        <v/>
      </c>
      <c r="I214" s="10">
        <f>IF($A214="","",IF($E214="","N",IF(SUMPRODUCT(--(UPPER(TRIM(CLEAN(SUBSTITUTE(scope_COO&amp;""," "," "))))=$E214))&gt;0,"Y","N")))</f>
        <v/>
      </c>
      <c r="J214" s="10">
        <f>IF($A214="","",IF(AND(UPPER(TRIM(CLEAN(SUBSTITUTE(act_USMCAExempt&amp;""," "," "))))="Y",UPPER(TRIM(CLEAN(SUBSTITUTE(Items!F214&amp;""," "," "))))="Y"),"Y","N"))</f>
        <v/>
      </c>
      <c r="K214" s="10">
        <f>IF($A214="","",IF($AQ214=0,"",UPPER(TRIM(CLEAN(SUBSTITUTE(INDEX(det_Status,$AQ214)&amp;""," "," "))))))</f>
        <v/>
      </c>
      <c r="L214" s="10">
        <f>IF($A214="","",IF($F214="N","N",IF($K214="IN","Y",IF($K214="OUT","N",IF(AND($G214="Y",$H214="N",$I214="Y",$J214="N"),"Y","N")))))</f>
        <v/>
      </c>
      <c r="M214" s="10">
        <f>IF($A214="","",IF($F214="N","Out: different import country",IF($K214="IN","In: Research determination",IF($K214="OUT","Out: Research determination",IF($G214="N","Out: HTS not on scope list",IF($H214="Y","Out: HTS on exclusion list",IF($I214="N","Out: origin not on scope list",IF($J214="Y","Out: USMCA-qualifying, exempt","In: matches scope rules"))))))))</f>
        <v/>
      </c>
      <c r="N214" s="10">
        <f>IF(OR($A214="",$AM214=0),"",UPPER(TRIM(CLEAN(SUBSTITUTE(INDEX(scope_Group,MOD($AM214,1000))&amp;""," "," ")))))</f>
        <v/>
      </c>
      <c r="O214" s="10">
        <f>IF($L214&lt;&gt;"Y","",IF($AO214=0,"Default (B15)",UPPER(TRIM(CLEAN(SUBSTITUTE(INDEX(rate_ID,MOD($AO214,100))&amp;""," "," "))))))</f>
        <v/>
      </c>
      <c r="P214" s="10">
        <f>IF($L214&lt;&gt;"Y","",IF($AO214=0,IF(UPPER(TRIM(CLEAN(SUBSTITUTE(act_DefaultBase&amp;""," "," "))))="PART","PART","FULL"),IF(UPPER(TRIM(CLEAN(SUBSTITUTE(INDEX(rate_Base,MOD($AO214,100))&amp;""," "," "))))="PART","PART","FULL")))</f>
        <v/>
      </c>
      <c r="Q214" s="17">
        <f>IF($A214="","",N(Items!J214))</f>
        <v/>
      </c>
      <c r="R214" s="17">
        <f>IF($A214="","",IF($L214&lt;&gt;"Y",0,IF($AO214=0,N(act_Rate),N(INDEX(rate_Rate,MOD($AO214,100))))))</f>
        <v/>
      </c>
      <c r="S214" s="17">
        <f>IF($A214="","",IF($L214&lt;&gt;"Y",0,IF($AO214=0,IF(UPPER(TRIM(CLEAN(SUBSTITUTE(act_RateType&amp;""," "," "))))="REPLACE",N(act_PriorRate),0),IF(ISNUMBER(INDEX(rate_Prior,MOD($AO214,100))),INDEX(rate_Prior,MOD($AO214,100)),IF(UPPER(TRIM(CLEAN(SUBSTITUTE(act_RateType&amp;""," "," "))))="REPLACE",N(act_PriorRate),0)))))</f>
        <v/>
      </c>
      <c r="T214" s="17">
        <f>IF($A214="","",IF(AND($L214="Y",$P214="PART",ISNUMBER(Items!M214)),Items!M214,1))</f>
        <v/>
      </c>
      <c r="U214" s="17">
        <f>IF($A214="","",IF($L214&lt;&gt;"Y",0,IF($AQ214&gt;0,IF(ISNUMBER(INDEX(det_Displaced,$AQ214)),INDEX(det_Displaced,$AQ214),IF($AO214=0,0,N(INDEX(rate_Displaced,MOD($AO214,100))))),IF($AO214=0,0,N(INDEX(rate_Displaced,MOD($AO214,100)))))))</f>
        <v/>
      </c>
      <c r="V214" s="17">
        <f>IF($A214="","",IF($L214="Y",$Q214+$T214*($R214-$S214)-$U214,$Q214))</f>
        <v/>
      </c>
      <c r="W214" s="18">
        <f>IF($A214="","",N(Items!H214)*$Q214)</f>
        <v/>
      </c>
      <c r="X214" s="18">
        <f>IF($A214="","",N(Items!H214)*$V214)</f>
        <v/>
      </c>
      <c r="Y214" s="18">
        <f>IF($A214="","",$X214-$W214)</f>
        <v/>
      </c>
      <c r="Z214" s="18">
        <f>IF($A214="","",N(Items!K214)+$Y214)</f>
        <v/>
      </c>
      <c r="AA214" s="17">
        <f>IF($A214="","",IF(N(Items!L214)=0,"",(N(Items!L214)-N(Items!K214))/N(Items!L214)))</f>
        <v/>
      </c>
      <c r="AB214" s="17">
        <f>IF($A214="","",IF(N(Items!L214)=0,"",(N(Items!L214)-$Z214)/N(Items!L214)))</f>
        <v/>
      </c>
      <c r="AC214" s="17">
        <f>IF(OR($AA214="",$AB214=""),"",$AB214-$AA214)</f>
        <v/>
      </c>
      <c r="AD214" s="13">
        <f>IF($A214="","",N(Items!I214))</f>
        <v/>
      </c>
      <c r="AE214" s="19">
        <f>IF($A214="","",$Y214*$AD214)</f>
        <v/>
      </c>
      <c r="AF214" s="10">
        <f>IF($A214="","",IF(N(Items!L214)&gt;0,"Y","N"))</f>
        <v/>
      </c>
      <c r="AG214" s="19">
        <f>IF($A214="","",IF($AF214="Y",N(Items!L214)*$AD214,0))</f>
        <v/>
      </c>
      <c r="AH214" s="19">
        <f>IF($A214="","",IF($AF214="Y",(N(Items!L214)-N(Items!K214))*$AD214,0))</f>
        <v/>
      </c>
      <c r="AI214" s="19">
        <f>IF($A214="","",IF($AF214="Y",$AH214-$AE214,0))</f>
        <v/>
      </c>
      <c r="AJ214" s="10">
        <f>IF($A214="","",IF(COUNTIF($AL$5:$AL$254,$AL214)&gt;1,"CHECK: duplicate item and import country",IF(TRIM(CLEAN(SUBSTITUTE(Items!C214&amp;""," "," ")))="","CHECK: import country missing",IF(AND(UPPER(TRIM(CLEAN(SUBSTITUTE(Items!C214&amp;""," "," "))))&lt;&gt;"US",UPPER(TRIM(CLEAN(SUBSTITUTE(Items!C214&amp;""," "," "))))&lt;&gt;"CA",UPPER(TRIM(CLEAN(SUBSTITUTE(Items!C214&amp;""," "," "))))&lt;&gt;"MX"),"CHECK: import country must be US, CA or MX",IF(NOT(AND(LEN($C214)=10,IFERROR(TEXT(VALUE($C214),REPT("0",LEN($C214)))=$C214,FALSE))),"CHECK: HTS must be 10 digits",IF(LEN($E214)&lt;&gt;2,"CHECK: origin code missing or not 2 letters",IF(TRIM(CLEAN(SUBSTITUTE(Items!G214&amp;""," "," ")))="","CHECK: unit of measure missing",IF(OR(Items!H214="",Items!J214="",Items!K214=""),"CHECK: value, rate or cost missing",IF(OR(NOT(ISNUMBER(Items!H214)),NOT(ISNUMBER(Items!J214)),NOT(ISNUMBER(Items!K214)),AND(Items!I214&lt;&gt;"",NOT(ISNUMBER(Items!I214))),AND(Items!L214&lt;&gt;"",NOT(ISNUMBER(Items!L214))),AND(Items!M214&lt;&gt;"",NOT(ISNUMBER(Items!M214)))),"CHECK: text in a number column",IF(AND(ISNUMBER(Items!M214),OR(N(Items!M214)&lt;0,N(Items!M214)&gt;1)),"CHECK: dutiable share must be 0% to 100%",IF(AND(UPPER(TRIM(CLEAN(SUBSTITUTE(Items!F214&amp;""," "," "))))&lt;&gt;"",UPPER(TRIM(CLEAN(SUBSTITUTE(Items!F214&amp;""," "," "))))&lt;&gt;"Y",UPPER(TRIM(CLEAN(SUBSTITUTE(Items!F214&amp;""," "," "))))&lt;&gt;"N"),"CHECK: USMCA flag must be Y, N or blank",IF(AND(UPPER(TRIM(CLEAN(SUBSTITUTE(Items!F214&amp;""," "," "))))="Y",$E214&lt;&gt;"US",$E214&lt;&gt;"CA",$E214&lt;&gt;"MX"),"CHECK: USMCA flag on an origin other than US, CA or MX",IF(AND($L214="Y",$AO214=0,NOT(ISNUMBER(act_Rate))),"CHECK: in scope but no rate (add a rate line or B15)",IF(AND($L214="Y",UPPER(TRIM(CLEAN(SUBSTITUTE(act_RateType&amp;""," "," "))))="REPLACE",NOT(ISNUMBER(act_PriorRate)),IF($AO214=0,TRUE,NOT(ISNUMBER(INDEX(rate_Prior,MOD($AO214,100)))))),"CHECK: REPLACE but no earlier rate (B17 or the rate line's AD)",IF(AND($L214="Y",$AP214&gt;1),"CHECK: two rate lines match equally",IF(AND($L214="Y",$AN214&gt;1),"CHECK: HTS prefix listed twice on the scope list",IF(AND($L214="Y",$P214="PART",NOT(ISNUMBER(Items!M214))),"CHECK: dutiable share missing (PART base)",IF(AND($L214="Y",$P214="FULL",ISNUMBER(Items!M214),N(Items!M214)&lt;&gt;1),"CHECK: dutiable share entered, but the rate taxes the full value",IF(AND($L214="Y",$Q214+0.0000001&lt;$T214*$S214+$U214),"CHECK: current rate is below the duty being replaced or displaced",IF(AND($L214="Y",$AD214=0),"NOTE: in scope, no quantity",IF(AND($L214="Y",$AF214="N"),"NOTE: in scope, no sell price (left out of margin %)",IF(AND($L214="Y",N(Items!H214)&gt;N(Items!K214)),"NOTE: customs value above standard cost (check unit of measure)",IF(AND($L214="Y",$Q214&gt;1),"NOTE: current rate above 100% (check it was entered as a percentage)","OK")))))))))))))))))))))))</f>
        <v/>
      </c>
      <c r="AK214" s="20">
        <f>IF($A214="","",IF(AND($L214="Y",$AE214&lt;&gt;0),ABS($AE214)+ROW()/1000000000,""))</f>
        <v/>
      </c>
      <c r="AL214" s="10">
        <f>IF($A214="","",UPPER($A214)&amp;"/"&amp;UPPER(TRIM(CLEAN(SUBSTITUTE(Items!C214&amp;""," "," ")))))</f>
        <v/>
      </c>
      <c r="AM214" s="13">
        <f>IF($A214="",0,SUMPRODUCT(MAX((scope_HTS&lt;&gt;"")*(LEFT($C214,LEN(scope_HTS))=scope_HTS)*(LEN(scope_HTS)*1000+ROW(scope_HTS)-4))))</f>
        <v/>
      </c>
      <c r="AN214" s="13">
        <f>IF($AM214=0,0,SUMPRODUCT((scope_HTS&lt;&gt;"")*(LEFT($C214,LEN(scope_HTS))=scope_HTS)*(LEN(scope_HTS)=INT($AM214/1000))))</f>
        <v/>
      </c>
      <c r="AO214" s="13">
        <f>IF($L214&lt;&gt;"Y",0,SUMPRODUCT(MAX(ISNUMBER(rate_Rate)*((UPPER(TRIM(CLEAN(SUBSTITUTE(rate_Group&amp;""," "," "))))="")+(UPPER(TRIM(CLEAN(SUBSTITUTE(rate_Group&amp;""," "," "))))=$N214)&gt;0)*((UPPER(TRIM(CLEAN(SUBSTITUTE(rate_COO&amp;""," "," "))))="")+(UPPER(TRIM(CLEAN(SUBSTITUTE(rate_COO&amp;""," "," "))))=$E214)&gt;0)*((UPPER(TRIM(CLEAN(SUBSTITUTE(rate_USMCA&amp;""," "," "))))="")+(UPPER(TRIM(CLEAN(SUBSTITUTE(rate_USMCA&amp;""," "," "))))=IF(UPPER(TRIM(CLEAN(SUBSTITUTE(Items!F214&amp;""," "," "))))="Y","Y","N"))&gt;0)*((1+(UPPER(TRIM(CLEAN(SUBSTITUTE(rate_Group&amp;""," "," "))))&lt;&gt;"")+2*(UPPER(TRIM(CLEAN(SUBSTITUTE(rate_USMCA&amp;""," "," "))))&lt;&gt;"")+4*(UPPER(TRIM(CLEAN(SUBSTITUTE(rate_COO&amp;""," "," "))))&lt;&gt;""))*100+ROW(rate_Rate)-4))))</f>
        <v/>
      </c>
      <c r="AP214" s="13">
        <f>IF($AO214=0,0,SUMPRODUCT(ISNUMBER(rate_Rate)*((UPPER(TRIM(CLEAN(SUBSTITUTE(rate_Group&amp;""," "," "))))="")+(UPPER(TRIM(CLEAN(SUBSTITUTE(rate_Group&amp;""," "," "))))=$N214)&gt;0)*((UPPER(TRIM(CLEAN(SUBSTITUTE(rate_COO&amp;""," "," "))))="")+(UPPER(TRIM(CLEAN(SUBSTITUTE(rate_COO&amp;""," "," "))))=$E214)&gt;0)*((UPPER(TRIM(CLEAN(SUBSTITUTE(rate_USMCA&amp;""," "," "))))="")+(UPPER(TRIM(CLEAN(SUBSTITUTE(rate_USMCA&amp;""," "," "))))=IF(UPPER(TRIM(CLEAN(SUBSTITUTE(Items!F214&amp;""," "," "))))="Y","Y","N"))&gt;0)*((1+(UPPER(TRIM(CLEAN(SUBSTITUTE(rate_Group&amp;""," "," "))))&lt;&gt;"")+2*(UPPER(TRIM(CLEAN(SUBSTITUTE(rate_USMCA&amp;""," "," "))))&lt;&gt;"")+4*(UPPER(TRIM(CLEAN(SUBSTITUTE(rate_COO&amp;""," "," "))))&lt;&gt;""))=INT($AO214/100))))</f>
        <v/>
      </c>
      <c r="AQ214" s="13">
        <f>IF($A214="",0,IFERROR(MATCH($AL214,det_Key,0),0))</f>
        <v/>
      </c>
    </row>
    <row r="215">
      <c r="A215" s="10">
        <f>IF(TRIM(CLEAN(SUBSTITUTE(Items!A215&amp;""," "," ")))="","",TRIM(CLEAN(SUBSTITUTE(Items!A215&amp;""," "," "))))</f>
        <v/>
      </c>
      <c r="B215" s="10">
        <f>IF($A215="","",Items!B215&amp;"")</f>
        <v/>
      </c>
      <c r="C215" s="10">
        <f>IF($A215="","",SUBSTITUTE(SUBSTITUTE(SUBSTITUTE(SUBSTITUTE(CLEAN(Items!D215&amp;"")," ",""),".","")," ",""),"-",""))</f>
        <v/>
      </c>
      <c r="D215" s="10">
        <f>IF($A215="","",LEFT($C215,2))</f>
        <v/>
      </c>
      <c r="E215" s="10">
        <f>IF($A215="","",UPPER(TRIM(CLEAN(SUBSTITUTE(Items!E215&amp;""," "," ")))))</f>
        <v/>
      </c>
      <c r="F215" s="10">
        <f>IF($A215="","",IF(UPPER(TRIM(CLEAN(SUBSTITUTE(Items!C215&amp;""," "," "))))=UPPER(TRIM(CLEAN(SUBSTITUTE(act_Country&amp;""," "," ")))),"Y","N"))</f>
        <v/>
      </c>
      <c r="G215" s="10">
        <f>IF($A215="","",IF($AM215&gt;0,"Y","N"))</f>
        <v/>
      </c>
      <c r="H215" s="10">
        <f>IF($A215="","",IF(SUMPRODUCT((excl_HTS&lt;&gt;"")*(LEFT($C215,LEN(excl_HTS))=excl_HTS))&gt;0,"Y","N"))</f>
        <v/>
      </c>
      <c r="I215" s="10">
        <f>IF($A215="","",IF($E215="","N",IF(SUMPRODUCT(--(UPPER(TRIM(CLEAN(SUBSTITUTE(scope_COO&amp;""," "," "))))=$E215))&gt;0,"Y","N")))</f>
        <v/>
      </c>
      <c r="J215" s="10">
        <f>IF($A215="","",IF(AND(UPPER(TRIM(CLEAN(SUBSTITUTE(act_USMCAExempt&amp;""," "," "))))="Y",UPPER(TRIM(CLEAN(SUBSTITUTE(Items!F215&amp;""," "," "))))="Y"),"Y","N"))</f>
        <v/>
      </c>
      <c r="K215" s="10">
        <f>IF($A215="","",IF($AQ215=0,"",UPPER(TRIM(CLEAN(SUBSTITUTE(INDEX(det_Status,$AQ215)&amp;""," "," "))))))</f>
        <v/>
      </c>
      <c r="L215" s="10">
        <f>IF($A215="","",IF($F215="N","N",IF($K215="IN","Y",IF($K215="OUT","N",IF(AND($G215="Y",$H215="N",$I215="Y",$J215="N"),"Y","N")))))</f>
        <v/>
      </c>
      <c r="M215" s="10">
        <f>IF($A215="","",IF($F215="N","Out: different import country",IF($K215="IN","In: Research determination",IF($K215="OUT","Out: Research determination",IF($G215="N","Out: HTS not on scope list",IF($H215="Y","Out: HTS on exclusion list",IF($I215="N","Out: origin not on scope list",IF($J215="Y","Out: USMCA-qualifying, exempt","In: matches scope rules"))))))))</f>
        <v/>
      </c>
      <c r="N215" s="10">
        <f>IF(OR($A215="",$AM215=0),"",UPPER(TRIM(CLEAN(SUBSTITUTE(INDEX(scope_Group,MOD($AM215,1000))&amp;""," "," ")))))</f>
        <v/>
      </c>
      <c r="O215" s="10">
        <f>IF($L215&lt;&gt;"Y","",IF($AO215=0,"Default (B15)",UPPER(TRIM(CLEAN(SUBSTITUTE(INDEX(rate_ID,MOD($AO215,100))&amp;""," "," "))))))</f>
        <v/>
      </c>
      <c r="P215" s="10">
        <f>IF($L215&lt;&gt;"Y","",IF($AO215=0,IF(UPPER(TRIM(CLEAN(SUBSTITUTE(act_DefaultBase&amp;""," "," "))))="PART","PART","FULL"),IF(UPPER(TRIM(CLEAN(SUBSTITUTE(INDEX(rate_Base,MOD($AO215,100))&amp;""," "," "))))="PART","PART","FULL")))</f>
        <v/>
      </c>
      <c r="Q215" s="17">
        <f>IF($A215="","",N(Items!J215))</f>
        <v/>
      </c>
      <c r="R215" s="17">
        <f>IF($A215="","",IF($L215&lt;&gt;"Y",0,IF($AO215=0,N(act_Rate),N(INDEX(rate_Rate,MOD($AO215,100))))))</f>
        <v/>
      </c>
      <c r="S215" s="17">
        <f>IF($A215="","",IF($L215&lt;&gt;"Y",0,IF($AO215=0,IF(UPPER(TRIM(CLEAN(SUBSTITUTE(act_RateType&amp;""," "," "))))="REPLACE",N(act_PriorRate),0),IF(ISNUMBER(INDEX(rate_Prior,MOD($AO215,100))),INDEX(rate_Prior,MOD($AO215,100)),IF(UPPER(TRIM(CLEAN(SUBSTITUTE(act_RateType&amp;""," "," "))))="REPLACE",N(act_PriorRate),0)))))</f>
        <v/>
      </c>
      <c r="T215" s="17">
        <f>IF($A215="","",IF(AND($L215="Y",$P215="PART",ISNUMBER(Items!M215)),Items!M215,1))</f>
        <v/>
      </c>
      <c r="U215" s="17">
        <f>IF($A215="","",IF($L215&lt;&gt;"Y",0,IF($AQ215&gt;0,IF(ISNUMBER(INDEX(det_Displaced,$AQ215)),INDEX(det_Displaced,$AQ215),IF($AO215=0,0,N(INDEX(rate_Displaced,MOD($AO215,100))))),IF($AO215=0,0,N(INDEX(rate_Displaced,MOD($AO215,100)))))))</f>
        <v/>
      </c>
      <c r="V215" s="17">
        <f>IF($A215="","",IF($L215="Y",$Q215+$T215*($R215-$S215)-$U215,$Q215))</f>
        <v/>
      </c>
      <c r="W215" s="18">
        <f>IF($A215="","",N(Items!H215)*$Q215)</f>
        <v/>
      </c>
      <c r="X215" s="18">
        <f>IF($A215="","",N(Items!H215)*$V215)</f>
        <v/>
      </c>
      <c r="Y215" s="18">
        <f>IF($A215="","",$X215-$W215)</f>
        <v/>
      </c>
      <c r="Z215" s="18">
        <f>IF($A215="","",N(Items!K215)+$Y215)</f>
        <v/>
      </c>
      <c r="AA215" s="17">
        <f>IF($A215="","",IF(N(Items!L215)=0,"",(N(Items!L215)-N(Items!K215))/N(Items!L215)))</f>
        <v/>
      </c>
      <c r="AB215" s="17">
        <f>IF($A215="","",IF(N(Items!L215)=0,"",(N(Items!L215)-$Z215)/N(Items!L215)))</f>
        <v/>
      </c>
      <c r="AC215" s="17">
        <f>IF(OR($AA215="",$AB215=""),"",$AB215-$AA215)</f>
        <v/>
      </c>
      <c r="AD215" s="13">
        <f>IF($A215="","",N(Items!I215))</f>
        <v/>
      </c>
      <c r="AE215" s="19">
        <f>IF($A215="","",$Y215*$AD215)</f>
        <v/>
      </c>
      <c r="AF215" s="10">
        <f>IF($A215="","",IF(N(Items!L215)&gt;0,"Y","N"))</f>
        <v/>
      </c>
      <c r="AG215" s="19">
        <f>IF($A215="","",IF($AF215="Y",N(Items!L215)*$AD215,0))</f>
        <v/>
      </c>
      <c r="AH215" s="19">
        <f>IF($A215="","",IF($AF215="Y",(N(Items!L215)-N(Items!K215))*$AD215,0))</f>
        <v/>
      </c>
      <c r="AI215" s="19">
        <f>IF($A215="","",IF($AF215="Y",$AH215-$AE215,0))</f>
        <v/>
      </c>
      <c r="AJ215" s="10">
        <f>IF($A215="","",IF(COUNTIF($AL$5:$AL$254,$AL215)&gt;1,"CHECK: duplicate item and import country",IF(TRIM(CLEAN(SUBSTITUTE(Items!C215&amp;""," "," ")))="","CHECK: import country missing",IF(AND(UPPER(TRIM(CLEAN(SUBSTITUTE(Items!C215&amp;""," "," "))))&lt;&gt;"US",UPPER(TRIM(CLEAN(SUBSTITUTE(Items!C215&amp;""," "," "))))&lt;&gt;"CA",UPPER(TRIM(CLEAN(SUBSTITUTE(Items!C215&amp;""," "," "))))&lt;&gt;"MX"),"CHECK: import country must be US, CA or MX",IF(NOT(AND(LEN($C215)=10,IFERROR(TEXT(VALUE($C215),REPT("0",LEN($C215)))=$C215,FALSE))),"CHECK: HTS must be 10 digits",IF(LEN($E215)&lt;&gt;2,"CHECK: origin code missing or not 2 letters",IF(TRIM(CLEAN(SUBSTITUTE(Items!G215&amp;""," "," ")))="","CHECK: unit of measure missing",IF(OR(Items!H215="",Items!J215="",Items!K215=""),"CHECK: value, rate or cost missing",IF(OR(NOT(ISNUMBER(Items!H215)),NOT(ISNUMBER(Items!J215)),NOT(ISNUMBER(Items!K215)),AND(Items!I215&lt;&gt;"",NOT(ISNUMBER(Items!I215))),AND(Items!L215&lt;&gt;"",NOT(ISNUMBER(Items!L215))),AND(Items!M215&lt;&gt;"",NOT(ISNUMBER(Items!M215)))),"CHECK: text in a number column",IF(AND(ISNUMBER(Items!M215),OR(N(Items!M215)&lt;0,N(Items!M215)&gt;1)),"CHECK: dutiable share must be 0% to 100%",IF(AND(UPPER(TRIM(CLEAN(SUBSTITUTE(Items!F215&amp;""," "," "))))&lt;&gt;"",UPPER(TRIM(CLEAN(SUBSTITUTE(Items!F215&amp;""," "," "))))&lt;&gt;"Y",UPPER(TRIM(CLEAN(SUBSTITUTE(Items!F215&amp;""," "," "))))&lt;&gt;"N"),"CHECK: USMCA flag must be Y, N or blank",IF(AND(UPPER(TRIM(CLEAN(SUBSTITUTE(Items!F215&amp;""," "," "))))="Y",$E215&lt;&gt;"US",$E215&lt;&gt;"CA",$E215&lt;&gt;"MX"),"CHECK: USMCA flag on an origin other than US, CA or MX",IF(AND($L215="Y",$AO215=0,NOT(ISNUMBER(act_Rate))),"CHECK: in scope but no rate (add a rate line or B15)",IF(AND($L215="Y",UPPER(TRIM(CLEAN(SUBSTITUTE(act_RateType&amp;""," "," "))))="REPLACE",NOT(ISNUMBER(act_PriorRate)),IF($AO215=0,TRUE,NOT(ISNUMBER(INDEX(rate_Prior,MOD($AO215,100)))))),"CHECK: REPLACE but no earlier rate (B17 or the rate line's AD)",IF(AND($L215="Y",$AP215&gt;1),"CHECK: two rate lines match equally",IF(AND($L215="Y",$AN215&gt;1),"CHECK: HTS prefix listed twice on the scope list",IF(AND($L215="Y",$P215="PART",NOT(ISNUMBER(Items!M215))),"CHECK: dutiable share missing (PART base)",IF(AND($L215="Y",$P215="FULL",ISNUMBER(Items!M215),N(Items!M215)&lt;&gt;1),"CHECK: dutiable share entered, but the rate taxes the full value",IF(AND($L215="Y",$Q215+0.0000001&lt;$T215*$S215+$U215),"CHECK: current rate is below the duty being replaced or displaced",IF(AND($L215="Y",$AD215=0),"NOTE: in scope, no quantity",IF(AND($L215="Y",$AF215="N"),"NOTE: in scope, no sell price (left out of margin %)",IF(AND($L215="Y",N(Items!H215)&gt;N(Items!K215)),"NOTE: customs value above standard cost (check unit of measure)",IF(AND($L215="Y",$Q215&gt;1),"NOTE: current rate above 100% (check it was entered as a percentage)","OK")))))))))))))))))))))))</f>
        <v/>
      </c>
      <c r="AK215" s="20">
        <f>IF($A215="","",IF(AND($L215="Y",$AE215&lt;&gt;0),ABS($AE215)+ROW()/1000000000,""))</f>
        <v/>
      </c>
      <c r="AL215" s="10">
        <f>IF($A215="","",UPPER($A215)&amp;"/"&amp;UPPER(TRIM(CLEAN(SUBSTITUTE(Items!C215&amp;""," "," ")))))</f>
        <v/>
      </c>
      <c r="AM215" s="13">
        <f>IF($A215="",0,SUMPRODUCT(MAX((scope_HTS&lt;&gt;"")*(LEFT($C215,LEN(scope_HTS))=scope_HTS)*(LEN(scope_HTS)*1000+ROW(scope_HTS)-4))))</f>
        <v/>
      </c>
      <c r="AN215" s="13">
        <f>IF($AM215=0,0,SUMPRODUCT((scope_HTS&lt;&gt;"")*(LEFT($C215,LEN(scope_HTS))=scope_HTS)*(LEN(scope_HTS)=INT($AM215/1000))))</f>
        <v/>
      </c>
      <c r="AO215" s="13">
        <f>IF($L215&lt;&gt;"Y",0,SUMPRODUCT(MAX(ISNUMBER(rate_Rate)*((UPPER(TRIM(CLEAN(SUBSTITUTE(rate_Group&amp;""," "," "))))="")+(UPPER(TRIM(CLEAN(SUBSTITUTE(rate_Group&amp;""," "," "))))=$N215)&gt;0)*((UPPER(TRIM(CLEAN(SUBSTITUTE(rate_COO&amp;""," "," "))))="")+(UPPER(TRIM(CLEAN(SUBSTITUTE(rate_COO&amp;""," "," "))))=$E215)&gt;0)*((UPPER(TRIM(CLEAN(SUBSTITUTE(rate_USMCA&amp;""," "," "))))="")+(UPPER(TRIM(CLEAN(SUBSTITUTE(rate_USMCA&amp;""," "," "))))=IF(UPPER(TRIM(CLEAN(SUBSTITUTE(Items!F215&amp;""," "," "))))="Y","Y","N"))&gt;0)*((1+(UPPER(TRIM(CLEAN(SUBSTITUTE(rate_Group&amp;""," "," "))))&lt;&gt;"")+2*(UPPER(TRIM(CLEAN(SUBSTITUTE(rate_USMCA&amp;""," "," "))))&lt;&gt;"")+4*(UPPER(TRIM(CLEAN(SUBSTITUTE(rate_COO&amp;""," "," "))))&lt;&gt;""))*100+ROW(rate_Rate)-4))))</f>
        <v/>
      </c>
      <c r="AP215" s="13">
        <f>IF($AO215=0,0,SUMPRODUCT(ISNUMBER(rate_Rate)*((UPPER(TRIM(CLEAN(SUBSTITUTE(rate_Group&amp;""," "," "))))="")+(UPPER(TRIM(CLEAN(SUBSTITUTE(rate_Group&amp;""," "," "))))=$N215)&gt;0)*((UPPER(TRIM(CLEAN(SUBSTITUTE(rate_COO&amp;""," "," "))))="")+(UPPER(TRIM(CLEAN(SUBSTITUTE(rate_COO&amp;""," "," "))))=$E215)&gt;0)*((UPPER(TRIM(CLEAN(SUBSTITUTE(rate_USMCA&amp;""," "," "))))="")+(UPPER(TRIM(CLEAN(SUBSTITUTE(rate_USMCA&amp;""," "," "))))=IF(UPPER(TRIM(CLEAN(SUBSTITUTE(Items!F215&amp;""," "," "))))="Y","Y","N"))&gt;0)*((1+(UPPER(TRIM(CLEAN(SUBSTITUTE(rate_Group&amp;""," "," "))))&lt;&gt;"")+2*(UPPER(TRIM(CLEAN(SUBSTITUTE(rate_USMCA&amp;""," "," "))))&lt;&gt;"")+4*(UPPER(TRIM(CLEAN(SUBSTITUTE(rate_COO&amp;""," "," "))))&lt;&gt;""))=INT($AO215/100))))</f>
        <v/>
      </c>
      <c r="AQ215" s="13">
        <f>IF($A215="",0,IFERROR(MATCH($AL215,det_Key,0),0))</f>
        <v/>
      </c>
    </row>
    <row r="216">
      <c r="A216" s="10">
        <f>IF(TRIM(CLEAN(SUBSTITUTE(Items!A216&amp;""," "," ")))="","",TRIM(CLEAN(SUBSTITUTE(Items!A216&amp;""," "," "))))</f>
        <v/>
      </c>
      <c r="B216" s="10">
        <f>IF($A216="","",Items!B216&amp;"")</f>
        <v/>
      </c>
      <c r="C216" s="10">
        <f>IF($A216="","",SUBSTITUTE(SUBSTITUTE(SUBSTITUTE(SUBSTITUTE(CLEAN(Items!D216&amp;"")," ",""),".","")," ",""),"-",""))</f>
        <v/>
      </c>
      <c r="D216" s="10">
        <f>IF($A216="","",LEFT($C216,2))</f>
        <v/>
      </c>
      <c r="E216" s="10">
        <f>IF($A216="","",UPPER(TRIM(CLEAN(SUBSTITUTE(Items!E216&amp;""," "," ")))))</f>
        <v/>
      </c>
      <c r="F216" s="10">
        <f>IF($A216="","",IF(UPPER(TRIM(CLEAN(SUBSTITUTE(Items!C216&amp;""," "," "))))=UPPER(TRIM(CLEAN(SUBSTITUTE(act_Country&amp;""," "," ")))),"Y","N"))</f>
        <v/>
      </c>
      <c r="G216" s="10">
        <f>IF($A216="","",IF($AM216&gt;0,"Y","N"))</f>
        <v/>
      </c>
      <c r="H216" s="10">
        <f>IF($A216="","",IF(SUMPRODUCT((excl_HTS&lt;&gt;"")*(LEFT($C216,LEN(excl_HTS))=excl_HTS))&gt;0,"Y","N"))</f>
        <v/>
      </c>
      <c r="I216" s="10">
        <f>IF($A216="","",IF($E216="","N",IF(SUMPRODUCT(--(UPPER(TRIM(CLEAN(SUBSTITUTE(scope_COO&amp;""," "," "))))=$E216))&gt;0,"Y","N")))</f>
        <v/>
      </c>
      <c r="J216" s="10">
        <f>IF($A216="","",IF(AND(UPPER(TRIM(CLEAN(SUBSTITUTE(act_USMCAExempt&amp;""," "," "))))="Y",UPPER(TRIM(CLEAN(SUBSTITUTE(Items!F216&amp;""," "," "))))="Y"),"Y","N"))</f>
        <v/>
      </c>
      <c r="K216" s="10">
        <f>IF($A216="","",IF($AQ216=0,"",UPPER(TRIM(CLEAN(SUBSTITUTE(INDEX(det_Status,$AQ216)&amp;""," "," "))))))</f>
        <v/>
      </c>
      <c r="L216" s="10">
        <f>IF($A216="","",IF($F216="N","N",IF($K216="IN","Y",IF($K216="OUT","N",IF(AND($G216="Y",$H216="N",$I216="Y",$J216="N"),"Y","N")))))</f>
        <v/>
      </c>
      <c r="M216" s="10">
        <f>IF($A216="","",IF($F216="N","Out: different import country",IF($K216="IN","In: Research determination",IF($K216="OUT","Out: Research determination",IF($G216="N","Out: HTS not on scope list",IF($H216="Y","Out: HTS on exclusion list",IF($I216="N","Out: origin not on scope list",IF($J216="Y","Out: USMCA-qualifying, exempt","In: matches scope rules"))))))))</f>
        <v/>
      </c>
      <c r="N216" s="10">
        <f>IF(OR($A216="",$AM216=0),"",UPPER(TRIM(CLEAN(SUBSTITUTE(INDEX(scope_Group,MOD($AM216,1000))&amp;""," "," ")))))</f>
        <v/>
      </c>
      <c r="O216" s="10">
        <f>IF($L216&lt;&gt;"Y","",IF($AO216=0,"Default (B15)",UPPER(TRIM(CLEAN(SUBSTITUTE(INDEX(rate_ID,MOD($AO216,100))&amp;""," "," "))))))</f>
        <v/>
      </c>
      <c r="P216" s="10">
        <f>IF($L216&lt;&gt;"Y","",IF($AO216=0,IF(UPPER(TRIM(CLEAN(SUBSTITUTE(act_DefaultBase&amp;""," "," "))))="PART","PART","FULL"),IF(UPPER(TRIM(CLEAN(SUBSTITUTE(INDEX(rate_Base,MOD($AO216,100))&amp;""," "," "))))="PART","PART","FULL")))</f>
        <v/>
      </c>
      <c r="Q216" s="17">
        <f>IF($A216="","",N(Items!J216))</f>
        <v/>
      </c>
      <c r="R216" s="17">
        <f>IF($A216="","",IF($L216&lt;&gt;"Y",0,IF($AO216=0,N(act_Rate),N(INDEX(rate_Rate,MOD($AO216,100))))))</f>
        <v/>
      </c>
      <c r="S216" s="17">
        <f>IF($A216="","",IF($L216&lt;&gt;"Y",0,IF($AO216=0,IF(UPPER(TRIM(CLEAN(SUBSTITUTE(act_RateType&amp;""," "," "))))="REPLACE",N(act_PriorRate),0),IF(ISNUMBER(INDEX(rate_Prior,MOD($AO216,100))),INDEX(rate_Prior,MOD($AO216,100)),IF(UPPER(TRIM(CLEAN(SUBSTITUTE(act_RateType&amp;""," "," "))))="REPLACE",N(act_PriorRate),0)))))</f>
        <v/>
      </c>
      <c r="T216" s="17">
        <f>IF($A216="","",IF(AND($L216="Y",$P216="PART",ISNUMBER(Items!M216)),Items!M216,1))</f>
        <v/>
      </c>
      <c r="U216" s="17">
        <f>IF($A216="","",IF($L216&lt;&gt;"Y",0,IF($AQ216&gt;0,IF(ISNUMBER(INDEX(det_Displaced,$AQ216)),INDEX(det_Displaced,$AQ216),IF($AO216=0,0,N(INDEX(rate_Displaced,MOD($AO216,100))))),IF($AO216=0,0,N(INDEX(rate_Displaced,MOD($AO216,100)))))))</f>
        <v/>
      </c>
      <c r="V216" s="17">
        <f>IF($A216="","",IF($L216="Y",$Q216+$T216*($R216-$S216)-$U216,$Q216))</f>
        <v/>
      </c>
      <c r="W216" s="18">
        <f>IF($A216="","",N(Items!H216)*$Q216)</f>
        <v/>
      </c>
      <c r="X216" s="18">
        <f>IF($A216="","",N(Items!H216)*$V216)</f>
        <v/>
      </c>
      <c r="Y216" s="18">
        <f>IF($A216="","",$X216-$W216)</f>
        <v/>
      </c>
      <c r="Z216" s="18">
        <f>IF($A216="","",N(Items!K216)+$Y216)</f>
        <v/>
      </c>
      <c r="AA216" s="17">
        <f>IF($A216="","",IF(N(Items!L216)=0,"",(N(Items!L216)-N(Items!K216))/N(Items!L216)))</f>
        <v/>
      </c>
      <c r="AB216" s="17">
        <f>IF($A216="","",IF(N(Items!L216)=0,"",(N(Items!L216)-$Z216)/N(Items!L216)))</f>
        <v/>
      </c>
      <c r="AC216" s="17">
        <f>IF(OR($AA216="",$AB216=""),"",$AB216-$AA216)</f>
        <v/>
      </c>
      <c r="AD216" s="13">
        <f>IF($A216="","",N(Items!I216))</f>
        <v/>
      </c>
      <c r="AE216" s="19">
        <f>IF($A216="","",$Y216*$AD216)</f>
        <v/>
      </c>
      <c r="AF216" s="10">
        <f>IF($A216="","",IF(N(Items!L216)&gt;0,"Y","N"))</f>
        <v/>
      </c>
      <c r="AG216" s="19">
        <f>IF($A216="","",IF($AF216="Y",N(Items!L216)*$AD216,0))</f>
        <v/>
      </c>
      <c r="AH216" s="19">
        <f>IF($A216="","",IF($AF216="Y",(N(Items!L216)-N(Items!K216))*$AD216,0))</f>
        <v/>
      </c>
      <c r="AI216" s="19">
        <f>IF($A216="","",IF($AF216="Y",$AH216-$AE216,0))</f>
        <v/>
      </c>
      <c r="AJ216" s="10">
        <f>IF($A216="","",IF(COUNTIF($AL$5:$AL$254,$AL216)&gt;1,"CHECK: duplicate item and import country",IF(TRIM(CLEAN(SUBSTITUTE(Items!C216&amp;""," "," ")))="","CHECK: import country missing",IF(AND(UPPER(TRIM(CLEAN(SUBSTITUTE(Items!C216&amp;""," "," "))))&lt;&gt;"US",UPPER(TRIM(CLEAN(SUBSTITUTE(Items!C216&amp;""," "," "))))&lt;&gt;"CA",UPPER(TRIM(CLEAN(SUBSTITUTE(Items!C216&amp;""," "," "))))&lt;&gt;"MX"),"CHECK: import country must be US, CA or MX",IF(NOT(AND(LEN($C216)=10,IFERROR(TEXT(VALUE($C216),REPT("0",LEN($C216)))=$C216,FALSE))),"CHECK: HTS must be 10 digits",IF(LEN($E216)&lt;&gt;2,"CHECK: origin code missing or not 2 letters",IF(TRIM(CLEAN(SUBSTITUTE(Items!G216&amp;""," "," ")))="","CHECK: unit of measure missing",IF(OR(Items!H216="",Items!J216="",Items!K216=""),"CHECK: value, rate or cost missing",IF(OR(NOT(ISNUMBER(Items!H216)),NOT(ISNUMBER(Items!J216)),NOT(ISNUMBER(Items!K216)),AND(Items!I216&lt;&gt;"",NOT(ISNUMBER(Items!I216))),AND(Items!L216&lt;&gt;"",NOT(ISNUMBER(Items!L216))),AND(Items!M216&lt;&gt;"",NOT(ISNUMBER(Items!M216)))),"CHECK: text in a number column",IF(AND(ISNUMBER(Items!M216),OR(N(Items!M216)&lt;0,N(Items!M216)&gt;1)),"CHECK: dutiable share must be 0% to 100%",IF(AND(UPPER(TRIM(CLEAN(SUBSTITUTE(Items!F216&amp;""," "," "))))&lt;&gt;"",UPPER(TRIM(CLEAN(SUBSTITUTE(Items!F216&amp;""," "," "))))&lt;&gt;"Y",UPPER(TRIM(CLEAN(SUBSTITUTE(Items!F216&amp;""," "," "))))&lt;&gt;"N"),"CHECK: USMCA flag must be Y, N or blank",IF(AND(UPPER(TRIM(CLEAN(SUBSTITUTE(Items!F216&amp;""," "," "))))="Y",$E216&lt;&gt;"US",$E216&lt;&gt;"CA",$E216&lt;&gt;"MX"),"CHECK: USMCA flag on an origin other than US, CA or MX",IF(AND($L216="Y",$AO216=0,NOT(ISNUMBER(act_Rate))),"CHECK: in scope but no rate (add a rate line or B15)",IF(AND($L216="Y",UPPER(TRIM(CLEAN(SUBSTITUTE(act_RateType&amp;""," "," "))))="REPLACE",NOT(ISNUMBER(act_PriorRate)),IF($AO216=0,TRUE,NOT(ISNUMBER(INDEX(rate_Prior,MOD($AO216,100)))))),"CHECK: REPLACE but no earlier rate (B17 or the rate line's AD)",IF(AND($L216="Y",$AP216&gt;1),"CHECK: two rate lines match equally",IF(AND($L216="Y",$AN216&gt;1),"CHECK: HTS prefix listed twice on the scope list",IF(AND($L216="Y",$P216="PART",NOT(ISNUMBER(Items!M216))),"CHECK: dutiable share missing (PART base)",IF(AND($L216="Y",$P216="FULL",ISNUMBER(Items!M216),N(Items!M216)&lt;&gt;1),"CHECK: dutiable share entered, but the rate taxes the full value",IF(AND($L216="Y",$Q216+0.0000001&lt;$T216*$S216+$U216),"CHECK: current rate is below the duty being replaced or displaced",IF(AND($L216="Y",$AD216=0),"NOTE: in scope, no quantity",IF(AND($L216="Y",$AF216="N"),"NOTE: in scope, no sell price (left out of margin %)",IF(AND($L216="Y",N(Items!H216)&gt;N(Items!K216)),"NOTE: customs value above standard cost (check unit of measure)",IF(AND($L216="Y",$Q216&gt;1),"NOTE: current rate above 100% (check it was entered as a percentage)","OK")))))))))))))))))))))))</f>
        <v/>
      </c>
      <c r="AK216" s="20">
        <f>IF($A216="","",IF(AND($L216="Y",$AE216&lt;&gt;0),ABS($AE216)+ROW()/1000000000,""))</f>
        <v/>
      </c>
      <c r="AL216" s="10">
        <f>IF($A216="","",UPPER($A216)&amp;"/"&amp;UPPER(TRIM(CLEAN(SUBSTITUTE(Items!C216&amp;""," "," ")))))</f>
        <v/>
      </c>
      <c r="AM216" s="13">
        <f>IF($A216="",0,SUMPRODUCT(MAX((scope_HTS&lt;&gt;"")*(LEFT($C216,LEN(scope_HTS))=scope_HTS)*(LEN(scope_HTS)*1000+ROW(scope_HTS)-4))))</f>
        <v/>
      </c>
      <c r="AN216" s="13">
        <f>IF($AM216=0,0,SUMPRODUCT((scope_HTS&lt;&gt;"")*(LEFT($C216,LEN(scope_HTS))=scope_HTS)*(LEN(scope_HTS)=INT($AM216/1000))))</f>
        <v/>
      </c>
      <c r="AO216" s="13">
        <f>IF($L216&lt;&gt;"Y",0,SUMPRODUCT(MAX(ISNUMBER(rate_Rate)*((UPPER(TRIM(CLEAN(SUBSTITUTE(rate_Group&amp;""," "," "))))="")+(UPPER(TRIM(CLEAN(SUBSTITUTE(rate_Group&amp;""," "," "))))=$N216)&gt;0)*((UPPER(TRIM(CLEAN(SUBSTITUTE(rate_COO&amp;""," "," "))))="")+(UPPER(TRIM(CLEAN(SUBSTITUTE(rate_COO&amp;""," "," "))))=$E216)&gt;0)*((UPPER(TRIM(CLEAN(SUBSTITUTE(rate_USMCA&amp;""," "," "))))="")+(UPPER(TRIM(CLEAN(SUBSTITUTE(rate_USMCA&amp;""," "," "))))=IF(UPPER(TRIM(CLEAN(SUBSTITUTE(Items!F216&amp;""," "," "))))="Y","Y","N"))&gt;0)*((1+(UPPER(TRIM(CLEAN(SUBSTITUTE(rate_Group&amp;""," "," "))))&lt;&gt;"")+2*(UPPER(TRIM(CLEAN(SUBSTITUTE(rate_USMCA&amp;""," "," "))))&lt;&gt;"")+4*(UPPER(TRIM(CLEAN(SUBSTITUTE(rate_COO&amp;""," "," "))))&lt;&gt;""))*100+ROW(rate_Rate)-4))))</f>
        <v/>
      </c>
      <c r="AP216" s="13">
        <f>IF($AO216=0,0,SUMPRODUCT(ISNUMBER(rate_Rate)*((UPPER(TRIM(CLEAN(SUBSTITUTE(rate_Group&amp;""," "," "))))="")+(UPPER(TRIM(CLEAN(SUBSTITUTE(rate_Group&amp;""," "," "))))=$N216)&gt;0)*((UPPER(TRIM(CLEAN(SUBSTITUTE(rate_COO&amp;""," "," "))))="")+(UPPER(TRIM(CLEAN(SUBSTITUTE(rate_COO&amp;""," "," "))))=$E216)&gt;0)*((UPPER(TRIM(CLEAN(SUBSTITUTE(rate_USMCA&amp;""," "," "))))="")+(UPPER(TRIM(CLEAN(SUBSTITUTE(rate_USMCA&amp;""," "," "))))=IF(UPPER(TRIM(CLEAN(SUBSTITUTE(Items!F216&amp;""," "," "))))="Y","Y","N"))&gt;0)*((1+(UPPER(TRIM(CLEAN(SUBSTITUTE(rate_Group&amp;""," "," "))))&lt;&gt;"")+2*(UPPER(TRIM(CLEAN(SUBSTITUTE(rate_USMCA&amp;""," "," "))))&lt;&gt;"")+4*(UPPER(TRIM(CLEAN(SUBSTITUTE(rate_COO&amp;""," "," "))))&lt;&gt;""))=INT($AO216/100))))</f>
        <v/>
      </c>
      <c r="AQ216" s="13">
        <f>IF($A216="",0,IFERROR(MATCH($AL216,det_Key,0),0))</f>
        <v/>
      </c>
    </row>
    <row r="217">
      <c r="A217" s="10">
        <f>IF(TRIM(CLEAN(SUBSTITUTE(Items!A217&amp;""," "," ")))="","",TRIM(CLEAN(SUBSTITUTE(Items!A217&amp;""," "," "))))</f>
        <v/>
      </c>
      <c r="B217" s="10">
        <f>IF($A217="","",Items!B217&amp;"")</f>
        <v/>
      </c>
      <c r="C217" s="10">
        <f>IF($A217="","",SUBSTITUTE(SUBSTITUTE(SUBSTITUTE(SUBSTITUTE(CLEAN(Items!D217&amp;"")," ",""),".","")," ",""),"-",""))</f>
        <v/>
      </c>
      <c r="D217" s="10">
        <f>IF($A217="","",LEFT($C217,2))</f>
        <v/>
      </c>
      <c r="E217" s="10">
        <f>IF($A217="","",UPPER(TRIM(CLEAN(SUBSTITUTE(Items!E217&amp;""," "," ")))))</f>
        <v/>
      </c>
      <c r="F217" s="10">
        <f>IF($A217="","",IF(UPPER(TRIM(CLEAN(SUBSTITUTE(Items!C217&amp;""," "," "))))=UPPER(TRIM(CLEAN(SUBSTITUTE(act_Country&amp;""," "," ")))),"Y","N"))</f>
        <v/>
      </c>
      <c r="G217" s="10">
        <f>IF($A217="","",IF($AM217&gt;0,"Y","N"))</f>
        <v/>
      </c>
      <c r="H217" s="10">
        <f>IF($A217="","",IF(SUMPRODUCT((excl_HTS&lt;&gt;"")*(LEFT($C217,LEN(excl_HTS))=excl_HTS))&gt;0,"Y","N"))</f>
        <v/>
      </c>
      <c r="I217" s="10">
        <f>IF($A217="","",IF($E217="","N",IF(SUMPRODUCT(--(UPPER(TRIM(CLEAN(SUBSTITUTE(scope_COO&amp;""," "," "))))=$E217))&gt;0,"Y","N")))</f>
        <v/>
      </c>
      <c r="J217" s="10">
        <f>IF($A217="","",IF(AND(UPPER(TRIM(CLEAN(SUBSTITUTE(act_USMCAExempt&amp;""," "," "))))="Y",UPPER(TRIM(CLEAN(SUBSTITUTE(Items!F217&amp;""," "," "))))="Y"),"Y","N"))</f>
        <v/>
      </c>
      <c r="K217" s="10">
        <f>IF($A217="","",IF($AQ217=0,"",UPPER(TRIM(CLEAN(SUBSTITUTE(INDEX(det_Status,$AQ217)&amp;""," "," "))))))</f>
        <v/>
      </c>
      <c r="L217" s="10">
        <f>IF($A217="","",IF($F217="N","N",IF($K217="IN","Y",IF($K217="OUT","N",IF(AND($G217="Y",$H217="N",$I217="Y",$J217="N"),"Y","N")))))</f>
        <v/>
      </c>
      <c r="M217" s="10">
        <f>IF($A217="","",IF($F217="N","Out: different import country",IF($K217="IN","In: Research determination",IF($K217="OUT","Out: Research determination",IF($G217="N","Out: HTS not on scope list",IF($H217="Y","Out: HTS on exclusion list",IF($I217="N","Out: origin not on scope list",IF($J217="Y","Out: USMCA-qualifying, exempt","In: matches scope rules"))))))))</f>
        <v/>
      </c>
      <c r="N217" s="10">
        <f>IF(OR($A217="",$AM217=0),"",UPPER(TRIM(CLEAN(SUBSTITUTE(INDEX(scope_Group,MOD($AM217,1000))&amp;""," "," ")))))</f>
        <v/>
      </c>
      <c r="O217" s="10">
        <f>IF($L217&lt;&gt;"Y","",IF($AO217=0,"Default (B15)",UPPER(TRIM(CLEAN(SUBSTITUTE(INDEX(rate_ID,MOD($AO217,100))&amp;""," "," "))))))</f>
        <v/>
      </c>
      <c r="P217" s="10">
        <f>IF($L217&lt;&gt;"Y","",IF($AO217=0,IF(UPPER(TRIM(CLEAN(SUBSTITUTE(act_DefaultBase&amp;""," "," "))))="PART","PART","FULL"),IF(UPPER(TRIM(CLEAN(SUBSTITUTE(INDEX(rate_Base,MOD($AO217,100))&amp;""," "," "))))="PART","PART","FULL")))</f>
        <v/>
      </c>
      <c r="Q217" s="17">
        <f>IF($A217="","",N(Items!J217))</f>
        <v/>
      </c>
      <c r="R217" s="17">
        <f>IF($A217="","",IF($L217&lt;&gt;"Y",0,IF($AO217=0,N(act_Rate),N(INDEX(rate_Rate,MOD($AO217,100))))))</f>
        <v/>
      </c>
      <c r="S217" s="17">
        <f>IF($A217="","",IF($L217&lt;&gt;"Y",0,IF($AO217=0,IF(UPPER(TRIM(CLEAN(SUBSTITUTE(act_RateType&amp;""," "," "))))="REPLACE",N(act_PriorRate),0),IF(ISNUMBER(INDEX(rate_Prior,MOD($AO217,100))),INDEX(rate_Prior,MOD($AO217,100)),IF(UPPER(TRIM(CLEAN(SUBSTITUTE(act_RateType&amp;""," "," "))))="REPLACE",N(act_PriorRate),0)))))</f>
        <v/>
      </c>
      <c r="T217" s="17">
        <f>IF($A217="","",IF(AND($L217="Y",$P217="PART",ISNUMBER(Items!M217)),Items!M217,1))</f>
        <v/>
      </c>
      <c r="U217" s="17">
        <f>IF($A217="","",IF($L217&lt;&gt;"Y",0,IF($AQ217&gt;0,IF(ISNUMBER(INDEX(det_Displaced,$AQ217)),INDEX(det_Displaced,$AQ217),IF($AO217=0,0,N(INDEX(rate_Displaced,MOD($AO217,100))))),IF($AO217=0,0,N(INDEX(rate_Displaced,MOD($AO217,100)))))))</f>
        <v/>
      </c>
      <c r="V217" s="17">
        <f>IF($A217="","",IF($L217="Y",$Q217+$T217*($R217-$S217)-$U217,$Q217))</f>
        <v/>
      </c>
      <c r="W217" s="18">
        <f>IF($A217="","",N(Items!H217)*$Q217)</f>
        <v/>
      </c>
      <c r="X217" s="18">
        <f>IF($A217="","",N(Items!H217)*$V217)</f>
        <v/>
      </c>
      <c r="Y217" s="18">
        <f>IF($A217="","",$X217-$W217)</f>
        <v/>
      </c>
      <c r="Z217" s="18">
        <f>IF($A217="","",N(Items!K217)+$Y217)</f>
        <v/>
      </c>
      <c r="AA217" s="17">
        <f>IF($A217="","",IF(N(Items!L217)=0,"",(N(Items!L217)-N(Items!K217))/N(Items!L217)))</f>
        <v/>
      </c>
      <c r="AB217" s="17">
        <f>IF($A217="","",IF(N(Items!L217)=0,"",(N(Items!L217)-$Z217)/N(Items!L217)))</f>
        <v/>
      </c>
      <c r="AC217" s="17">
        <f>IF(OR($AA217="",$AB217=""),"",$AB217-$AA217)</f>
        <v/>
      </c>
      <c r="AD217" s="13">
        <f>IF($A217="","",N(Items!I217))</f>
        <v/>
      </c>
      <c r="AE217" s="19">
        <f>IF($A217="","",$Y217*$AD217)</f>
        <v/>
      </c>
      <c r="AF217" s="10">
        <f>IF($A217="","",IF(N(Items!L217)&gt;0,"Y","N"))</f>
        <v/>
      </c>
      <c r="AG217" s="19">
        <f>IF($A217="","",IF($AF217="Y",N(Items!L217)*$AD217,0))</f>
        <v/>
      </c>
      <c r="AH217" s="19">
        <f>IF($A217="","",IF($AF217="Y",(N(Items!L217)-N(Items!K217))*$AD217,0))</f>
        <v/>
      </c>
      <c r="AI217" s="19">
        <f>IF($A217="","",IF($AF217="Y",$AH217-$AE217,0))</f>
        <v/>
      </c>
      <c r="AJ217" s="10">
        <f>IF($A217="","",IF(COUNTIF($AL$5:$AL$254,$AL217)&gt;1,"CHECK: duplicate item and import country",IF(TRIM(CLEAN(SUBSTITUTE(Items!C217&amp;""," "," ")))="","CHECK: import country missing",IF(AND(UPPER(TRIM(CLEAN(SUBSTITUTE(Items!C217&amp;""," "," "))))&lt;&gt;"US",UPPER(TRIM(CLEAN(SUBSTITUTE(Items!C217&amp;""," "," "))))&lt;&gt;"CA",UPPER(TRIM(CLEAN(SUBSTITUTE(Items!C217&amp;""," "," "))))&lt;&gt;"MX"),"CHECK: import country must be US, CA or MX",IF(NOT(AND(LEN($C217)=10,IFERROR(TEXT(VALUE($C217),REPT("0",LEN($C217)))=$C217,FALSE))),"CHECK: HTS must be 10 digits",IF(LEN($E217)&lt;&gt;2,"CHECK: origin code missing or not 2 letters",IF(TRIM(CLEAN(SUBSTITUTE(Items!G217&amp;""," "," ")))="","CHECK: unit of measure missing",IF(OR(Items!H217="",Items!J217="",Items!K217=""),"CHECK: value, rate or cost missing",IF(OR(NOT(ISNUMBER(Items!H217)),NOT(ISNUMBER(Items!J217)),NOT(ISNUMBER(Items!K217)),AND(Items!I217&lt;&gt;"",NOT(ISNUMBER(Items!I217))),AND(Items!L217&lt;&gt;"",NOT(ISNUMBER(Items!L217))),AND(Items!M217&lt;&gt;"",NOT(ISNUMBER(Items!M217)))),"CHECK: text in a number column",IF(AND(ISNUMBER(Items!M217),OR(N(Items!M217)&lt;0,N(Items!M217)&gt;1)),"CHECK: dutiable share must be 0% to 100%",IF(AND(UPPER(TRIM(CLEAN(SUBSTITUTE(Items!F217&amp;""," "," "))))&lt;&gt;"",UPPER(TRIM(CLEAN(SUBSTITUTE(Items!F217&amp;""," "," "))))&lt;&gt;"Y",UPPER(TRIM(CLEAN(SUBSTITUTE(Items!F217&amp;""," "," "))))&lt;&gt;"N"),"CHECK: USMCA flag must be Y, N or blank",IF(AND(UPPER(TRIM(CLEAN(SUBSTITUTE(Items!F217&amp;""," "," "))))="Y",$E217&lt;&gt;"US",$E217&lt;&gt;"CA",$E217&lt;&gt;"MX"),"CHECK: USMCA flag on an origin other than US, CA or MX",IF(AND($L217="Y",$AO217=0,NOT(ISNUMBER(act_Rate))),"CHECK: in scope but no rate (add a rate line or B15)",IF(AND($L217="Y",UPPER(TRIM(CLEAN(SUBSTITUTE(act_RateType&amp;""," "," "))))="REPLACE",NOT(ISNUMBER(act_PriorRate)),IF($AO217=0,TRUE,NOT(ISNUMBER(INDEX(rate_Prior,MOD($AO217,100)))))),"CHECK: REPLACE but no earlier rate (B17 or the rate line's AD)",IF(AND($L217="Y",$AP217&gt;1),"CHECK: two rate lines match equally",IF(AND($L217="Y",$AN217&gt;1),"CHECK: HTS prefix listed twice on the scope list",IF(AND($L217="Y",$P217="PART",NOT(ISNUMBER(Items!M217))),"CHECK: dutiable share missing (PART base)",IF(AND($L217="Y",$P217="FULL",ISNUMBER(Items!M217),N(Items!M217)&lt;&gt;1),"CHECK: dutiable share entered, but the rate taxes the full value",IF(AND($L217="Y",$Q217+0.0000001&lt;$T217*$S217+$U217),"CHECK: current rate is below the duty being replaced or displaced",IF(AND($L217="Y",$AD217=0),"NOTE: in scope, no quantity",IF(AND($L217="Y",$AF217="N"),"NOTE: in scope, no sell price (left out of margin %)",IF(AND($L217="Y",N(Items!H217)&gt;N(Items!K217)),"NOTE: customs value above standard cost (check unit of measure)",IF(AND($L217="Y",$Q217&gt;1),"NOTE: current rate above 100% (check it was entered as a percentage)","OK")))))))))))))))))))))))</f>
        <v/>
      </c>
      <c r="AK217" s="20">
        <f>IF($A217="","",IF(AND($L217="Y",$AE217&lt;&gt;0),ABS($AE217)+ROW()/1000000000,""))</f>
        <v/>
      </c>
      <c r="AL217" s="10">
        <f>IF($A217="","",UPPER($A217)&amp;"/"&amp;UPPER(TRIM(CLEAN(SUBSTITUTE(Items!C217&amp;""," "," ")))))</f>
        <v/>
      </c>
      <c r="AM217" s="13">
        <f>IF($A217="",0,SUMPRODUCT(MAX((scope_HTS&lt;&gt;"")*(LEFT($C217,LEN(scope_HTS))=scope_HTS)*(LEN(scope_HTS)*1000+ROW(scope_HTS)-4))))</f>
        <v/>
      </c>
      <c r="AN217" s="13">
        <f>IF($AM217=0,0,SUMPRODUCT((scope_HTS&lt;&gt;"")*(LEFT($C217,LEN(scope_HTS))=scope_HTS)*(LEN(scope_HTS)=INT($AM217/1000))))</f>
        <v/>
      </c>
      <c r="AO217" s="13">
        <f>IF($L217&lt;&gt;"Y",0,SUMPRODUCT(MAX(ISNUMBER(rate_Rate)*((UPPER(TRIM(CLEAN(SUBSTITUTE(rate_Group&amp;""," "," "))))="")+(UPPER(TRIM(CLEAN(SUBSTITUTE(rate_Group&amp;""," "," "))))=$N217)&gt;0)*((UPPER(TRIM(CLEAN(SUBSTITUTE(rate_COO&amp;""," "," "))))="")+(UPPER(TRIM(CLEAN(SUBSTITUTE(rate_COO&amp;""," "," "))))=$E217)&gt;0)*((UPPER(TRIM(CLEAN(SUBSTITUTE(rate_USMCA&amp;""," "," "))))="")+(UPPER(TRIM(CLEAN(SUBSTITUTE(rate_USMCA&amp;""," "," "))))=IF(UPPER(TRIM(CLEAN(SUBSTITUTE(Items!F217&amp;""," "," "))))="Y","Y","N"))&gt;0)*((1+(UPPER(TRIM(CLEAN(SUBSTITUTE(rate_Group&amp;""," "," "))))&lt;&gt;"")+2*(UPPER(TRIM(CLEAN(SUBSTITUTE(rate_USMCA&amp;""," "," "))))&lt;&gt;"")+4*(UPPER(TRIM(CLEAN(SUBSTITUTE(rate_COO&amp;""," "," "))))&lt;&gt;""))*100+ROW(rate_Rate)-4))))</f>
        <v/>
      </c>
      <c r="AP217" s="13">
        <f>IF($AO217=0,0,SUMPRODUCT(ISNUMBER(rate_Rate)*((UPPER(TRIM(CLEAN(SUBSTITUTE(rate_Group&amp;""," "," "))))="")+(UPPER(TRIM(CLEAN(SUBSTITUTE(rate_Group&amp;""," "," "))))=$N217)&gt;0)*((UPPER(TRIM(CLEAN(SUBSTITUTE(rate_COO&amp;""," "," "))))="")+(UPPER(TRIM(CLEAN(SUBSTITUTE(rate_COO&amp;""," "," "))))=$E217)&gt;0)*((UPPER(TRIM(CLEAN(SUBSTITUTE(rate_USMCA&amp;""," "," "))))="")+(UPPER(TRIM(CLEAN(SUBSTITUTE(rate_USMCA&amp;""," "," "))))=IF(UPPER(TRIM(CLEAN(SUBSTITUTE(Items!F217&amp;""," "," "))))="Y","Y","N"))&gt;0)*((1+(UPPER(TRIM(CLEAN(SUBSTITUTE(rate_Group&amp;""," "," "))))&lt;&gt;"")+2*(UPPER(TRIM(CLEAN(SUBSTITUTE(rate_USMCA&amp;""," "," "))))&lt;&gt;"")+4*(UPPER(TRIM(CLEAN(SUBSTITUTE(rate_COO&amp;""," "," "))))&lt;&gt;""))=INT($AO217/100))))</f>
        <v/>
      </c>
      <c r="AQ217" s="13">
        <f>IF($A217="",0,IFERROR(MATCH($AL217,det_Key,0),0))</f>
        <v/>
      </c>
    </row>
    <row r="218">
      <c r="A218" s="10">
        <f>IF(TRIM(CLEAN(SUBSTITUTE(Items!A218&amp;""," "," ")))="","",TRIM(CLEAN(SUBSTITUTE(Items!A218&amp;""," "," "))))</f>
        <v/>
      </c>
      <c r="B218" s="10">
        <f>IF($A218="","",Items!B218&amp;"")</f>
        <v/>
      </c>
      <c r="C218" s="10">
        <f>IF($A218="","",SUBSTITUTE(SUBSTITUTE(SUBSTITUTE(SUBSTITUTE(CLEAN(Items!D218&amp;"")," ",""),".","")," ",""),"-",""))</f>
        <v/>
      </c>
      <c r="D218" s="10">
        <f>IF($A218="","",LEFT($C218,2))</f>
        <v/>
      </c>
      <c r="E218" s="10">
        <f>IF($A218="","",UPPER(TRIM(CLEAN(SUBSTITUTE(Items!E218&amp;""," "," ")))))</f>
        <v/>
      </c>
      <c r="F218" s="10">
        <f>IF($A218="","",IF(UPPER(TRIM(CLEAN(SUBSTITUTE(Items!C218&amp;""," "," "))))=UPPER(TRIM(CLEAN(SUBSTITUTE(act_Country&amp;""," "," ")))),"Y","N"))</f>
        <v/>
      </c>
      <c r="G218" s="10">
        <f>IF($A218="","",IF($AM218&gt;0,"Y","N"))</f>
        <v/>
      </c>
      <c r="H218" s="10">
        <f>IF($A218="","",IF(SUMPRODUCT((excl_HTS&lt;&gt;"")*(LEFT($C218,LEN(excl_HTS))=excl_HTS))&gt;0,"Y","N"))</f>
        <v/>
      </c>
      <c r="I218" s="10">
        <f>IF($A218="","",IF($E218="","N",IF(SUMPRODUCT(--(UPPER(TRIM(CLEAN(SUBSTITUTE(scope_COO&amp;""," "," "))))=$E218))&gt;0,"Y","N")))</f>
        <v/>
      </c>
      <c r="J218" s="10">
        <f>IF($A218="","",IF(AND(UPPER(TRIM(CLEAN(SUBSTITUTE(act_USMCAExempt&amp;""," "," "))))="Y",UPPER(TRIM(CLEAN(SUBSTITUTE(Items!F218&amp;""," "," "))))="Y"),"Y","N"))</f>
        <v/>
      </c>
      <c r="K218" s="10">
        <f>IF($A218="","",IF($AQ218=0,"",UPPER(TRIM(CLEAN(SUBSTITUTE(INDEX(det_Status,$AQ218)&amp;""," "," "))))))</f>
        <v/>
      </c>
      <c r="L218" s="10">
        <f>IF($A218="","",IF($F218="N","N",IF($K218="IN","Y",IF($K218="OUT","N",IF(AND($G218="Y",$H218="N",$I218="Y",$J218="N"),"Y","N")))))</f>
        <v/>
      </c>
      <c r="M218" s="10">
        <f>IF($A218="","",IF($F218="N","Out: different import country",IF($K218="IN","In: Research determination",IF($K218="OUT","Out: Research determination",IF($G218="N","Out: HTS not on scope list",IF($H218="Y","Out: HTS on exclusion list",IF($I218="N","Out: origin not on scope list",IF($J218="Y","Out: USMCA-qualifying, exempt","In: matches scope rules"))))))))</f>
        <v/>
      </c>
      <c r="N218" s="10">
        <f>IF(OR($A218="",$AM218=0),"",UPPER(TRIM(CLEAN(SUBSTITUTE(INDEX(scope_Group,MOD($AM218,1000))&amp;""," "," ")))))</f>
        <v/>
      </c>
      <c r="O218" s="10">
        <f>IF($L218&lt;&gt;"Y","",IF($AO218=0,"Default (B15)",UPPER(TRIM(CLEAN(SUBSTITUTE(INDEX(rate_ID,MOD($AO218,100))&amp;""," "," "))))))</f>
        <v/>
      </c>
      <c r="P218" s="10">
        <f>IF($L218&lt;&gt;"Y","",IF($AO218=0,IF(UPPER(TRIM(CLEAN(SUBSTITUTE(act_DefaultBase&amp;""," "," "))))="PART","PART","FULL"),IF(UPPER(TRIM(CLEAN(SUBSTITUTE(INDEX(rate_Base,MOD($AO218,100))&amp;""," "," "))))="PART","PART","FULL")))</f>
        <v/>
      </c>
      <c r="Q218" s="17">
        <f>IF($A218="","",N(Items!J218))</f>
        <v/>
      </c>
      <c r="R218" s="17">
        <f>IF($A218="","",IF($L218&lt;&gt;"Y",0,IF($AO218=0,N(act_Rate),N(INDEX(rate_Rate,MOD($AO218,100))))))</f>
        <v/>
      </c>
      <c r="S218" s="17">
        <f>IF($A218="","",IF($L218&lt;&gt;"Y",0,IF($AO218=0,IF(UPPER(TRIM(CLEAN(SUBSTITUTE(act_RateType&amp;""," "," "))))="REPLACE",N(act_PriorRate),0),IF(ISNUMBER(INDEX(rate_Prior,MOD($AO218,100))),INDEX(rate_Prior,MOD($AO218,100)),IF(UPPER(TRIM(CLEAN(SUBSTITUTE(act_RateType&amp;""," "," "))))="REPLACE",N(act_PriorRate),0)))))</f>
        <v/>
      </c>
      <c r="T218" s="17">
        <f>IF($A218="","",IF(AND($L218="Y",$P218="PART",ISNUMBER(Items!M218)),Items!M218,1))</f>
        <v/>
      </c>
      <c r="U218" s="17">
        <f>IF($A218="","",IF($L218&lt;&gt;"Y",0,IF($AQ218&gt;0,IF(ISNUMBER(INDEX(det_Displaced,$AQ218)),INDEX(det_Displaced,$AQ218),IF($AO218=0,0,N(INDEX(rate_Displaced,MOD($AO218,100))))),IF($AO218=0,0,N(INDEX(rate_Displaced,MOD($AO218,100)))))))</f>
        <v/>
      </c>
      <c r="V218" s="17">
        <f>IF($A218="","",IF($L218="Y",$Q218+$T218*($R218-$S218)-$U218,$Q218))</f>
        <v/>
      </c>
      <c r="W218" s="18">
        <f>IF($A218="","",N(Items!H218)*$Q218)</f>
        <v/>
      </c>
      <c r="X218" s="18">
        <f>IF($A218="","",N(Items!H218)*$V218)</f>
        <v/>
      </c>
      <c r="Y218" s="18">
        <f>IF($A218="","",$X218-$W218)</f>
        <v/>
      </c>
      <c r="Z218" s="18">
        <f>IF($A218="","",N(Items!K218)+$Y218)</f>
        <v/>
      </c>
      <c r="AA218" s="17">
        <f>IF($A218="","",IF(N(Items!L218)=0,"",(N(Items!L218)-N(Items!K218))/N(Items!L218)))</f>
        <v/>
      </c>
      <c r="AB218" s="17">
        <f>IF($A218="","",IF(N(Items!L218)=0,"",(N(Items!L218)-$Z218)/N(Items!L218)))</f>
        <v/>
      </c>
      <c r="AC218" s="17">
        <f>IF(OR($AA218="",$AB218=""),"",$AB218-$AA218)</f>
        <v/>
      </c>
      <c r="AD218" s="13">
        <f>IF($A218="","",N(Items!I218))</f>
        <v/>
      </c>
      <c r="AE218" s="19">
        <f>IF($A218="","",$Y218*$AD218)</f>
        <v/>
      </c>
      <c r="AF218" s="10">
        <f>IF($A218="","",IF(N(Items!L218)&gt;0,"Y","N"))</f>
        <v/>
      </c>
      <c r="AG218" s="19">
        <f>IF($A218="","",IF($AF218="Y",N(Items!L218)*$AD218,0))</f>
        <v/>
      </c>
      <c r="AH218" s="19">
        <f>IF($A218="","",IF($AF218="Y",(N(Items!L218)-N(Items!K218))*$AD218,0))</f>
        <v/>
      </c>
      <c r="AI218" s="19">
        <f>IF($A218="","",IF($AF218="Y",$AH218-$AE218,0))</f>
        <v/>
      </c>
      <c r="AJ218" s="10">
        <f>IF($A218="","",IF(COUNTIF($AL$5:$AL$254,$AL218)&gt;1,"CHECK: duplicate item and import country",IF(TRIM(CLEAN(SUBSTITUTE(Items!C218&amp;""," "," ")))="","CHECK: import country missing",IF(AND(UPPER(TRIM(CLEAN(SUBSTITUTE(Items!C218&amp;""," "," "))))&lt;&gt;"US",UPPER(TRIM(CLEAN(SUBSTITUTE(Items!C218&amp;""," "," "))))&lt;&gt;"CA",UPPER(TRIM(CLEAN(SUBSTITUTE(Items!C218&amp;""," "," "))))&lt;&gt;"MX"),"CHECK: import country must be US, CA or MX",IF(NOT(AND(LEN($C218)=10,IFERROR(TEXT(VALUE($C218),REPT("0",LEN($C218)))=$C218,FALSE))),"CHECK: HTS must be 10 digits",IF(LEN($E218)&lt;&gt;2,"CHECK: origin code missing or not 2 letters",IF(TRIM(CLEAN(SUBSTITUTE(Items!G218&amp;""," "," ")))="","CHECK: unit of measure missing",IF(OR(Items!H218="",Items!J218="",Items!K218=""),"CHECK: value, rate or cost missing",IF(OR(NOT(ISNUMBER(Items!H218)),NOT(ISNUMBER(Items!J218)),NOT(ISNUMBER(Items!K218)),AND(Items!I218&lt;&gt;"",NOT(ISNUMBER(Items!I218))),AND(Items!L218&lt;&gt;"",NOT(ISNUMBER(Items!L218))),AND(Items!M218&lt;&gt;"",NOT(ISNUMBER(Items!M218)))),"CHECK: text in a number column",IF(AND(ISNUMBER(Items!M218),OR(N(Items!M218)&lt;0,N(Items!M218)&gt;1)),"CHECK: dutiable share must be 0% to 100%",IF(AND(UPPER(TRIM(CLEAN(SUBSTITUTE(Items!F218&amp;""," "," "))))&lt;&gt;"",UPPER(TRIM(CLEAN(SUBSTITUTE(Items!F218&amp;""," "," "))))&lt;&gt;"Y",UPPER(TRIM(CLEAN(SUBSTITUTE(Items!F218&amp;""," "," "))))&lt;&gt;"N"),"CHECK: USMCA flag must be Y, N or blank",IF(AND(UPPER(TRIM(CLEAN(SUBSTITUTE(Items!F218&amp;""," "," "))))="Y",$E218&lt;&gt;"US",$E218&lt;&gt;"CA",$E218&lt;&gt;"MX"),"CHECK: USMCA flag on an origin other than US, CA or MX",IF(AND($L218="Y",$AO218=0,NOT(ISNUMBER(act_Rate))),"CHECK: in scope but no rate (add a rate line or B15)",IF(AND($L218="Y",UPPER(TRIM(CLEAN(SUBSTITUTE(act_RateType&amp;""," "," "))))="REPLACE",NOT(ISNUMBER(act_PriorRate)),IF($AO218=0,TRUE,NOT(ISNUMBER(INDEX(rate_Prior,MOD($AO218,100)))))),"CHECK: REPLACE but no earlier rate (B17 or the rate line's AD)",IF(AND($L218="Y",$AP218&gt;1),"CHECK: two rate lines match equally",IF(AND($L218="Y",$AN218&gt;1),"CHECK: HTS prefix listed twice on the scope list",IF(AND($L218="Y",$P218="PART",NOT(ISNUMBER(Items!M218))),"CHECK: dutiable share missing (PART base)",IF(AND($L218="Y",$P218="FULL",ISNUMBER(Items!M218),N(Items!M218)&lt;&gt;1),"CHECK: dutiable share entered, but the rate taxes the full value",IF(AND($L218="Y",$Q218+0.0000001&lt;$T218*$S218+$U218),"CHECK: current rate is below the duty being replaced or displaced",IF(AND($L218="Y",$AD218=0),"NOTE: in scope, no quantity",IF(AND($L218="Y",$AF218="N"),"NOTE: in scope, no sell price (left out of margin %)",IF(AND($L218="Y",N(Items!H218)&gt;N(Items!K218)),"NOTE: customs value above standard cost (check unit of measure)",IF(AND($L218="Y",$Q218&gt;1),"NOTE: current rate above 100% (check it was entered as a percentage)","OK")))))))))))))))))))))))</f>
        <v/>
      </c>
      <c r="AK218" s="20">
        <f>IF($A218="","",IF(AND($L218="Y",$AE218&lt;&gt;0),ABS($AE218)+ROW()/1000000000,""))</f>
        <v/>
      </c>
      <c r="AL218" s="10">
        <f>IF($A218="","",UPPER($A218)&amp;"/"&amp;UPPER(TRIM(CLEAN(SUBSTITUTE(Items!C218&amp;""," "," ")))))</f>
        <v/>
      </c>
      <c r="AM218" s="13">
        <f>IF($A218="",0,SUMPRODUCT(MAX((scope_HTS&lt;&gt;"")*(LEFT($C218,LEN(scope_HTS))=scope_HTS)*(LEN(scope_HTS)*1000+ROW(scope_HTS)-4))))</f>
        <v/>
      </c>
      <c r="AN218" s="13">
        <f>IF($AM218=0,0,SUMPRODUCT((scope_HTS&lt;&gt;"")*(LEFT($C218,LEN(scope_HTS))=scope_HTS)*(LEN(scope_HTS)=INT($AM218/1000))))</f>
        <v/>
      </c>
      <c r="AO218" s="13">
        <f>IF($L218&lt;&gt;"Y",0,SUMPRODUCT(MAX(ISNUMBER(rate_Rate)*((UPPER(TRIM(CLEAN(SUBSTITUTE(rate_Group&amp;""," "," "))))="")+(UPPER(TRIM(CLEAN(SUBSTITUTE(rate_Group&amp;""," "," "))))=$N218)&gt;0)*((UPPER(TRIM(CLEAN(SUBSTITUTE(rate_COO&amp;""," "," "))))="")+(UPPER(TRIM(CLEAN(SUBSTITUTE(rate_COO&amp;""," "," "))))=$E218)&gt;0)*((UPPER(TRIM(CLEAN(SUBSTITUTE(rate_USMCA&amp;""," "," "))))="")+(UPPER(TRIM(CLEAN(SUBSTITUTE(rate_USMCA&amp;""," "," "))))=IF(UPPER(TRIM(CLEAN(SUBSTITUTE(Items!F218&amp;""," "," "))))="Y","Y","N"))&gt;0)*((1+(UPPER(TRIM(CLEAN(SUBSTITUTE(rate_Group&amp;""," "," "))))&lt;&gt;"")+2*(UPPER(TRIM(CLEAN(SUBSTITUTE(rate_USMCA&amp;""," "," "))))&lt;&gt;"")+4*(UPPER(TRIM(CLEAN(SUBSTITUTE(rate_COO&amp;""," "," "))))&lt;&gt;""))*100+ROW(rate_Rate)-4))))</f>
        <v/>
      </c>
      <c r="AP218" s="13">
        <f>IF($AO218=0,0,SUMPRODUCT(ISNUMBER(rate_Rate)*((UPPER(TRIM(CLEAN(SUBSTITUTE(rate_Group&amp;""," "," "))))="")+(UPPER(TRIM(CLEAN(SUBSTITUTE(rate_Group&amp;""," "," "))))=$N218)&gt;0)*((UPPER(TRIM(CLEAN(SUBSTITUTE(rate_COO&amp;""," "," "))))="")+(UPPER(TRIM(CLEAN(SUBSTITUTE(rate_COO&amp;""," "," "))))=$E218)&gt;0)*((UPPER(TRIM(CLEAN(SUBSTITUTE(rate_USMCA&amp;""," "," "))))="")+(UPPER(TRIM(CLEAN(SUBSTITUTE(rate_USMCA&amp;""," "," "))))=IF(UPPER(TRIM(CLEAN(SUBSTITUTE(Items!F218&amp;""," "," "))))="Y","Y","N"))&gt;0)*((1+(UPPER(TRIM(CLEAN(SUBSTITUTE(rate_Group&amp;""," "," "))))&lt;&gt;"")+2*(UPPER(TRIM(CLEAN(SUBSTITUTE(rate_USMCA&amp;""," "," "))))&lt;&gt;"")+4*(UPPER(TRIM(CLEAN(SUBSTITUTE(rate_COO&amp;""," "," "))))&lt;&gt;""))=INT($AO218/100))))</f>
        <v/>
      </c>
      <c r="AQ218" s="13">
        <f>IF($A218="",0,IFERROR(MATCH($AL218,det_Key,0),0))</f>
        <v/>
      </c>
    </row>
    <row r="219">
      <c r="A219" s="10">
        <f>IF(TRIM(CLEAN(SUBSTITUTE(Items!A219&amp;""," "," ")))="","",TRIM(CLEAN(SUBSTITUTE(Items!A219&amp;""," "," "))))</f>
        <v/>
      </c>
      <c r="B219" s="10">
        <f>IF($A219="","",Items!B219&amp;"")</f>
        <v/>
      </c>
      <c r="C219" s="10">
        <f>IF($A219="","",SUBSTITUTE(SUBSTITUTE(SUBSTITUTE(SUBSTITUTE(CLEAN(Items!D219&amp;"")," ",""),".","")," ",""),"-",""))</f>
        <v/>
      </c>
      <c r="D219" s="10">
        <f>IF($A219="","",LEFT($C219,2))</f>
        <v/>
      </c>
      <c r="E219" s="10">
        <f>IF($A219="","",UPPER(TRIM(CLEAN(SUBSTITUTE(Items!E219&amp;""," "," ")))))</f>
        <v/>
      </c>
      <c r="F219" s="10">
        <f>IF($A219="","",IF(UPPER(TRIM(CLEAN(SUBSTITUTE(Items!C219&amp;""," "," "))))=UPPER(TRIM(CLEAN(SUBSTITUTE(act_Country&amp;""," "," ")))),"Y","N"))</f>
        <v/>
      </c>
      <c r="G219" s="10">
        <f>IF($A219="","",IF($AM219&gt;0,"Y","N"))</f>
        <v/>
      </c>
      <c r="H219" s="10">
        <f>IF($A219="","",IF(SUMPRODUCT((excl_HTS&lt;&gt;"")*(LEFT($C219,LEN(excl_HTS))=excl_HTS))&gt;0,"Y","N"))</f>
        <v/>
      </c>
      <c r="I219" s="10">
        <f>IF($A219="","",IF($E219="","N",IF(SUMPRODUCT(--(UPPER(TRIM(CLEAN(SUBSTITUTE(scope_COO&amp;""," "," "))))=$E219))&gt;0,"Y","N")))</f>
        <v/>
      </c>
      <c r="J219" s="10">
        <f>IF($A219="","",IF(AND(UPPER(TRIM(CLEAN(SUBSTITUTE(act_USMCAExempt&amp;""," "," "))))="Y",UPPER(TRIM(CLEAN(SUBSTITUTE(Items!F219&amp;""," "," "))))="Y"),"Y","N"))</f>
        <v/>
      </c>
      <c r="K219" s="10">
        <f>IF($A219="","",IF($AQ219=0,"",UPPER(TRIM(CLEAN(SUBSTITUTE(INDEX(det_Status,$AQ219)&amp;""," "," "))))))</f>
        <v/>
      </c>
      <c r="L219" s="10">
        <f>IF($A219="","",IF($F219="N","N",IF($K219="IN","Y",IF($K219="OUT","N",IF(AND($G219="Y",$H219="N",$I219="Y",$J219="N"),"Y","N")))))</f>
        <v/>
      </c>
      <c r="M219" s="10">
        <f>IF($A219="","",IF($F219="N","Out: different import country",IF($K219="IN","In: Research determination",IF($K219="OUT","Out: Research determination",IF($G219="N","Out: HTS not on scope list",IF($H219="Y","Out: HTS on exclusion list",IF($I219="N","Out: origin not on scope list",IF($J219="Y","Out: USMCA-qualifying, exempt","In: matches scope rules"))))))))</f>
        <v/>
      </c>
      <c r="N219" s="10">
        <f>IF(OR($A219="",$AM219=0),"",UPPER(TRIM(CLEAN(SUBSTITUTE(INDEX(scope_Group,MOD($AM219,1000))&amp;""," "," ")))))</f>
        <v/>
      </c>
      <c r="O219" s="10">
        <f>IF($L219&lt;&gt;"Y","",IF($AO219=0,"Default (B15)",UPPER(TRIM(CLEAN(SUBSTITUTE(INDEX(rate_ID,MOD($AO219,100))&amp;""," "," "))))))</f>
        <v/>
      </c>
      <c r="P219" s="10">
        <f>IF($L219&lt;&gt;"Y","",IF($AO219=0,IF(UPPER(TRIM(CLEAN(SUBSTITUTE(act_DefaultBase&amp;""," "," "))))="PART","PART","FULL"),IF(UPPER(TRIM(CLEAN(SUBSTITUTE(INDEX(rate_Base,MOD($AO219,100))&amp;""," "," "))))="PART","PART","FULL")))</f>
        <v/>
      </c>
      <c r="Q219" s="17">
        <f>IF($A219="","",N(Items!J219))</f>
        <v/>
      </c>
      <c r="R219" s="17">
        <f>IF($A219="","",IF($L219&lt;&gt;"Y",0,IF($AO219=0,N(act_Rate),N(INDEX(rate_Rate,MOD($AO219,100))))))</f>
        <v/>
      </c>
      <c r="S219" s="17">
        <f>IF($A219="","",IF($L219&lt;&gt;"Y",0,IF($AO219=0,IF(UPPER(TRIM(CLEAN(SUBSTITUTE(act_RateType&amp;""," "," "))))="REPLACE",N(act_PriorRate),0),IF(ISNUMBER(INDEX(rate_Prior,MOD($AO219,100))),INDEX(rate_Prior,MOD($AO219,100)),IF(UPPER(TRIM(CLEAN(SUBSTITUTE(act_RateType&amp;""," "," "))))="REPLACE",N(act_PriorRate),0)))))</f>
        <v/>
      </c>
      <c r="T219" s="17">
        <f>IF($A219="","",IF(AND($L219="Y",$P219="PART",ISNUMBER(Items!M219)),Items!M219,1))</f>
        <v/>
      </c>
      <c r="U219" s="17">
        <f>IF($A219="","",IF($L219&lt;&gt;"Y",0,IF($AQ219&gt;0,IF(ISNUMBER(INDEX(det_Displaced,$AQ219)),INDEX(det_Displaced,$AQ219),IF($AO219=0,0,N(INDEX(rate_Displaced,MOD($AO219,100))))),IF($AO219=0,0,N(INDEX(rate_Displaced,MOD($AO219,100)))))))</f>
        <v/>
      </c>
      <c r="V219" s="17">
        <f>IF($A219="","",IF($L219="Y",$Q219+$T219*($R219-$S219)-$U219,$Q219))</f>
        <v/>
      </c>
      <c r="W219" s="18">
        <f>IF($A219="","",N(Items!H219)*$Q219)</f>
        <v/>
      </c>
      <c r="X219" s="18">
        <f>IF($A219="","",N(Items!H219)*$V219)</f>
        <v/>
      </c>
      <c r="Y219" s="18">
        <f>IF($A219="","",$X219-$W219)</f>
        <v/>
      </c>
      <c r="Z219" s="18">
        <f>IF($A219="","",N(Items!K219)+$Y219)</f>
        <v/>
      </c>
      <c r="AA219" s="17">
        <f>IF($A219="","",IF(N(Items!L219)=0,"",(N(Items!L219)-N(Items!K219))/N(Items!L219)))</f>
        <v/>
      </c>
      <c r="AB219" s="17">
        <f>IF($A219="","",IF(N(Items!L219)=0,"",(N(Items!L219)-$Z219)/N(Items!L219)))</f>
        <v/>
      </c>
      <c r="AC219" s="17">
        <f>IF(OR($AA219="",$AB219=""),"",$AB219-$AA219)</f>
        <v/>
      </c>
      <c r="AD219" s="13">
        <f>IF($A219="","",N(Items!I219))</f>
        <v/>
      </c>
      <c r="AE219" s="19">
        <f>IF($A219="","",$Y219*$AD219)</f>
        <v/>
      </c>
      <c r="AF219" s="10">
        <f>IF($A219="","",IF(N(Items!L219)&gt;0,"Y","N"))</f>
        <v/>
      </c>
      <c r="AG219" s="19">
        <f>IF($A219="","",IF($AF219="Y",N(Items!L219)*$AD219,0))</f>
        <v/>
      </c>
      <c r="AH219" s="19">
        <f>IF($A219="","",IF($AF219="Y",(N(Items!L219)-N(Items!K219))*$AD219,0))</f>
        <v/>
      </c>
      <c r="AI219" s="19">
        <f>IF($A219="","",IF($AF219="Y",$AH219-$AE219,0))</f>
        <v/>
      </c>
      <c r="AJ219" s="10">
        <f>IF($A219="","",IF(COUNTIF($AL$5:$AL$254,$AL219)&gt;1,"CHECK: duplicate item and import country",IF(TRIM(CLEAN(SUBSTITUTE(Items!C219&amp;""," "," ")))="","CHECK: import country missing",IF(AND(UPPER(TRIM(CLEAN(SUBSTITUTE(Items!C219&amp;""," "," "))))&lt;&gt;"US",UPPER(TRIM(CLEAN(SUBSTITUTE(Items!C219&amp;""," "," "))))&lt;&gt;"CA",UPPER(TRIM(CLEAN(SUBSTITUTE(Items!C219&amp;""," "," "))))&lt;&gt;"MX"),"CHECK: import country must be US, CA or MX",IF(NOT(AND(LEN($C219)=10,IFERROR(TEXT(VALUE($C219),REPT("0",LEN($C219)))=$C219,FALSE))),"CHECK: HTS must be 10 digits",IF(LEN($E219)&lt;&gt;2,"CHECK: origin code missing or not 2 letters",IF(TRIM(CLEAN(SUBSTITUTE(Items!G219&amp;""," "," ")))="","CHECK: unit of measure missing",IF(OR(Items!H219="",Items!J219="",Items!K219=""),"CHECK: value, rate or cost missing",IF(OR(NOT(ISNUMBER(Items!H219)),NOT(ISNUMBER(Items!J219)),NOT(ISNUMBER(Items!K219)),AND(Items!I219&lt;&gt;"",NOT(ISNUMBER(Items!I219))),AND(Items!L219&lt;&gt;"",NOT(ISNUMBER(Items!L219))),AND(Items!M219&lt;&gt;"",NOT(ISNUMBER(Items!M219)))),"CHECK: text in a number column",IF(AND(ISNUMBER(Items!M219),OR(N(Items!M219)&lt;0,N(Items!M219)&gt;1)),"CHECK: dutiable share must be 0% to 100%",IF(AND(UPPER(TRIM(CLEAN(SUBSTITUTE(Items!F219&amp;""," "," "))))&lt;&gt;"",UPPER(TRIM(CLEAN(SUBSTITUTE(Items!F219&amp;""," "," "))))&lt;&gt;"Y",UPPER(TRIM(CLEAN(SUBSTITUTE(Items!F219&amp;""," "," "))))&lt;&gt;"N"),"CHECK: USMCA flag must be Y, N or blank",IF(AND(UPPER(TRIM(CLEAN(SUBSTITUTE(Items!F219&amp;""," "," "))))="Y",$E219&lt;&gt;"US",$E219&lt;&gt;"CA",$E219&lt;&gt;"MX"),"CHECK: USMCA flag on an origin other than US, CA or MX",IF(AND($L219="Y",$AO219=0,NOT(ISNUMBER(act_Rate))),"CHECK: in scope but no rate (add a rate line or B15)",IF(AND($L219="Y",UPPER(TRIM(CLEAN(SUBSTITUTE(act_RateType&amp;""," "," "))))="REPLACE",NOT(ISNUMBER(act_PriorRate)),IF($AO219=0,TRUE,NOT(ISNUMBER(INDEX(rate_Prior,MOD($AO219,100)))))),"CHECK: REPLACE but no earlier rate (B17 or the rate line's AD)",IF(AND($L219="Y",$AP219&gt;1),"CHECK: two rate lines match equally",IF(AND($L219="Y",$AN219&gt;1),"CHECK: HTS prefix listed twice on the scope list",IF(AND($L219="Y",$P219="PART",NOT(ISNUMBER(Items!M219))),"CHECK: dutiable share missing (PART base)",IF(AND($L219="Y",$P219="FULL",ISNUMBER(Items!M219),N(Items!M219)&lt;&gt;1),"CHECK: dutiable share entered, but the rate taxes the full value",IF(AND($L219="Y",$Q219+0.0000001&lt;$T219*$S219+$U219),"CHECK: current rate is below the duty being replaced or displaced",IF(AND($L219="Y",$AD219=0),"NOTE: in scope, no quantity",IF(AND($L219="Y",$AF219="N"),"NOTE: in scope, no sell price (left out of margin %)",IF(AND($L219="Y",N(Items!H219)&gt;N(Items!K219)),"NOTE: customs value above standard cost (check unit of measure)",IF(AND($L219="Y",$Q219&gt;1),"NOTE: current rate above 100% (check it was entered as a percentage)","OK")))))))))))))))))))))))</f>
        <v/>
      </c>
      <c r="AK219" s="20">
        <f>IF($A219="","",IF(AND($L219="Y",$AE219&lt;&gt;0),ABS($AE219)+ROW()/1000000000,""))</f>
        <v/>
      </c>
      <c r="AL219" s="10">
        <f>IF($A219="","",UPPER($A219)&amp;"/"&amp;UPPER(TRIM(CLEAN(SUBSTITUTE(Items!C219&amp;""," "," ")))))</f>
        <v/>
      </c>
      <c r="AM219" s="13">
        <f>IF($A219="",0,SUMPRODUCT(MAX((scope_HTS&lt;&gt;"")*(LEFT($C219,LEN(scope_HTS))=scope_HTS)*(LEN(scope_HTS)*1000+ROW(scope_HTS)-4))))</f>
        <v/>
      </c>
      <c r="AN219" s="13">
        <f>IF($AM219=0,0,SUMPRODUCT((scope_HTS&lt;&gt;"")*(LEFT($C219,LEN(scope_HTS))=scope_HTS)*(LEN(scope_HTS)=INT($AM219/1000))))</f>
        <v/>
      </c>
      <c r="AO219" s="13">
        <f>IF($L219&lt;&gt;"Y",0,SUMPRODUCT(MAX(ISNUMBER(rate_Rate)*((UPPER(TRIM(CLEAN(SUBSTITUTE(rate_Group&amp;""," "," "))))="")+(UPPER(TRIM(CLEAN(SUBSTITUTE(rate_Group&amp;""," "," "))))=$N219)&gt;0)*((UPPER(TRIM(CLEAN(SUBSTITUTE(rate_COO&amp;""," "," "))))="")+(UPPER(TRIM(CLEAN(SUBSTITUTE(rate_COO&amp;""," "," "))))=$E219)&gt;0)*((UPPER(TRIM(CLEAN(SUBSTITUTE(rate_USMCA&amp;""," "," "))))="")+(UPPER(TRIM(CLEAN(SUBSTITUTE(rate_USMCA&amp;""," "," "))))=IF(UPPER(TRIM(CLEAN(SUBSTITUTE(Items!F219&amp;""," "," "))))="Y","Y","N"))&gt;0)*((1+(UPPER(TRIM(CLEAN(SUBSTITUTE(rate_Group&amp;""," "," "))))&lt;&gt;"")+2*(UPPER(TRIM(CLEAN(SUBSTITUTE(rate_USMCA&amp;""," "," "))))&lt;&gt;"")+4*(UPPER(TRIM(CLEAN(SUBSTITUTE(rate_COO&amp;""," "," "))))&lt;&gt;""))*100+ROW(rate_Rate)-4))))</f>
        <v/>
      </c>
      <c r="AP219" s="13">
        <f>IF($AO219=0,0,SUMPRODUCT(ISNUMBER(rate_Rate)*((UPPER(TRIM(CLEAN(SUBSTITUTE(rate_Group&amp;""," "," "))))="")+(UPPER(TRIM(CLEAN(SUBSTITUTE(rate_Group&amp;""," "," "))))=$N219)&gt;0)*((UPPER(TRIM(CLEAN(SUBSTITUTE(rate_COO&amp;""," "," "))))="")+(UPPER(TRIM(CLEAN(SUBSTITUTE(rate_COO&amp;""," "," "))))=$E219)&gt;0)*((UPPER(TRIM(CLEAN(SUBSTITUTE(rate_USMCA&amp;""," "," "))))="")+(UPPER(TRIM(CLEAN(SUBSTITUTE(rate_USMCA&amp;""," "," "))))=IF(UPPER(TRIM(CLEAN(SUBSTITUTE(Items!F219&amp;""," "," "))))="Y","Y","N"))&gt;0)*((1+(UPPER(TRIM(CLEAN(SUBSTITUTE(rate_Group&amp;""," "," "))))&lt;&gt;"")+2*(UPPER(TRIM(CLEAN(SUBSTITUTE(rate_USMCA&amp;""," "," "))))&lt;&gt;"")+4*(UPPER(TRIM(CLEAN(SUBSTITUTE(rate_COO&amp;""," "," "))))&lt;&gt;""))=INT($AO219/100))))</f>
        <v/>
      </c>
      <c r="AQ219" s="13">
        <f>IF($A219="",0,IFERROR(MATCH($AL219,det_Key,0),0))</f>
        <v/>
      </c>
    </row>
    <row r="220">
      <c r="A220" s="10">
        <f>IF(TRIM(CLEAN(SUBSTITUTE(Items!A220&amp;""," "," ")))="","",TRIM(CLEAN(SUBSTITUTE(Items!A220&amp;""," "," "))))</f>
        <v/>
      </c>
      <c r="B220" s="10">
        <f>IF($A220="","",Items!B220&amp;"")</f>
        <v/>
      </c>
      <c r="C220" s="10">
        <f>IF($A220="","",SUBSTITUTE(SUBSTITUTE(SUBSTITUTE(SUBSTITUTE(CLEAN(Items!D220&amp;"")," ",""),".","")," ",""),"-",""))</f>
        <v/>
      </c>
      <c r="D220" s="10">
        <f>IF($A220="","",LEFT($C220,2))</f>
        <v/>
      </c>
      <c r="E220" s="10">
        <f>IF($A220="","",UPPER(TRIM(CLEAN(SUBSTITUTE(Items!E220&amp;""," "," ")))))</f>
        <v/>
      </c>
      <c r="F220" s="10">
        <f>IF($A220="","",IF(UPPER(TRIM(CLEAN(SUBSTITUTE(Items!C220&amp;""," "," "))))=UPPER(TRIM(CLEAN(SUBSTITUTE(act_Country&amp;""," "," ")))),"Y","N"))</f>
        <v/>
      </c>
      <c r="G220" s="10">
        <f>IF($A220="","",IF($AM220&gt;0,"Y","N"))</f>
        <v/>
      </c>
      <c r="H220" s="10">
        <f>IF($A220="","",IF(SUMPRODUCT((excl_HTS&lt;&gt;"")*(LEFT($C220,LEN(excl_HTS))=excl_HTS))&gt;0,"Y","N"))</f>
        <v/>
      </c>
      <c r="I220" s="10">
        <f>IF($A220="","",IF($E220="","N",IF(SUMPRODUCT(--(UPPER(TRIM(CLEAN(SUBSTITUTE(scope_COO&amp;""," "," "))))=$E220))&gt;0,"Y","N")))</f>
        <v/>
      </c>
      <c r="J220" s="10">
        <f>IF($A220="","",IF(AND(UPPER(TRIM(CLEAN(SUBSTITUTE(act_USMCAExempt&amp;""," "," "))))="Y",UPPER(TRIM(CLEAN(SUBSTITUTE(Items!F220&amp;""," "," "))))="Y"),"Y","N"))</f>
        <v/>
      </c>
      <c r="K220" s="10">
        <f>IF($A220="","",IF($AQ220=0,"",UPPER(TRIM(CLEAN(SUBSTITUTE(INDEX(det_Status,$AQ220)&amp;""," "," "))))))</f>
        <v/>
      </c>
      <c r="L220" s="10">
        <f>IF($A220="","",IF($F220="N","N",IF($K220="IN","Y",IF($K220="OUT","N",IF(AND($G220="Y",$H220="N",$I220="Y",$J220="N"),"Y","N")))))</f>
        <v/>
      </c>
      <c r="M220" s="10">
        <f>IF($A220="","",IF($F220="N","Out: different import country",IF($K220="IN","In: Research determination",IF($K220="OUT","Out: Research determination",IF($G220="N","Out: HTS not on scope list",IF($H220="Y","Out: HTS on exclusion list",IF($I220="N","Out: origin not on scope list",IF($J220="Y","Out: USMCA-qualifying, exempt","In: matches scope rules"))))))))</f>
        <v/>
      </c>
      <c r="N220" s="10">
        <f>IF(OR($A220="",$AM220=0),"",UPPER(TRIM(CLEAN(SUBSTITUTE(INDEX(scope_Group,MOD($AM220,1000))&amp;""," "," ")))))</f>
        <v/>
      </c>
      <c r="O220" s="10">
        <f>IF($L220&lt;&gt;"Y","",IF($AO220=0,"Default (B15)",UPPER(TRIM(CLEAN(SUBSTITUTE(INDEX(rate_ID,MOD($AO220,100))&amp;""," "," "))))))</f>
        <v/>
      </c>
      <c r="P220" s="10">
        <f>IF($L220&lt;&gt;"Y","",IF($AO220=0,IF(UPPER(TRIM(CLEAN(SUBSTITUTE(act_DefaultBase&amp;""," "," "))))="PART","PART","FULL"),IF(UPPER(TRIM(CLEAN(SUBSTITUTE(INDEX(rate_Base,MOD($AO220,100))&amp;""," "," "))))="PART","PART","FULL")))</f>
        <v/>
      </c>
      <c r="Q220" s="17">
        <f>IF($A220="","",N(Items!J220))</f>
        <v/>
      </c>
      <c r="R220" s="17">
        <f>IF($A220="","",IF($L220&lt;&gt;"Y",0,IF($AO220=0,N(act_Rate),N(INDEX(rate_Rate,MOD($AO220,100))))))</f>
        <v/>
      </c>
      <c r="S220" s="17">
        <f>IF($A220="","",IF($L220&lt;&gt;"Y",0,IF($AO220=0,IF(UPPER(TRIM(CLEAN(SUBSTITUTE(act_RateType&amp;""," "," "))))="REPLACE",N(act_PriorRate),0),IF(ISNUMBER(INDEX(rate_Prior,MOD($AO220,100))),INDEX(rate_Prior,MOD($AO220,100)),IF(UPPER(TRIM(CLEAN(SUBSTITUTE(act_RateType&amp;""," "," "))))="REPLACE",N(act_PriorRate),0)))))</f>
        <v/>
      </c>
      <c r="T220" s="17">
        <f>IF($A220="","",IF(AND($L220="Y",$P220="PART",ISNUMBER(Items!M220)),Items!M220,1))</f>
        <v/>
      </c>
      <c r="U220" s="17">
        <f>IF($A220="","",IF($L220&lt;&gt;"Y",0,IF($AQ220&gt;0,IF(ISNUMBER(INDEX(det_Displaced,$AQ220)),INDEX(det_Displaced,$AQ220),IF($AO220=0,0,N(INDEX(rate_Displaced,MOD($AO220,100))))),IF($AO220=0,0,N(INDEX(rate_Displaced,MOD($AO220,100)))))))</f>
        <v/>
      </c>
      <c r="V220" s="17">
        <f>IF($A220="","",IF($L220="Y",$Q220+$T220*($R220-$S220)-$U220,$Q220))</f>
        <v/>
      </c>
      <c r="W220" s="18">
        <f>IF($A220="","",N(Items!H220)*$Q220)</f>
        <v/>
      </c>
      <c r="X220" s="18">
        <f>IF($A220="","",N(Items!H220)*$V220)</f>
        <v/>
      </c>
      <c r="Y220" s="18">
        <f>IF($A220="","",$X220-$W220)</f>
        <v/>
      </c>
      <c r="Z220" s="18">
        <f>IF($A220="","",N(Items!K220)+$Y220)</f>
        <v/>
      </c>
      <c r="AA220" s="17">
        <f>IF($A220="","",IF(N(Items!L220)=0,"",(N(Items!L220)-N(Items!K220))/N(Items!L220)))</f>
        <v/>
      </c>
      <c r="AB220" s="17">
        <f>IF($A220="","",IF(N(Items!L220)=0,"",(N(Items!L220)-$Z220)/N(Items!L220)))</f>
        <v/>
      </c>
      <c r="AC220" s="17">
        <f>IF(OR($AA220="",$AB220=""),"",$AB220-$AA220)</f>
        <v/>
      </c>
      <c r="AD220" s="13">
        <f>IF($A220="","",N(Items!I220))</f>
        <v/>
      </c>
      <c r="AE220" s="19">
        <f>IF($A220="","",$Y220*$AD220)</f>
        <v/>
      </c>
      <c r="AF220" s="10">
        <f>IF($A220="","",IF(N(Items!L220)&gt;0,"Y","N"))</f>
        <v/>
      </c>
      <c r="AG220" s="19">
        <f>IF($A220="","",IF($AF220="Y",N(Items!L220)*$AD220,0))</f>
        <v/>
      </c>
      <c r="AH220" s="19">
        <f>IF($A220="","",IF($AF220="Y",(N(Items!L220)-N(Items!K220))*$AD220,0))</f>
        <v/>
      </c>
      <c r="AI220" s="19">
        <f>IF($A220="","",IF($AF220="Y",$AH220-$AE220,0))</f>
        <v/>
      </c>
      <c r="AJ220" s="10">
        <f>IF($A220="","",IF(COUNTIF($AL$5:$AL$254,$AL220)&gt;1,"CHECK: duplicate item and import country",IF(TRIM(CLEAN(SUBSTITUTE(Items!C220&amp;""," "," ")))="","CHECK: import country missing",IF(AND(UPPER(TRIM(CLEAN(SUBSTITUTE(Items!C220&amp;""," "," "))))&lt;&gt;"US",UPPER(TRIM(CLEAN(SUBSTITUTE(Items!C220&amp;""," "," "))))&lt;&gt;"CA",UPPER(TRIM(CLEAN(SUBSTITUTE(Items!C220&amp;""," "," "))))&lt;&gt;"MX"),"CHECK: import country must be US, CA or MX",IF(NOT(AND(LEN($C220)=10,IFERROR(TEXT(VALUE($C220),REPT("0",LEN($C220)))=$C220,FALSE))),"CHECK: HTS must be 10 digits",IF(LEN($E220)&lt;&gt;2,"CHECK: origin code missing or not 2 letters",IF(TRIM(CLEAN(SUBSTITUTE(Items!G220&amp;""," "," ")))="","CHECK: unit of measure missing",IF(OR(Items!H220="",Items!J220="",Items!K220=""),"CHECK: value, rate or cost missing",IF(OR(NOT(ISNUMBER(Items!H220)),NOT(ISNUMBER(Items!J220)),NOT(ISNUMBER(Items!K220)),AND(Items!I220&lt;&gt;"",NOT(ISNUMBER(Items!I220))),AND(Items!L220&lt;&gt;"",NOT(ISNUMBER(Items!L220))),AND(Items!M220&lt;&gt;"",NOT(ISNUMBER(Items!M220)))),"CHECK: text in a number column",IF(AND(ISNUMBER(Items!M220),OR(N(Items!M220)&lt;0,N(Items!M220)&gt;1)),"CHECK: dutiable share must be 0% to 100%",IF(AND(UPPER(TRIM(CLEAN(SUBSTITUTE(Items!F220&amp;""," "," "))))&lt;&gt;"",UPPER(TRIM(CLEAN(SUBSTITUTE(Items!F220&amp;""," "," "))))&lt;&gt;"Y",UPPER(TRIM(CLEAN(SUBSTITUTE(Items!F220&amp;""," "," "))))&lt;&gt;"N"),"CHECK: USMCA flag must be Y, N or blank",IF(AND(UPPER(TRIM(CLEAN(SUBSTITUTE(Items!F220&amp;""," "," "))))="Y",$E220&lt;&gt;"US",$E220&lt;&gt;"CA",$E220&lt;&gt;"MX"),"CHECK: USMCA flag on an origin other than US, CA or MX",IF(AND($L220="Y",$AO220=0,NOT(ISNUMBER(act_Rate))),"CHECK: in scope but no rate (add a rate line or B15)",IF(AND($L220="Y",UPPER(TRIM(CLEAN(SUBSTITUTE(act_RateType&amp;""," "," "))))="REPLACE",NOT(ISNUMBER(act_PriorRate)),IF($AO220=0,TRUE,NOT(ISNUMBER(INDEX(rate_Prior,MOD($AO220,100)))))),"CHECK: REPLACE but no earlier rate (B17 or the rate line's AD)",IF(AND($L220="Y",$AP220&gt;1),"CHECK: two rate lines match equally",IF(AND($L220="Y",$AN220&gt;1),"CHECK: HTS prefix listed twice on the scope list",IF(AND($L220="Y",$P220="PART",NOT(ISNUMBER(Items!M220))),"CHECK: dutiable share missing (PART base)",IF(AND($L220="Y",$P220="FULL",ISNUMBER(Items!M220),N(Items!M220)&lt;&gt;1),"CHECK: dutiable share entered, but the rate taxes the full value",IF(AND($L220="Y",$Q220+0.0000001&lt;$T220*$S220+$U220),"CHECK: current rate is below the duty being replaced or displaced",IF(AND($L220="Y",$AD220=0),"NOTE: in scope, no quantity",IF(AND($L220="Y",$AF220="N"),"NOTE: in scope, no sell price (left out of margin %)",IF(AND($L220="Y",N(Items!H220)&gt;N(Items!K220)),"NOTE: customs value above standard cost (check unit of measure)",IF(AND($L220="Y",$Q220&gt;1),"NOTE: current rate above 100% (check it was entered as a percentage)","OK")))))))))))))))))))))))</f>
        <v/>
      </c>
      <c r="AK220" s="20">
        <f>IF($A220="","",IF(AND($L220="Y",$AE220&lt;&gt;0),ABS($AE220)+ROW()/1000000000,""))</f>
        <v/>
      </c>
      <c r="AL220" s="10">
        <f>IF($A220="","",UPPER($A220)&amp;"/"&amp;UPPER(TRIM(CLEAN(SUBSTITUTE(Items!C220&amp;""," "," ")))))</f>
        <v/>
      </c>
      <c r="AM220" s="13">
        <f>IF($A220="",0,SUMPRODUCT(MAX((scope_HTS&lt;&gt;"")*(LEFT($C220,LEN(scope_HTS))=scope_HTS)*(LEN(scope_HTS)*1000+ROW(scope_HTS)-4))))</f>
        <v/>
      </c>
      <c r="AN220" s="13">
        <f>IF($AM220=0,0,SUMPRODUCT((scope_HTS&lt;&gt;"")*(LEFT($C220,LEN(scope_HTS))=scope_HTS)*(LEN(scope_HTS)=INT($AM220/1000))))</f>
        <v/>
      </c>
      <c r="AO220" s="13">
        <f>IF($L220&lt;&gt;"Y",0,SUMPRODUCT(MAX(ISNUMBER(rate_Rate)*((UPPER(TRIM(CLEAN(SUBSTITUTE(rate_Group&amp;""," "," "))))="")+(UPPER(TRIM(CLEAN(SUBSTITUTE(rate_Group&amp;""," "," "))))=$N220)&gt;0)*((UPPER(TRIM(CLEAN(SUBSTITUTE(rate_COO&amp;""," "," "))))="")+(UPPER(TRIM(CLEAN(SUBSTITUTE(rate_COO&amp;""," "," "))))=$E220)&gt;0)*((UPPER(TRIM(CLEAN(SUBSTITUTE(rate_USMCA&amp;""," "," "))))="")+(UPPER(TRIM(CLEAN(SUBSTITUTE(rate_USMCA&amp;""," "," "))))=IF(UPPER(TRIM(CLEAN(SUBSTITUTE(Items!F220&amp;""," "," "))))="Y","Y","N"))&gt;0)*((1+(UPPER(TRIM(CLEAN(SUBSTITUTE(rate_Group&amp;""," "," "))))&lt;&gt;"")+2*(UPPER(TRIM(CLEAN(SUBSTITUTE(rate_USMCA&amp;""," "," "))))&lt;&gt;"")+4*(UPPER(TRIM(CLEAN(SUBSTITUTE(rate_COO&amp;""," "," "))))&lt;&gt;""))*100+ROW(rate_Rate)-4))))</f>
        <v/>
      </c>
      <c r="AP220" s="13">
        <f>IF($AO220=0,0,SUMPRODUCT(ISNUMBER(rate_Rate)*((UPPER(TRIM(CLEAN(SUBSTITUTE(rate_Group&amp;""," "," "))))="")+(UPPER(TRIM(CLEAN(SUBSTITUTE(rate_Group&amp;""," "," "))))=$N220)&gt;0)*((UPPER(TRIM(CLEAN(SUBSTITUTE(rate_COO&amp;""," "," "))))="")+(UPPER(TRIM(CLEAN(SUBSTITUTE(rate_COO&amp;""," "," "))))=$E220)&gt;0)*((UPPER(TRIM(CLEAN(SUBSTITUTE(rate_USMCA&amp;""," "," "))))="")+(UPPER(TRIM(CLEAN(SUBSTITUTE(rate_USMCA&amp;""," "," "))))=IF(UPPER(TRIM(CLEAN(SUBSTITUTE(Items!F220&amp;""," "," "))))="Y","Y","N"))&gt;0)*((1+(UPPER(TRIM(CLEAN(SUBSTITUTE(rate_Group&amp;""," "," "))))&lt;&gt;"")+2*(UPPER(TRIM(CLEAN(SUBSTITUTE(rate_USMCA&amp;""," "," "))))&lt;&gt;"")+4*(UPPER(TRIM(CLEAN(SUBSTITUTE(rate_COO&amp;""," "," "))))&lt;&gt;""))=INT($AO220/100))))</f>
        <v/>
      </c>
      <c r="AQ220" s="13">
        <f>IF($A220="",0,IFERROR(MATCH($AL220,det_Key,0),0))</f>
        <v/>
      </c>
    </row>
    <row r="221">
      <c r="A221" s="10">
        <f>IF(TRIM(CLEAN(SUBSTITUTE(Items!A221&amp;""," "," ")))="","",TRIM(CLEAN(SUBSTITUTE(Items!A221&amp;""," "," "))))</f>
        <v/>
      </c>
      <c r="B221" s="10">
        <f>IF($A221="","",Items!B221&amp;"")</f>
        <v/>
      </c>
      <c r="C221" s="10">
        <f>IF($A221="","",SUBSTITUTE(SUBSTITUTE(SUBSTITUTE(SUBSTITUTE(CLEAN(Items!D221&amp;"")," ",""),".","")," ",""),"-",""))</f>
        <v/>
      </c>
      <c r="D221" s="10">
        <f>IF($A221="","",LEFT($C221,2))</f>
        <v/>
      </c>
      <c r="E221" s="10">
        <f>IF($A221="","",UPPER(TRIM(CLEAN(SUBSTITUTE(Items!E221&amp;""," "," ")))))</f>
        <v/>
      </c>
      <c r="F221" s="10">
        <f>IF($A221="","",IF(UPPER(TRIM(CLEAN(SUBSTITUTE(Items!C221&amp;""," "," "))))=UPPER(TRIM(CLEAN(SUBSTITUTE(act_Country&amp;""," "," ")))),"Y","N"))</f>
        <v/>
      </c>
      <c r="G221" s="10">
        <f>IF($A221="","",IF($AM221&gt;0,"Y","N"))</f>
        <v/>
      </c>
      <c r="H221" s="10">
        <f>IF($A221="","",IF(SUMPRODUCT((excl_HTS&lt;&gt;"")*(LEFT($C221,LEN(excl_HTS))=excl_HTS))&gt;0,"Y","N"))</f>
        <v/>
      </c>
      <c r="I221" s="10">
        <f>IF($A221="","",IF($E221="","N",IF(SUMPRODUCT(--(UPPER(TRIM(CLEAN(SUBSTITUTE(scope_COO&amp;""," "," "))))=$E221))&gt;0,"Y","N")))</f>
        <v/>
      </c>
      <c r="J221" s="10">
        <f>IF($A221="","",IF(AND(UPPER(TRIM(CLEAN(SUBSTITUTE(act_USMCAExempt&amp;""," "," "))))="Y",UPPER(TRIM(CLEAN(SUBSTITUTE(Items!F221&amp;""," "," "))))="Y"),"Y","N"))</f>
        <v/>
      </c>
      <c r="K221" s="10">
        <f>IF($A221="","",IF($AQ221=0,"",UPPER(TRIM(CLEAN(SUBSTITUTE(INDEX(det_Status,$AQ221)&amp;""," "," "))))))</f>
        <v/>
      </c>
      <c r="L221" s="10">
        <f>IF($A221="","",IF($F221="N","N",IF($K221="IN","Y",IF($K221="OUT","N",IF(AND($G221="Y",$H221="N",$I221="Y",$J221="N"),"Y","N")))))</f>
        <v/>
      </c>
      <c r="M221" s="10">
        <f>IF($A221="","",IF($F221="N","Out: different import country",IF($K221="IN","In: Research determination",IF($K221="OUT","Out: Research determination",IF($G221="N","Out: HTS not on scope list",IF($H221="Y","Out: HTS on exclusion list",IF($I221="N","Out: origin not on scope list",IF($J221="Y","Out: USMCA-qualifying, exempt","In: matches scope rules"))))))))</f>
        <v/>
      </c>
      <c r="N221" s="10">
        <f>IF(OR($A221="",$AM221=0),"",UPPER(TRIM(CLEAN(SUBSTITUTE(INDEX(scope_Group,MOD($AM221,1000))&amp;""," "," ")))))</f>
        <v/>
      </c>
      <c r="O221" s="10">
        <f>IF($L221&lt;&gt;"Y","",IF($AO221=0,"Default (B15)",UPPER(TRIM(CLEAN(SUBSTITUTE(INDEX(rate_ID,MOD($AO221,100))&amp;""," "," "))))))</f>
        <v/>
      </c>
      <c r="P221" s="10">
        <f>IF($L221&lt;&gt;"Y","",IF($AO221=0,IF(UPPER(TRIM(CLEAN(SUBSTITUTE(act_DefaultBase&amp;""," "," "))))="PART","PART","FULL"),IF(UPPER(TRIM(CLEAN(SUBSTITUTE(INDEX(rate_Base,MOD($AO221,100))&amp;""," "," "))))="PART","PART","FULL")))</f>
        <v/>
      </c>
      <c r="Q221" s="17">
        <f>IF($A221="","",N(Items!J221))</f>
        <v/>
      </c>
      <c r="R221" s="17">
        <f>IF($A221="","",IF($L221&lt;&gt;"Y",0,IF($AO221=0,N(act_Rate),N(INDEX(rate_Rate,MOD($AO221,100))))))</f>
        <v/>
      </c>
      <c r="S221" s="17">
        <f>IF($A221="","",IF($L221&lt;&gt;"Y",0,IF($AO221=0,IF(UPPER(TRIM(CLEAN(SUBSTITUTE(act_RateType&amp;""," "," "))))="REPLACE",N(act_PriorRate),0),IF(ISNUMBER(INDEX(rate_Prior,MOD($AO221,100))),INDEX(rate_Prior,MOD($AO221,100)),IF(UPPER(TRIM(CLEAN(SUBSTITUTE(act_RateType&amp;""," "," "))))="REPLACE",N(act_PriorRate),0)))))</f>
        <v/>
      </c>
      <c r="T221" s="17">
        <f>IF($A221="","",IF(AND($L221="Y",$P221="PART",ISNUMBER(Items!M221)),Items!M221,1))</f>
        <v/>
      </c>
      <c r="U221" s="17">
        <f>IF($A221="","",IF($L221&lt;&gt;"Y",0,IF($AQ221&gt;0,IF(ISNUMBER(INDEX(det_Displaced,$AQ221)),INDEX(det_Displaced,$AQ221),IF($AO221=0,0,N(INDEX(rate_Displaced,MOD($AO221,100))))),IF($AO221=0,0,N(INDEX(rate_Displaced,MOD($AO221,100)))))))</f>
        <v/>
      </c>
      <c r="V221" s="17">
        <f>IF($A221="","",IF($L221="Y",$Q221+$T221*($R221-$S221)-$U221,$Q221))</f>
        <v/>
      </c>
      <c r="W221" s="18">
        <f>IF($A221="","",N(Items!H221)*$Q221)</f>
        <v/>
      </c>
      <c r="X221" s="18">
        <f>IF($A221="","",N(Items!H221)*$V221)</f>
        <v/>
      </c>
      <c r="Y221" s="18">
        <f>IF($A221="","",$X221-$W221)</f>
        <v/>
      </c>
      <c r="Z221" s="18">
        <f>IF($A221="","",N(Items!K221)+$Y221)</f>
        <v/>
      </c>
      <c r="AA221" s="17">
        <f>IF($A221="","",IF(N(Items!L221)=0,"",(N(Items!L221)-N(Items!K221))/N(Items!L221)))</f>
        <v/>
      </c>
      <c r="AB221" s="17">
        <f>IF($A221="","",IF(N(Items!L221)=0,"",(N(Items!L221)-$Z221)/N(Items!L221)))</f>
        <v/>
      </c>
      <c r="AC221" s="17">
        <f>IF(OR($AA221="",$AB221=""),"",$AB221-$AA221)</f>
        <v/>
      </c>
      <c r="AD221" s="13">
        <f>IF($A221="","",N(Items!I221))</f>
        <v/>
      </c>
      <c r="AE221" s="19">
        <f>IF($A221="","",$Y221*$AD221)</f>
        <v/>
      </c>
      <c r="AF221" s="10">
        <f>IF($A221="","",IF(N(Items!L221)&gt;0,"Y","N"))</f>
        <v/>
      </c>
      <c r="AG221" s="19">
        <f>IF($A221="","",IF($AF221="Y",N(Items!L221)*$AD221,0))</f>
        <v/>
      </c>
      <c r="AH221" s="19">
        <f>IF($A221="","",IF($AF221="Y",(N(Items!L221)-N(Items!K221))*$AD221,0))</f>
        <v/>
      </c>
      <c r="AI221" s="19">
        <f>IF($A221="","",IF($AF221="Y",$AH221-$AE221,0))</f>
        <v/>
      </c>
      <c r="AJ221" s="10">
        <f>IF($A221="","",IF(COUNTIF($AL$5:$AL$254,$AL221)&gt;1,"CHECK: duplicate item and import country",IF(TRIM(CLEAN(SUBSTITUTE(Items!C221&amp;""," "," ")))="","CHECK: import country missing",IF(AND(UPPER(TRIM(CLEAN(SUBSTITUTE(Items!C221&amp;""," "," "))))&lt;&gt;"US",UPPER(TRIM(CLEAN(SUBSTITUTE(Items!C221&amp;""," "," "))))&lt;&gt;"CA",UPPER(TRIM(CLEAN(SUBSTITUTE(Items!C221&amp;""," "," "))))&lt;&gt;"MX"),"CHECK: import country must be US, CA or MX",IF(NOT(AND(LEN($C221)=10,IFERROR(TEXT(VALUE($C221),REPT("0",LEN($C221)))=$C221,FALSE))),"CHECK: HTS must be 10 digits",IF(LEN($E221)&lt;&gt;2,"CHECK: origin code missing or not 2 letters",IF(TRIM(CLEAN(SUBSTITUTE(Items!G221&amp;""," "," ")))="","CHECK: unit of measure missing",IF(OR(Items!H221="",Items!J221="",Items!K221=""),"CHECK: value, rate or cost missing",IF(OR(NOT(ISNUMBER(Items!H221)),NOT(ISNUMBER(Items!J221)),NOT(ISNUMBER(Items!K221)),AND(Items!I221&lt;&gt;"",NOT(ISNUMBER(Items!I221))),AND(Items!L221&lt;&gt;"",NOT(ISNUMBER(Items!L221))),AND(Items!M221&lt;&gt;"",NOT(ISNUMBER(Items!M221)))),"CHECK: text in a number column",IF(AND(ISNUMBER(Items!M221),OR(N(Items!M221)&lt;0,N(Items!M221)&gt;1)),"CHECK: dutiable share must be 0% to 100%",IF(AND(UPPER(TRIM(CLEAN(SUBSTITUTE(Items!F221&amp;""," "," "))))&lt;&gt;"",UPPER(TRIM(CLEAN(SUBSTITUTE(Items!F221&amp;""," "," "))))&lt;&gt;"Y",UPPER(TRIM(CLEAN(SUBSTITUTE(Items!F221&amp;""," "," "))))&lt;&gt;"N"),"CHECK: USMCA flag must be Y, N or blank",IF(AND(UPPER(TRIM(CLEAN(SUBSTITUTE(Items!F221&amp;""," "," "))))="Y",$E221&lt;&gt;"US",$E221&lt;&gt;"CA",$E221&lt;&gt;"MX"),"CHECK: USMCA flag on an origin other than US, CA or MX",IF(AND($L221="Y",$AO221=0,NOT(ISNUMBER(act_Rate))),"CHECK: in scope but no rate (add a rate line or B15)",IF(AND($L221="Y",UPPER(TRIM(CLEAN(SUBSTITUTE(act_RateType&amp;""," "," "))))="REPLACE",NOT(ISNUMBER(act_PriorRate)),IF($AO221=0,TRUE,NOT(ISNUMBER(INDEX(rate_Prior,MOD($AO221,100)))))),"CHECK: REPLACE but no earlier rate (B17 or the rate line's AD)",IF(AND($L221="Y",$AP221&gt;1),"CHECK: two rate lines match equally",IF(AND($L221="Y",$AN221&gt;1),"CHECK: HTS prefix listed twice on the scope list",IF(AND($L221="Y",$P221="PART",NOT(ISNUMBER(Items!M221))),"CHECK: dutiable share missing (PART base)",IF(AND($L221="Y",$P221="FULL",ISNUMBER(Items!M221),N(Items!M221)&lt;&gt;1),"CHECK: dutiable share entered, but the rate taxes the full value",IF(AND($L221="Y",$Q221+0.0000001&lt;$T221*$S221+$U221),"CHECK: current rate is below the duty being replaced or displaced",IF(AND($L221="Y",$AD221=0),"NOTE: in scope, no quantity",IF(AND($L221="Y",$AF221="N"),"NOTE: in scope, no sell price (left out of margin %)",IF(AND($L221="Y",N(Items!H221)&gt;N(Items!K221)),"NOTE: customs value above standard cost (check unit of measure)",IF(AND($L221="Y",$Q221&gt;1),"NOTE: current rate above 100% (check it was entered as a percentage)","OK")))))))))))))))))))))))</f>
        <v/>
      </c>
      <c r="AK221" s="20">
        <f>IF($A221="","",IF(AND($L221="Y",$AE221&lt;&gt;0),ABS($AE221)+ROW()/1000000000,""))</f>
        <v/>
      </c>
      <c r="AL221" s="10">
        <f>IF($A221="","",UPPER($A221)&amp;"/"&amp;UPPER(TRIM(CLEAN(SUBSTITUTE(Items!C221&amp;""," "," ")))))</f>
        <v/>
      </c>
      <c r="AM221" s="13">
        <f>IF($A221="",0,SUMPRODUCT(MAX((scope_HTS&lt;&gt;"")*(LEFT($C221,LEN(scope_HTS))=scope_HTS)*(LEN(scope_HTS)*1000+ROW(scope_HTS)-4))))</f>
        <v/>
      </c>
      <c r="AN221" s="13">
        <f>IF($AM221=0,0,SUMPRODUCT((scope_HTS&lt;&gt;"")*(LEFT($C221,LEN(scope_HTS))=scope_HTS)*(LEN(scope_HTS)=INT($AM221/1000))))</f>
        <v/>
      </c>
      <c r="AO221" s="13">
        <f>IF($L221&lt;&gt;"Y",0,SUMPRODUCT(MAX(ISNUMBER(rate_Rate)*((UPPER(TRIM(CLEAN(SUBSTITUTE(rate_Group&amp;""," "," "))))="")+(UPPER(TRIM(CLEAN(SUBSTITUTE(rate_Group&amp;""," "," "))))=$N221)&gt;0)*((UPPER(TRIM(CLEAN(SUBSTITUTE(rate_COO&amp;""," "," "))))="")+(UPPER(TRIM(CLEAN(SUBSTITUTE(rate_COO&amp;""," "," "))))=$E221)&gt;0)*((UPPER(TRIM(CLEAN(SUBSTITUTE(rate_USMCA&amp;""," "," "))))="")+(UPPER(TRIM(CLEAN(SUBSTITUTE(rate_USMCA&amp;""," "," "))))=IF(UPPER(TRIM(CLEAN(SUBSTITUTE(Items!F221&amp;""," "," "))))="Y","Y","N"))&gt;0)*((1+(UPPER(TRIM(CLEAN(SUBSTITUTE(rate_Group&amp;""," "," "))))&lt;&gt;"")+2*(UPPER(TRIM(CLEAN(SUBSTITUTE(rate_USMCA&amp;""," "," "))))&lt;&gt;"")+4*(UPPER(TRIM(CLEAN(SUBSTITUTE(rate_COO&amp;""," "," "))))&lt;&gt;""))*100+ROW(rate_Rate)-4))))</f>
        <v/>
      </c>
      <c r="AP221" s="13">
        <f>IF($AO221=0,0,SUMPRODUCT(ISNUMBER(rate_Rate)*((UPPER(TRIM(CLEAN(SUBSTITUTE(rate_Group&amp;""," "," "))))="")+(UPPER(TRIM(CLEAN(SUBSTITUTE(rate_Group&amp;""," "," "))))=$N221)&gt;0)*((UPPER(TRIM(CLEAN(SUBSTITUTE(rate_COO&amp;""," "," "))))="")+(UPPER(TRIM(CLEAN(SUBSTITUTE(rate_COO&amp;""," "," "))))=$E221)&gt;0)*((UPPER(TRIM(CLEAN(SUBSTITUTE(rate_USMCA&amp;""," "," "))))="")+(UPPER(TRIM(CLEAN(SUBSTITUTE(rate_USMCA&amp;""," "," "))))=IF(UPPER(TRIM(CLEAN(SUBSTITUTE(Items!F221&amp;""," "," "))))="Y","Y","N"))&gt;0)*((1+(UPPER(TRIM(CLEAN(SUBSTITUTE(rate_Group&amp;""," "," "))))&lt;&gt;"")+2*(UPPER(TRIM(CLEAN(SUBSTITUTE(rate_USMCA&amp;""," "," "))))&lt;&gt;"")+4*(UPPER(TRIM(CLEAN(SUBSTITUTE(rate_COO&amp;""," "," "))))&lt;&gt;""))=INT($AO221/100))))</f>
        <v/>
      </c>
      <c r="AQ221" s="13">
        <f>IF($A221="",0,IFERROR(MATCH($AL221,det_Key,0),0))</f>
        <v/>
      </c>
    </row>
    <row r="222">
      <c r="A222" s="10">
        <f>IF(TRIM(CLEAN(SUBSTITUTE(Items!A222&amp;""," "," ")))="","",TRIM(CLEAN(SUBSTITUTE(Items!A222&amp;""," "," "))))</f>
        <v/>
      </c>
      <c r="B222" s="10">
        <f>IF($A222="","",Items!B222&amp;"")</f>
        <v/>
      </c>
      <c r="C222" s="10">
        <f>IF($A222="","",SUBSTITUTE(SUBSTITUTE(SUBSTITUTE(SUBSTITUTE(CLEAN(Items!D222&amp;"")," ",""),".","")," ",""),"-",""))</f>
        <v/>
      </c>
      <c r="D222" s="10">
        <f>IF($A222="","",LEFT($C222,2))</f>
        <v/>
      </c>
      <c r="E222" s="10">
        <f>IF($A222="","",UPPER(TRIM(CLEAN(SUBSTITUTE(Items!E222&amp;""," "," ")))))</f>
        <v/>
      </c>
      <c r="F222" s="10">
        <f>IF($A222="","",IF(UPPER(TRIM(CLEAN(SUBSTITUTE(Items!C222&amp;""," "," "))))=UPPER(TRIM(CLEAN(SUBSTITUTE(act_Country&amp;""," "," ")))),"Y","N"))</f>
        <v/>
      </c>
      <c r="G222" s="10">
        <f>IF($A222="","",IF($AM222&gt;0,"Y","N"))</f>
        <v/>
      </c>
      <c r="H222" s="10">
        <f>IF($A222="","",IF(SUMPRODUCT((excl_HTS&lt;&gt;"")*(LEFT($C222,LEN(excl_HTS))=excl_HTS))&gt;0,"Y","N"))</f>
        <v/>
      </c>
      <c r="I222" s="10">
        <f>IF($A222="","",IF($E222="","N",IF(SUMPRODUCT(--(UPPER(TRIM(CLEAN(SUBSTITUTE(scope_COO&amp;""," "," "))))=$E222))&gt;0,"Y","N")))</f>
        <v/>
      </c>
      <c r="J222" s="10">
        <f>IF($A222="","",IF(AND(UPPER(TRIM(CLEAN(SUBSTITUTE(act_USMCAExempt&amp;""," "," "))))="Y",UPPER(TRIM(CLEAN(SUBSTITUTE(Items!F222&amp;""," "," "))))="Y"),"Y","N"))</f>
        <v/>
      </c>
      <c r="K222" s="10">
        <f>IF($A222="","",IF($AQ222=0,"",UPPER(TRIM(CLEAN(SUBSTITUTE(INDEX(det_Status,$AQ222)&amp;""," "," "))))))</f>
        <v/>
      </c>
      <c r="L222" s="10">
        <f>IF($A222="","",IF($F222="N","N",IF($K222="IN","Y",IF($K222="OUT","N",IF(AND($G222="Y",$H222="N",$I222="Y",$J222="N"),"Y","N")))))</f>
        <v/>
      </c>
      <c r="M222" s="10">
        <f>IF($A222="","",IF($F222="N","Out: different import country",IF($K222="IN","In: Research determination",IF($K222="OUT","Out: Research determination",IF($G222="N","Out: HTS not on scope list",IF($H222="Y","Out: HTS on exclusion list",IF($I222="N","Out: origin not on scope list",IF($J222="Y","Out: USMCA-qualifying, exempt","In: matches scope rules"))))))))</f>
        <v/>
      </c>
      <c r="N222" s="10">
        <f>IF(OR($A222="",$AM222=0),"",UPPER(TRIM(CLEAN(SUBSTITUTE(INDEX(scope_Group,MOD($AM222,1000))&amp;""," "," ")))))</f>
        <v/>
      </c>
      <c r="O222" s="10">
        <f>IF($L222&lt;&gt;"Y","",IF($AO222=0,"Default (B15)",UPPER(TRIM(CLEAN(SUBSTITUTE(INDEX(rate_ID,MOD($AO222,100))&amp;""," "," "))))))</f>
        <v/>
      </c>
      <c r="P222" s="10">
        <f>IF($L222&lt;&gt;"Y","",IF($AO222=0,IF(UPPER(TRIM(CLEAN(SUBSTITUTE(act_DefaultBase&amp;""," "," "))))="PART","PART","FULL"),IF(UPPER(TRIM(CLEAN(SUBSTITUTE(INDEX(rate_Base,MOD($AO222,100))&amp;""," "," "))))="PART","PART","FULL")))</f>
        <v/>
      </c>
      <c r="Q222" s="17">
        <f>IF($A222="","",N(Items!J222))</f>
        <v/>
      </c>
      <c r="R222" s="17">
        <f>IF($A222="","",IF($L222&lt;&gt;"Y",0,IF($AO222=0,N(act_Rate),N(INDEX(rate_Rate,MOD($AO222,100))))))</f>
        <v/>
      </c>
      <c r="S222" s="17">
        <f>IF($A222="","",IF($L222&lt;&gt;"Y",0,IF($AO222=0,IF(UPPER(TRIM(CLEAN(SUBSTITUTE(act_RateType&amp;""," "," "))))="REPLACE",N(act_PriorRate),0),IF(ISNUMBER(INDEX(rate_Prior,MOD($AO222,100))),INDEX(rate_Prior,MOD($AO222,100)),IF(UPPER(TRIM(CLEAN(SUBSTITUTE(act_RateType&amp;""," "," "))))="REPLACE",N(act_PriorRate),0)))))</f>
        <v/>
      </c>
      <c r="T222" s="17">
        <f>IF($A222="","",IF(AND($L222="Y",$P222="PART",ISNUMBER(Items!M222)),Items!M222,1))</f>
        <v/>
      </c>
      <c r="U222" s="17">
        <f>IF($A222="","",IF($L222&lt;&gt;"Y",0,IF($AQ222&gt;0,IF(ISNUMBER(INDEX(det_Displaced,$AQ222)),INDEX(det_Displaced,$AQ222),IF($AO222=0,0,N(INDEX(rate_Displaced,MOD($AO222,100))))),IF($AO222=0,0,N(INDEX(rate_Displaced,MOD($AO222,100)))))))</f>
        <v/>
      </c>
      <c r="V222" s="17">
        <f>IF($A222="","",IF($L222="Y",$Q222+$T222*($R222-$S222)-$U222,$Q222))</f>
        <v/>
      </c>
      <c r="W222" s="18">
        <f>IF($A222="","",N(Items!H222)*$Q222)</f>
        <v/>
      </c>
      <c r="X222" s="18">
        <f>IF($A222="","",N(Items!H222)*$V222)</f>
        <v/>
      </c>
      <c r="Y222" s="18">
        <f>IF($A222="","",$X222-$W222)</f>
        <v/>
      </c>
      <c r="Z222" s="18">
        <f>IF($A222="","",N(Items!K222)+$Y222)</f>
        <v/>
      </c>
      <c r="AA222" s="17">
        <f>IF($A222="","",IF(N(Items!L222)=0,"",(N(Items!L222)-N(Items!K222))/N(Items!L222)))</f>
        <v/>
      </c>
      <c r="AB222" s="17">
        <f>IF($A222="","",IF(N(Items!L222)=0,"",(N(Items!L222)-$Z222)/N(Items!L222)))</f>
        <v/>
      </c>
      <c r="AC222" s="17">
        <f>IF(OR($AA222="",$AB222=""),"",$AB222-$AA222)</f>
        <v/>
      </c>
      <c r="AD222" s="13">
        <f>IF($A222="","",N(Items!I222))</f>
        <v/>
      </c>
      <c r="AE222" s="19">
        <f>IF($A222="","",$Y222*$AD222)</f>
        <v/>
      </c>
      <c r="AF222" s="10">
        <f>IF($A222="","",IF(N(Items!L222)&gt;0,"Y","N"))</f>
        <v/>
      </c>
      <c r="AG222" s="19">
        <f>IF($A222="","",IF($AF222="Y",N(Items!L222)*$AD222,0))</f>
        <v/>
      </c>
      <c r="AH222" s="19">
        <f>IF($A222="","",IF($AF222="Y",(N(Items!L222)-N(Items!K222))*$AD222,0))</f>
        <v/>
      </c>
      <c r="AI222" s="19">
        <f>IF($A222="","",IF($AF222="Y",$AH222-$AE222,0))</f>
        <v/>
      </c>
      <c r="AJ222" s="10">
        <f>IF($A222="","",IF(COUNTIF($AL$5:$AL$254,$AL222)&gt;1,"CHECK: duplicate item and import country",IF(TRIM(CLEAN(SUBSTITUTE(Items!C222&amp;""," "," ")))="","CHECK: import country missing",IF(AND(UPPER(TRIM(CLEAN(SUBSTITUTE(Items!C222&amp;""," "," "))))&lt;&gt;"US",UPPER(TRIM(CLEAN(SUBSTITUTE(Items!C222&amp;""," "," "))))&lt;&gt;"CA",UPPER(TRIM(CLEAN(SUBSTITUTE(Items!C222&amp;""," "," "))))&lt;&gt;"MX"),"CHECK: import country must be US, CA or MX",IF(NOT(AND(LEN($C222)=10,IFERROR(TEXT(VALUE($C222),REPT("0",LEN($C222)))=$C222,FALSE))),"CHECK: HTS must be 10 digits",IF(LEN($E222)&lt;&gt;2,"CHECK: origin code missing or not 2 letters",IF(TRIM(CLEAN(SUBSTITUTE(Items!G222&amp;""," "," ")))="","CHECK: unit of measure missing",IF(OR(Items!H222="",Items!J222="",Items!K222=""),"CHECK: value, rate or cost missing",IF(OR(NOT(ISNUMBER(Items!H222)),NOT(ISNUMBER(Items!J222)),NOT(ISNUMBER(Items!K222)),AND(Items!I222&lt;&gt;"",NOT(ISNUMBER(Items!I222))),AND(Items!L222&lt;&gt;"",NOT(ISNUMBER(Items!L222))),AND(Items!M222&lt;&gt;"",NOT(ISNUMBER(Items!M222)))),"CHECK: text in a number column",IF(AND(ISNUMBER(Items!M222),OR(N(Items!M222)&lt;0,N(Items!M222)&gt;1)),"CHECK: dutiable share must be 0% to 100%",IF(AND(UPPER(TRIM(CLEAN(SUBSTITUTE(Items!F222&amp;""," "," "))))&lt;&gt;"",UPPER(TRIM(CLEAN(SUBSTITUTE(Items!F222&amp;""," "," "))))&lt;&gt;"Y",UPPER(TRIM(CLEAN(SUBSTITUTE(Items!F222&amp;""," "," "))))&lt;&gt;"N"),"CHECK: USMCA flag must be Y, N or blank",IF(AND(UPPER(TRIM(CLEAN(SUBSTITUTE(Items!F222&amp;""," "," "))))="Y",$E222&lt;&gt;"US",$E222&lt;&gt;"CA",$E222&lt;&gt;"MX"),"CHECK: USMCA flag on an origin other than US, CA or MX",IF(AND($L222="Y",$AO222=0,NOT(ISNUMBER(act_Rate))),"CHECK: in scope but no rate (add a rate line or B15)",IF(AND($L222="Y",UPPER(TRIM(CLEAN(SUBSTITUTE(act_RateType&amp;""," "," "))))="REPLACE",NOT(ISNUMBER(act_PriorRate)),IF($AO222=0,TRUE,NOT(ISNUMBER(INDEX(rate_Prior,MOD($AO222,100)))))),"CHECK: REPLACE but no earlier rate (B17 or the rate line's AD)",IF(AND($L222="Y",$AP222&gt;1),"CHECK: two rate lines match equally",IF(AND($L222="Y",$AN222&gt;1),"CHECK: HTS prefix listed twice on the scope list",IF(AND($L222="Y",$P222="PART",NOT(ISNUMBER(Items!M222))),"CHECK: dutiable share missing (PART base)",IF(AND($L222="Y",$P222="FULL",ISNUMBER(Items!M222),N(Items!M222)&lt;&gt;1),"CHECK: dutiable share entered, but the rate taxes the full value",IF(AND($L222="Y",$Q222+0.0000001&lt;$T222*$S222+$U222),"CHECK: current rate is below the duty being replaced or displaced",IF(AND($L222="Y",$AD222=0),"NOTE: in scope, no quantity",IF(AND($L222="Y",$AF222="N"),"NOTE: in scope, no sell price (left out of margin %)",IF(AND($L222="Y",N(Items!H222)&gt;N(Items!K222)),"NOTE: customs value above standard cost (check unit of measure)",IF(AND($L222="Y",$Q222&gt;1),"NOTE: current rate above 100% (check it was entered as a percentage)","OK")))))))))))))))))))))))</f>
        <v/>
      </c>
      <c r="AK222" s="20">
        <f>IF($A222="","",IF(AND($L222="Y",$AE222&lt;&gt;0),ABS($AE222)+ROW()/1000000000,""))</f>
        <v/>
      </c>
      <c r="AL222" s="10">
        <f>IF($A222="","",UPPER($A222)&amp;"/"&amp;UPPER(TRIM(CLEAN(SUBSTITUTE(Items!C222&amp;""," "," ")))))</f>
        <v/>
      </c>
      <c r="AM222" s="13">
        <f>IF($A222="",0,SUMPRODUCT(MAX((scope_HTS&lt;&gt;"")*(LEFT($C222,LEN(scope_HTS))=scope_HTS)*(LEN(scope_HTS)*1000+ROW(scope_HTS)-4))))</f>
        <v/>
      </c>
      <c r="AN222" s="13">
        <f>IF($AM222=0,0,SUMPRODUCT((scope_HTS&lt;&gt;"")*(LEFT($C222,LEN(scope_HTS))=scope_HTS)*(LEN(scope_HTS)=INT($AM222/1000))))</f>
        <v/>
      </c>
      <c r="AO222" s="13">
        <f>IF($L222&lt;&gt;"Y",0,SUMPRODUCT(MAX(ISNUMBER(rate_Rate)*((UPPER(TRIM(CLEAN(SUBSTITUTE(rate_Group&amp;""," "," "))))="")+(UPPER(TRIM(CLEAN(SUBSTITUTE(rate_Group&amp;""," "," "))))=$N222)&gt;0)*((UPPER(TRIM(CLEAN(SUBSTITUTE(rate_COO&amp;""," "," "))))="")+(UPPER(TRIM(CLEAN(SUBSTITUTE(rate_COO&amp;""," "," "))))=$E222)&gt;0)*((UPPER(TRIM(CLEAN(SUBSTITUTE(rate_USMCA&amp;""," "," "))))="")+(UPPER(TRIM(CLEAN(SUBSTITUTE(rate_USMCA&amp;""," "," "))))=IF(UPPER(TRIM(CLEAN(SUBSTITUTE(Items!F222&amp;""," "," "))))="Y","Y","N"))&gt;0)*((1+(UPPER(TRIM(CLEAN(SUBSTITUTE(rate_Group&amp;""," "," "))))&lt;&gt;"")+2*(UPPER(TRIM(CLEAN(SUBSTITUTE(rate_USMCA&amp;""," "," "))))&lt;&gt;"")+4*(UPPER(TRIM(CLEAN(SUBSTITUTE(rate_COO&amp;""," "," "))))&lt;&gt;""))*100+ROW(rate_Rate)-4))))</f>
        <v/>
      </c>
      <c r="AP222" s="13">
        <f>IF($AO222=0,0,SUMPRODUCT(ISNUMBER(rate_Rate)*((UPPER(TRIM(CLEAN(SUBSTITUTE(rate_Group&amp;""," "," "))))="")+(UPPER(TRIM(CLEAN(SUBSTITUTE(rate_Group&amp;""," "," "))))=$N222)&gt;0)*((UPPER(TRIM(CLEAN(SUBSTITUTE(rate_COO&amp;""," "," "))))="")+(UPPER(TRIM(CLEAN(SUBSTITUTE(rate_COO&amp;""," "," "))))=$E222)&gt;0)*((UPPER(TRIM(CLEAN(SUBSTITUTE(rate_USMCA&amp;""," "," "))))="")+(UPPER(TRIM(CLEAN(SUBSTITUTE(rate_USMCA&amp;""," "," "))))=IF(UPPER(TRIM(CLEAN(SUBSTITUTE(Items!F222&amp;""," "," "))))="Y","Y","N"))&gt;0)*((1+(UPPER(TRIM(CLEAN(SUBSTITUTE(rate_Group&amp;""," "," "))))&lt;&gt;"")+2*(UPPER(TRIM(CLEAN(SUBSTITUTE(rate_USMCA&amp;""," "," "))))&lt;&gt;"")+4*(UPPER(TRIM(CLEAN(SUBSTITUTE(rate_COO&amp;""," "," "))))&lt;&gt;""))=INT($AO222/100))))</f>
        <v/>
      </c>
      <c r="AQ222" s="13">
        <f>IF($A222="",0,IFERROR(MATCH($AL222,det_Key,0),0))</f>
        <v/>
      </c>
    </row>
    <row r="223">
      <c r="A223" s="10">
        <f>IF(TRIM(CLEAN(SUBSTITUTE(Items!A223&amp;""," "," ")))="","",TRIM(CLEAN(SUBSTITUTE(Items!A223&amp;""," "," "))))</f>
        <v/>
      </c>
      <c r="B223" s="10">
        <f>IF($A223="","",Items!B223&amp;"")</f>
        <v/>
      </c>
      <c r="C223" s="10">
        <f>IF($A223="","",SUBSTITUTE(SUBSTITUTE(SUBSTITUTE(SUBSTITUTE(CLEAN(Items!D223&amp;"")," ",""),".","")," ",""),"-",""))</f>
        <v/>
      </c>
      <c r="D223" s="10">
        <f>IF($A223="","",LEFT($C223,2))</f>
        <v/>
      </c>
      <c r="E223" s="10">
        <f>IF($A223="","",UPPER(TRIM(CLEAN(SUBSTITUTE(Items!E223&amp;""," "," ")))))</f>
        <v/>
      </c>
      <c r="F223" s="10">
        <f>IF($A223="","",IF(UPPER(TRIM(CLEAN(SUBSTITUTE(Items!C223&amp;""," "," "))))=UPPER(TRIM(CLEAN(SUBSTITUTE(act_Country&amp;""," "," ")))),"Y","N"))</f>
        <v/>
      </c>
      <c r="G223" s="10">
        <f>IF($A223="","",IF($AM223&gt;0,"Y","N"))</f>
        <v/>
      </c>
      <c r="H223" s="10">
        <f>IF($A223="","",IF(SUMPRODUCT((excl_HTS&lt;&gt;"")*(LEFT($C223,LEN(excl_HTS))=excl_HTS))&gt;0,"Y","N"))</f>
        <v/>
      </c>
      <c r="I223" s="10">
        <f>IF($A223="","",IF($E223="","N",IF(SUMPRODUCT(--(UPPER(TRIM(CLEAN(SUBSTITUTE(scope_COO&amp;""," "," "))))=$E223))&gt;0,"Y","N")))</f>
        <v/>
      </c>
      <c r="J223" s="10">
        <f>IF($A223="","",IF(AND(UPPER(TRIM(CLEAN(SUBSTITUTE(act_USMCAExempt&amp;""," "," "))))="Y",UPPER(TRIM(CLEAN(SUBSTITUTE(Items!F223&amp;""," "," "))))="Y"),"Y","N"))</f>
        <v/>
      </c>
      <c r="K223" s="10">
        <f>IF($A223="","",IF($AQ223=0,"",UPPER(TRIM(CLEAN(SUBSTITUTE(INDEX(det_Status,$AQ223)&amp;""," "," "))))))</f>
        <v/>
      </c>
      <c r="L223" s="10">
        <f>IF($A223="","",IF($F223="N","N",IF($K223="IN","Y",IF($K223="OUT","N",IF(AND($G223="Y",$H223="N",$I223="Y",$J223="N"),"Y","N")))))</f>
        <v/>
      </c>
      <c r="M223" s="10">
        <f>IF($A223="","",IF($F223="N","Out: different import country",IF($K223="IN","In: Research determination",IF($K223="OUT","Out: Research determination",IF($G223="N","Out: HTS not on scope list",IF($H223="Y","Out: HTS on exclusion list",IF($I223="N","Out: origin not on scope list",IF($J223="Y","Out: USMCA-qualifying, exempt","In: matches scope rules"))))))))</f>
        <v/>
      </c>
      <c r="N223" s="10">
        <f>IF(OR($A223="",$AM223=0),"",UPPER(TRIM(CLEAN(SUBSTITUTE(INDEX(scope_Group,MOD($AM223,1000))&amp;""," "," ")))))</f>
        <v/>
      </c>
      <c r="O223" s="10">
        <f>IF($L223&lt;&gt;"Y","",IF($AO223=0,"Default (B15)",UPPER(TRIM(CLEAN(SUBSTITUTE(INDEX(rate_ID,MOD($AO223,100))&amp;""," "," "))))))</f>
        <v/>
      </c>
      <c r="P223" s="10">
        <f>IF($L223&lt;&gt;"Y","",IF($AO223=0,IF(UPPER(TRIM(CLEAN(SUBSTITUTE(act_DefaultBase&amp;""," "," "))))="PART","PART","FULL"),IF(UPPER(TRIM(CLEAN(SUBSTITUTE(INDEX(rate_Base,MOD($AO223,100))&amp;""," "," "))))="PART","PART","FULL")))</f>
        <v/>
      </c>
      <c r="Q223" s="17">
        <f>IF($A223="","",N(Items!J223))</f>
        <v/>
      </c>
      <c r="R223" s="17">
        <f>IF($A223="","",IF($L223&lt;&gt;"Y",0,IF($AO223=0,N(act_Rate),N(INDEX(rate_Rate,MOD($AO223,100))))))</f>
        <v/>
      </c>
      <c r="S223" s="17">
        <f>IF($A223="","",IF($L223&lt;&gt;"Y",0,IF($AO223=0,IF(UPPER(TRIM(CLEAN(SUBSTITUTE(act_RateType&amp;""," "," "))))="REPLACE",N(act_PriorRate),0),IF(ISNUMBER(INDEX(rate_Prior,MOD($AO223,100))),INDEX(rate_Prior,MOD($AO223,100)),IF(UPPER(TRIM(CLEAN(SUBSTITUTE(act_RateType&amp;""," "," "))))="REPLACE",N(act_PriorRate),0)))))</f>
        <v/>
      </c>
      <c r="T223" s="17">
        <f>IF($A223="","",IF(AND($L223="Y",$P223="PART",ISNUMBER(Items!M223)),Items!M223,1))</f>
        <v/>
      </c>
      <c r="U223" s="17">
        <f>IF($A223="","",IF($L223&lt;&gt;"Y",0,IF($AQ223&gt;0,IF(ISNUMBER(INDEX(det_Displaced,$AQ223)),INDEX(det_Displaced,$AQ223),IF($AO223=0,0,N(INDEX(rate_Displaced,MOD($AO223,100))))),IF($AO223=0,0,N(INDEX(rate_Displaced,MOD($AO223,100)))))))</f>
        <v/>
      </c>
      <c r="V223" s="17">
        <f>IF($A223="","",IF($L223="Y",$Q223+$T223*($R223-$S223)-$U223,$Q223))</f>
        <v/>
      </c>
      <c r="W223" s="18">
        <f>IF($A223="","",N(Items!H223)*$Q223)</f>
        <v/>
      </c>
      <c r="X223" s="18">
        <f>IF($A223="","",N(Items!H223)*$V223)</f>
        <v/>
      </c>
      <c r="Y223" s="18">
        <f>IF($A223="","",$X223-$W223)</f>
        <v/>
      </c>
      <c r="Z223" s="18">
        <f>IF($A223="","",N(Items!K223)+$Y223)</f>
        <v/>
      </c>
      <c r="AA223" s="17">
        <f>IF($A223="","",IF(N(Items!L223)=0,"",(N(Items!L223)-N(Items!K223))/N(Items!L223)))</f>
        <v/>
      </c>
      <c r="AB223" s="17">
        <f>IF($A223="","",IF(N(Items!L223)=0,"",(N(Items!L223)-$Z223)/N(Items!L223)))</f>
        <v/>
      </c>
      <c r="AC223" s="17">
        <f>IF(OR($AA223="",$AB223=""),"",$AB223-$AA223)</f>
        <v/>
      </c>
      <c r="AD223" s="13">
        <f>IF($A223="","",N(Items!I223))</f>
        <v/>
      </c>
      <c r="AE223" s="19">
        <f>IF($A223="","",$Y223*$AD223)</f>
        <v/>
      </c>
      <c r="AF223" s="10">
        <f>IF($A223="","",IF(N(Items!L223)&gt;0,"Y","N"))</f>
        <v/>
      </c>
      <c r="AG223" s="19">
        <f>IF($A223="","",IF($AF223="Y",N(Items!L223)*$AD223,0))</f>
        <v/>
      </c>
      <c r="AH223" s="19">
        <f>IF($A223="","",IF($AF223="Y",(N(Items!L223)-N(Items!K223))*$AD223,0))</f>
        <v/>
      </c>
      <c r="AI223" s="19">
        <f>IF($A223="","",IF($AF223="Y",$AH223-$AE223,0))</f>
        <v/>
      </c>
      <c r="AJ223" s="10">
        <f>IF($A223="","",IF(COUNTIF($AL$5:$AL$254,$AL223)&gt;1,"CHECK: duplicate item and import country",IF(TRIM(CLEAN(SUBSTITUTE(Items!C223&amp;""," "," ")))="","CHECK: import country missing",IF(AND(UPPER(TRIM(CLEAN(SUBSTITUTE(Items!C223&amp;""," "," "))))&lt;&gt;"US",UPPER(TRIM(CLEAN(SUBSTITUTE(Items!C223&amp;""," "," "))))&lt;&gt;"CA",UPPER(TRIM(CLEAN(SUBSTITUTE(Items!C223&amp;""," "," "))))&lt;&gt;"MX"),"CHECK: import country must be US, CA or MX",IF(NOT(AND(LEN($C223)=10,IFERROR(TEXT(VALUE($C223),REPT("0",LEN($C223)))=$C223,FALSE))),"CHECK: HTS must be 10 digits",IF(LEN($E223)&lt;&gt;2,"CHECK: origin code missing or not 2 letters",IF(TRIM(CLEAN(SUBSTITUTE(Items!G223&amp;""," "," ")))="","CHECK: unit of measure missing",IF(OR(Items!H223="",Items!J223="",Items!K223=""),"CHECK: value, rate or cost missing",IF(OR(NOT(ISNUMBER(Items!H223)),NOT(ISNUMBER(Items!J223)),NOT(ISNUMBER(Items!K223)),AND(Items!I223&lt;&gt;"",NOT(ISNUMBER(Items!I223))),AND(Items!L223&lt;&gt;"",NOT(ISNUMBER(Items!L223))),AND(Items!M223&lt;&gt;"",NOT(ISNUMBER(Items!M223)))),"CHECK: text in a number column",IF(AND(ISNUMBER(Items!M223),OR(N(Items!M223)&lt;0,N(Items!M223)&gt;1)),"CHECK: dutiable share must be 0% to 100%",IF(AND(UPPER(TRIM(CLEAN(SUBSTITUTE(Items!F223&amp;""," "," "))))&lt;&gt;"",UPPER(TRIM(CLEAN(SUBSTITUTE(Items!F223&amp;""," "," "))))&lt;&gt;"Y",UPPER(TRIM(CLEAN(SUBSTITUTE(Items!F223&amp;""," "," "))))&lt;&gt;"N"),"CHECK: USMCA flag must be Y, N or blank",IF(AND(UPPER(TRIM(CLEAN(SUBSTITUTE(Items!F223&amp;""," "," "))))="Y",$E223&lt;&gt;"US",$E223&lt;&gt;"CA",$E223&lt;&gt;"MX"),"CHECK: USMCA flag on an origin other than US, CA or MX",IF(AND($L223="Y",$AO223=0,NOT(ISNUMBER(act_Rate))),"CHECK: in scope but no rate (add a rate line or B15)",IF(AND($L223="Y",UPPER(TRIM(CLEAN(SUBSTITUTE(act_RateType&amp;""," "," "))))="REPLACE",NOT(ISNUMBER(act_PriorRate)),IF($AO223=0,TRUE,NOT(ISNUMBER(INDEX(rate_Prior,MOD($AO223,100)))))),"CHECK: REPLACE but no earlier rate (B17 or the rate line's AD)",IF(AND($L223="Y",$AP223&gt;1),"CHECK: two rate lines match equally",IF(AND($L223="Y",$AN223&gt;1),"CHECK: HTS prefix listed twice on the scope list",IF(AND($L223="Y",$P223="PART",NOT(ISNUMBER(Items!M223))),"CHECK: dutiable share missing (PART base)",IF(AND($L223="Y",$P223="FULL",ISNUMBER(Items!M223),N(Items!M223)&lt;&gt;1),"CHECK: dutiable share entered, but the rate taxes the full value",IF(AND($L223="Y",$Q223+0.0000001&lt;$T223*$S223+$U223),"CHECK: current rate is below the duty being replaced or displaced",IF(AND($L223="Y",$AD223=0),"NOTE: in scope, no quantity",IF(AND($L223="Y",$AF223="N"),"NOTE: in scope, no sell price (left out of margin %)",IF(AND($L223="Y",N(Items!H223)&gt;N(Items!K223)),"NOTE: customs value above standard cost (check unit of measure)",IF(AND($L223="Y",$Q223&gt;1),"NOTE: current rate above 100% (check it was entered as a percentage)","OK")))))))))))))))))))))))</f>
        <v/>
      </c>
      <c r="AK223" s="20">
        <f>IF($A223="","",IF(AND($L223="Y",$AE223&lt;&gt;0),ABS($AE223)+ROW()/1000000000,""))</f>
        <v/>
      </c>
      <c r="AL223" s="10">
        <f>IF($A223="","",UPPER($A223)&amp;"/"&amp;UPPER(TRIM(CLEAN(SUBSTITUTE(Items!C223&amp;""," "," ")))))</f>
        <v/>
      </c>
      <c r="AM223" s="13">
        <f>IF($A223="",0,SUMPRODUCT(MAX((scope_HTS&lt;&gt;"")*(LEFT($C223,LEN(scope_HTS))=scope_HTS)*(LEN(scope_HTS)*1000+ROW(scope_HTS)-4))))</f>
        <v/>
      </c>
      <c r="AN223" s="13">
        <f>IF($AM223=0,0,SUMPRODUCT((scope_HTS&lt;&gt;"")*(LEFT($C223,LEN(scope_HTS))=scope_HTS)*(LEN(scope_HTS)=INT($AM223/1000))))</f>
        <v/>
      </c>
      <c r="AO223" s="13">
        <f>IF($L223&lt;&gt;"Y",0,SUMPRODUCT(MAX(ISNUMBER(rate_Rate)*((UPPER(TRIM(CLEAN(SUBSTITUTE(rate_Group&amp;""," "," "))))="")+(UPPER(TRIM(CLEAN(SUBSTITUTE(rate_Group&amp;""," "," "))))=$N223)&gt;0)*((UPPER(TRIM(CLEAN(SUBSTITUTE(rate_COO&amp;""," "," "))))="")+(UPPER(TRIM(CLEAN(SUBSTITUTE(rate_COO&amp;""," "," "))))=$E223)&gt;0)*((UPPER(TRIM(CLEAN(SUBSTITUTE(rate_USMCA&amp;""," "," "))))="")+(UPPER(TRIM(CLEAN(SUBSTITUTE(rate_USMCA&amp;""," "," "))))=IF(UPPER(TRIM(CLEAN(SUBSTITUTE(Items!F223&amp;""," "," "))))="Y","Y","N"))&gt;0)*((1+(UPPER(TRIM(CLEAN(SUBSTITUTE(rate_Group&amp;""," "," "))))&lt;&gt;"")+2*(UPPER(TRIM(CLEAN(SUBSTITUTE(rate_USMCA&amp;""," "," "))))&lt;&gt;"")+4*(UPPER(TRIM(CLEAN(SUBSTITUTE(rate_COO&amp;""," "," "))))&lt;&gt;""))*100+ROW(rate_Rate)-4))))</f>
        <v/>
      </c>
      <c r="AP223" s="13">
        <f>IF($AO223=0,0,SUMPRODUCT(ISNUMBER(rate_Rate)*((UPPER(TRIM(CLEAN(SUBSTITUTE(rate_Group&amp;""," "," "))))="")+(UPPER(TRIM(CLEAN(SUBSTITUTE(rate_Group&amp;""," "," "))))=$N223)&gt;0)*((UPPER(TRIM(CLEAN(SUBSTITUTE(rate_COO&amp;""," "," "))))="")+(UPPER(TRIM(CLEAN(SUBSTITUTE(rate_COO&amp;""," "," "))))=$E223)&gt;0)*((UPPER(TRIM(CLEAN(SUBSTITUTE(rate_USMCA&amp;""," "," "))))="")+(UPPER(TRIM(CLEAN(SUBSTITUTE(rate_USMCA&amp;""," "," "))))=IF(UPPER(TRIM(CLEAN(SUBSTITUTE(Items!F223&amp;""," "," "))))="Y","Y","N"))&gt;0)*((1+(UPPER(TRIM(CLEAN(SUBSTITUTE(rate_Group&amp;""," "," "))))&lt;&gt;"")+2*(UPPER(TRIM(CLEAN(SUBSTITUTE(rate_USMCA&amp;""," "," "))))&lt;&gt;"")+4*(UPPER(TRIM(CLEAN(SUBSTITUTE(rate_COO&amp;""," "," "))))&lt;&gt;""))=INT($AO223/100))))</f>
        <v/>
      </c>
      <c r="AQ223" s="13">
        <f>IF($A223="",0,IFERROR(MATCH($AL223,det_Key,0),0))</f>
        <v/>
      </c>
    </row>
    <row r="224">
      <c r="A224" s="10">
        <f>IF(TRIM(CLEAN(SUBSTITUTE(Items!A224&amp;""," "," ")))="","",TRIM(CLEAN(SUBSTITUTE(Items!A224&amp;""," "," "))))</f>
        <v/>
      </c>
      <c r="B224" s="10">
        <f>IF($A224="","",Items!B224&amp;"")</f>
        <v/>
      </c>
      <c r="C224" s="10">
        <f>IF($A224="","",SUBSTITUTE(SUBSTITUTE(SUBSTITUTE(SUBSTITUTE(CLEAN(Items!D224&amp;"")," ",""),".","")," ",""),"-",""))</f>
        <v/>
      </c>
      <c r="D224" s="10">
        <f>IF($A224="","",LEFT($C224,2))</f>
        <v/>
      </c>
      <c r="E224" s="10">
        <f>IF($A224="","",UPPER(TRIM(CLEAN(SUBSTITUTE(Items!E224&amp;""," "," ")))))</f>
        <v/>
      </c>
      <c r="F224" s="10">
        <f>IF($A224="","",IF(UPPER(TRIM(CLEAN(SUBSTITUTE(Items!C224&amp;""," "," "))))=UPPER(TRIM(CLEAN(SUBSTITUTE(act_Country&amp;""," "," ")))),"Y","N"))</f>
        <v/>
      </c>
      <c r="G224" s="10">
        <f>IF($A224="","",IF($AM224&gt;0,"Y","N"))</f>
        <v/>
      </c>
      <c r="H224" s="10">
        <f>IF($A224="","",IF(SUMPRODUCT((excl_HTS&lt;&gt;"")*(LEFT($C224,LEN(excl_HTS))=excl_HTS))&gt;0,"Y","N"))</f>
        <v/>
      </c>
      <c r="I224" s="10">
        <f>IF($A224="","",IF($E224="","N",IF(SUMPRODUCT(--(UPPER(TRIM(CLEAN(SUBSTITUTE(scope_COO&amp;""," "," "))))=$E224))&gt;0,"Y","N")))</f>
        <v/>
      </c>
      <c r="J224" s="10">
        <f>IF($A224="","",IF(AND(UPPER(TRIM(CLEAN(SUBSTITUTE(act_USMCAExempt&amp;""," "," "))))="Y",UPPER(TRIM(CLEAN(SUBSTITUTE(Items!F224&amp;""," "," "))))="Y"),"Y","N"))</f>
        <v/>
      </c>
      <c r="K224" s="10">
        <f>IF($A224="","",IF($AQ224=0,"",UPPER(TRIM(CLEAN(SUBSTITUTE(INDEX(det_Status,$AQ224)&amp;""," "," "))))))</f>
        <v/>
      </c>
      <c r="L224" s="10">
        <f>IF($A224="","",IF($F224="N","N",IF($K224="IN","Y",IF($K224="OUT","N",IF(AND($G224="Y",$H224="N",$I224="Y",$J224="N"),"Y","N")))))</f>
        <v/>
      </c>
      <c r="M224" s="10">
        <f>IF($A224="","",IF($F224="N","Out: different import country",IF($K224="IN","In: Research determination",IF($K224="OUT","Out: Research determination",IF($G224="N","Out: HTS not on scope list",IF($H224="Y","Out: HTS on exclusion list",IF($I224="N","Out: origin not on scope list",IF($J224="Y","Out: USMCA-qualifying, exempt","In: matches scope rules"))))))))</f>
        <v/>
      </c>
      <c r="N224" s="10">
        <f>IF(OR($A224="",$AM224=0),"",UPPER(TRIM(CLEAN(SUBSTITUTE(INDEX(scope_Group,MOD($AM224,1000))&amp;""," "," ")))))</f>
        <v/>
      </c>
      <c r="O224" s="10">
        <f>IF($L224&lt;&gt;"Y","",IF($AO224=0,"Default (B15)",UPPER(TRIM(CLEAN(SUBSTITUTE(INDEX(rate_ID,MOD($AO224,100))&amp;""," "," "))))))</f>
        <v/>
      </c>
      <c r="P224" s="10">
        <f>IF($L224&lt;&gt;"Y","",IF($AO224=0,IF(UPPER(TRIM(CLEAN(SUBSTITUTE(act_DefaultBase&amp;""," "," "))))="PART","PART","FULL"),IF(UPPER(TRIM(CLEAN(SUBSTITUTE(INDEX(rate_Base,MOD($AO224,100))&amp;""," "," "))))="PART","PART","FULL")))</f>
        <v/>
      </c>
      <c r="Q224" s="17">
        <f>IF($A224="","",N(Items!J224))</f>
        <v/>
      </c>
      <c r="R224" s="17">
        <f>IF($A224="","",IF($L224&lt;&gt;"Y",0,IF($AO224=0,N(act_Rate),N(INDEX(rate_Rate,MOD($AO224,100))))))</f>
        <v/>
      </c>
      <c r="S224" s="17">
        <f>IF($A224="","",IF($L224&lt;&gt;"Y",0,IF($AO224=0,IF(UPPER(TRIM(CLEAN(SUBSTITUTE(act_RateType&amp;""," "," "))))="REPLACE",N(act_PriorRate),0),IF(ISNUMBER(INDEX(rate_Prior,MOD($AO224,100))),INDEX(rate_Prior,MOD($AO224,100)),IF(UPPER(TRIM(CLEAN(SUBSTITUTE(act_RateType&amp;""," "," "))))="REPLACE",N(act_PriorRate),0)))))</f>
        <v/>
      </c>
      <c r="T224" s="17">
        <f>IF($A224="","",IF(AND($L224="Y",$P224="PART",ISNUMBER(Items!M224)),Items!M224,1))</f>
        <v/>
      </c>
      <c r="U224" s="17">
        <f>IF($A224="","",IF($L224&lt;&gt;"Y",0,IF($AQ224&gt;0,IF(ISNUMBER(INDEX(det_Displaced,$AQ224)),INDEX(det_Displaced,$AQ224),IF($AO224=0,0,N(INDEX(rate_Displaced,MOD($AO224,100))))),IF($AO224=0,0,N(INDEX(rate_Displaced,MOD($AO224,100)))))))</f>
        <v/>
      </c>
      <c r="V224" s="17">
        <f>IF($A224="","",IF($L224="Y",$Q224+$T224*($R224-$S224)-$U224,$Q224))</f>
        <v/>
      </c>
      <c r="W224" s="18">
        <f>IF($A224="","",N(Items!H224)*$Q224)</f>
        <v/>
      </c>
      <c r="X224" s="18">
        <f>IF($A224="","",N(Items!H224)*$V224)</f>
        <v/>
      </c>
      <c r="Y224" s="18">
        <f>IF($A224="","",$X224-$W224)</f>
        <v/>
      </c>
      <c r="Z224" s="18">
        <f>IF($A224="","",N(Items!K224)+$Y224)</f>
        <v/>
      </c>
      <c r="AA224" s="17">
        <f>IF($A224="","",IF(N(Items!L224)=0,"",(N(Items!L224)-N(Items!K224))/N(Items!L224)))</f>
        <v/>
      </c>
      <c r="AB224" s="17">
        <f>IF($A224="","",IF(N(Items!L224)=0,"",(N(Items!L224)-$Z224)/N(Items!L224)))</f>
        <v/>
      </c>
      <c r="AC224" s="17">
        <f>IF(OR($AA224="",$AB224=""),"",$AB224-$AA224)</f>
        <v/>
      </c>
      <c r="AD224" s="13">
        <f>IF($A224="","",N(Items!I224))</f>
        <v/>
      </c>
      <c r="AE224" s="19">
        <f>IF($A224="","",$Y224*$AD224)</f>
        <v/>
      </c>
      <c r="AF224" s="10">
        <f>IF($A224="","",IF(N(Items!L224)&gt;0,"Y","N"))</f>
        <v/>
      </c>
      <c r="AG224" s="19">
        <f>IF($A224="","",IF($AF224="Y",N(Items!L224)*$AD224,0))</f>
        <v/>
      </c>
      <c r="AH224" s="19">
        <f>IF($A224="","",IF($AF224="Y",(N(Items!L224)-N(Items!K224))*$AD224,0))</f>
        <v/>
      </c>
      <c r="AI224" s="19">
        <f>IF($A224="","",IF($AF224="Y",$AH224-$AE224,0))</f>
        <v/>
      </c>
      <c r="AJ224" s="10">
        <f>IF($A224="","",IF(COUNTIF($AL$5:$AL$254,$AL224)&gt;1,"CHECK: duplicate item and import country",IF(TRIM(CLEAN(SUBSTITUTE(Items!C224&amp;""," "," ")))="","CHECK: import country missing",IF(AND(UPPER(TRIM(CLEAN(SUBSTITUTE(Items!C224&amp;""," "," "))))&lt;&gt;"US",UPPER(TRIM(CLEAN(SUBSTITUTE(Items!C224&amp;""," "," "))))&lt;&gt;"CA",UPPER(TRIM(CLEAN(SUBSTITUTE(Items!C224&amp;""," "," "))))&lt;&gt;"MX"),"CHECK: import country must be US, CA or MX",IF(NOT(AND(LEN($C224)=10,IFERROR(TEXT(VALUE($C224),REPT("0",LEN($C224)))=$C224,FALSE))),"CHECK: HTS must be 10 digits",IF(LEN($E224)&lt;&gt;2,"CHECK: origin code missing or not 2 letters",IF(TRIM(CLEAN(SUBSTITUTE(Items!G224&amp;""," "," ")))="","CHECK: unit of measure missing",IF(OR(Items!H224="",Items!J224="",Items!K224=""),"CHECK: value, rate or cost missing",IF(OR(NOT(ISNUMBER(Items!H224)),NOT(ISNUMBER(Items!J224)),NOT(ISNUMBER(Items!K224)),AND(Items!I224&lt;&gt;"",NOT(ISNUMBER(Items!I224))),AND(Items!L224&lt;&gt;"",NOT(ISNUMBER(Items!L224))),AND(Items!M224&lt;&gt;"",NOT(ISNUMBER(Items!M224)))),"CHECK: text in a number column",IF(AND(ISNUMBER(Items!M224),OR(N(Items!M224)&lt;0,N(Items!M224)&gt;1)),"CHECK: dutiable share must be 0% to 100%",IF(AND(UPPER(TRIM(CLEAN(SUBSTITUTE(Items!F224&amp;""," "," "))))&lt;&gt;"",UPPER(TRIM(CLEAN(SUBSTITUTE(Items!F224&amp;""," "," "))))&lt;&gt;"Y",UPPER(TRIM(CLEAN(SUBSTITUTE(Items!F224&amp;""," "," "))))&lt;&gt;"N"),"CHECK: USMCA flag must be Y, N or blank",IF(AND(UPPER(TRIM(CLEAN(SUBSTITUTE(Items!F224&amp;""," "," "))))="Y",$E224&lt;&gt;"US",$E224&lt;&gt;"CA",$E224&lt;&gt;"MX"),"CHECK: USMCA flag on an origin other than US, CA or MX",IF(AND($L224="Y",$AO224=0,NOT(ISNUMBER(act_Rate))),"CHECK: in scope but no rate (add a rate line or B15)",IF(AND($L224="Y",UPPER(TRIM(CLEAN(SUBSTITUTE(act_RateType&amp;""," "," "))))="REPLACE",NOT(ISNUMBER(act_PriorRate)),IF($AO224=0,TRUE,NOT(ISNUMBER(INDEX(rate_Prior,MOD($AO224,100)))))),"CHECK: REPLACE but no earlier rate (B17 or the rate line's AD)",IF(AND($L224="Y",$AP224&gt;1),"CHECK: two rate lines match equally",IF(AND($L224="Y",$AN224&gt;1),"CHECK: HTS prefix listed twice on the scope list",IF(AND($L224="Y",$P224="PART",NOT(ISNUMBER(Items!M224))),"CHECK: dutiable share missing (PART base)",IF(AND($L224="Y",$P224="FULL",ISNUMBER(Items!M224),N(Items!M224)&lt;&gt;1),"CHECK: dutiable share entered, but the rate taxes the full value",IF(AND($L224="Y",$Q224+0.0000001&lt;$T224*$S224+$U224),"CHECK: current rate is below the duty being replaced or displaced",IF(AND($L224="Y",$AD224=0),"NOTE: in scope, no quantity",IF(AND($L224="Y",$AF224="N"),"NOTE: in scope, no sell price (left out of margin %)",IF(AND($L224="Y",N(Items!H224)&gt;N(Items!K224)),"NOTE: customs value above standard cost (check unit of measure)",IF(AND($L224="Y",$Q224&gt;1),"NOTE: current rate above 100% (check it was entered as a percentage)","OK")))))))))))))))))))))))</f>
        <v/>
      </c>
      <c r="AK224" s="20">
        <f>IF($A224="","",IF(AND($L224="Y",$AE224&lt;&gt;0),ABS($AE224)+ROW()/1000000000,""))</f>
        <v/>
      </c>
      <c r="AL224" s="10">
        <f>IF($A224="","",UPPER($A224)&amp;"/"&amp;UPPER(TRIM(CLEAN(SUBSTITUTE(Items!C224&amp;""," "," ")))))</f>
        <v/>
      </c>
      <c r="AM224" s="13">
        <f>IF($A224="",0,SUMPRODUCT(MAX((scope_HTS&lt;&gt;"")*(LEFT($C224,LEN(scope_HTS))=scope_HTS)*(LEN(scope_HTS)*1000+ROW(scope_HTS)-4))))</f>
        <v/>
      </c>
      <c r="AN224" s="13">
        <f>IF($AM224=0,0,SUMPRODUCT((scope_HTS&lt;&gt;"")*(LEFT($C224,LEN(scope_HTS))=scope_HTS)*(LEN(scope_HTS)=INT($AM224/1000))))</f>
        <v/>
      </c>
      <c r="AO224" s="13">
        <f>IF($L224&lt;&gt;"Y",0,SUMPRODUCT(MAX(ISNUMBER(rate_Rate)*((UPPER(TRIM(CLEAN(SUBSTITUTE(rate_Group&amp;""," "," "))))="")+(UPPER(TRIM(CLEAN(SUBSTITUTE(rate_Group&amp;""," "," "))))=$N224)&gt;0)*((UPPER(TRIM(CLEAN(SUBSTITUTE(rate_COO&amp;""," "," "))))="")+(UPPER(TRIM(CLEAN(SUBSTITUTE(rate_COO&amp;""," "," "))))=$E224)&gt;0)*((UPPER(TRIM(CLEAN(SUBSTITUTE(rate_USMCA&amp;""," "," "))))="")+(UPPER(TRIM(CLEAN(SUBSTITUTE(rate_USMCA&amp;""," "," "))))=IF(UPPER(TRIM(CLEAN(SUBSTITUTE(Items!F224&amp;""," "," "))))="Y","Y","N"))&gt;0)*((1+(UPPER(TRIM(CLEAN(SUBSTITUTE(rate_Group&amp;""," "," "))))&lt;&gt;"")+2*(UPPER(TRIM(CLEAN(SUBSTITUTE(rate_USMCA&amp;""," "," "))))&lt;&gt;"")+4*(UPPER(TRIM(CLEAN(SUBSTITUTE(rate_COO&amp;""," "," "))))&lt;&gt;""))*100+ROW(rate_Rate)-4))))</f>
        <v/>
      </c>
      <c r="AP224" s="13">
        <f>IF($AO224=0,0,SUMPRODUCT(ISNUMBER(rate_Rate)*((UPPER(TRIM(CLEAN(SUBSTITUTE(rate_Group&amp;""," "," "))))="")+(UPPER(TRIM(CLEAN(SUBSTITUTE(rate_Group&amp;""," "," "))))=$N224)&gt;0)*((UPPER(TRIM(CLEAN(SUBSTITUTE(rate_COO&amp;""," "," "))))="")+(UPPER(TRIM(CLEAN(SUBSTITUTE(rate_COO&amp;""," "," "))))=$E224)&gt;0)*((UPPER(TRIM(CLEAN(SUBSTITUTE(rate_USMCA&amp;""," "," "))))="")+(UPPER(TRIM(CLEAN(SUBSTITUTE(rate_USMCA&amp;""," "," "))))=IF(UPPER(TRIM(CLEAN(SUBSTITUTE(Items!F224&amp;""," "," "))))="Y","Y","N"))&gt;0)*((1+(UPPER(TRIM(CLEAN(SUBSTITUTE(rate_Group&amp;""," "," "))))&lt;&gt;"")+2*(UPPER(TRIM(CLEAN(SUBSTITUTE(rate_USMCA&amp;""," "," "))))&lt;&gt;"")+4*(UPPER(TRIM(CLEAN(SUBSTITUTE(rate_COO&amp;""," "," "))))&lt;&gt;""))=INT($AO224/100))))</f>
        <v/>
      </c>
      <c r="AQ224" s="13">
        <f>IF($A224="",0,IFERROR(MATCH($AL224,det_Key,0),0))</f>
        <v/>
      </c>
    </row>
    <row r="225">
      <c r="A225" s="10">
        <f>IF(TRIM(CLEAN(SUBSTITUTE(Items!A225&amp;""," "," ")))="","",TRIM(CLEAN(SUBSTITUTE(Items!A225&amp;""," "," "))))</f>
        <v/>
      </c>
      <c r="B225" s="10">
        <f>IF($A225="","",Items!B225&amp;"")</f>
        <v/>
      </c>
      <c r="C225" s="10">
        <f>IF($A225="","",SUBSTITUTE(SUBSTITUTE(SUBSTITUTE(SUBSTITUTE(CLEAN(Items!D225&amp;"")," ",""),".","")," ",""),"-",""))</f>
        <v/>
      </c>
      <c r="D225" s="10">
        <f>IF($A225="","",LEFT($C225,2))</f>
        <v/>
      </c>
      <c r="E225" s="10">
        <f>IF($A225="","",UPPER(TRIM(CLEAN(SUBSTITUTE(Items!E225&amp;""," "," ")))))</f>
        <v/>
      </c>
      <c r="F225" s="10">
        <f>IF($A225="","",IF(UPPER(TRIM(CLEAN(SUBSTITUTE(Items!C225&amp;""," "," "))))=UPPER(TRIM(CLEAN(SUBSTITUTE(act_Country&amp;""," "," ")))),"Y","N"))</f>
        <v/>
      </c>
      <c r="G225" s="10">
        <f>IF($A225="","",IF($AM225&gt;0,"Y","N"))</f>
        <v/>
      </c>
      <c r="H225" s="10">
        <f>IF($A225="","",IF(SUMPRODUCT((excl_HTS&lt;&gt;"")*(LEFT($C225,LEN(excl_HTS))=excl_HTS))&gt;0,"Y","N"))</f>
        <v/>
      </c>
      <c r="I225" s="10">
        <f>IF($A225="","",IF($E225="","N",IF(SUMPRODUCT(--(UPPER(TRIM(CLEAN(SUBSTITUTE(scope_COO&amp;""," "," "))))=$E225))&gt;0,"Y","N")))</f>
        <v/>
      </c>
      <c r="J225" s="10">
        <f>IF($A225="","",IF(AND(UPPER(TRIM(CLEAN(SUBSTITUTE(act_USMCAExempt&amp;""," "," "))))="Y",UPPER(TRIM(CLEAN(SUBSTITUTE(Items!F225&amp;""," "," "))))="Y"),"Y","N"))</f>
        <v/>
      </c>
      <c r="K225" s="10">
        <f>IF($A225="","",IF($AQ225=0,"",UPPER(TRIM(CLEAN(SUBSTITUTE(INDEX(det_Status,$AQ225)&amp;""," "," "))))))</f>
        <v/>
      </c>
      <c r="L225" s="10">
        <f>IF($A225="","",IF($F225="N","N",IF($K225="IN","Y",IF($K225="OUT","N",IF(AND($G225="Y",$H225="N",$I225="Y",$J225="N"),"Y","N")))))</f>
        <v/>
      </c>
      <c r="M225" s="10">
        <f>IF($A225="","",IF($F225="N","Out: different import country",IF($K225="IN","In: Research determination",IF($K225="OUT","Out: Research determination",IF($G225="N","Out: HTS not on scope list",IF($H225="Y","Out: HTS on exclusion list",IF($I225="N","Out: origin not on scope list",IF($J225="Y","Out: USMCA-qualifying, exempt","In: matches scope rules"))))))))</f>
        <v/>
      </c>
      <c r="N225" s="10">
        <f>IF(OR($A225="",$AM225=0),"",UPPER(TRIM(CLEAN(SUBSTITUTE(INDEX(scope_Group,MOD($AM225,1000))&amp;""," "," ")))))</f>
        <v/>
      </c>
      <c r="O225" s="10">
        <f>IF($L225&lt;&gt;"Y","",IF($AO225=0,"Default (B15)",UPPER(TRIM(CLEAN(SUBSTITUTE(INDEX(rate_ID,MOD($AO225,100))&amp;""," "," "))))))</f>
        <v/>
      </c>
      <c r="P225" s="10">
        <f>IF($L225&lt;&gt;"Y","",IF($AO225=0,IF(UPPER(TRIM(CLEAN(SUBSTITUTE(act_DefaultBase&amp;""," "," "))))="PART","PART","FULL"),IF(UPPER(TRIM(CLEAN(SUBSTITUTE(INDEX(rate_Base,MOD($AO225,100))&amp;""," "," "))))="PART","PART","FULL")))</f>
        <v/>
      </c>
      <c r="Q225" s="17">
        <f>IF($A225="","",N(Items!J225))</f>
        <v/>
      </c>
      <c r="R225" s="17">
        <f>IF($A225="","",IF($L225&lt;&gt;"Y",0,IF($AO225=0,N(act_Rate),N(INDEX(rate_Rate,MOD($AO225,100))))))</f>
        <v/>
      </c>
      <c r="S225" s="17">
        <f>IF($A225="","",IF($L225&lt;&gt;"Y",0,IF($AO225=0,IF(UPPER(TRIM(CLEAN(SUBSTITUTE(act_RateType&amp;""," "," "))))="REPLACE",N(act_PriorRate),0),IF(ISNUMBER(INDEX(rate_Prior,MOD($AO225,100))),INDEX(rate_Prior,MOD($AO225,100)),IF(UPPER(TRIM(CLEAN(SUBSTITUTE(act_RateType&amp;""," "," "))))="REPLACE",N(act_PriorRate),0)))))</f>
        <v/>
      </c>
      <c r="T225" s="17">
        <f>IF($A225="","",IF(AND($L225="Y",$P225="PART",ISNUMBER(Items!M225)),Items!M225,1))</f>
        <v/>
      </c>
      <c r="U225" s="17">
        <f>IF($A225="","",IF($L225&lt;&gt;"Y",0,IF($AQ225&gt;0,IF(ISNUMBER(INDEX(det_Displaced,$AQ225)),INDEX(det_Displaced,$AQ225),IF($AO225=0,0,N(INDEX(rate_Displaced,MOD($AO225,100))))),IF($AO225=0,0,N(INDEX(rate_Displaced,MOD($AO225,100)))))))</f>
        <v/>
      </c>
      <c r="V225" s="17">
        <f>IF($A225="","",IF($L225="Y",$Q225+$T225*($R225-$S225)-$U225,$Q225))</f>
        <v/>
      </c>
      <c r="W225" s="18">
        <f>IF($A225="","",N(Items!H225)*$Q225)</f>
        <v/>
      </c>
      <c r="X225" s="18">
        <f>IF($A225="","",N(Items!H225)*$V225)</f>
        <v/>
      </c>
      <c r="Y225" s="18">
        <f>IF($A225="","",$X225-$W225)</f>
        <v/>
      </c>
      <c r="Z225" s="18">
        <f>IF($A225="","",N(Items!K225)+$Y225)</f>
        <v/>
      </c>
      <c r="AA225" s="17">
        <f>IF($A225="","",IF(N(Items!L225)=0,"",(N(Items!L225)-N(Items!K225))/N(Items!L225)))</f>
        <v/>
      </c>
      <c r="AB225" s="17">
        <f>IF($A225="","",IF(N(Items!L225)=0,"",(N(Items!L225)-$Z225)/N(Items!L225)))</f>
        <v/>
      </c>
      <c r="AC225" s="17">
        <f>IF(OR($AA225="",$AB225=""),"",$AB225-$AA225)</f>
        <v/>
      </c>
      <c r="AD225" s="13">
        <f>IF($A225="","",N(Items!I225))</f>
        <v/>
      </c>
      <c r="AE225" s="19">
        <f>IF($A225="","",$Y225*$AD225)</f>
        <v/>
      </c>
      <c r="AF225" s="10">
        <f>IF($A225="","",IF(N(Items!L225)&gt;0,"Y","N"))</f>
        <v/>
      </c>
      <c r="AG225" s="19">
        <f>IF($A225="","",IF($AF225="Y",N(Items!L225)*$AD225,0))</f>
        <v/>
      </c>
      <c r="AH225" s="19">
        <f>IF($A225="","",IF($AF225="Y",(N(Items!L225)-N(Items!K225))*$AD225,0))</f>
        <v/>
      </c>
      <c r="AI225" s="19">
        <f>IF($A225="","",IF($AF225="Y",$AH225-$AE225,0))</f>
        <v/>
      </c>
      <c r="AJ225" s="10">
        <f>IF($A225="","",IF(COUNTIF($AL$5:$AL$254,$AL225)&gt;1,"CHECK: duplicate item and import country",IF(TRIM(CLEAN(SUBSTITUTE(Items!C225&amp;""," "," ")))="","CHECK: import country missing",IF(AND(UPPER(TRIM(CLEAN(SUBSTITUTE(Items!C225&amp;""," "," "))))&lt;&gt;"US",UPPER(TRIM(CLEAN(SUBSTITUTE(Items!C225&amp;""," "," "))))&lt;&gt;"CA",UPPER(TRIM(CLEAN(SUBSTITUTE(Items!C225&amp;""," "," "))))&lt;&gt;"MX"),"CHECK: import country must be US, CA or MX",IF(NOT(AND(LEN($C225)=10,IFERROR(TEXT(VALUE($C225),REPT("0",LEN($C225)))=$C225,FALSE))),"CHECK: HTS must be 10 digits",IF(LEN($E225)&lt;&gt;2,"CHECK: origin code missing or not 2 letters",IF(TRIM(CLEAN(SUBSTITUTE(Items!G225&amp;""," "," ")))="","CHECK: unit of measure missing",IF(OR(Items!H225="",Items!J225="",Items!K225=""),"CHECK: value, rate or cost missing",IF(OR(NOT(ISNUMBER(Items!H225)),NOT(ISNUMBER(Items!J225)),NOT(ISNUMBER(Items!K225)),AND(Items!I225&lt;&gt;"",NOT(ISNUMBER(Items!I225))),AND(Items!L225&lt;&gt;"",NOT(ISNUMBER(Items!L225))),AND(Items!M225&lt;&gt;"",NOT(ISNUMBER(Items!M225)))),"CHECK: text in a number column",IF(AND(ISNUMBER(Items!M225),OR(N(Items!M225)&lt;0,N(Items!M225)&gt;1)),"CHECK: dutiable share must be 0% to 100%",IF(AND(UPPER(TRIM(CLEAN(SUBSTITUTE(Items!F225&amp;""," "," "))))&lt;&gt;"",UPPER(TRIM(CLEAN(SUBSTITUTE(Items!F225&amp;""," "," "))))&lt;&gt;"Y",UPPER(TRIM(CLEAN(SUBSTITUTE(Items!F225&amp;""," "," "))))&lt;&gt;"N"),"CHECK: USMCA flag must be Y, N or blank",IF(AND(UPPER(TRIM(CLEAN(SUBSTITUTE(Items!F225&amp;""," "," "))))="Y",$E225&lt;&gt;"US",$E225&lt;&gt;"CA",$E225&lt;&gt;"MX"),"CHECK: USMCA flag on an origin other than US, CA or MX",IF(AND($L225="Y",$AO225=0,NOT(ISNUMBER(act_Rate))),"CHECK: in scope but no rate (add a rate line or B15)",IF(AND($L225="Y",UPPER(TRIM(CLEAN(SUBSTITUTE(act_RateType&amp;""," "," "))))="REPLACE",NOT(ISNUMBER(act_PriorRate)),IF($AO225=0,TRUE,NOT(ISNUMBER(INDEX(rate_Prior,MOD($AO225,100)))))),"CHECK: REPLACE but no earlier rate (B17 or the rate line's AD)",IF(AND($L225="Y",$AP225&gt;1),"CHECK: two rate lines match equally",IF(AND($L225="Y",$AN225&gt;1),"CHECK: HTS prefix listed twice on the scope list",IF(AND($L225="Y",$P225="PART",NOT(ISNUMBER(Items!M225))),"CHECK: dutiable share missing (PART base)",IF(AND($L225="Y",$P225="FULL",ISNUMBER(Items!M225),N(Items!M225)&lt;&gt;1),"CHECK: dutiable share entered, but the rate taxes the full value",IF(AND($L225="Y",$Q225+0.0000001&lt;$T225*$S225+$U225),"CHECK: current rate is below the duty being replaced or displaced",IF(AND($L225="Y",$AD225=0),"NOTE: in scope, no quantity",IF(AND($L225="Y",$AF225="N"),"NOTE: in scope, no sell price (left out of margin %)",IF(AND($L225="Y",N(Items!H225)&gt;N(Items!K225)),"NOTE: customs value above standard cost (check unit of measure)",IF(AND($L225="Y",$Q225&gt;1),"NOTE: current rate above 100% (check it was entered as a percentage)","OK")))))))))))))))))))))))</f>
        <v/>
      </c>
      <c r="AK225" s="20">
        <f>IF($A225="","",IF(AND($L225="Y",$AE225&lt;&gt;0),ABS($AE225)+ROW()/1000000000,""))</f>
        <v/>
      </c>
      <c r="AL225" s="10">
        <f>IF($A225="","",UPPER($A225)&amp;"/"&amp;UPPER(TRIM(CLEAN(SUBSTITUTE(Items!C225&amp;""," "," ")))))</f>
        <v/>
      </c>
      <c r="AM225" s="13">
        <f>IF($A225="",0,SUMPRODUCT(MAX((scope_HTS&lt;&gt;"")*(LEFT($C225,LEN(scope_HTS))=scope_HTS)*(LEN(scope_HTS)*1000+ROW(scope_HTS)-4))))</f>
        <v/>
      </c>
      <c r="AN225" s="13">
        <f>IF($AM225=0,0,SUMPRODUCT((scope_HTS&lt;&gt;"")*(LEFT($C225,LEN(scope_HTS))=scope_HTS)*(LEN(scope_HTS)=INT($AM225/1000))))</f>
        <v/>
      </c>
      <c r="AO225" s="13">
        <f>IF($L225&lt;&gt;"Y",0,SUMPRODUCT(MAX(ISNUMBER(rate_Rate)*((UPPER(TRIM(CLEAN(SUBSTITUTE(rate_Group&amp;""," "," "))))="")+(UPPER(TRIM(CLEAN(SUBSTITUTE(rate_Group&amp;""," "," "))))=$N225)&gt;0)*((UPPER(TRIM(CLEAN(SUBSTITUTE(rate_COO&amp;""," "," "))))="")+(UPPER(TRIM(CLEAN(SUBSTITUTE(rate_COO&amp;""," "," "))))=$E225)&gt;0)*((UPPER(TRIM(CLEAN(SUBSTITUTE(rate_USMCA&amp;""," "," "))))="")+(UPPER(TRIM(CLEAN(SUBSTITUTE(rate_USMCA&amp;""," "," "))))=IF(UPPER(TRIM(CLEAN(SUBSTITUTE(Items!F225&amp;""," "," "))))="Y","Y","N"))&gt;0)*((1+(UPPER(TRIM(CLEAN(SUBSTITUTE(rate_Group&amp;""," "," "))))&lt;&gt;"")+2*(UPPER(TRIM(CLEAN(SUBSTITUTE(rate_USMCA&amp;""," "," "))))&lt;&gt;"")+4*(UPPER(TRIM(CLEAN(SUBSTITUTE(rate_COO&amp;""," "," "))))&lt;&gt;""))*100+ROW(rate_Rate)-4))))</f>
        <v/>
      </c>
      <c r="AP225" s="13">
        <f>IF($AO225=0,0,SUMPRODUCT(ISNUMBER(rate_Rate)*((UPPER(TRIM(CLEAN(SUBSTITUTE(rate_Group&amp;""," "," "))))="")+(UPPER(TRIM(CLEAN(SUBSTITUTE(rate_Group&amp;""," "," "))))=$N225)&gt;0)*((UPPER(TRIM(CLEAN(SUBSTITUTE(rate_COO&amp;""," "," "))))="")+(UPPER(TRIM(CLEAN(SUBSTITUTE(rate_COO&amp;""," "," "))))=$E225)&gt;0)*((UPPER(TRIM(CLEAN(SUBSTITUTE(rate_USMCA&amp;""," "," "))))="")+(UPPER(TRIM(CLEAN(SUBSTITUTE(rate_USMCA&amp;""," "," "))))=IF(UPPER(TRIM(CLEAN(SUBSTITUTE(Items!F225&amp;""," "," "))))="Y","Y","N"))&gt;0)*((1+(UPPER(TRIM(CLEAN(SUBSTITUTE(rate_Group&amp;""," "," "))))&lt;&gt;"")+2*(UPPER(TRIM(CLEAN(SUBSTITUTE(rate_USMCA&amp;""," "," "))))&lt;&gt;"")+4*(UPPER(TRIM(CLEAN(SUBSTITUTE(rate_COO&amp;""," "," "))))&lt;&gt;""))=INT($AO225/100))))</f>
        <v/>
      </c>
      <c r="AQ225" s="13">
        <f>IF($A225="",0,IFERROR(MATCH($AL225,det_Key,0),0))</f>
        <v/>
      </c>
    </row>
    <row r="226">
      <c r="A226" s="10">
        <f>IF(TRIM(CLEAN(SUBSTITUTE(Items!A226&amp;""," "," ")))="","",TRIM(CLEAN(SUBSTITUTE(Items!A226&amp;""," "," "))))</f>
        <v/>
      </c>
      <c r="B226" s="10">
        <f>IF($A226="","",Items!B226&amp;"")</f>
        <v/>
      </c>
      <c r="C226" s="10">
        <f>IF($A226="","",SUBSTITUTE(SUBSTITUTE(SUBSTITUTE(SUBSTITUTE(CLEAN(Items!D226&amp;"")," ",""),".","")," ",""),"-",""))</f>
        <v/>
      </c>
      <c r="D226" s="10">
        <f>IF($A226="","",LEFT($C226,2))</f>
        <v/>
      </c>
      <c r="E226" s="10">
        <f>IF($A226="","",UPPER(TRIM(CLEAN(SUBSTITUTE(Items!E226&amp;""," "," ")))))</f>
        <v/>
      </c>
      <c r="F226" s="10">
        <f>IF($A226="","",IF(UPPER(TRIM(CLEAN(SUBSTITUTE(Items!C226&amp;""," "," "))))=UPPER(TRIM(CLEAN(SUBSTITUTE(act_Country&amp;""," "," ")))),"Y","N"))</f>
        <v/>
      </c>
      <c r="G226" s="10">
        <f>IF($A226="","",IF($AM226&gt;0,"Y","N"))</f>
        <v/>
      </c>
      <c r="H226" s="10">
        <f>IF($A226="","",IF(SUMPRODUCT((excl_HTS&lt;&gt;"")*(LEFT($C226,LEN(excl_HTS))=excl_HTS))&gt;0,"Y","N"))</f>
        <v/>
      </c>
      <c r="I226" s="10">
        <f>IF($A226="","",IF($E226="","N",IF(SUMPRODUCT(--(UPPER(TRIM(CLEAN(SUBSTITUTE(scope_COO&amp;""," "," "))))=$E226))&gt;0,"Y","N")))</f>
        <v/>
      </c>
      <c r="J226" s="10">
        <f>IF($A226="","",IF(AND(UPPER(TRIM(CLEAN(SUBSTITUTE(act_USMCAExempt&amp;""," "," "))))="Y",UPPER(TRIM(CLEAN(SUBSTITUTE(Items!F226&amp;""," "," "))))="Y"),"Y","N"))</f>
        <v/>
      </c>
      <c r="K226" s="10">
        <f>IF($A226="","",IF($AQ226=0,"",UPPER(TRIM(CLEAN(SUBSTITUTE(INDEX(det_Status,$AQ226)&amp;""," "," "))))))</f>
        <v/>
      </c>
      <c r="L226" s="10">
        <f>IF($A226="","",IF($F226="N","N",IF($K226="IN","Y",IF($K226="OUT","N",IF(AND($G226="Y",$H226="N",$I226="Y",$J226="N"),"Y","N")))))</f>
        <v/>
      </c>
      <c r="M226" s="10">
        <f>IF($A226="","",IF($F226="N","Out: different import country",IF($K226="IN","In: Research determination",IF($K226="OUT","Out: Research determination",IF($G226="N","Out: HTS not on scope list",IF($H226="Y","Out: HTS on exclusion list",IF($I226="N","Out: origin not on scope list",IF($J226="Y","Out: USMCA-qualifying, exempt","In: matches scope rules"))))))))</f>
        <v/>
      </c>
      <c r="N226" s="10">
        <f>IF(OR($A226="",$AM226=0),"",UPPER(TRIM(CLEAN(SUBSTITUTE(INDEX(scope_Group,MOD($AM226,1000))&amp;""," "," ")))))</f>
        <v/>
      </c>
      <c r="O226" s="10">
        <f>IF($L226&lt;&gt;"Y","",IF($AO226=0,"Default (B15)",UPPER(TRIM(CLEAN(SUBSTITUTE(INDEX(rate_ID,MOD($AO226,100))&amp;""," "," "))))))</f>
        <v/>
      </c>
      <c r="P226" s="10">
        <f>IF($L226&lt;&gt;"Y","",IF($AO226=0,IF(UPPER(TRIM(CLEAN(SUBSTITUTE(act_DefaultBase&amp;""," "," "))))="PART","PART","FULL"),IF(UPPER(TRIM(CLEAN(SUBSTITUTE(INDEX(rate_Base,MOD($AO226,100))&amp;""," "," "))))="PART","PART","FULL")))</f>
        <v/>
      </c>
      <c r="Q226" s="17">
        <f>IF($A226="","",N(Items!J226))</f>
        <v/>
      </c>
      <c r="R226" s="17">
        <f>IF($A226="","",IF($L226&lt;&gt;"Y",0,IF($AO226=0,N(act_Rate),N(INDEX(rate_Rate,MOD($AO226,100))))))</f>
        <v/>
      </c>
      <c r="S226" s="17">
        <f>IF($A226="","",IF($L226&lt;&gt;"Y",0,IF($AO226=0,IF(UPPER(TRIM(CLEAN(SUBSTITUTE(act_RateType&amp;""," "," "))))="REPLACE",N(act_PriorRate),0),IF(ISNUMBER(INDEX(rate_Prior,MOD($AO226,100))),INDEX(rate_Prior,MOD($AO226,100)),IF(UPPER(TRIM(CLEAN(SUBSTITUTE(act_RateType&amp;""," "," "))))="REPLACE",N(act_PriorRate),0)))))</f>
        <v/>
      </c>
      <c r="T226" s="17">
        <f>IF($A226="","",IF(AND($L226="Y",$P226="PART",ISNUMBER(Items!M226)),Items!M226,1))</f>
        <v/>
      </c>
      <c r="U226" s="17">
        <f>IF($A226="","",IF($L226&lt;&gt;"Y",0,IF($AQ226&gt;0,IF(ISNUMBER(INDEX(det_Displaced,$AQ226)),INDEX(det_Displaced,$AQ226),IF($AO226=0,0,N(INDEX(rate_Displaced,MOD($AO226,100))))),IF($AO226=0,0,N(INDEX(rate_Displaced,MOD($AO226,100)))))))</f>
        <v/>
      </c>
      <c r="V226" s="17">
        <f>IF($A226="","",IF($L226="Y",$Q226+$T226*($R226-$S226)-$U226,$Q226))</f>
        <v/>
      </c>
      <c r="W226" s="18">
        <f>IF($A226="","",N(Items!H226)*$Q226)</f>
        <v/>
      </c>
      <c r="X226" s="18">
        <f>IF($A226="","",N(Items!H226)*$V226)</f>
        <v/>
      </c>
      <c r="Y226" s="18">
        <f>IF($A226="","",$X226-$W226)</f>
        <v/>
      </c>
      <c r="Z226" s="18">
        <f>IF($A226="","",N(Items!K226)+$Y226)</f>
        <v/>
      </c>
      <c r="AA226" s="17">
        <f>IF($A226="","",IF(N(Items!L226)=0,"",(N(Items!L226)-N(Items!K226))/N(Items!L226)))</f>
        <v/>
      </c>
      <c r="AB226" s="17">
        <f>IF($A226="","",IF(N(Items!L226)=0,"",(N(Items!L226)-$Z226)/N(Items!L226)))</f>
        <v/>
      </c>
      <c r="AC226" s="17">
        <f>IF(OR($AA226="",$AB226=""),"",$AB226-$AA226)</f>
        <v/>
      </c>
      <c r="AD226" s="13">
        <f>IF($A226="","",N(Items!I226))</f>
        <v/>
      </c>
      <c r="AE226" s="19">
        <f>IF($A226="","",$Y226*$AD226)</f>
        <v/>
      </c>
      <c r="AF226" s="10">
        <f>IF($A226="","",IF(N(Items!L226)&gt;0,"Y","N"))</f>
        <v/>
      </c>
      <c r="AG226" s="19">
        <f>IF($A226="","",IF($AF226="Y",N(Items!L226)*$AD226,0))</f>
        <v/>
      </c>
      <c r="AH226" s="19">
        <f>IF($A226="","",IF($AF226="Y",(N(Items!L226)-N(Items!K226))*$AD226,0))</f>
        <v/>
      </c>
      <c r="AI226" s="19">
        <f>IF($A226="","",IF($AF226="Y",$AH226-$AE226,0))</f>
        <v/>
      </c>
      <c r="AJ226" s="10">
        <f>IF($A226="","",IF(COUNTIF($AL$5:$AL$254,$AL226)&gt;1,"CHECK: duplicate item and import country",IF(TRIM(CLEAN(SUBSTITUTE(Items!C226&amp;""," "," ")))="","CHECK: import country missing",IF(AND(UPPER(TRIM(CLEAN(SUBSTITUTE(Items!C226&amp;""," "," "))))&lt;&gt;"US",UPPER(TRIM(CLEAN(SUBSTITUTE(Items!C226&amp;""," "," "))))&lt;&gt;"CA",UPPER(TRIM(CLEAN(SUBSTITUTE(Items!C226&amp;""," "," "))))&lt;&gt;"MX"),"CHECK: import country must be US, CA or MX",IF(NOT(AND(LEN($C226)=10,IFERROR(TEXT(VALUE($C226),REPT("0",LEN($C226)))=$C226,FALSE))),"CHECK: HTS must be 10 digits",IF(LEN($E226)&lt;&gt;2,"CHECK: origin code missing or not 2 letters",IF(TRIM(CLEAN(SUBSTITUTE(Items!G226&amp;""," "," ")))="","CHECK: unit of measure missing",IF(OR(Items!H226="",Items!J226="",Items!K226=""),"CHECK: value, rate or cost missing",IF(OR(NOT(ISNUMBER(Items!H226)),NOT(ISNUMBER(Items!J226)),NOT(ISNUMBER(Items!K226)),AND(Items!I226&lt;&gt;"",NOT(ISNUMBER(Items!I226))),AND(Items!L226&lt;&gt;"",NOT(ISNUMBER(Items!L226))),AND(Items!M226&lt;&gt;"",NOT(ISNUMBER(Items!M226)))),"CHECK: text in a number column",IF(AND(ISNUMBER(Items!M226),OR(N(Items!M226)&lt;0,N(Items!M226)&gt;1)),"CHECK: dutiable share must be 0% to 100%",IF(AND(UPPER(TRIM(CLEAN(SUBSTITUTE(Items!F226&amp;""," "," "))))&lt;&gt;"",UPPER(TRIM(CLEAN(SUBSTITUTE(Items!F226&amp;""," "," "))))&lt;&gt;"Y",UPPER(TRIM(CLEAN(SUBSTITUTE(Items!F226&amp;""," "," "))))&lt;&gt;"N"),"CHECK: USMCA flag must be Y, N or blank",IF(AND(UPPER(TRIM(CLEAN(SUBSTITUTE(Items!F226&amp;""," "," "))))="Y",$E226&lt;&gt;"US",$E226&lt;&gt;"CA",$E226&lt;&gt;"MX"),"CHECK: USMCA flag on an origin other than US, CA or MX",IF(AND($L226="Y",$AO226=0,NOT(ISNUMBER(act_Rate))),"CHECK: in scope but no rate (add a rate line or B15)",IF(AND($L226="Y",UPPER(TRIM(CLEAN(SUBSTITUTE(act_RateType&amp;""," "," "))))="REPLACE",NOT(ISNUMBER(act_PriorRate)),IF($AO226=0,TRUE,NOT(ISNUMBER(INDEX(rate_Prior,MOD($AO226,100)))))),"CHECK: REPLACE but no earlier rate (B17 or the rate line's AD)",IF(AND($L226="Y",$AP226&gt;1),"CHECK: two rate lines match equally",IF(AND($L226="Y",$AN226&gt;1),"CHECK: HTS prefix listed twice on the scope list",IF(AND($L226="Y",$P226="PART",NOT(ISNUMBER(Items!M226))),"CHECK: dutiable share missing (PART base)",IF(AND($L226="Y",$P226="FULL",ISNUMBER(Items!M226),N(Items!M226)&lt;&gt;1),"CHECK: dutiable share entered, but the rate taxes the full value",IF(AND($L226="Y",$Q226+0.0000001&lt;$T226*$S226+$U226),"CHECK: current rate is below the duty being replaced or displaced",IF(AND($L226="Y",$AD226=0),"NOTE: in scope, no quantity",IF(AND($L226="Y",$AF226="N"),"NOTE: in scope, no sell price (left out of margin %)",IF(AND($L226="Y",N(Items!H226)&gt;N(Items!K226)),"NOTE: customs value above standard cost (check unit of measure)",IF(AND($L226="Y",$Q226&gt;1),"NOTE: current rate above 100% (check it was entered as a percentage)","OK")))))))))))))))))))))))</f>
        <v/>
      </c>
      <c r="AK226" s="20">
        <f>IF($A226="","",IF(AND($L226="Y",$AE226&lt;&gt;0),ABS($AE226)+ROW()/1000000000,""))</f>
        <v/>
      </c>
      <c r="AL226" s="10">
        <f>IF($A226="","",UPPER($A226)&amp;"/"&amp;UPPER(TRIM(CLEAN(SUBSTITUTE(Items!C226&amp;""," "," ")))))</f>
        <v/>
      </c>
      <c r="AM226" s="13">
        <f>IF($A226="",0,SUMPRODUCT(MAX((scope_HTS&lt;&gt;"")*(LEFT($C226,LEN(scope_HTS))=scope_HTS)*(LEN(scope_HTS)*1000+ROW(scope_HTS)-4))))</f>
        <v/>
      </c>
      <c r="AN226" s="13">
        <f>IF($AM226=0,0,SUMPRODUCT((scope_HTS&lt;&gt;"")*(LEFT($C226,LEN(scope_HTS))=scope_HTS)*(LEN(scope_HTS)=INT($AM226/1000))))</f>
        <v/>
      </c>
      <c r="AO226" s="13">
        <f>IF($L226&lt;&gt;"Y",0,SUMPRODUCT(MAX(ISNUMBER(rate_Rate)*((UPPER(TRIM(CLEAN(SUBSTITUTE(rate_Group&amp;""," "," "))))="")+(UPPER(TRIM(CLEAN(SUBSTITUTE(rate_Group&amp;""," "," "))))=$N226)&gt;0)*((UPPER(TRIM(CLEAN(SUBSTITUTE(rate_COO&amp;""," "," "))))="")+(UPPER(TRIM(CLEAN(SUBSTITUTE(rate_COO&amp;""," "," "))))=$E226)&gt;0)*((UPPER(TRIM(CLEAN(SUBSTITUTE(rate_USMCA&amp;""," "," "))))="")+(UPPER(TRIM(CLEAN(SUBSTITUTE(rate_USMCA&amp;""," "," "))))=IF(UPPER(TRIM(CLEAN(SUBSTITUTE(Items!F226&amp;""," "," "))))="Y","Y","N"))&gt;0)*((1+(UPPER(TRIM(CLEAN(SUBSTITUTE(rate_Group&amp;""," "," "))))&lt;&gt;"")+2*(UPPER(TRIM(CLEAN(SUBSTITUTE(rate_USMCA&amp;""," "," "))))&lt;&gt;"")+4*(UPPER(TRIM(CLEAN(SUBSTITUTE(rate_COO&amp;""," "," "))))&lt;&gt;""))*100+ROW(rate_Rate)-4))))</f>
        <v/>
      </c>
      <c r="AP226" s="13">
        <f>IF($AO226=0,0,SUMPRODUCT(ISNUMBER(rate_Rate)*((UPPER(TRIM(CLEAN(SUBSTITUTE(rate_Group&amp;""," "," "))))="")+(UPPER(TRIM(CLEAN(SUBSTITUTE(rate_Group&amp;""," "," "))))=$N226)&gt;0)*((UPPER(TRIM(CLEAN(SUBSTITUTE(rate_COO&amp;""," "," "))))="")+(UPPER(TRIM(CLEAN(SUBSTITUTE(rate_COO&amp;""," "," "))))=$E226)&gt;0)*((UPPER(TRIM(CLEAN(SUBSTITUTE(rate_USMCA&amp;""," "," "))))="")+(UPPER(TRIM(CLEAN(SUBSTITUTE(rate_USMCA&amp;""," "," "))))=IF(UPPER(TRIM(CLEAN(SUBSTITUTE(Items!F226&amp;""," "," "))))="Y","Y","N"))&gt;0)*((1+(UPPER(TRIM(CLEAN(SUBSTITUTE(rate_Group&amp;""," "," "))))&lt;&gt;"")+2*(UPPER(TRIM(CLEAN(SUBSTITUTE(rate_USMCA&amp;""," "," "))))&lt;&gt;"")+4*(UPPER(TRIM(CLEAN(SUBSTITUTE(rate_COO&amp;""," "," "))))&lt;&gt;""))=INT($AO226/100))))</f>
        <v/>
      </c>
      <c r="AQ226" s="13">
        <f>IF($A226="",0,IFERROR(MATCH($AL226,det_Key,0),0))</f>
        <v/>
      </c>
    </row>
    <row r="227">
      <c r="A227" s="10">
        <f>IF(TRIM(CLEAN(SUBSTITUTE(Items!A227&amp;""," "," ")))="","",TRIM(CLEAN(SUBSTITUTE(Items!A227&amp;""," "," "))))</f>
        <v/>
      </c>
      <c r="B227" s="10">
        <f>IF($A227="","",Items!B227&amp;"")</f>
        <v/>
      </c>
      <c r="C227" s="10">
        <f>IF($A227="","",SUBSTITUTE(SUBSTITUTE(SUBSTITUTE(SUBSTITUTE(CLEAN(Items!D227&amp;"")," ",""),".","")," ",""),"-",""))</f>
        <v/>
      </c>
      <c r="D227" s="10">
        <f>IF($A227="","",LEFT($C227,2))</f>
        <v/>
      </c>
      <c r="E227" s="10">
        <f>IF($A227="","",UPPER(TRIM(CLEAN(SUBSTITUTE(Items!E227&amp;""," "," ")))))</f>
        <v/>
      </c>
      <c r="F227" s="10">
        <f>IF($A227="","",IF(UPPER(TRIM(CLEAN(SUBSTITUTE(Items!C227&amp;""," "," "))))=UPPER(TRIM(CLEAN(SUBSTITUTE(act_Country&amp;""," "," ")))),"Y","N"))</f>
        <v/>
      </c>
      <c r="G227" s="10">
        <f>IF($A227="","",IF($AM227&gt;0,"Y","N"))</f>
        <v/>
      </c>
      <c r="H227" s="10">
        <f>IF($A227="","",IF(SUMPRODUCT((excl_HTS&lt;&gt;"")*(LEFT($C227,LEN(excl_HTS))=excl_HTS))&gt;0,"Y","N"))</f>
        <v/>
      </c>
      <c r="I227" s="10">
        <f>IF($A227="","",IF($E227="","N",IF(SUMPRODUCT(--(UPPER(TRIM(CLEAN(SUBSTITUTE(scope_COO&amp;""," "," "))))=$E227))&gt;0,"Y","N")))</f>
        <v/>
      </c>
      <c r="J227" s="10">
        <f>IF($A227="","",IF(AND(UPPER(TRIM(CLEAN(SUBSTITUTE(act_USMCAExempt&amp;""," "," "))))="Y",UPPER(TRIM(CLEAN(SUBSTITUTE(Items!F227&amp;""," "," "))))="Y"),"Y","N"))</f>
        <v/>
      </c>
      <c r="K227" s="10">
        <f>IF($A227="","",IF($AQ227=0,"",UPPER(TRIM(CLEAN(SUBSTITUTE(INDEX(det_Status,$AQ227)&amp;""," "," "))))))</f>
        <v/>
      </c>
      <c r="L227" s="10">
        <f>IF($A227="","",IF($F227="N","N",IF($K227="IN","Y",IF($K227="OUT","N",IF(AND($G227="Y",$H227="N",$I227="Y",$J227="N"),"Y","N")))))</f>
        <v/>
      </c>
      <c r="M227" s="10">
        <f>IF($A227="","",IF($F227="N","Out: different import country",IF($K227="IN","In: Research determination",IF($K227="OUT","Out: Research determination",IF($G227="N","Out: HTS not on scope list",IF($H227="Y","Out: HTS on exclusion list",IF($I227="N","Out: origin not on scope list",IF($J227="Y","Out: USMCA-qualifying, exempt","In: matches scope rules"))))))))</f>
        <v/>
      </c>
      <c r="N227" s="10">
        <f>IF(OR($A227="",$AM227=0),"",UPPER(TRIM(CLEAN(SUBSTITUTE(INDEX(scope_Group,MOD($AM227,1000))&amp;""," "," ")))))</f>
        <v/>
      </c>
      <c r="O227" s="10">
        <f>IF($L227&lt;&gt;"Y","",IF($AO227=0,"Default (B15)",UPPER(TRIM(CLEAN(SUBSTITUTE(INDEX(rate_ID,MOD($AO227,100))&amp;""," "," "))))))</f>
        <v/>
      </c>
      <c r="P227" s="10">
        <f>IF($L227&lt;&gt;"Y","",IF($AO227=0,IF(UPPER(TRIM(CLEAN(SUBSTITUTE(act_DefaultBase&amp;""," "," "))))="PART","PART","FULL"),IF(UPPER(TRIM(CLEAN(SUBSTITUTE(INDEX(rate_Base,MOD($AO227,100))&amp;""," "," "))))="PART","PART","FULL")))</f>
        <v/>
      </c>
      <c r="Q227" s="17">
        <f>IF($A227="","",N(Items!J227))</f>
        <v/>
      </c>
      <c r="R227" s="17">
        <f>IF($A227="","",IF($L227&lt;&gt;"Y",0,IF($AO227=0,N(act_Rate),N(INDEX(rate_Rate,MOD($AO227,100))))))</f>
        <v/>
      </c>
      <c r="S227" s="17">
        <f>IF($A227="","",IF($L227&lt;&gt;"Y",0,IF($AO227=0,IF(UPPER(TRIM(CLEAN(SUBSTITUTE(act_RateType&amp;""," "," "))))="REPLACE",N(act_PriorRate),0),IF(ISNUMBER(INDEX(rate_Prior,MOD($AO227,100))),INDEX(rate_Prior,MOD($AO227,100)),IF(UPPER(TRIM(CLEAN(SUBSTITUTE(act_RateType&amp;""," "," "))))="REPLACE",N(act_PriorRate),0)))))</f>
        <v/>
      </c>
      <c r="T227" s="17">
        <f>IF($A227="","",IF(AND($L227="Y",$P227="PART",ISNUMBER(Items!M227)),Items!M227,1))</f>
        <v/>
      </c>
      <c r="U227" s="17">
        <f>IF($A227="","",IF($L227&lt;&gt;"Y",0,IF($AQ227&gt;0,IF(ISNUMBER(INDEX(det_Displaced,$AQ227)),INDEX(det_Displaced,$AQ227),IF($AO227=0,0,N(INDEX(rate_Displaced,MOD($AO227,100))))),IF($AO227=0,0,N(INDEX(rate_Displaced,MOD($AO227,100)))))))</f>
        <v/>
      </c>
      <c r="V227" s="17">
        <f>IF($A227="","",IF($L227="Y",$Q227+$T227*($R227-$S227)-$U227,$Q227))</f>
        <v/>
      </c>
      <c r="W227" s="18">
        <f>IF($A227="","",N(Items!H227)*$Q227)</f>
        <v/>
      </c>
      <c r="X227" s="18">
        <f>IF($A227="","",N(Items!H227)*$V227)</f>
        <v/>
      </c>
      <c r="Y227" s="18">
        <f>IF($A227="","",$X227-$W227)</f>
        <v/>
      </c>
      <c r="Z227" s="18">
        <f>IF($A227="","",N(Items!K227)+$Y227)</f>
        <v/>
      </c>
      <c r="AA227" s="17">
        <f>IF($A227="","",IF(N(Items!L227)=0,"",(N(Items!L227)-N(Items!K227))/N(Items!L227)))</f>
        <v/>
      </c>
      <c r="AB227" s="17">
        <f>IF($A227="","",IF(N(Items!L227)=0,"",(N(Items!L227)-$Z227)/N(Items!L227)))</f>
        <v/>
      </c>
      <c r="AC227" s="17">
        <f>IF(OR($AA227="",$AB227=""),"",$AB227-$AA227)</f>
        <v/>
      </c>
      <c r="AD227" s="13">
        <f>IF($A227="","",N(Items!I227))</f>
        <v/>
      </c>
      <c r="AE227" s="19">
        <f>IF($A227="","",$Y227*$AD227)</f>
        <v/>
      </c>
      <c r="AF227" s="10">
        <f>IF($A227="","",IF(N(Items!L227)&gt;0,"Y","N"))</f>
        <v/>
      </c>
      <c r="AG227" s="19">
        <f>IF($A227="","",IF($AF227="Y",N(Items!L227)*$AD227,0))</f>
        <v/>
      </c>
      <c r="AH227" s="19">
        <f>IF($A227="","",IF($AF227="Y",(N(Items!L227)-N(Items!K227))*$AD227,0))</f>
        <v/>
      </c>
      <c r="AI227" s="19">
        <f>IF($A227="","",IF($AF227="Y",$AH227-$AE227,0))</f>
        <v/>
      </c>
      <c r="AJ227" s="10">
        <f>IF($A227="","",IF(COUNTIF($AL$5:$AL$254,$AL227)&gt;1,"CHECK: duplicate item and import country",IF(TRIM(CLEAN(SUBSTITUTE(Items!C227&amp;""," "," ")))="","CHECK: import country missing",IF(AND(UPPER(TRIM(CLEAN(SUBSTITUTE(Items!C227&amp;""," "," "))))&lt;&gt;"US",UPPER(TRIM(CLEAN(SUBSTITUTE(Items!C227&amp;""," "," "))))&lt;&gt;"CA",UPPER(TRIM(CLEAN(SUBSTITUTE(Items!C227&amp;""," "," "))))&lt;&gt;"MX"),"CHECK: import country must be US, CA or MX",IF(NOT(AND(LEN($C227)=10,IFERROR(TEXT(VALUE($C227),REPT("0",LEN($C227)))=$C227,FALSE))),"CHECK: HTS must be 10 digits",IF(LEN($E227)&lt;&gt;2,"CHECK: origin code missing or not 2 letters",IF(TRIM(CLEAN(SUBSTITUTE(Items!G227&amp;""," "," ")))="","CHECK: unit of measure missing",IF(OR(Items!H227="",Items!J227="",Items!K227=""),"CHECK: value, rate or cost missing",IF(OR(NOT(ISNUMBER(Items!H227)),NOT(ISNUMBER(Items!J227)),NOT(ISNUMBER(Items!K227)),AND(Items!I227&lt;&gt;"",NOT(ISNUMBER(Items!I227))),AND(Items!L227&lt;&gt;"",NOT(ISNUMBER(Items!L227))),AND(Items!M227&lt;&gt;"",NOT(ISNUMBER(Items!M227)))),"CHECK: text in a number column",IF(AND(ISNUMBER(Items!M227),OR(N(Items!M227)&lt;0,N(Items!M227)&gt;1)),"CHECK: dutiable share must be 0% to 100%",IF(AND(UPPER(TRIM(CLEAN(SUBSTITUTE(Items!F227&amp;""," "," "))))&lt;&gt;"",UPPER(TRIM(CLEAN(SUBSTITUTE(Items!F227&amp;""," "," "))))&lt;&gt;"Y",UPPER(TRIM(CLEAN(SUBSTITUTE(Items!F227&amp;""," "," "))))&lt;&gt;"N"),"CHECK: USMCA flag must be Y, N or blank",IF(AND(UPPER(TRIM(CLEAN(SUBSTITUTE(Items!F227&amp;""," "," "))))="Y",$E227&lt;&gt;"US",$E227&lt;&gt;"CA",$E227&lt;&gt;"MX"),"CHECK: USMCA flag on an origin other than US, CA or MX",IF(AND($L227="Y",$AO227=0,NOT(ISNUMBER(act_Rate))),"CHECK: in scope but no rate (add a rate line or B15)",IF(AND($L227="Y",UPPER(TRIM(CLEAN(SUBSTITUTE(act_RateType&amp;""," "," "))))="REPLACE",NOT(ISNUMBER(act_PriorRate)),IF($AO227=0,TRUE,NOT(ISNUMBER(INDEX(rate_Prior,MOD($AO227,100)))))),"CHECK: REPLACE but no earlier rate (B17 or the rate line's AD)",IF(AND($L227="Y",$AP227&gt;1),"CHECK: two rate lines match equally",IF(AND($L227="Y",$AN227&gt;1),"CHECK: HTS prefix listed twice on the scope list",IF(AND($L227="Y",$P227="PART",NOT(ISNUMBER(Items!M227))),"CHECK: dutiable share missing (PART base)",IF(AND($L227="Y",$P227="FULL",ISNUMBER(Items!M227),N(Items!M227)&lt;&gt;1),"CHECK: dutiable share entered, but the rate taxes the full value",IF(AND($L227="Y",$Q227+0.0000001&lt;$T227*$S227+$U227),"CHECK: current rate is below the duty being replaced or displaced",IF(AND($L227="Y",$AD227=0),"NOTE: in scope, no quantity",IF(AND($L227="Y",$AF227="N"),"NOTE: in scope, no sell price (left out of margin %)",IF(AND($L227="Y",N(Items!H227)&gt;N(Items!K227)),"NOTE: customs value above standard cost (check unit of measure)",IF(AND($L227="Y",$Q227&gt;1),"NOTE: current rate above 100% (check it was entered as a percentage)","OK")))))))))))))))))))))))</f>
        <v/>
      </c>
      <c r="AK227" s="20">
        <f>IF($A227="","",IF(AND($L227="Y",$AE227&lt;&gt;0),ABS($AE227)+ROW()/1000000000,""))</f>
        <v/>
      </c>
      <c r="AL227" s="10">
        <f>IF($A227="","",UPPER($A227)&amp;"/"&amp;UPPER(TRIM(CLEAN(SUBSTITUTE(Items!C227&amp;""," "," ")))))</f>
        <v/>
      </c>
      <c r="AM227" s="13">
        <f>IF($A227="",0,SUMPRODUCT(MAX((scope_HTS&lt;&gt;"")*(LEFT($C227,LEN(scope_HTS))=scope_HTS)*(LEN(scope_HTS)*1000+ROW(scope_HTS)-4))))</f>
        <v/>
      </c>
      <c r="AN227" s="13">
        <f>IF($AM227=0,0,SUMPRODUCT((scope_HTS&lt;&gt;"")*(LEFT($C227,LEN(scope_HTS))=scope_HTS)*(LEN(scope_HTS)=INT($AM227/1000))))</f>
        <v/>
      </c>
      <c r="AO227" s="13">
        <f>IF($L227&lt;&gt;"Y",0,SUMPRODUCT(MAX(ISNUMBER(rate_Rate)*((UPPER(TRIM(CLEAN(SUBSTITUTE(rate_Group&amp;""," "," "))))="")+(UPPER(TRIM(CLEAN(SUBSTITUTE(rate_Group&amp;""," "," "))))=$N227)&gt;0)*((UPPER(TRIM(CLEAN(SUBSTITUTE(rate_COO&amp;""," "," "))))="")+(UPPER(TRIM(CLEAN(SUBSTITUTE(rate_COO&amp;""," "," "))))=$E227)&gt;0)*((UPPER(TRIM(CLEAN(SUBSTITUTE(rate_USMCA&amp;""," "," "))))="")+(UPPER(TRIM(CLEAN(SUBSTITUTE(rate_USMCA&amp;""," "," "))))=IF(UPPER(TRIM(CLEAN(SUBSTITUTE(Items!F227&amp;""," "," "))))="Y","Y","N"))&gt;0)*((1+(UPPER(TRIM(CLEAN(SUBSTITUTE(rate_Group&amp;""," "," "))))&lt;&gt;"")+2*(UPPER(TRIM(CLEAN(SUBSTITUTE(rate_USMCA&amp;""," "," "))))&lt;&gt;"")+4*(UPPER(TRIM(CLEAN(SUBSTITUTE(rate_COO&amp;""," "," "))))&lt;&gt;""))*100+ROW(rate_Rate)-4))))</f>
        <v/>
      </c>
      <c r="AP227" s="13">
        <f>IF($AO227=0,0,SUMPRODUCT(ISNUMBER(rate_Rate)*((UPPER(TRIM(CLEAN(SUBSTITUTE(rate_Group&amp;""," "," "))))="")+(UPPER(TRIM(CLEAN(SUBSTITUTE(rate_Group&amp;""," "," "))))=$N227)&gt;0)*((UPPER(TRIM(CLEAN(SUBSTITUTE(rate_COO&amp;""," "," "))))="")+(UPPER(TRIM(CLEAN(SUBSTITUTE(rate_COO&amp;""," "," "))))=$E227)&gt;0)*((UPPER(TRIM(CLEAN(SUBSTITUTE(rate_USMCA&amp;""," "," "))))="")+(UPPER(TRIM(CLEAN(SUBSTITUTE(rate_USMCA&amp;""," "," "))))=IF(UPPER(TRIM(CLEAN(SUBSTITUTE(Items!F227&amp;""," "," "))))="Y","Y","N"))&gt;0)*((1+(UPPER(TRIM(CLEAN(SUBSTITUTE(rate_Group&amp;""," "," "))))&lt;&gt;"")+2*(UPPER(TRIM(CLEAN(SUBSTITUTE(rate_USMCA&amp;""," "," "))))&lt;&gt;"")+4*(UPPER(TRIM(CLEAN(SUBSTITUTE(rate_COO&amp;""," "," "))))&lt;&gt;""))=INT($AO227/100))))</f>
        <v/>
      </c>
      <c r="AQ227" s="13">
        <f>IF($A227="",0,IFERROR(MATCH($AL227,det_Key,0),0))</f>
        <v/>
      </c>
    </row>
    <row r="228">
      <c r="A228" s="10">
        <f>IF(TRIM(CLEAN(SUBSTITUTE(Items!A228&amp;""," "," ")))="","",TRIM(CLEAN(SUBSTITUTE(Items!A228&amp;""," "," "))))</f>
        <v/>
      </c>
      <c r="B228" s="10">
        <f>IF($A228="","",Items!B228&amp;"")</f>
        <v/>
      </c>
      <c r="C228" s="10">
        <f>IF($A228="","",SUBSTITUTE(SUBSTITUTE(SUBSTITUTE(SUBSTITUTE(CLEAN(Items!D228&amp;"")," ",""),".","")," ",""),"-",""))</f>
        <v/>
      </c>
      <c r="D228" s="10">
        <f>IF($A228="","",LEFT($C228,2))</f>
        <v/>
      </c>
      <c r="E228" s="10">
        <f>IF($A228="","",UPPER(TRIM(CLEAN(SUBSTITUTE(Items!E228&amp;""," "," ")))))</f>
        <v/>
      </c>
      <c r="F228" s="10">
        <f>IF($A228="","",IF(UPPER(TRIM(CLEAN(SUBSTITUTE(Items!C228&amp;""," "," "))))=UPPER(TRIM(CLEAN(SUBSTITUTE(act_Country&amp;""," "," ")))),"Y","N"))</f>
        <v/>
      </c>
      <c r="G228" s="10">
        <f>IF($A228="","",IF($AM228&gt;0,"Y","N"))</f>
        <v/>
      </c>
      <c r="H228" s="10">
        <f>IF($A228="","",IF(SUMPRODUCT((excl_HTS&lt;&gt;"")*(LEFT($C228,LEN(excl_HTS))=excl_HTS))&gt;0,"Y","N"))</f>
        <v/>
      </c>
      <c r="I228" s="10">
        <f>IF($A228="","",IF($E228="","N",IF(SUMPRODUCT(--(UPPER(TRIM(CLEAN(SUBSTITUTE(scope_COO&amp;""," "," "))))=$E228))&gt;0,"Y","N")))</f>
        <v/>
      </c>
      <c r="J228" s="10">
        <f>IF($A228="","",IF(AND(UPPER(TRIM(CLEAN(SUBSTITUTE(act_USMCAExempt&amp;""," "," "))))="Y",UPPER(TRIM(CLEAN(SUBSTITUTE(Items!F228&amp;""," "," "))))="Y"),"Y","N"))</f>
        <v/>
      </c>
      <c r="K228" s="10">
        <f>IF($A228="","",IF($AQ228=0,"",UPPER(TRIM(CLEAN(SUBSTITUTE(INDEX(det_Status,$AQ228)&amp;""," "," "))))))</f>
        <v/>
      </c>
      <c r="L228" s="10">
        <f>IF($A228="","",IF($F228="N","N",IF($K228="IN","Y",IF($K228="OUT","N",IF(AND($G228="Y",$H228="N",$I228="Y",$J228="N"),"Y","N")))))</f>
        <v/>
      </c>
      <c r="M228" s="10">
        <f>IF($A228="","",IF($F228="N","Out: different import country",IF($K228="IN","In: Research determination",IF($K228="OUT","Out: Research determination",IF($G228="N","Out: HTS not on scope list",IF($H228="Y","Out: HTS on exclusion list",IF($I228="N","Out: origin not on scope list",IF($J228="Y","Out: USMCA-qualifying, exempt","In: matches scope rules"))))))))</f>
        <v/>
      </c>
      <c r="N228" s="10">
        <f>IF(OR($A228="",$AM228=0),"",UPPER(TRIM(CLEAN(SUBSTITUTE(INDEX(scope_Group,MOD($AM228,1000))&amp;""," "," ")))))</f>
        <v/>
      </c>
      <c r="O228" s="10">
        <f>IF($L228&lt;&gt;"Y","",IF($AO228=0,"Default (B15)",UPPER(TRIM(CLEAN(SUBSTITUTE(INDEX(rate_ID,MOD($AO228,100))&amp;""," "," "))))))</f>
        <v/>
      </c>
      <c r="P228" s="10">
        <f>IF($L228&lt;&gt;"Y","",IF($AO228=0,IF(UPPER(TRIM(CLEAN(SUBSTITUTE(act_DefaultBase&amp;""," "," "))))="PART","PART","FULL"),IF(UPPER(TRIM(CLEAN(SUBSTITUTE(INDEX(rate_Base,MOD($AO228,100))&amp;""," "," "))))="PART","PART","FULL")))</f>
        <v/>
      </c>
      <c r="Q228" s="17">
        <f>IF($A228="","",N(Items!J228))</f>
        <v/>
      </c>
      <c r="R228" s="17">
        <f>IF($A228="","",IF($L228&lt;&gt;"Y",0,IF($AO228=0,N(act_Rate),N(INDEX(rate_Rate,MOD($AO228,100))))))</f>
        <v/>
      </c>
      <c r="S228" s="17">
        <f>IF($A228="","",IF($L228&lt;&gt;"Y",0,IF($AO228=0,IF(UPPER(TRIM(CLEAN(SUBSTITUTE(act_RateType&amp;""," "," "))))="REPLACE",N(act_PriorRate),0),IF(ISNUMBER(INDEX(rate_Prior,MOD($AO228,100))),INDEX(rate_Prior,MOD($AO228,100)),IF(UPPER(TRIM(CLEAN(SUBSTITUTE(act_RateType&amp;""," "," "))))="REPLACE",N(act_PriorRate),0)))))</f>
        <v/>
      </c>
      <c r="T228" s="17">
        <f>IF($A228="","",IF(AND($L228="Y",$P228="PART",ISNUMBER(Items!M228)),Items!M228,1))</f>
        <v/>
      </c>
      <c r="U228" s="17">
        <f>IF($A228="","",IF($L228&lt;&gt;"Y",0,IF($AQ228&gt;0,IF(ISNUMBER(INDEX(det_Displaced,$AQ228)),INDEX(det_Displaced,$AQ228),IF($AO228=0,0,N(INDEX(rate_Displaced,MOD($AO228,100))))),IF($AO228=0,0,N(INDEX(rate_Displaced,MOD($AO228,100)))))))</f>
        <v/>
      </c>
      <c r="V228" s="17">
        <f>IF($A228="","",IF($L228="Y",$Q228+$T228*($R228-$S228)-$U228,$Q228))</f>
        <v/>
      </c>
      <c r="W228" s="18">
        <f>IF($A228="","",N(Items!H228)*$Q228)</f>
        <v/>
      </c>
      <c r="X228" s="18">
        <f>IF($A228="","",N(Items!H228)*$V228)</f>
        <v/>
      </c>
      <c r="Y228" s="18">
        <f>IF($A228="","",$X228-$W228)</f>
        <v/>
      </c>
      <c r="Z228" s="18">
        <f>IF($A228="","",N(Items!K228)+$Y228)</f>
        <v/>
      </c>
      <c r="AA228" s="17">
        <f>IF($A228="","",IF(N(Items!L228)=0,"",(N(Items!L228)-N(Items!K228))/N(Items!L228)))</f>
        <v/>
      </c>
      <c r="AB228" s="17">
        <f>IF($A228="","",IF(N(Items!L228)=0,"",(N(Items!L228)-$Z228)/N(Items!L228)))</f>
        <v/>
      </c>
      <c r="AC228" s="17">
        <f>IF(OR($AA228="",$AB228=""),"",$AB228-$AA228)</f>
        <v/>
      </c>
      <c r="AD228" s="13">
        <f>IF($A228="","",N(Items!I228))</f>
        <v/>
      </c>
      <c r="AE228" s="19">
        <f>IF($A228="","",$Y228*$AD228)</f>
        <v/>
      </c>
      <c r="AF228" s="10">
        <f>IF($A228="","",IF(N(Items!L228)&gt;0,"Y","N"))</f>
        <v/>
      </c>
      <c r="AG228" s="19">
        <f>IF($A228="","",IF($AF228="Y",N(Items!L228)*$AD228,0))</f>
        <v/>
      </c>
      <c r="AH228" s="19">
        <f>IF($A228="","",IF($AF228="Y",(N(Items!L228)-N(Items!K228))*$AD228,0))</f>
        <v/>
      </c>
      <c r="AI228" s="19">
        <f>IF($A228="","",IF($AF228="Y",$AH228-$AE228,0))</f>
        <v/>
      </c>
      <c r="AJ228" s="10">
        <f>IF($A228="","",IF(COUNTIF($AL$5:$AL$254,$AL228)&gt;1,"CHECK: duplicate item and import country",IF(TRIM(CLEAN(SUBSTITUTE(Items!C228&amp;""," "," ")))="","CHECK: import country missing",IF(AND(UPPER(TRIM(CLEAN(SUBSTITUTE(Items!C228&amp;""," "," "))))&lt;&gt;"US",UPPER(TRIM(CLEAN(SUBSTITUTE(Items!C228&amp;""," "," "))))&lt;&gt;"CA",UPPER(TRIM(CLEAN(SUBSTITUTE(Items!C228&amp;""," "," "))))&lt;&gt;"MX"),"CHECK: import country must be US, CA or MX",IF(NOT(AND(LEN($C228)=10,IFERROR(TEXT(VALUE($C228),REPT("0",LEN($C228)))=$C228,FALSE))),"CHECK: HTS must be 10 digits",IF(LEN($E228)&lt;&gt;2,"CHECK: origin code missing or not 2 letters",IF(TRIM(CLEAN(SUBSTITUTE(Items!G228&amp;""," "," ")))="","CHECK: unit of measure missing",IF(OR(Items!H228="",Items!J228="",Items!K228=""),"CHECK: value, rate or cost missing",IF(OR(NOT(ISNUMBER(Items!H228)),NOT(ISNUMBER(Items!J228)),NOT(ISNUMBER(Items!K228)),AND(Items!I228&lt;&gt;"",NOT(ISNUMBER(Items!I228))),AND(Items!L228&lt;&gt;"",NOT(ISNUMBER(Items!L228))),AND(Items!M228&lt;&gt;"",NOT(ISNUMBER(Items!M228)))),"CHECK: text in a number column",IF(AND(ISNUMBER(Items!M228),OR(N(Items!M228)&lt;0,N(Items!M228)&gt;1)),"CHECK: dutiable share must be 0% to 100%",IF(AND(UPPER(TRIM(CLEAN(SUBSTITUTE(Items!F228&amp;""," "," "))))&lt;&gt;"",UPPER(TRIM(CLEAN(SUBSTITUTE(Items!F228&amp;""," "," "))))&lt;&gt;"Y",UPPER(TRIM(CLEAN(SUBSTITUTE(Items!F228&amp;""," "," "))))&lt;&gt;"N"),"CHECK: USMCA flag must be Y, N or blank",IF(AND(UPPER(TRIM(CLEAN(SUBSTITUTE(Items!F228&amp;""," "," "))))="Y",$E228&lt;&gt;"US",$E228&lt;&gt;"CA",$E228&lt;&gt;"MX"),"CHECK: USMCA flag on an origin other than US, CA or MX",IF(AND($L228="Y",$AO228=0,NOT(ISNUMBER(act_Rate))),"CHECK: in scope but no rate (add a rate line or B15)",IF(AND($L228="Y",UPPER(TRIM(CLEAN(SUBSTITUTE(act_RateType&amp;""," "," "))))="REPLACE",NOT(ISNUMBER(act_PriorRate)),IF($AO228=0,TRUE,NOT(ISNUMBER(INDEX(rate_Prior,MOD($AO228,100)))))),"CHECK: REPLACE but no earlier rate (B17 or the rate line's AD)",IF(AND($L228="Y",$AP228&gt;1),"CHECK: two rate lines match equally",IF(AND($L228="Y",$AN228&gt;1),"CHECK: HTS prefix listed twice on the scope list",IF(AND($L228="Y",$P228="PART",NOT(ISNUMBER(Items!M228))),"CHECK: dutiable share missing (PART base)",IF(AND($L228="Y",$P228="FULL",ISNUMBER(Items!M228),N(Items!M228)&lt;&gt;1),"CHECK: dutiable share entered, but the rate taxes the full value",IF(AND($L228="Y",$Q228+0.0000001&lt;$T228*$S228+$U228),"CHECK: current rate is below the duty being replaced or displaced",IF(AND($L228="Y",$AD228=0),"NOTE: in scope, no quantity",IF(AND($L228="Y",$AF228="N"),"NOTE: in scope, no sell price (left out of margin %)",IF(AND($L228="Y",N(Items!H228)&gt;N(Items!K228)),"NOTE: customs value above standard cost (check unit of measure)",IF(AND($L228="Y",$Q228&gt;1),"NOTE: current rate above 100% (check it was entered as a percentage)","OK")))))))))))))))))))))))</f>
        <v/>
      </c>
      <c r="AK228" s="20">
        <f>IF($A228="","",IF(AND($L228="Y",$AE228&lt;&gt;0),ABS($AE228)+ROW()/1000000000,""))</f>
        <v/>
      </c>
      <c r="AL228" s="10">
        <f>IF($A228="","",UPPER($A228)&amp;"/"&amp;UPPER(TRIM(CLEAN(SUBSTITUTE(Items!C228&amp;""," "," ")))))</f>
        <v/>
      </c>
      <c r="AM228" s="13">
        <f>IF($A228="",0,SUMPRODUCT(MAX((scope_HTS&lt;&gt;"")*(LEFT($C228,LEN(scope_HTS))=scope_HTS)*(LEN(scope_HTS)*1000+ROW(scope_HTS)-4))))</f>
        <v/>
      </c>
      <c r="AN228" s="13">
        <f>IF($AM228=0,0,SUMPRODUCT((scope_HTS&lt;&gt;"")*(LEFT($C228,LEN(scope_HTS))=scope_HTS)*(LEN(scope_HTS)=INT($AM228/1000))))</f>
        <v/>
      </c>
      <c r="AO228" s="13">
        <f>IF($L228&lt;&gt;"Y",0,SUMPRODUCT(MAX(ISNUMBER(rate_Rate)*((UPPER(TRIM(CLEAN(SUBSTITUTE(rate_Group&amp;""," "," "))))="")+(UPPER(TRIM(CLEAN(SUBSTITUTE(rate_Group&amp;""," "," "))))=$N228)&gt;0)*((UPPER(TRIM(CLEAN(SUBSTITUTE(rate_COO&amp;""," "," "))))="")+(UPPER(TRIM(CLEAN(SUBSTITUTE(rate_COO&amp;""," "," "))))=$E228)&gt;0)*((UPPER(TRIM(CLEAN(SUBSTITUTE(rate_USMCA&amp;""," "," "))))="")+(UPPER(TRIM(CLEAN(SUBSTITUTE(rate_USMCA&amp;""," "," "))))=IF(UPPER(TRIM(CLEAN(SUBSTITUTE(Items!F228&amp;""," "," "))))="Y","Y","N"))&gt;0)*((1+(UPPER(TRIM(CLEAN(SUBSTITUTE(rate_Group&amp;""," "," "))))&lt;&gt;"")+2*(UPPER(TRIM(CLEAN(SUBSTITUTE(rate_USMCA&amp;""," "," "))))&lt;&gt;"")+4*(UPPER(TRIM(CLEAN(SUBSTITUTE(rate_COO&amp;""," "," "))))&lt;&gt;""))*100+ROW(rate_Rate)-4))))</f>
        <v/>
      </c>
      <c r="AP228" s="13">
        <f>IF($AO228=0,0,SUMPRODUCT(ISNUMBER(rate_Rate)*((UPPER(TRIM(CLEAN(SUBSTITUTE(rate_Group&amp;""," "," "))))="")+(UPPER(TRIM(CLEAN(SUBSTITUTE(rate_Group&amp;""," "," "))))=$N228)&gt;0)*((UPPER(TRIM(CLEAN(SUBSTITUTE(rate_COO&amp;""," "," "))))="")+(UPPER(TRIM(CLEAN(SUBSTITUTE(rate_COO&amp;""," "," "))))=$E228)&gt;0)*((UPPER(TRIM(CLEAN(SUBSTITUTE(rate_USMCA&amp;""," "," "))))="")+(UPPER(TRIM(CLEAN(SUBSTITUTE(rate_USMCA&amp;""," "," "))))=IF(UPPER(TRIM(CLEAN(SUBSTITUTE(Items!F228&amp;""," "," "))))="Y","Y","N"))&gt;0)*((1+(UPPER(TRIM(CLEAN(SUBSTITUTE(rate_Group&amp;""," "," "))))&lt;&gt;"")+2*(UPPER(TRIM(CLEAN(SUBSTITUTE(rate_USMCA&amp;""," "," "))))&lt;&gt;"")+4*(UPPER(TRIM(CLEAN(SUBSTITUTE(rate_COO&amp;""," "," "))))&lt;&gt;""))=INT($AO228/100))))</f>
        <v/>
      </c>
      <c r="AQ228" s="13">
        <f>IF($A228="",0,IFERROR(MATCH($AL228,det_Key,0),0))</f>
        <v/>
      </c>
    </row>
    <row r="229">
      <c r="A229" s="10">
        <f>IF(TRIM(CLEAN(SUBSTITUTE(Items!A229&amp;""," "," ")))="","",TRIM(CLEAN(SUBSTITUTE(Items!A229&amp;""," "," "))))</f>
        <v/>
      </c>
      <c r="B229" s="10">
        <f>IF($A229="","",Items!B229&amp;"")</f>
        <v/>
      </c>
      <c r="C229" s="10">
        <f>IF($A229="","",SUBSTITUTE(SUBSTITUTE(SUBSTITUTE(SUBSTITUTE(CLEAN(Items!D229&amp;"")," ",""),".","")," ",""),"-",""))</f>
        <v/>
      </c>
      <c r="D229" s="10">
        <f>IF($A229="","",LEFT($C229,2))</f>
        <v/>
      </c>
      <c r="E229" s="10">
        <f>IF($A229="","",UPPER(TRIM(CLEAN(SUBSTITUTE(Items!E229&amp;""," "," ")))))</f>
        <v/>
      </c>
      <c r="F229" s="10">
        <f>IF($A229="","",IF(UPPER(TRIM(CLEAN(SUBSTITUTE(Items!C229&amp;""," "," "))))=UPPER(TRIM(CLEAN(SUBSTITUTE(act_Country&amp;""," "," ")))),"Y","N"))</f>
        <v/>
      </c>
      <c r="G229" s="10">
        <f>IF($A229="","",IF($AM229&gt;0,"Y","N"))</f>
        <v/>
      </c>
      <c r="H229" s="10">
        <f>IF($A229="","",IF(SUMPRODUCT((excl_HTS&lt;&gt;"")*(LEFT($C229,LEN(excl_HTS))=excl_HTS))&gt;0,"Y","N"))</f>
        <v/>
      </c>
      <c r="I229" s="10">
        <f>IF($A229="","",IF($E229="","N",IF(SUMPRODUCT(--(UPPER(TRIM(CLEAN(SUBSTITUTE(scope_COO&amp;""," "," "))))=$E229))&gt;0,"Y","N")))</f>
        <v/>
      </c>
      <c r="J229" s="10">
        <f>IF($A229="","",IF(AND(UPPER(TRIM(CLEAN(SUBSTITUTE(act_USMCAExempt&amp;""," "," "))))="Y",UPPER(TRIM(CLEAN(SUBSTITUTE(Items!F229&amp;""," "," "))))="Y"),"Y","N"))</f>
        <v/>
      </c>
      <c r="K229" s="10">
        <f>IF($A229="","",IF($AQ229=0,"",UPPER(TRIM(CLEAN(SUBSTITUTE(INDEX(det_Status,$AQ229)&amp;""," "," "))))))</f>
        <v/>
      </c>
      <c r="L229" s="10">
        <f>IF($A229="","",IF($F229="N","N",IF($K229="IN","Y",IF($K229="OUT","N",IF(AND($G229="Y",$H229="N",$I229="Y",$J229="N"),"Y","N")))))</f>
        <v/>
      </c>
      <c r="M229" s="10">
        <f>IF($A229="","",IF($F229="N","Out: different import country",IF($K229="IN","In: Research determination",IF($K229="OUT","Out: Research determination",IF($G229="N","Out: HTS not on scope list",IF($H229="Y","Out: HTS on exclusion list",IF($I229="N","Out: origin not on scope list",IF($J229="Y","Out: USMCA-qualifying, exempt","In: matches scope rules"))))))))</f>
        <v/>
      </c>
      <c r="N229" s="10">
        <f>IF(OR($A229="",$AM229=0),"",UPPER(TRIM(CLEAN(SUBSTITUTE(INDEX(scope_Group,MOD($AM229,1000))&amp;""," "," ")))))</f>
        <v/>
      </c>
      <c r="O229" s="10">
        <f>IF($L229&lt;&gt;"Y","",IF($AO229=0,"Default (B15)",UPPER(TRIM(CLEAN(SUBSTITUTE(INDEX(rate_ID,MOD($AO229,100))&amp;""," "," "))))))</f>
        <v/>
      </c>
      <c r="P229" s="10">
        <f>IF($L229&lt;&gt;"Y","",IF($AO229=0,IF(UPPER(TRIM(CLEAN(SUBSTITUTE(act_DefaultBase&amp;""," "," "))))="PART","PART","FULL"),IF(UPPER(TRIM(CLEAN(SUBSTITUTE(INDEX(rate_Base,MOD($AO229,100))&amp;""," "," "))))="PART","PART","FULL")))</f>
        <v/>
      </c>
      <c r="Q229" s="17">
        <f>IF($A229="","",N(Items!J229))</f>
        <v/>
      </c>
      <c r="R229" s="17">
        <f>IF($A229="","",IF($L229&lt;&gt;"Y",0,IF($AO229=0,N(act_Rate),N(INDEX(rate_Rate,MOD($AO229,100))))))</f>
        <v/>
      </c>
      <c r="S229" s="17">
        <f>IF($A229="","",IF($L229&lt;&gt;"Y",0,IF($AO229=0,IF(UPPER(TRIM(CLEAN(SUBSTITUTE(act_RateType&amp;""," "," "))))="REPLACE",N(act_PriorRate),0),IF(ISNUMBER(INDEX(rate_Prior,MOD($AO229,100))),INDEX(rate_Prior,MOD($AO229,100)),IF(UPPER(TRIM(CLEAN(SUBSTITUTE(act_RateType&amp;""," "," "))))="REPLACE",N(act_PriorRate),0)))))</f>
        <v/>
      </c>
      <c r="T229" s="17">
        <f>IF($A229="","",IF(AND($L229="Y",$P229="PART",ISNUMBER(Items!M229)),Items!M229,1))</f>
        <v/>
      </c>
      <c r="U229" s="17">
        <f>IF($A229="","",IF($L229&lt;&gt;"Y",0,IF($AQ229&gt;0,IF(ISNUMBER(INDEX(det_Displaced,$AQ229)),INDEX(det_Displaced,$AQ229),IF($AO229=0,0,N(INDEX(rate_Displaced,MOD($AO229,100))))),IF($AO229=0,0,N(INDEX(rate_Displaced,MOD($AO229,100)))))))</f>
        <v/>
      </c>
      <c r="V229" s="17">
        <f>IF($A229="","",IF($L229="Y",$Q229+$T229*($R229-$S229)-$U229,$Q229))</f>
        <v/>
      </c>
      <c r="W229" s="18">
        <f>IF($A229="","",N(Items!H229)*$Q229)</f>
        <v/>
      </c>
      <c r="X229" s="18">
        <f>IF($A229="","",N(Items!H229)*$V229)</f>
        <v/>
      </c>
      <c r="Y229" s="18">
        <f>IF($A229="","",$X229-$W229)</f>
        <v/>
      </c>
      <c r="Z229" s="18">
        <f>IF($A229="","",N(Items!K229)+$Y229)</f>
        <v/>
      </c>
      <c r="AA229" s="17">
        <f>IF($A229="","",IF(N(Items!L229)=0,"",(N(Items!L229)-N(Items!K229))/N(Items!L229)))</f>
        <v/>
      </c>
      <c r="AB229" s="17">
        <f>IF($A229="","",IF(N(Items!L229)=0,"",(N(Items!L229)-$Z229)/N(Items!L229)))</f>
        <v/>
      </c>
      <c r="AC229" s="17">
        <f>IF(OR($AA229="",$AB229=""),"",$AB229-$AA229)</f>
        <v/>
      </c>
      <c r="AD229" s="13">
        <f>IF($A229="","",N(Items!I229))</f>
        <v/>
      </c>
      <c r="AE229" s="19">
        <f>IF($A229="","",$Y229*$AD229)</f>
        <v/>
      </c>
      <c r="AF229" s="10">
        <f>IF($A229="","",IF(N(Items!L229)&gt;0,"Y","N"))</f>
        <v/>
      </c>
      <c r="AG229" s="19">
        <f>IF($A229="","",IF($AF229="Y",N(Items!L229)*$AD229,0))</f>
        <v/>
      </c>
      <c r="AH229" s="19">
        <f>IF($A229="","",IF($AF229="Y",(N(Items!L229)-N(Items!K229))*$AD229,0))</f>
        <v/>
      </c>
      <c r="AI229" s="19">
        <f>IF($A229="","",IF($AF229="Y",$AH229-$AE229,0))</f>
        <v/>
      </c>
      <c r="AJ229" s="10">
        <f>IF($A229="","",IF(COUNTIF($AL$5:$AL$254,$AL229)&gt;1,"CHECK: duplicate item and import country",IF(TRIM(CLEAN(SUBSTITUTE(Items!C229&amp;""," "," ")))="","CHECK: import country missing",IF(AND(UPPER(TRIM(CLEAN(SUBSTITUTE(Items!C229&amp;""," "," "))))&lt;&gt;"US",UPPER(TRIM(CLEAN(SUBSTITUTE(Items!C229&amp;""," "," "))))&lt;&gt;"CA",UPPER(TRIM(CLEAN(SUBSTITUTE(Items!C229&amp;""," "," "))))&lt;&gt;"MX"),"CHECK: import country must be US, CA or MX",IF(NOT(AND(LEN($C229)=10,IFERROR(TEXT(VALUE($C229),REPT("0",LEN($C229)))=$C229,FALSE))),"CHECK: HTS must be 10 digits",IF(LEN($E229)&lt;&gt;2,"CHECK: origin code missing or not 2 letters",IF(TRIM(CLEAN(SUBSTITUTE(Items!G229&amp;""," "," ")))="","CHECK: unit of measure missing",IF(OR(Items!H229="",Items!J229="",Items!K229=""),"CHECK: value, rate or cost missing",IF(OR(NOT(ISNUMBER(Items!H229)),NOT(ISNUMBER(Items!J229)),NOT(ISNUMBER(Items!K229)),AND(Items!I229&lt;&gt;"",NOT(ISNUMBER(Items!I229))),AND(Items!L229&lt;&gt;"",NOT(ISNUMBER(Items!L229))),AND(Items!M229&lt;&gt;"",NOT(ISNUMBER(Items!M229)))),"CHECK: text in a number column",IF(AND(ISNUMBER(Items!M229),OR(N(Items!M229)&lt;0,N(Items!M229)&gt;1)),"CHECK: dutiable share must be 0% to 100%",IF(AND(UPPER(TRIM(CLEAN(SUBSTITUTE(Items!F229&amp;""," "," "))))&lt;&gt;"",UPPER(TRIM(CLEAN(SUBSTITUTE(Items!F229&amp;""," "," "))))&lt;&gt;"Y",UPPER(TRIM(CLEAN(SUBSTITUTE(Items!F229&amp;""," "," "))))&lt;&gt;"N"),"CHECK: USMCA flag must be Y, N or blank",IF(AND(UPPER(TRIM(CLEAN(SUBSTITUTE(Items!F229&amp;""," "," "))))="Y",$E229&lt;&gt;"US",$E229&lt;&gt;"CA",$E229&lt;&gt;"MX"),"CHECK: USMCA flag on an origin other than US, CA or MX",IF(AND($L229="Y",$AO229=0,NOT(ISNUMBER(act_Rate))),"CHECK: in scope but no rate (add a rate line or B15)",IF(AND($L229="Y",UPPER(TRIM(CLEAN(SUBSTITUTE(act_RateType&amp;""," "," "))))="REPLACE",NOT(ISNUMBER(act_PriorRate)),IF($AO229=0,TRUE,NOT(ISNUMBER(INDEX(rate_Prior,MOD($AO229,100)))))),"CHECK: REPLACE but no earlier rate (B17 or the rate line's AD)",IF(AND($L229="Y",$AP229&gt;1),"CHECK: two rate lines match equally",IF(AND($L229="Y",$AN229&gt;1),"CHECK: HTS prefix listed twice on the scope list",IF(AND($L229="Y",$P229="PART",NOT(ISNUMBER(Items!M229))),"CHECK: dutiable share missing (PART base)",IF(AND($L229="Y",$P229="FULL",ISNUMBER(Items!M229),N(Items!M229)&lt;&gt;1),"CHECK: dutiable share entered, but the rate taxes the full value",IF(AND($L229="Y",$Q229+0.0000001&lt;$T229*$S229+$U229),"CHECK: current rate is below the duty being replaced or displaced",IF(AND($L229="Y",$AD229=0),"NOTE: in scope, no quantity",IF(AND($L229="Y",$AF229="N"),"NOTE: in scope, no sell price (left out of margin %)",IF(AND($L229="Y",N(Items!H229)&gt;N(Items!K229)),"NOTE: customs value above standard cost (check unit of measure)",IF(AND($L229="Y",$Q229&gt;1),"NOTE: current rate above 100% (check it was entered as a percentage)","OK")))))))))))))))))))))))</f>
        <v/>
      </c>
      <c r="AK229" s="20">
        <f>IF($A229="","",IF(AND($L229="Y",$AE229&lt;&gt;0),ABS($AE229)+ROW()/1000000000,""))</f>
        <v/>
      </c>
      <c r="AL229" s="10">
        <f>IF($A229="","",UPPER($A229)&amp;"/"&amp;UPPER(TRIM(CLEAN(SUBSTITUTE(Items!C229&amp;""," "," ")))))</f>
        <v/>
      </c>
      <c r="AM229" s="13">
        <f>IF($A229="",0,SUMPRODUCT(MAX((scope_HTS&lt;&gt;"")*(LEFT($C229,LEN(scope_HTS))=scope_HTS)*(LEN(scope_HTS)*1000+ROW(scope_HTS)-4))))</f>
        <v/>
      </c>
      <c r="AN229" s="13">
        <f>IF($AM229=0,0,SUMPRODUCT((scope_HTS&lt;&gt;"")*(LEFT($C229,LEN(scope_HTS))=scope_HTS)*(LEN(scope_HTS)=INT($AM229/1000))))</f>
        <v/>
      </c>
      <c r="AO229" s="13">
        <f>IF($L229&lt;&gt;"Y",0,SUMPRODUCT(MAX(ISNUMBER(rate_Rate)*((UPPER(TRIM(CLEAN(SUBSTITUTE(rate_Group&amp;""," "," "))))="")+(UPPER(TRIM(CLEAN(SUBSTITUTE(rate_Group&amp;""," "," "))))=$N229)&gt;0)*((UPPER(TRIM(CLEAN(SUBSTITUTE(rate_COO&amp;""," "," "))))="")+(UPPER(TRIM(CLEAN(SUBSTITUTE(rate_COO&amp;""," "," "))))=$E229)&gt;0)*((UPPER(TRIM(CLEAN(SUBSTITUTE(rate_USMCA&amp;""," "," "))))="")+(UPPER(TRIM(CLEAN(SUBSTITUTE(rate_USMCA&amp;""," "," "))))=IF(UPPER(TRIM(CLEAN(SUBSTITUTE(Items!F229&amp;""," "," "))))="Y","Y","N"))&gt;0)*((1+(UPPER(TRIM(CLEAN(SUBSTITUTE(rate_Group&amp;""," "," "))))&lt;&gt;"")+2*(UPPER(TRIM(CLEAN(SUBSTITUTE(rate_USMCA&amp;""," "," "))))&lt;&gt;"")+4*(UPPER(TRIM(CLEAN(SUBSTITUTE(rate_COO&amp;""," "," "))))&lt;&gt;""))*100+ROW(rate_Rate)-4))))</f>
        <v/>
      </c>
      <c r="AP229" s="13">
        <f>IF($AO229=0,0,SUMPRODUCT(ISNUMBER(rate_Rate)*((UPPER(TRIM(CLEAN(SUBSTITUTE(rate_Group&amp;""," "," "))))="")+(UPPER(TRIM(CLEAN(SUBSTITUTE(rate_Group&amp;""," "," "))))=$N229)&gt;0)*((UPPER(TRIM(CLEAN(SUBSTITUTE(rate_COO&amp;""," "," "))))="")+(UPPER(TRIM(CLEAN(SUBSTITUTE(rate_COO&amp;""," "," "))))=$E229)&gt;0)*((UPPER(TRIM(CLEAN(SUBSTITUTE(rate_USMCA&amp;""," "," "))))="")+(UPPER(TRIM(CLEAN(SUBSTITUTE(rate_USMCA&amp;""," "," "))))=IF(UPPER(TRIM(CLEAN(SUBSTITUTE(Items!F229&amp;""," "," "))))="Y","Y","N"))&gt;0)*((1+(UPPER(TRIM(CLEAN(SUBSTITUTE(rate_Group&amp;""," "," "))))&lt;&gt;"")+2*(UPPER(TRIM(CLEAN(SUBSTITUTE(rate_USMCA&amp;""," "," "))))&lt;&gt;"")+4*(UPPER(TRIM(CLEAN(SUBSTITUTE(rate_COO&amp;""," "," "))))&lt;&gt;""))=INT($AO229/100))))</f>
        <v/>
      </c>
      <c r="AQ229" s="13">
        <f>IF($A229="",0,IFERROR(MATCH($AL229,det_Key,0),0))</f>
        <v/>
      </c>
    </row>
    <row r="230">
      <c r="A230" s="10">
        <f>IF(TRIM(CLEAN(SUBSTITUTE(Items!A230&amp;""," "," ")))="","",TRIM(CLEAN(SUBSTITUTE(Items!A230&amp;""," "," "))))</f>
        <v/>
      </c>
      <c r="B230" s="10">
        <f>IF($A230="","",Items!B230&amp;"")</f>
        <v/>
      </c>
      <c r="C230" s="10">
        <f>IF($A230="","",SUBSTITUTE(SUBSTITUTE(SUBSTITUTE(SUBSTITUTE(CLEAN(Items!D230&amp;"")," ",""),".","")," ",""),"-",""))</f>
        <v/>
      </c>
      <c r="D230" s="10">
        <f>IF($A230="","",LEFT($C230,2))</f>
        <v/>
      </c>
      <c r="E230" s="10">
        <f>IF($A230="","",UPPER(TRIM(CLEAN(SUBSTITUTE(Items!E230&amp;""," "," ")))))</f>
        <v/>
      </c>
      <c r="F230" s="10">
        <f>IF($A230="","",IF(UPPER(TRIM(CLEAN(SUBSTITUTE(Items!C230&amp;""," "," "))))=UPPER(TRIM(CLEAN(SUBSTITUTE(act_Country&amp;""," "," ")))),"Y","N"))</f>
        <v/>
      </c>
      <c r="G230" s="10">
        <f>IF($A230="","",IF($AM230&gt;0,"Y","N"))</f>
        <v/>
      </c>
      <c r="H230" s="10">
        <f>IF($A230="","",IF(SUMPRODUCT((excl_HTS&lt;&gt;"")*(LEFT($C230,LEN(excl_HTS))=excl_HTS))&gt;0,"Y","N"))</f>
        <v/>
      </c>
      <c r="I230" s="10">
        <f>IF($A230="","",IF($E230="","N",IF(SUMPRODUCT(--(UPPER(TRIM(CLEAN(SUBSTITUTE(scope_COO&amp;""," "," "))))=$E230))&gt;0,"Y","N")))</f>
        <v/>
      </c>
      <c r="J230" s="10">
        <f>IF($A230="","",IF(AND(UPPER(TRIM(CLEAN(SUBSTITUTE(act_USMCAExempt&amp;""," "," "))))="Y",UPPER(TRIM(CLEAN(SUBSTITUTE(Items!F230&amp;""," "," "))))="Y"),"Y","N"))</f>
        <v/>
      </c>
      <c r="K230" s="10">
        <f>IF($A230="","",IF($AQ230=0,"",UPPER(TRIM(CLEAN(SUBSTITUTE(INDEX(det_Status,$AQ230)&amp;""," "," "))))))</f>
        <v/>
      </c>
      <c r="L230" s="10">
        <f>IF($A230="","",IF($F230="N","N",IF($K230="IN","Y",IF($K230="OUT","N",IF(AND($G230="Y",$H230="N",$I230="Y",$J230="N"),"Y","N")))))</f>
        <v/>
      </c>
      <c r="M230" s="10">
        <f>IF($A230="","",IF($F230="N","Out: different import country",IF($K230="IN","In: Research determination",IF($K230="OUT","Out: Research determination",IF($G230="N","Out: HTS not on scope list",IF($H230="Y","Out: HTS on exclusion list",IF($I230="N","Out: origin not on scope list",IF($J230="Y","Out: USMCA-qualifying, exempt","In: matches scope rules"))))))))</f>
        <v/>
      </c>
      <c r="N230" s="10">
        <f>IF(OR($A230="",$AM230=0),"",UPPER(TRIM(CLEAN(SUBSTITUTE(INDEX(scope_Group,MOD($AM230,1000))&amp;""," "," ")))))</f>
        <v/>
      </c>
      <c r="O230" s="10">
        <f>IF($L230&lt;&gt;"Y","",IF($AO230=0,"Default (B15)",UPPER(TRIM(CLEAN(SUBSTITUTE(INDEX(rate_ID,MOD($AO230,100))&amp;""," "," "))))))</f>
        <v/>
      </c>
      <c r="P230" s="10">
        <f>IF($L230&lt;&gt;"Y","",IF($AO230=0,IF(UPPER(TRIM(CLEAN(SUBSTITUTE(act_DefaultBase&amp;""," "," "))))="PART","PART","FULL"),IF(UPPER(TRIM(CLEAN(SUBSTITUTE(INDEX(rate_Base,MOD($AO230,100))&amp;""," "," "))))="PART","PART","FULL")))</f>
        <v/>
      </c>
      <c r="Q230" s="17">
        <f>IF($A230="","",N(Items!J230))</f>
        <v/>
      </c>
      <c r="R230" s="17">
        <f>IF($A230="","",IF($L230&lt;&gt;"Y",0,IF($AO230=0,N(act_Rate),N(INDEX(rate_Rate,MOD($AO230,100))))))</f>
        <v/>
      </c>
      <c r="S230" s="17">
        <f>IF($A230="","",IF($L230&lt;&gt;"Y",0,IF($AO230=0,IF(UPPER(TRIM(CLEAN(SUBSTITUTE(act_RateType&amp;""," "," "))))="REPLACE",N(act_PriorRate),0),IF(ISNUMBER(INDEX(rate_Prior,MOD($AO230,100))),INDEX(rate_Prior,MOD($AO230,100)),IF(UPPER(TRIM(CLEAN(SUBSTITUTE(act_RateType&amp;""," "," "))))="REPLACE",N(act_PriorRate),0)))))</f>
        <v/>
      </c>
      <c r="T230" s="17">
        <f>IF($A230="","",IF(AND($L230="Y",$P230="PART",ISNUMBER(Items!M230)),Items!M230,1))</f>
        <v/>
      </c>
      <c r="U230" s="17">
        <f>IF($A230="","",IF($L230&lt;&gt;"Y",0,IF($AQ230&gt;0,IF(ISNUMBER(INDEX(det_Displaced,$AQ230)),INDEX(det_Displaced,$AQ230),IF($AO230=0,0,N(INDEX(rate_Displaced,MOD($AO230,100))))),IF($AO230=0,0,N(INDEX(rate_Displaced,MOD($AO230,100)))))))</f>
        <v/>
      </c>
      <c r="V230" s="17">
        <f>IF($A230="","",IF($L230="Y",$Q230+$T230*($R230-$S230)-$U230,$Q230))</f>
        <v/>
      </c>
      <c r="W230" s="18">
        <f>IF($A230="","",N(Items!H230)*$Q230)</f>
        <v/>
      </c>
      <c r="X230" s="18">
        <f>IF($A230="","",N(Items!H230)*$V230)</f>
        <v/>
      </c>
      <c r="Y230" s="18">
        <f>IF($A230="","",$X230-$W230)</f>
        <v/>
      </c>
      <c r="Z230" s="18">
        <f>IF($A230="","",N(Items!K230)+$Y230)</f>
        <v/>
      </c>
      <c r="AA230" s="17">
        <f>IF($A230="","",IF(N(Items!L230)=0,"",(N(Items!L230)-N(Items!K230))/N(Items!L230)))</f>
        <v/>
      </c>
      <c r="AB230" s="17">
        <f>IF($A230="","",IF(N(Items!L230)=0,"",(N(Items!L230)-$Z230)/N(Items!L230)))</f>
        <v/>
      </c>
      <c r="AC230" s="17">
        <f>IF(OR($AA230="",$AB230=""),"",$AB230-$AA230)</f>
        <v/>
      </c>
      <c r="AD230" s="13">
        <f>IF($A230="","",N(Items!I230))</f>
        <v/>
      </c>
      <c r="AE230" s="19">
        <f>IF($A230="","",$Y230*$AD230)</f>
        <v/>
      </c>
      <c r="AF230" s="10">
        <f>IF($A230="","",IF(N(Items!L230)&gt;0,"Y","N"))</f>
        <v/>
      </c>
      <c r="AG230" s="19">
        <f>IF($A230="","",IF($AF230="Y",N(Items!L230)*$AD230,0))</f>
        <v/>
      </c>
      <c r="AH230" s="19">
        <f>IF($A230="","",IF($AF230="Y",(N(Items!L230)-N(Items!K230))*$AD230,0))</f>
        <v/>
      </c>
      <c r="AI230" s="19">
        <f>IF($A230="","",IF($AF230="Y",$AH230-$AE230,0))</f>
        <v/>
      </c>
      <c r="AJ230" s="10">
        <f>IF($A230="","",IF(COUNTIF($AL$5:$AL$254,$AL230)&gt;1,"CHECK: duplicate item and import country",IF(TRIM(CLEAN(SUBSTITUTE(Items!C230&amp;""," "," ")))="","CHECK: import country missing",IF(AND(UPPER(TRIM(CLEAN(SUBSTITUTE(Items!C230&amp;""," "," "))))&lt;&gt;"US",UPPER(TRIM(CLEAN(SUBSTITUTE(Items!C230&amp;""," "," "))))&lt;&gt;"CA",UPPER(TRIM(CLEAN(SUBSTITUTE(Items!C230&amp;""," "," "))))&lt;&gt;"MX"),"CHECK: import country must be US, CA or MX",IF(NOT(AND(LEN($C230)=10,IFERROR(TEXT(VALUE($C230),REPT("0",LEN($C230)))=$C230,FALSE))),"CHECK: HTS must be 10 digits",IF(LEN($E230)&lt;&gt;2,"CHECK: origin code missing or not 2 letters",IF(TRIM(CLEAN(SUBSTITUTE(Items!G230&amp;""," "," ")))="","CHECK: unit of measure missing",IF(OR(Items!H230="",Items!J230="",Items!K230=""),"CHECK: value, rate or cost missing",IF(OR(NOT(ISNUMBER(Items!H230)),NOT(ISNUMBER(Items!J230)),NOT(ISNUMBER(Items!K230)),AND(Items!I230&lt;&gt;"",NOT(ISNUMBER(Items!I230))),AND(Items!L230&lt;&gt;"",NOT(ISNUMBER(Items!L230))),AND(Items!M230&lt;&gt;"",NOT(ISNUMBER(Items!M230)))),"CHECK: text in a number column",IF(AND(ISNUMBER(Items!M230),OR(N(Items!M230)&lt;0,N(Items!M230)&gt;1)),"CHECK: dutiable share must be 0% to 100%",IF(AND(UPPER(TRIM(CLEAN(SUBSTITUTE(Items!F230&amp;""," "," "))))&lt;&gt;"",UPPER(TRIM(CLEAN(SUBSTITUTE(Items!F230&amp;""," "," "))))&lt;&gt;"Y",UPPER(TRIM(CLEAN(SUBSTITUTE(Items!F230&amp;""," "," "))))&lt;&gt;"N"),"CHECK: USMCA flag must be Y, N or blank",IF(AND(UPPER(TRIM(CLEAN(SUBSTITUTE(Items!F230&amp;""," "," "))))="Y",$E230&lt;&gt;"US",$E230&lt;&gt;"CA",$E230&lt;&gt;"MX"),"CHECK: USMCA flag on an origin other than US, CA or MX",IF(AND($L230="Y",$AO230=0,NOT(ISNUMBER(act_Rate))),"CHECK: in scope but no rate (add a rate line or B15)",IF(AND($L230="Y",UPPER(TRIM(CLEAN(SUBSTITUTE(act_RateType&amp;""," "," "))))="REPLACE",NOT(ISNUMBER(act_PriorRate)),IF($AO230=0,TRUE,NOT(ISNUMBER(INDEX(rate_Prior,MOD($AO230,100)))))),"CHECK: REPLACE but no earlier rate (B17 or the rate line's AD)",IF(AND($L230="Y",$AP230&gt;1),"CHECK: two rate lines match equally",IF(AND($L230="Y",$AN230&gt;1),"CHECK: HTS prefix listed twice on the scope list",IF(AND($L230="Y",$P230="PART",NOT(ISNUMBER(Items!M230))),"CHECK: dutiable share missing (PART base)",IF(AND($L230="Y",$P230="FULL",ISNUMBER(Items!M230),N(Items!M230)&lt;&gt;1),"CHECK: dutiable share entered, but the rate taxes the full value",IF(AND($L230="Y",$Q230+0.0000001&lt;$T230*$S230+$U230),"CHECK: current rate is below the duty being replaced or displaced",IF(AND($L230="Y",$AD230=0),"NOTE: in scope, no quantity",IF(AND($L230="Y",$AF230="N"),"NOTE: in scope, no sell price (left out of margin %)",IF(AND($L230="Y",N(Items!H230)&gt;N(Items!K230)),"NOTE: customs value above standard cost (check unit of measure)",IF(AND($L230="Y",$Q230&gt;1),"NOTE: current rate above 100% (check it was entered as a percentage)","OK")))))))))))))))))))))))</f>
        <v/>
      </c>
      <c r="AK230" s="20">
        <f>IF($A230="","",IF(AND($L230="Y",$AE230&lt;&gt;0),ABS($AE230)+ROW()/1000000000,""))</f>
        <v/>
      </c>
      <c r="AL230" s="10">
        <f>IF($A230="","",UPPER($A230)&amp;"/"&amp;UPPER(TRIM(CLEAN(SUBSTITUTE(Items!C230&amp;""," "," ")))))</f>
        <v/>
      </c>
      <c r="AM230" s="13">
        <f>IF($A230="",0,SUMPRODUCT(MAX((scope_HTS&lt;&gt;"")*(LEFT($C230,LEN(scope_HTS))=scope_HTS)*(LEN(scope_HTS)*1000+ROW(scope_HTS)-4))))</f>
        <v/>
      </c>
      <c r="AN230" s="13">
        <f>IF($AM230=0,0,SUMPRODUCT((scope_HTS&lt;&gt;"")*(LEFT($C230,LEN(scope_HTS))=scope_HTS)*(LEN(scope_HTS)=INT($AM230/1000))))</f>
        <v/>
      </c>
      <c r="AO230" s="13">
        <f>IF($L230&lt;&gt;"Y",0,SUMPRODUCT(MAX(ISNUMBER(rate_Rate)*((UPPER(TRIM(CLEAN(SUBSTITUTE(rate_Group&amp;""," "," "))))="")+(UPPER(TRIM(CLEAN(SUBSTITUTE(rate_Group&amp;""," "," "))))=$N230)&gt;0)*((UPPER(TRIM(CLEAN(SUBSTITUTE(rate_COO&amp;""," "," "))))="")+(UPPER(TRIM(CLEAN(SUBSTITUTE(rate_COO&amp;""," "," "))))=$E230)&gt;0)*((UPPER(TRIM(CLEAN(SUBSTITUTE(rate_USMCA&amp;""," "," "))))="")+(UPPER(TRIM(CLEAN(SUBSTITUTE(rate_USMCA&amp;""," "," "))))=IF(UPPER(TRIM(CLEAN(SUBSTITUTE(Items!F230&amp;""," "," "))))="Y","Y","N"))&gt;0)*((1+(UPPER(TRIM(CLEAN(SUBSTITUTE(rate_Group&amp;""," "," "))))&lt;&gt;"")+2*(UPPER(TRIM(CLEAN(SUBSTITUTE(rate_USMCA&amp;""," "," "))))&lt;&gt;"")+4*(UPPER(TRIM(CLEAN(SUBSTITUTE(rate_COO&amp;""," "," "))))&lt;&gt;""))*100+ROW(rate_Rate)-4))))</f>
        <v/>
      </c>
      <c r="AP230" s="13">
        <f>IF($AO230=0,0,SUMPRODUCT(ISNUMBER(rate_Rate)*((UPPER(TRIM(CLEAN(SUBSTITUTE(rate_Group&amp;""," "," "))))="")+(UPPER(TRIM(CLEAN(SUBSTITUTE(rate_Group&amp;""," "," "))))=$N230)&gt;0)*((UPPER(TRIM(CLEAN(SUBSTITUTE(rate_COO&amp;""," "," "))))="")+(UPPER(TRIM(CLEAN(SUBSTITUTE(rate_COO&amp;""," "," "))))=$E230)&gt;0)*((UPPER(TRIM(CLEAN(SUBSTITUTE(rate_USMCA&amp;""," "," "))))="")+(UPPER(TRIM(CLEAN(SUBSTITUTE(rate_USMCA&amp;""," "," "))))=IF(UPPER(TRIM(CLEAN(SUBSTITUTE(Items!F230&amp;""," "," "))))="Y","Y","N"))&gt;0)*((1+(UPPER(TRIM(CLEAN(SUBSTITUTE(rate_Group&amp;""," "," "))))&lt;&gt;"")+2*(UPPER(TRIM(CLEAN(SUBSTITUTE(rate_USMCA&amp;""," "," "))))&lt;&gt;"")+4*(UPPER(TRIM(CLEAN(SUBSTITUTE(rate_COO&amp;""," "," "))))&lt;&gt;""))=INT($AO230/100))))</f>
        <v/>
      </c>
      <c r="AQ230" s="13">
        <f>IF($A230="",0,IFERROR(MATCH($AL230,det_Key,0),0))</f>
        <v/>
      </c>
    </row>
    <row r="231">
      <c r="A231" s="10">
        <f>IF(TRIM(CLEAN(SUBSTITUTE(Items!A231&amp;""," "," ")))="","",TRIM(CLEAN(SUBSTITUTE(Items!A231&amp;""," "," "))))</f>
        <v/>
      </c>
      <c r="B231" s="10">
        <f>IF($A231="","",Items!B231&amp;"")</f>
        <v/>
      </c>
      <c r="C231" s="10">
        <f>IF($A231="","",SUBSTITUTE(SUBSTITUTE(SUBSTITUTE(SUBSTITUTE(CLEAN(Items!D231&amp;"")," ",""),".","")," ",""),"-",""))</f>
        <v/>
      </c>
      <c r="D231" s="10">
        <f>IF($A231="","",LEFT($C231,2))</f>
        <v/>
      </c>
      <c r="E231" s="10">
        <f>IF($A231="","",UPPER(TRIM(CLEAN(SUBSTITUTE(Items!E231&amp;""," "," ")))))</f>
        <v/>
      </c>
      <c r="F231" s="10">
        <f>IF($A231="","",IF(UPPER(TRIM(CLEAN(SUBSTITUTE(Items!C231&amp;""," "," "))))=UPPER(TRIM(CLEAN(SUBSTITUTE(act_Country&amp;""," "," ")))),"Y","N"))</f>
        <v/>
      </c>
      <c r="G231" s="10">
        <f>IF($A231="","",IF($AM231&gt;0,"Y","N"))</f>
        <v/>
      </c>
      <c r="H231" s="10">
        <f>IF($A231="","",IF(SUMPRODUCT((excl_HTS&lt;&gt;"")*(LEFT($C231,LEN(excl_HTS))=excl_HTS))&gt;0,"Y","N"))</f>
        <v/>
      </c>
      <c r="I231" s="10">
        <f>IF($A231="","",IF($E231="","N",IF(SUMPRODUCT(--(UPPER(TRIM(CLEAN(SUBSTITUTE(scope_COO&amp;""," "," "))))=$E231))&gt;0,"Y","N")))</f>
        <v/>
      </c>
      <c r="J231" s="10">
        <f>IF($A231="","",IF(AND(UPPER(TRIM(CLEAN(SUBSTITUTE(act_USMCAExempt&amp;""," "," "))))="Y",UPPER(TRIM(CLEAN(SUBSTITUTE(Items!F231&amp;""," "," "))))="Y"),"Y","N"))</f>
        <v/>
      </c>
      <c r="K231" s="10">
        <f>IF($A231="","",IF($AQ231=0,"",UPPER(TRIM(CLEAN(SUBSTITUTE(INDEX(det_Status,$AQ231)&amp;""," "," "))))))</f>
        <v/>
      </c>
      <c r="L231" s="10">
        <f>IF($A231="","",IF($F231="N","N",IF($K231="IN","Y",IF($K231="OUT","N",IF(AND($G231="Y",$H231="N",$I231="Y",$J231="N"),"Y","N")))))</f>
        <v/>
      </c>
      <c r="M231" s="10">
        <f>IF($A231="","",IF($F231="N","Out: different import country",IF($K231="IN","In: Research determination",IF($K231="OUT","Out: Research determination",IF($G231="N","Out: HTS not on scope list",IF($H231="Y","Out: HTS on exclusion list",IF($I231="N","Out: origin not on scope list",IF($J231="Y","Out: USMCA-qualifying, exempt","In: matches scope rules"))))))))</f>
        <v/>
      </c>
      <c r="N231" s="10">
        <f>IF(OR($A231="",$AM231=0),"",UPPER(TRIM(CLEAN(SUBSTITUTE(INDEX(scope_Group,MOD($AM231,1000))&amp;""," "," ")))))</f>
        <v/>
      </c>
      <c r="O231" s="10">
        <f>IF($L231&lt;&gt;"Y","",IF($AO231=0,"Default (B15)",UPPER(TRIM(CLEAN(SUBSTITUTE(INDEX(rate_ID,MOD($AO231,100))&amp;""," "," "))))))</f>
        <v/>
      </c>
      <c r="P231" s="10">
        <f>IF($L231&lt;&gt;"Y","",IF($AO231=0,IF(UPPER(TRIM(CLEAN(SUBSTITUTE(act_DefaultBase&amp;""," "," "))))="PART","PART","FULL"),IF(UPPER(TRIM(CLEAN(SUBSTITUTE(INDEX(rate_Base,MOD($AO231,100))&amp;""," "," "))))="PART","PART","FULL")))</f>
        <v/>
      </c>
      <c r="Q231" s="17">
        <f>IF($A231="","",N(Items!J231))</f>
        <v/>
      </c>
      <c r="R231" s="17">
        <f>IF($A231="","",IF($L231&lt;&gt;"Y",0,IF($AO231=0,N(act_Rate),N(INDEX(rate_Rate,MOD($AO231,100))))))</f>
        <v/>
      </c>
      <c r="S231" s="17">
        <f>IF($A231="","",IF($L231&lt;&gt;"Y",0,IF($AO231=0,IF(UPPER(TRIM(CLEAN(SUBSTITUTE(act_RateType&amp;""," "," "))))="REPLACE",N(act_PriorRate),0),IF(ISNUMBER(INDEX(rate_Prior,MOD($AO231,100))),INDEX(rate_Prior,MOD($AO231,100)),IF(UPPER(TRIM(CLEAN(SUBSTITUTE(act_RateType&amp;""," "," "))))="REPLACE",N(act_PriorRate),0)))))</f>
        <v/>
      </c>
      <c r="T231" s="17">
        <f>IF($A231="","",IF(AND($L231="Y",$P231="PART",ISNUMBER(Items!M231)),Items!M231,1))</f>
        <v/>
      </c>
      <c r="U231" s="17">
        <f>IF($A231="","",IF($L231&lt;&gt;"Y",0,IF($AQ231&gt;0,IF(ISNUMBER(INDEX(det_Displaced,$AQ231)),INDEX(det_Displaced,$AQ231),IF($AO231=0,0,N(INDEX(rate_Displaced,MOD($AO231,100))))),IF($AO231=0,0,N(INDEX(rate_Displaced,MOD($AO231,100)))))))</f>
        <v/>
      </c>
      <c r="V231" s="17">
        <f>IF($A231="","",IF($L231="Y",$Q231+$T231*($R231-$S231)-$U231,$Q231))</f>
        <v/>
      </c>
      <c r="W231" s="18">
        <f>IF($A231="","",N(Items!H231)*$Q231)</f>
        <v/>
      </c>
      <c r="X231" s="18">
        <f>IF($A231="","",N(Items!H231)*$V231)</f>
        <v/>
      </c>
      <c r="Y231" s="18">
        <f>IF($A231="","",$X231-$W231)</f>
        <v/>
      </c>
      <c r="Z231" s="18">
        <f>IF($A231="","",N(Items!K231)+$Y231)</f>
        <v/>
      </c>
      <c r="AA231" s="17">
        <f>IF($A231="","",IF(N(Items!L231)=0,"",(N(Items!L231)-N(Items!K231))/N(Items!L231)))</f>
        <v/>
      </c>
      <c r="AB231" s="17">
        <f>IF($A231="","",IF(N(Items!L231)=0,"",(N(Items!L231)-$Z231)/N(Items!L231)))</f>
        <v/>
      </c>
      <c r="AC231" s="17">
        <f>IF(OR($AA231="",$AB231=""),"",$AB231-$AA231)</f>
        <v/>
      </c>
      <c r="AD231" s="13">
        <f>IF($A231="","",N(Items!I231))</f>
        <v/>
      </c>
      <c r="AE231" s="19">
        <f>IF($A231="","",$Y231*$AD231)</f>
        <v/>
      </c>
      <c r="AF231" s="10">
        <f>IF($A231="","",IF(N(Items!L231)&gt;0,"Y","N"))</f>
        <v/>
      </c>
      <c r="AG231" s="19">
        <f>IF($A231="","",IF($AF231="Y",N(Items!L231)*$AD231,0))</f>
        <v/>
      </c>
      <c r="AH231" s="19">
        <f>IF($A231="","",IF($AF231="Y",(N(Items!L231)-N(Items!K231))*$AD231,0))</f>
        <v/>
      </c>
      <c r="AI231" s="19">
        <f>IF($A231="","",IF($AF231="Y",$AH231-$AE231,0))</f>
        <v/>
      </c>
      <c r="AJ231" s="10">
        <f>IF($A231="","",IF(COUNTIF($AL$5:$AL$254,$AL231)&gt;1,"CHECK: duplicate item and import country",IF(TRIM(CLEAN(SUBSTITUTE(Items!C231&amp;""," "," ")))="","CHECK: import country missing",IF(AND(UPPER(TRIM(CLEAN(SUBSTITUTE(Items!C231&amp;""," "," "))))&lt;&gt;"US",UPPER(TRIM(CLEAN(SUBSTITUTE(Items!C231&amp;""," "," "))))&lt;&gt;"CA",UPPER(TRIM(CLEAN(SUBSTITUTE(Items!C231&amp;""," "," "))))&lt;&gt;"MX"),"CHECK: import country must be US, CA or MX",IF(NOT(AND(LEN($C231)=10,IFERROR(TEXT(VALUE($C231),REPT("0",LEN($C231)))=$C231,FALSE))),"CHECK: HTS must be 10 digits",IF(LEN($E231)&lt;&gt;2,"CHECK: origin code missing or not 2 letters",IF(TRIM(CLEAN(SUBSTITUTE(Items!G231&amp;""," "," ")))="","CHECK: unit of measure missing",IF(OR(Items!H231="",Items!J231="",Items!K231=""),"CHECK: value, rate or cost missing",IF(OR(NOT(ISNUMBER(Items!H231)),NOT(ISNUMBER(Items!J231)),NOT(ISNUMBER(Items!K231)),AND(Items!I231&lt;&gt;"",NOT(ISNUMBER(Items!I231))),AND(Items!L231&lt;&gt;"",NOT(ISNUMBER(Items!L231))),AND(Items!M231&lt;&gt;"",NOT(ISNUMBER(Items!M231)))),"CHECK: text in a number column",IF(AND(ISNUMBER(Items!M231),OR(N(Items!M231)&lt;0,N(Items!M231)&gt;1)),"CHECK: dutiable share must be 0% to 100%",IF(AND(UPPER(TRIM(CLEAN(SUBSTITUTE(Items!F231&amp;""," "," "))))&lt;&gt;"",UPPER(TRIM(CLEAN(SUBSTITUTE(Items!F231&amp;""," "," "))))&lt;&gt;"Y",UPPER(TRIM(CLEAN(SUBSTITUTE(Items!F231&amp;""," "," "))))&lt;&gt;"N"),"CHECK: USMCA flag must be Y, N or blank",IF(AND(UPPER(TRIM(CLEAN(SUBSTITUTE(Items!F231&amp;""," "," "))))="Y",$E231&lt;&gt;"US",$E231&lt;&gt;"CA",$E231&lt;&gt;"MX"),"CHECK: USMCA flag on an origin other than US, CA or MX",IF(AND($L231="Y",$AO231=0,NOT(ISNUMBER(act_Rate))),"CHECK: in scope but no rate (add a rate line or B15)",IF(AND($L231="Y",UPPER(TRIM(CLEAN(SUBSTITUTE(act_RateType&amp;""," "," "))))="REPLACE",NOT(ISNUMBER(act_PriorRate)),IF($AO231=0,TRUE,NOT(ISNUMBER(INDEX(rate_Prior,MOD($AO231,100)))))),"CHECK: REPLACE but no earlier rate (B17 or the rate line's AD)",IF(AND($L231="Y",$AP231&gt;1),"CHECK: two rate lines match equally",IF(AND($L231="Y",$AN231&gt;1),"CHECK: HTS prefix listed twice on the scope list",IF(AND($L231="Y",$P231="PART",NOT(ISNUMBER(Items!M231))),"CHECK: dutiable share missing (PART base)",IF(AND($L231="Y",$P231="FULL",ISNUMBER(Items!M231),N(Items!M231)&lt;&gt;1),"CHECK: dutiable share entered, but the rate taxes the full value",IF(AND($L231="Y",$Q231+0.0000001&lt;$T231*$S231+$U231),"CHECK: current rate is below the duty being replaced or displaced",IF(AND($L231="Y",$AD231=0),"NOTE: in scope, no quantity",IF(AND($L231="Y",$AF231="N"),"NOTE: in scope, no sell price (left out of margin %)",IF(AND($L231="Y",N(Items!H231)&gt;N(Items!K231)),"NOTE: customs value above standard cost (check unit of measure)",IF(AND($L231="Y",$Q231&gt;1),"NOTE: current rate above 100% (check it was entered as a percentage)","OK")))))))))))))))))))))))</f>
        <v/>
      </c>
      <c r="AK231" s="20">
        <f>IF($A231="","",IF(AND($L231="Y",$AE231&lt;&gt;0),ABS($AE231)+ROW()/1000000000,""))</f>
        <v/>
      </c>
      <c r="AL231" s="10">
        <f>IF($A231="","",UPPER($A231)&amp;"/"&amp;UPPER(TRIM(CLEAN(SUBSTITUTE(Items!C231&amp;""," "," ")))))</f>
        <v/>
      </c>
      <c r="AM231" s="13">
        <f>IF($A231="",0,SUMPRODUCT(MAX((scope_HTS&lt;&gt;"")*(LEFT($C231,LEN(scope_HTS))=scope_HTS)*(LEN(scope_HTS)*1000+ROW(scope_HTS)-4))))</f>
        <v/>
      </c>
      <c r="AN231" s="13">
        <f>IF($AM231=0,0,SUMPRODUCT((scope_HTS&lt;&gt;"")*(LEFT($C231,LEN(scope_HTS))=scope_HTS)*(LEN(scope_HTS)=INT($AM231/1000))))</f>
        <v/>
      </c>
      <c r="AO231" s="13">
        <f>IF($L231&lt;&gt;"Y",0,SUMPRODUCT(MAX(ISNUMBER(rate_Rate)*((UPPER(TRIM(CLEAN(SUBSTITUTE(rate_Group&amp;""," "," "))))="")+(UPPER(TRIM(CLEAN(SUBSTITUTE(rate_Group&amp;""," "," "))))=$N231)&gt;0)*((UPPER(TRIM(CLEAN(SUBSTITUTE(rate_COO&amp;""," "," "))))="")+(UPPER(TRIM(CLEAN(SUBSTITUTE(rate_COO&amp;""," "," "))))=$E231)&gt;0)*((UPPER(TRIM(CLEAN(SUBSTITUTE(rate_USMCA&amp;""," "," "))))="")+(UPPER(TRIM(CLEAN(SUBSTITUTE(rate_USMCA&amp;""," "," "))))=IF(UPPER(TRIM(CLEAN(SUBSTITUTE(Items!F231&amp;""," "," "))))="Y","Y","N"))&gt;0)*((1+(UPPER(TRIM(CLEAN(SUBSTITUTE(rate_Group&amp;""," "," "))))&lt;&gt;"")+2*(UPPER(TRIM(CLEAN(SUBSTITUTE(rate_USMCA&amp;""," "," "))))&lt;&gt;"")+4*(UPPER(TRIM(CLEAN(SUBSTITUTE(rate_COO&amp;""," "," "))))&lt;&gt;""))*100+ROW(rate_Rate)-4))))</f>
        <v/>
      </c>
      <c r="AP231" s="13">
        <f>IF($AO231=0,0,SUMPRODUCT(ISNUMBER(rate_Rate)*((UPPER(TRIM(CLEAN(SUBSTITUTE(rate_Group&amp;""," "," "))))="")+(UPPER(TRIM(CLEAN(SUBSTITUTE(rate_Group&amp;""," "," "))))=$N231)&gt;0)*((UPPER(TRIM(CLEAN(SUBSTITUTE(rate_COO&amp;""," "," "))))="")+(UPPER(TRIM(CLEAN(SUBSTITUTE(rate_COO&amp;""," "," "))))=$E231)&gt;0)*((UPPER(TRIM(CLEAN(SUBSTITUTE(rate_USMCA&amp;""," "," "))))="")+(UPPER(TRIM(CLEAN(SUBSTITUTE(rate_USMCA&amp;""," "," "))))=IF(UPPER(TRIM(CLEAN(SUBSTITUTE(Items!F231&amp;""," "," "))))="Y","Y","N"))&gt;0)*((1+(UPPER(TRIM(CLEAN(SUBSTITUTE(rate_Group&amp;""," "," "))))&lt;&gt;"")+2*(UPPER(TRIM(CLEAN(SUBSTITUTE(rate_USMCA&amp;""," "," "))))&lt;&gt;"")+4*(UPPER(TRIM(CLEAN(SUBSTITUTE(rate_COO&amp;""," "," "))))&lt;&gt;""))=INT($AO231/100))))</f>
        <v/>
      </c>
      <c r="AQ231" s="13">
        <f>IF($A231="",0,IFERROR(MATCH($AL231,det_Key,0),0))</f>
        <v/>
      </c>
    </row>
    <row r="232">
      <c r="A232" s="10">
        <f>IF(TRIM(CLEAN(SUBSTITUTE(Items!A232&amp;""," "," ")))="","",TRIM(CLEAN(SUBSTITUTE(Items!A232&amp;""," "," "))))</f>
        <v/>
      </c>
      <c r="B232" s="10">
        <f>IF($A232="","",Items!B232&amp;"")</f>
        <v/>
      </c>
      <c r="C232" s="10">
        <f>IF($A232="","",SUBSTITUTE(SUBSTITUTE(SUBSTITUTE(SUBSTITUTE(CLEAN(Items!D232&amp;"")," ",""),".","")," ",""),"-",""))</f>
        <v/>
      </c>
      <c r="D232" s="10">
        <f>IF($A232="","",LEFT($C232,2))</f>
        <v/>
      </c>
      <c r="E232" s="10">
        <f>IF($A232="","",UPPER(TRIM(CLEAN(SUBSTITUTE(Items!E232&amp;""," "," ")))))</f>
        <v/>
      </c>
      <c r="F232" s="10">
        <f>IF($A232="","",IF(UPPER(TRIM(CLEAN(SUBSTITUTE(Items!C232&amp;""," "," "))))=UPPER(TRIM(CLEAN(SUBSTITUTE(act_Country&amp;""," "," ")))),"Y","N"))</f>
        <v/>
      </c>
      <c r="G232" s="10">
        <f>IF($A232="","",IF($AM232&gt;0,"Y","N"))</f>
        <v/>
      </c>
      <c r="H232" s="10">
        <f>IF($A232="","",IF(SUMPRODUCT((excl_HTS&lt;&gt;"")*(LEFT($C232,LEN(excl_HTS))=excl_HTS))&gt;0,"Y","N"))</f>
        <v/>
      </c>
      <c r="I232" s="10">
        <f>IF($A232="","",IF($E232="","N",IF(SUMPRODUCT(--(UPPER(TRIM(CLEAN(SUBSTITUTE(scope_COO&amp;""," "," "))))=$E232))&gt;0,"Y","N")))</f>
        <v/>
      </c>
      <c r="J232" s="10">
        <f>IF($A232="","",IF(AND(UPPER(TRIM(CLEAN(SUBSTITUTE(act_USMCAExempt&amp;""," "," "))))="Y",UPPER(TRIM(CLEAN(SUBSTITUTE(Items!F232&amp;""," "," "))))="Y"),"Y","N"))</f>
        <v/>
      </c>
      <c r="K232" s="10">
        <f>IF($A232="","",IF($AQ232=0,"",UPPER(TRIM(CLEAN(SUBSTITUTE(INDEX(det_Status,$AQ232)&amp;""," "," "))))))</f>
        <v/>
      </c>
      <c r="L232" s="10">
        <f>IF($A232="","",IF($F232="N","N",IF($K232="IN","Y",IF($K232="OUT","N",IF(AND($G232="Y",$H232="N",$I232="Y",$J232="N"),"Y","N")))))</f>
        <v/>
      </c>
      <c r="M232" s="10">
        <f>IF($A232="","",IF($F232="N","Out: different import country",IF($K232="IN","In: Research determination",IF($K232="OUT","Out: Research determination",IF($G232="N","Out: HTS not on scope list",IF($H232="Y","Out: HTS on exclusion list",IF($I232="N","Out: origin not on scope list",IF($J232="Y","Out: USMCA-qualifying, exempt","In: matches scope rules"))))))))</f>
        <v/>
      </c>
      <c r="N232" s="10">
        <f>IF(OR($A232="",$AM232=0),"",UPPER(TRIM(CLEAN(SUBSTITUTE(INDEX(scope_Group,MOD($AM232,1000))&amp;""," "," ")))))</f>
        <v/>
      </c>
      <c r="O232" s="10">
        <f>IF($L232&lt;&gt;"Y","",IF($AO232=0,"Default (B15)",UPPER(TRIM(CLEAN(SUBSTITUTE(INDEX(rate_ID,MOD($AO232,100))&amp;""," "," "))))))</f>
        <v/>
      </c>
      <c r="P232" s="10">
        <f>IF($L232&lt;&gt;"Y","",IF($AO232=0,IF(UPPER(TRIM(CLEAN(SUBSTITUTE(act_DefaultBase&amp;""," "," "))))="PART","PART","FULL"),IF(UPPER(TRIM(CLEAN(SUBSTITUTE(INDEX(rate_Base,MOD($AO232,100))&amp;""," "," "))))="PART","PART","FULL")))</f>
        <v/>
      </c>
      <c r="Q232" s="17">
        <f>IF($A232="","",N(Items!J232))</f>
        <v/>
      </c>
      <c r="R232" s="17">
        <f>IF($A232="","",IF($L232&lt;&gt;"Y",0,IF($AO232=0,N(act_Rate),N(INDEX(rate_Rate,MOD($AO232,100))))))</f>
        <v/>
      </c>
      <c r="S232" s="17">
        <f>IF($A232="","",IF($L232&lt;&gt;"Y",0,IF($AO232=0,IF(UPPER(TRIM(CLEAN(SUBSTITUTE(act_RateType&amp;""," "," "))))="REPLACE",N(act_PriorRate),0),IF(ISNUMBER(INDEX(rate_Prior,MOD($AO232,100))),INDEX(rate_Prior,MOD($AO232,100)),IF(UPPER(TRIM(CLEAN(SUBSTITUTE(act_RateType&amp;""," "," "))))="REPLACE",N(act_PriorRate),0)))))</f>
        <v/>
      </c>
      <c r="T232" s="17">
        <f>IF($A232="","",IF(AND($L232="Y",$P232="PART",ISNUMBER(Items!M232)),Items!M232,1))</f>
        <v/>
      </c>
      <c r="U232" s="17">
        <f>IF($A232="","",IF($L232&lt;&gt;"Y",0,IF($AQ232&gt;0,IF(ISNUMBER(INDEX(det_Displaced,$AQ232)),INDEX(det_Displaced,$AQ232),IF($AO232=0,0,N(INDEX(rate_Displaced,MOD($AO232,100))))),IF($AO232=0,0,N(INDEX(rate_Displaced,MOD($AO232,100)))))))</f>
        <v/>
      </c>
      <c r="V232" s="17">
        <f>IF($A232="","",IF($L232="Y",$Q232+$T232*($R232-$S232)-$U232,$Q232))</f>
        <v/>
      </c>
      <c r="W232" s="18">
        <f>IF($A232="","",N(Items!H232)*$Q232)</f>
        <v/>
      </c>
      <c r="X232" s="18">
        <f>IF($A232="","",N(Items!H232)*$V232)</f>
        <v/>
      </c>
      <c r="Y232" s="18">
        <f>IF($A232="","",$X232-$W232)</f>
        <v/>
      </c>
      <c r="Z232" s="18">
        <f>IF($A232="","",N(Items!K232)+$Y232)</f>
        <v/>
      </c>
      <c r="AA232" s="17">
        <f>IF($A232="","",IF(N(Items!L232)=0,"",(N(Items!L232)-N(Items!K232))/N(Items!L232)))</f>
        <v/>
      </c>
      <c r="AB232" s="17">
        <f>IF($A232="","",IF(N(Items!L232)=0,"",(N(Items!L232)-$Z232)/N(Items!L232)))</f>
        <v/>
      </c>
      <c r="AC232" s="17">
        <f>IF(OR($AA232="",$AB232=""),"",$AB232-$AA232)</f>
        <v/>
      </c>
      <c r="AD232" s="13">
        <f>IF($A232="","",N(Items!I232))</f>
        <v/>
      </c>
      <c r="AE232" s="19">
        <f>IF($A232="","",$Y232*$AD232)</f>
        <v/>
      </c>
      <c r="AF232" s="10">
        <f>IF($A232="","",IF(N(Items!L232)&gt;0,"Y","N"))</f>
        <v/>
      </c>
      <c r="AG232" s="19">
        <f>IF($A232="","",IF($AF232="Y",N(Items!L232)*$AD232,0))</f>
        <v/>
      </c>
      <c r="AH232" s="19">
        <f>IF($A232="","",IF($AF232="Y",(N(Items!L232)-N(Items!K232))*$AD232,0))</f>
        <v/>
      </c>
      <c r="AI232" s="19">
        <f>IF($A232="","",IF($AF232="Y",$AH232-$AE232,0))</f>
        <v/>
      </c>
      <c r="AJ232" s="10">
        <f>IF($A232="","",IF(COUNTIF($AL$5:$AL$254,$AL232)&gt;1,"CHECK: duplicate item and import country",IF(TRIM(CLEAN(SUBSTITUTE(Items!C232&amp;""," "," ")))="","CHECK: import country missing",IF(AND(UPPER(TRIM(CLEAN(SUBSTITUTE(Items!C232&amp;""," "," "))))&lt;&gt;"US",UPPER(TRIM(CLEAN(SUBSTITUTE(Items!C232&amp;""," "," "))))&lt;&gt;"CA",UPPER(TRIM(CLEAN(SUBSTITUTE(Items!C232&amp;""," "," "))))&lt;&gt;"MX"),"CHECK: import country must be US, CA or MX",IF(NOT(AND(LEN($C232)=10,IFERROR(TEXT(VALUE($C232),REPT("0",LEN($C232)))=$C232,FALSE))),"CHECK: HTS must be 10 digits",IF(LEN($E232)&lt;&gt;2,"CHECK: origin code missing or not 2 letters",IF(TRIM(CLEAN(SUBSTITUTE(Items!G232&amp;""," "," ")))="","CHECK: unit of measure missing",IF(OR(Items!H232="",Items!J232="",Items!K232=""),"CHECK: value, rate or cost missing",IF(OR(NOT(ISNUMBER(Items!H232)),NOT(ISNUMBER(Items!J232)),NOT(ISNUMBER(Items!K232)),AND(Items!I232&lt;&gt;"",NOT(ISNUMBER(Items!I232))),AND(Items!L232&lt;&gt;"",NOT(ISNUMBER(Items!L232))),AND(Items!M232&lt;&gt;"",NOT(ISNUMBER(Items!M232)))),"CHECK: text in a number column",IF(AND(ISNUMBER(Items!M232),OR(N(Items!M232)&lt;0,N(Items!M232)&gt;1)),"CHECK: dutiable share must be 0% to 100%",IF(AND(UPPER(TRIM(CLEAN(SUBSTITUTE(Items!F232&amp;""," "," "))))&lt;&gt;"",UPPER(TRIM(CLEAN(SUBSTITUTE(Items!F232&amp;""," "," "))))&lt;&gt;"Y",UPPER(TRIM(CLEAN(SUBSTITUTE(Items!F232&amp;""," "," "))))&lt;&gt;"N"),"CHECK: USMCA flag must be Y, N or blank",IF(AND(UPPER(TRIM(CLEAN(SUBSTITUTE(Items!F232&amp;""," "," "))))="Y",$E232&lt;&gt;"US",$E232&lt;&gt;"CA",$E232&lt;&gt;"MX"),"CHECK: USMCA flag on an origin other than US, CA or MX",IF(AND($L232="Y",$AO232=0,NOT(ISNUMBER(act_Rate))),"CHECK: in scope but no rate (add a rate line or B15)",IF(AND($L232="Y",UPPER(TRIM(CLEAN(SUBSTITUTE(act_RateType&amp;""," "," "))))="REPLACE",NOT(ISNUMBER(act_PriorRate)),IF($AO232=0,TRUE,NOT(ISNUMBER(INDEX(rate_Prior,MOD($AO232,100)))))),"CHECK: REPLACE but no earlier rate (B17 or the rate line's AD)",IF(AND($L232="Y",$AP232&gt;1),"CHECK: two rate lines match equally",IF(AND($L232="Y",$AN232&gt;1),"CHECK: HTS prefix listed twice on the scope list",IF(AND($L232="Y",$P232="PART",NOT(ISNUMBER(Items!M232))),"CHECK: dutiable share missing (PART base)",IF(AND($L232="Y",$P232="FULL",ISNUMBER(Items!M232),N(Items!M232)&lt;&gt;1),"CHECK: dutiable share entered, but the rate taxes the full value",IF(AND($L232="Y",$Q232+0.0000001&lt;$T232*$S232+$U232),"CHECK: current rate is below the duty being replaced or displaced",IF(AND($L232="Y",$AD232=0),"NOTE: in scope, no quantity",IF(AND($L232="Y",$AF232="N"),"NOTE: in scope, no sell price (left out of margin %)",IF(AND($L232="Y",N(Items!H232)&gt;N(Items!K232)),"NOTE: customs value above standard cost (check unit of measure)",IF(AND($L232="Y",$Q232&gt;1),"NOTE: current rate above 100% (check it was entered as a percentage)","OK")))))))))))))))))))))))</f>
        <v/>
      </c>
      <c r="AK232" s="20">
        <f>IF($A232="","",IF(AND($L232="Y",$AE232&lt;&gt;0),ABS($AE232)+ROW()/1000000000,""))</f>
        <v/>
      </c>
      <c r="AL232" s="10">
        <f>IF($A232="","",UPPER($A232)&amp;"/"&amp;UPPER(TRIM(CLEAN(SUBSTITUTE(Items!C232&amp;""," "," ")))))</f>
        <v/>
      </c>
      <c r="AM232" s="13">
        <f>IF($A232="",0,SUMPRODUCT(MAX((scope_HTS&lt;&gt;"")*(LEFT($C232,LEN(scope_HTS))=scope_HTS)*(LEN(scope_HTS)*1000+ROW(scope_HTS)-4))))</f>
        <v/>
      </c>
      <c r="AN232" s="13">
        <f>IF($AM232=0,0,SUMPRODUCT((scope_HTS&lt;&gt;"")*(LEFT($C232,LEN(scope_HTS))=scope_HTS)*(LEN(scope_HTS)=INT($AM232/1000))))</f>
        <v/>
      </c>
      <c r="AO232" s="13">
        <f>IF($L232&lt;&gt;"Y",0,SUMPRODUCT(MAX(ISNUMBER(rate_Rate)*((UPPER(TRIM(CLEAN(SUBSTITUTE(rate_Group&amp;""," "," "))))="")+(UPPER(TRIM(CLEAN(SUBSTITUTE(rate_Group&amp;""," "," "))))=$N232)&gt;0)*((UPPER(TRIM(CLEAN(SUBSTITUTE(rate_COO&amp;""," "," "))))="")+(UPPER(TRIM(CLEAN(SUBSTITUTE(rate_COO&amp;""," "," "))))=$E232)&gt;0)*((UPPER(TRIM(CLEAN(SUBSTITUTE(rate_USMCA&amp;""," "," "))))="")+(UPPER(TRIM(CLEAN(SUBSTITUTE(rate_USMCA&amp;""," "," "))))=IF(UPPER(TRIM(CLEAN(SUBSTITUTE(Items!F232&amp;""," "," "))))="Y","Y","N"))&gt;0)*((1+(UPPER(TRIM(CLEAN(SUBSTITUTE(rate_Group&amp;""," "," "))))&lt;&gt;"")+2*(UPPER(TRIM(CLEAN(SUBSTITUTE(rate_USMCA&amp;""," "," "))))&lt;&gt;"")+4*(UPPER(TRIM(CLEAN(SUBSTITUTE(rate_COO&amp;""," "," "))))&lt;&gt;""))*100+ROW(rate_Rate)-4))))</f>
        <v/>
      </c>
      <c r="AP232" s="13">
        <f>IF($AO232=0,0,SUMPRODUCT(ISNUMBER(rate_Rate)*((UPPER(TRIM(CLEAN(SUBSTITUTE(rate_Group&amp;""," "," "))))="")+(UPPER(TRIM(CLEAN(SUBSTITUTE(rate_Group&amp;""," "," "))))=$N232)&gt;0)*((UPPER(TRIM(CLEAN(SUBSTITUTE(rate_COO&amp;""," "," "))))="")+(UPPER(TRIM(CLEAN(SUBSTITUTE(rate_COO&amp;""," "," "))))=$E232)&gt;0)*((UPPER(TRIM(CLEAN(SUBSTITUTE(rate_USMCA&amp;""," "," "))))="")+(UPPER(TRIM(CLEAN(SUBSTITUTE(rate_USMCA&amp;""," "," "))))=IF(UPPER(TRIM(CLEAN(SUBSTITUTE(Items!F232&amp;""," "," "))))="Y","Y","N"))&gt;0)*((1+(UPPER(TRIM(CLEAN(SUBSTITUTE(rate_Group&amp;""," "," "))))&lt;&gt;"")+2*(UPPER(TRIM(CLEAN(SUBSTITUTE(rate_USMCA&amp;""," "," "))))&lt;&gt;"")+4*(UPPER(TRIM(CLEAN(SUBSTITUTE(rate_COO&amp;""," "," "))))&lt;&gt;""))=INT($AO232/100))))</f>
        <v/>
      </c>
      <c r="AQ232" s="13">
        <f>IF($A232="",0,IFERROR(MATCH($AL232,det_Key,0),0))</f>
        <v/>
      </c>
    </row>
    <row r="233">
      <c r="A233" s="10">
        <f>IF(TRIM(CLEAN(SUBSTITUTE(Items!A233&amp;""," "," ")))="","",TRIM(CLEAN(SUBSTITUTE(Items!A233&amp;""," "," "))))</f>
        <v/>
      </c>
      <c r="B233" s="10">
        <f>IF($A233="","",Items!B233&amp;"")</f>
        <v/>
      </c>
      <c r="C233" s="10">
        <f>IF($A233="","",SUBSTITUTE(SUBSTITUTE(SUBSTITUTE(SUBSTITUTE(CLEAN(Items!D233&amp;"")," ",""),".","")," ",""),"-",""))</f>
        <v/>
      </c>
      <c r="D233" s="10">
        <f>IF($A233="","",LEFT($C233,2))</f>
        <v/>
      </c>
      <c r="E233" s="10">
        <f>IF($A233="","",UPPER(TRIM(CLEAN(SUBSTITUTE(Items!E233&amp;""," "," ")))))</f>
        <v/>
      </c>
      <c r="F233" s="10">
        <f>IF($A233="","",IF(UPPER(TRIM(CLEAN(SUBSTITUTE(Items!C233&amp;""," "," "))))=UPPER(TRIM(CLEAN(SUBSTITUTE(act_Country&amp;""," "," ")))),"Y","N"))</f>
        <v/>
      </c>
      <c r="G233" s="10">
        <f>IF($A233="","",IF($AM233&gt;0,"Y","N"))</f>
        <v/>
      </c>
      <c r="H233" s="10">
        <f>IF($A233="","",IF(SUMPRODUCT((excl_HTS&lt;&gt;"")*(LEFT($C233,LEN(excl_HTS))=excl_HTS))&gt;0,"Y","N"))</f>
        <v/>
      </c>
      <c r="I233" s="10">
        <f>IF($A233="","",IF($E233="","N",IF(SUMPRODUCT(--(UPPER(TRIM(CLEAN(SUBSTITUTE(scope_COO&amp;""," "," "))))=$E233))&gt;0,"Y","N")))</f>
        <v/>
      </c>
      <c r="J233" s="10">
        <f>IF($A233="","",IF(AND(UPPER(TRIM(CLEAN(SUBSTITUTE(act_USMCAExempt&amp;""," "," "))))="Y",UPPER(TRIM(CLEAN(SUBSTITUTE(Items!F233&amp;""," "," "))))="Y"),"Y","N"))</f>
        <v/>
      </c>
      <c r="K233" s="10">
        <f>IF($A233="","",IF($AQ233=0,"",UPPER(TRIM(CLEAN(SUBSTITUTE(INDEX(det_Status,$AQ233)&amp;""," "," "))))))</f>
        <v/>
      </c>
      <c r="L233" s="10">
        <f>IF($A233="","",IF($F233="N","N",IF($K233="IN","Y",IF($K233="OUT","N",IF(AND($G233="Y",$H233="N",$I233="Y",$J233="N"),"Y","N")))))</f>
        <v/>
      </c>
      <c r="M233" s="10">
        <f>IF($A233="","",IF($F233="N","Out: different import country",IF($K233="IN","In: Research determination",IF($K233="OUT","Out: Research determination",IF($G233="N","Out: HTS not on scope list",IF($H233="Y","Out: HTS on exclusion list",IF($I233="N","Out: origin not on scope list",IF($J233="Y","Out: USMCA-qualifying, exempt","In: matches scope rules"))))))))</f>
        <v/>
      </c>
      <c r="N233" s="10">
        <f>IF(OR($A233="",$AM233=0),"",UPPER(TRIM(CLEAN(SUBSTITUTE(INDEX(scope_Group,MOD($AM233,1000))&amp;""," "," ")))))</f>
        <v/>
      </c>
      <c r="O233" s="10">
        <f>IF($L233&lt;&gt;"Y","",IF($AO233=0,"Default (B15)",UPPER(TRIM(CLEAN(SUBSTITUTE(INDEX(rate_ID,MOD($AO233,100))&amp;""," "," "))))))</f>
        <v/>
      </c>
      <c r="P233" s="10">
        <f>IF($L233&lt;&gt;"Y","",IF($AO233=0,IF(UPPER(TRIM(CLEAN(SUBSTITUTE(act_DefaultBase&amp;""," "," "))))="PART","PART","FULL"),IF(UPPER(TRIM(CLEAN(SUBSTITUTE(INDEX(rate_Base,MOD($AO233,100))&amp;""," "," "))))="PART","PART","FULL")))</f>
        <v/>
      </c>
      <c r="Q233" s="17">
        <f>IF($A233="","",N(Items!J233))</f>
        <v/>
      </c>
      <c r="R233" s="17">
        <f>IF($A233="","",IF($L233&lt;&gt;"Y",0,IF($AO233=0,N(act_Rate),N(INDEX(rate_Rate,MOD($AO233,100))))))</f>
        <v/>
      </c>
      <c r="S233" s="17">
        <f>IF($A233="","",IF($L233&lt;&gt;"Y",0,IF($AO233=0,IF(UPPER(TRIM(CLEAN(SUBSTITUTE(act_RateType&amp;""," "," "))))="REPLACE",N(act_PriorRate),0),IF(ISNUMBER(INDEX(rate_Prior,MOD($AO233,100))),INDEX(rate_Prior,MOD($AO233,100)),IF(UPPER(TRIM(CLEAN(SUBSTITUTE(act_RateType&amp;""," "," "))))="REPLACE",N(act_PriorRate),0)))))</f>
        <v/>
      </c>
      <c r="T233" s="17">
        <f>IF($A233="","",IF(AND($L233="Y",$P233="PART",ISNUMBER(Items!M233)),Items!M233,1))</f>
        <v/>
      </c>
      <c r="U233" s="17">
        <f>IF($A233="","",IF($L233&lt;&gt;"Y",0,IF($AQ233&gt;0,IF(ISNUMBER(INDEX(det_Displaced,$AQ233)),INDEX(det_Displaced,$AQ233),IF($AO233=0,0,N(INDEX(rate_Displaced,MOD($AO233,100))))),IF($AO233=0,0,N(INDEX(rate_Displaced,MOD($AO233,100)))))))</f>
        <v/>
      </c>
      <c r="V233" s="17">
        <f>IF($A233="","",IF($L233="Y",$Q233+$T233*($R233-$S233)-$U233,$Q233))</f>
        <v/>
      </c>
      <c r="W233" s="18">
        <f>IF($A233="","",N(Items!H233)*$Q233)</f>
        <v/>
      </c>
      <c r="X233" s="18">
        <f>IF($A233="","",N(Items!H233)*$V233)</f>
        <v/>
      </c>
      <c r="Y233" s="18">
        <f>IF($A233="","",$X233-$W233)</f>
        <v/>
      </c>
      <c r="Z233" s="18">
        <f>IF($A233="","",N(Items!K233)+$Y233)</f>
        <v/>
      </c>
      <c r="AA233" s="17">
        <f>IF($A233="","",IF(N(Items!L233)=0,"",(N(Items!L233)-N(Items!K233))/N(Items!L233)))</f>
        <v/>
      </c>
      <c r="AB233" s="17">
        <f>IF($A233="","",IF(N(Items!L233)=0,"",(N(Items!L233)-$Z233)/N(Items!L233)))</f>
        <v/>
      </c>
      <c r="AC233" s="17">
        <f>IF(OR($AA233="",$AB233=""),"",$AB233-$AA233)</f>
        <v/>
      </c>
      <c r="AD233" s="13">
        <f>IF($A233="","",N(Items!I233))</f>
        <v/>
      </c>
      <c r="AE233" s="19">
        <f>IF($A233="","",$Y233*$AD233)</f>
        <v/>
      </c>
      <c r="AF233" s="10">
        <f>IF($A233="","",IF(N(Items!L233)&gt;0,"Y","N"))</f>
        <v/>
      </c>
      <c r="AG233" s="19">
        <f>IF($A233="","",IF($AF233="Y",N(Items!L233)*$AD233,0))</f>
        <v/>
      </c>
      <c r="AH233" s="19">
        <f>IF($A233="","",IF($AF233="Y",(N(Items!L233)-N(Items!K233))*$AD233,0))</f>
        <v/>
      </c>
      <c r="AI233" s="19">
        <f>IF($A233="","",IF($AF233="Y",$AH233-$AE233,0))</f>
        <v/>
      </c>
      <c r="AJ233" s="10">
        <f>IF($A233="","",IF(COUNTIF($AL$5:$AL$254,$AL233)&gt;1,"CHECK: duplicate item and import country",IF(TRIM(CLEAN(SUBSTITUTE(Items!C233&amp;""," "," ")))="","CHECK: import country missing",IF(AND(UPPER(TRIM(CLEAN(SUBSTITUTE(Items!C233&amp;""," "," "))))&lt;&gt;"US",UPPER(TRIM(CLEAN(SUBSTITUTE(Items!C233&amp;""," "," "))))&lt;&gt;"CA",UPPER(TRIM(CLEAN(SUBSTITUTE(Items!C233&amp;""," "," "))))&lt;&gt;"MX"),"CHECK: import country must be US, CA or MX",IF(NOT(AND(LEN($C233)=10,IFERROR(TEXT(VALUE($C233),REPT("0",LEN($C233)))=$C233,FALSE))),"CHECK: HTS must be 10 digits",IF(LEN($E233)&lt;&gt;2,"CHECK: origin code missing or not 2 letters",IF(TRIM(CLEAN(SUBSTITUTE(Items!G233&amp;""," "," ")))="","CHECK: unit of measure missing",IF(OR(Items!H233="",Items!J233="",Items!K233=""),"CHECK: value, rate or cost missing",IF(OR(NOT(ISNUMBER(Items!H233)),NOT(ISNUMBER(Items!J233)),NOT(ISNUMBER(Items!K233)),AND(Items!I233&lt;&gt;"",NOT(ISNUMBER(Items!I233))),AND(Items!L233&lt;&gt;"",NOT(ISNUMBER(Items!L233))),AND(Items!M233&lt;&gt;"",NOT(ISNUMBER(Items!M233)))),"CHECK: text in a number column",IF(AND(ISNUMBER(Items!M233),OR(N(Items!M233)&lt;0,N(Items!M233)&gt;1)),"CHECK: dutiable share must be 0% to 100%",IF(AND(UPPER(TRIM(CLEAN(SUBSTITUTE(Items!F233&amp;""," "," "))))&lt;&gt;"",UPPER(TRIM(CLEAN(SUBSTITUTE(Items!F233&amp;""," "," "))))&lt;&gt;"Y",UPPER(TRIM(CLEAN(SUBSTITUTE(Items!F233&amp;""," "," "))))&lt;&gt;"N"),"CHECK: USMCA flag must be Y, N or blank",IF(AND(UPPER(TRIM(CLEAN(SUBSTITUTE(Items!F233&amp;""," "," "))))="Y",$E233&lt;&gt;"US",$E233&lt;&gt;"CA",$E233&lt;&gt;"MX"),"CHECK: USMCA flag on an origin other than US, CA or MX",IF(AND($L233="Y",$AO233=0,NOT(ISNUMBER(act_Rate))),"CHECK: in scope but no rate (add a rate line or B15)",IF(AND($L233="Y",UPPER(TRIM(CLEAN(SUBSTITUTE(act_RateType&amp;""," "," "))))="REPLACE",NOT(ISNUMBER(act_PriorRate)),IF($AO233=0,TRUE,NOT(ISNUMBER(INDEX(rate_Prior,MOD($AO233,100)))))),"CHECK: REPLACE but no earlier rate (B17 or the rate line's AD)",IF(AND($L233="Y",$AP233&gt;1),"CHECK: two rate lines match equally",IF(AND($L233="Y",$AN233&gt;1),"CHECK: HTS prefix listed twice on the scope list",IF(AND($L233="Y",$P233="PART",NOT(ISNUMBER(Items!M233))),"CHECK: dutiable share missing (PART base)",IF(AND($L233="Y",$P233="FULL",ISNUMBER(Items!M233),N(Items!M233)&lt;&gt;1),"CHECK: dutiable share entered, but the rate taxes the full value",IF(AND($L233="Y",$Q233+0.0000001&lt;$T233*$S233+$U233),"CHECK: current rate is below the duty being replaced or displaced",IF(AND($L233="Y",$AD233=0),"NOTE: in scope, no quantity",IF(AND($L233="Y",$AF233="N"),"NOTE: in scope, no sell price (left out of margin %)",IF(AND($L233="Y",N(Items!H233)&gt;N(Items!K233)),"NOTE: customs value above standard cost (check unit of measure)",IF(AND($L233="Y",$Q233&gt;1),"NOTE: current rate above 100% (check it was entered as a percentage)","OK")))))))))))))))))))))))</f>
        <v/>
      </c>
      <c r="AK233" s="20">
        <f>IF($A233="","",IF(AND($L233="Y",$AE233&lt;&gt;0),ABS($AE233)+ROW()/1000000000,""))</f>
        <v/>
      </c>
      <c r="AL233" s="10">
        <f>IF($A233="","",UPPER($A233)&amp;"/"&amp;UPPER(TRIM(CLEAN(SUBSTITUTE(Items!C233&amp;""," "," ")))))</f>
        <v/>
      </c>
      <c r="AM233" s="13">
        <f>IF($A233="",0,SUMPRODUCT(MAX((scope_HTS&lt;&gt;"")*(LEFT($C233,LEN(scope_HTS))=scope_HTS)*(LEN(scope_HTS)*1000+ROW(scope_HTS)-4))))</f>
        <v/>
      </c>
      <c r="AN233" s="13">
        <f>IF($AM233=0,0,SUMPRODUCT((scope_HTS&lt;&gt;"")*(LEFT($C233,LEN(scope_HTS))=scope_HTS)*(LEN(scope_HTS)=INT($AM233/1000))))</f>
        <v/>
      </c>
      <c r="AO233" s="13">
        <f>IF($L233&lt;&gt;"Y",0,SUMPRODUCT(MAX(ISNUMBER(rate_Rate)*((UPPER(TRIM(CLEAN(SUBSTITUTE(rate_Group&amp;""," "," "))))="")+(UPPER(TRIM(CLEAN(SUBSTITUTE(rate_Group&amp;""," "," "))))=$N233)&gt;0)*((UPPER(TRIM(CLEAN(SUBSTITUTE(rate_COO&amp;""," "," "))))="")+(UPPER(TRIM(CLEAN(SUBSTITUTE(rate_COO&amp;""," "," "))))=$E233)&gt;0)*((UPPER(TRIM(CLEAN(SUBSTITUTE(rate_USMCA&amp;""," "," "))))="")+(UPPER(TRIM(CLEAN(SUBSTITUTE(rate_USMCA&amp;""," "," "))))=IF(UPPER(TRIM(CLEAN(SUBSTITUTE(Items!F233&amp;""," "," "))))="Y","Y","N"))&gt;0)*((1+(UPPER(TRIM(CLEAN(SUBSTITUTE(rate_Group&amp;""," "," "))))&lt;&gt;"")+2*(UPPER(TRIM(CLEAN(SUBSTITUTE(rate_USMCA&amp;""," "," "))))&lt;&gt;"")+4*(UPPER(TRIM(CLEAN(SUBSTITUTE(rate_COO&amp;""," "," "))))&lt;&gt;""))*100+ROW(rate_Rate)-4))))</f>
        <v/>
      </c>
      <c r="AP233" s="13">
        <f>IF($AO233=0,0,SUMPRODUCT(ISNUMBER(rate_Rate)*((UPPER(TRIM(CLEAN(SUBSTITUTE(rate_Group&amp;""," "," "))))="")+(UPPER(TRIM(CLEAN(SUBSTITUTE(rate_Group&amp;""," "," "))))=$N233)&gt;0)*((UPPER(TRIM(CLEAN(SUBSTITUTE(rate_COO&amp;""," "," "))))="")+(UPPER(TRIM(CLEAN(SUBSTITUTE(rate_COO&amp;""," "," "))))=$E233)&gt;0)*((UPPER(TRIM(CLEAN(SUBSTITUTE(rate_USMCA&amp;""," "," "))))="")+(UPPER(TRIM(CLEAN(SUBSTITUTE(rate_USMCA&amp;""," "," "))))=IF(UPPER(TRIM(CLEAN(SUBSTITUTE(Items!F233&amp;""," "," "))))="Y","Y","N"))&gt;0)*((1+(UPPER(TRIM(CLEAN(SUBSTITUTE(rate_Group&amp;""," "," "))))&lt;&gt;"")+2*(UPPER(TRIM(CLEAN(SUBSTITUTE(rate_USMCA&amp;""," "," "))))&lt;&gt;"")+4*(UPPER(TRIM(CLEAN(SUBSTITUTE(rate_COO&amp;""," "," "))))&lt;&gt;""))=INT($AO233/100))))</f>
        <v/>
      </c>
      <c r="AQ233" s="13">
        <f>IF($A233="",0,IFERROR(MATCH($AL233,det_Key,0),0))</f>
        <v/>
      </c>
    </row>
    <row r="234">
      <c r="A234" s="10">
        <f>IF(TRIM(CLEAN(SUBSTITUTE(Items!A234&amp;""," "," ")))="","",TRIM(CLEAN(SUBSTITUTE(Items!A234&amp;""," "," "))))</f>
        <v/>
      </c>
      <c r="B234" s="10">
        <f>IF($A234="","",Items!B234&amp;"")</f>
        <v/>
      </c>
      <c r="C234" s="10">
        <f>IF($A234="","",SUBSTITUTE(SUBSTITUTE(SUBSTITUTE(SUBSTITUTE(CLEAN(Items!D234&amp;"")," ",""),".","")," ",""),"-",""))</f>
        <v/>
      </c>
      <c r="D234" s="10">
        <f>IF($A234="","",LEFT($C234,2))</f>
        <v/>
      </c>
      <c r="E234" s="10">
        <f>IF($A234="","",UPPER(TRIM(CLEAN(SUBSTITUTE(Items!E234&amp;""," "," ")))))</f>
        <v/>
      </c>
      <c r="F234" s="10">
        <f>IF($A234="","",IF(UPPER(TRIM(CLEAN(SUBSTITUTE(Items!C234&amp;""," "," "))))=UPPER(TRIM(CLEAN(SUBSTITUTE(act_Country&amp;""," "," ")))),"Y","N"))</f>
        <v/>
      </c>
      <c r="G234" s="10">
        <f>IF($A234="","",IF($AM234&gt;0,"Y","N"))</f>
        <v/>
      </c>
      <c r="H234" s="10">
        <f>IF($A234="","",IF(SUMPRODUCT((excl_HTS&lt;&gt;"")*(LEFT($C234,LEN(excl_HTS))=excl_HTS))&gt;0,"Y","N"))</f>
        <v/>
      </c>
      <c r="I234" s="10">
        <f>IF($A234="","",IF($E234="","N",IF(SUMPRODUCT(--(UPPER(TRIM(CLEAN(SUBSTITUTE(scope_COO&amp;""," "," "))))=$E234))&gt;0,"Y","N")))</f>
        <v/>
      </c>
      <c r="J234" s="10">
        <f>IF($A234="","",IF(AND(UPPER(TRIM(CLEAN(SUBSTITUTE(act_USMCAExempt&amp;""," "," "))))="Y",UPPER(TRIM(CLEAN(SUBSTITUTE(Items!F234&amp;""," "," "))))="Y"),"Y","N"))</f>
        <v/>
      </c>
      <c r="K234" s="10">
        <f>IF($A234="","",IF($AQ234=0,"",UPPER(TRIM(CLEAN(SUBSTITUTE(INDEX(det_Status,$AQ234)&amp;""," "," "))))))</f>
        <v/>
      </c>
      <c r="L234" s="10">
        <f>IF($A234="","",IF($F234="N","N",IF($K234="IN","Y",IF($K234="OUT","N",IF(AND($G234="Y",$H234="N",$I234="Y",$J234="N"),"Y","N")))))</f>
        <v/>
      </c>
      <c r="M234" s="10">
        <f>IF($A234="","",IF($F234="N","Out: different import country",IF($K234="IN","In: Research determination",IF($K234="OUT","Out: Research determination",IF($G234="N","Out: HTS not on scope list",IF($H234="Y","Out: HTS on exclusion list",IF($I234="N","Out: origin not on scope list",IF($J234="Y","Out: USMCA-qualifying, exempt","In: matches scope rules"))))))))</f>
        <v/>
      </c>
      <c r="N234" s="10">
        <f>IF(OR($A234="",$AM234=0),"",UPPER(TRIM(CLEAN(SUBSTITUTE(INDEX(scope_Group,MOD($AM234,1000))&amp;""," "," ")))))</f>
        <v/>
      </c>
      <c r="O234" s="10">
        <f>IF($L234&lt;&gt;"Y","",IF($AO234=0,"Default (B15)",UPPER(TRIM(CLEAN(SUBSTITUTE(INDEX(rate_ID,MOD($AO234,100))&amp;""," "," "))))))</f>
        <v/>
      </c>
      <c r="P234" s="10">
        <f>IF($L234&lt;&gt;"Y","",IF($AO234=0,IF(UPPER(TRIM(CLEAN(SUBSTITUTE(act_DefaultBase&amp;""," "," "))))="PART","PART","FULL"),IF(UPPER(TRIM(CLEAN(SUBSTITUTE(INDEX(rate_Base,MOD($AO234,100))&amp;""," "," "))))="PART","PART","FULL")))</f>
        <v/>
      </c>
      <c r="Q234" s="17">
        <f>IF($A234="","",N(Items!J234))</f>
        <v/>
      </c>
      <c r="R234" s="17">
        <f>IF($A234="","",IF($L234&lt;&gt;"Y",0,IF($AO234=0,N(act_Rate),N(INDEX(rate_Rate,MOD($AO234,100))))))</f>
        <v/>
      </c>
      <c r="S234" s="17">
        <f>IF($A234="","",IF($L234&lt;&gt;"Y",0,IF($AO234=0,IF(UPPER(TRIM(CLEAN(SUBSTITUTE(act_RateType&amp;""," "," "))))="REPLACE",N(act_PriorRate),0),IF(ISNUMBER(INDEX(rate_Prior,MOD($AO234,100))),INDEX(rate_Prior,MOD($AO234,100)),IF(UPPER(TRIM(CLEAN(SUBSTITUTE(act_RateType&amp;""," "," "))))="REPLACE",N(act_PriorRate),0)))))</f>
        <v/>
      </c>
      <c r="T234" s="17">
        <f>IF($A234="","",IF(AND($L234="Y",$P234="PART",ISNUMBER(Items!M234)),Items!M234,1))</f>
        <v/>
      </c>
      <c r="U234" s="17">
        <f>IF($A234="","",IF($L234&lt;&gt;"Y",0,IF($AQ234&gt;0,IF(ISNUMBER(INDEX(det_Displaced,$AQ234)),INDEX(det_Displaced,$AQ234),IF($AO234=0,0,N(INDEX(rate_Displaced,MOD($AO234,100))))),IF($AO234=0,0,N(INDEX(rate_Displaced,MOD($AO234,100)))))))</f>
        <v/>
      </c>
      <c r="V234" s="17">
        <f>IF($A234="","",IF($L234="Y",$Q234+$T234*($R234-$S234)-$U234,$Q234))</f>
        <v/>
      </c>
      <c r="W234" s="18">
        <f>IF($A234="","",N(Items!H234)*$Q234)</f>
        <v/>
      </c>
      <c r="X234" s="18">
        <f>IF($A234="","",N(Items!H234)*$V234)</f>
        <v/>
      </c>
      <c r="Y234" s="18">
        <f>IF($A234="","",$X234-$W234)</f>
        <v/>
      </c>
      <c r="Z234" s="18">
        <f>IF($A234="","",N(Items!K234)+$Y234)</f>
        <v/>
      </c>
      <c r="AA234" s="17">
        <f>IF($A234="","",IF(N(Items!L234)=0,"",(N(Items!L234)-N(Items!K234))/N(Items!L234)))</f>
        <v/>
      </c>
      <c r="AB234" s="17">
        <f>IF($A234="","",IF(N(Items!L234)=0,"",(N(Items!L234)-$Z234)/N(Items!L234)))</f>
        <v/>
      </c>
      <c r="AC234" s="17">
        <f>IF(OR($AA234="",$AB234=""),"",$AB234-$AA234)</f>
        <v/>
      </c>
      <c r="AD234" s="13">
        <f>IF($A234="","",N(Items!I234))</f>
        <v/>
      </c>
      <c r="AE234" s="19">
        <f>IF($A234="","",$Y234*$AD234)</f>
        <v/>
      </c>
      <c r="AF234" s="10">
        <f>IF($A234="","",IF(N(Items!L234)&gt;0,"Y","N"))</f>
        <v/>
      </c>
      <c r="AG234" s="19">
        <f>IF($A234="","",IF($AF234="Y",N(Items!L234)*$AD234,0))</f>
        <v/>
      </c>
      <c r="AH234" s="19">
        <f>IF($A234="","",IF($AF234="Y",(N(Items!L234)-N(Items!K234))*$AD234,0))</f>
        <v/>
      </c>
      <c r="AI234" s="19">
        <f>IF($A234="","",IF($AF234="Y",$AH234-$AE234,0))</f>
        <v/>
      </c>
      <c r="AJ234" s="10">
        <f>IF($A234="","",IF(COUNTIF($AL$5:$AL$254,$AL234)&gt;1,"CHECK: duplicate item and import country",IF(TRIM(CLEAN(SUBSTITUTE(Items!C234&amp;""," "," ")))="","CHECK: import country missing",IF(AND(UPPER(TRIM(CLEAN(SUBSTITUTE(Items!C234&amp;""," "," "))))&lt;&gt;"US",UPPER(TRIM(CLEAN(SUBSTITUTE(Items!C234&amp;""," "," "))))&lt;&gt;"CA",UPPER(TRIM(CLEAN(SUBSTITUTE(Items!C234&amp;""," "," "))))&lt;&gt;"MX"),"CHECK: import country must be US, CA or MX",IF(NOT(AND(LEN($C234)=10,IFERROR(TEXT(VALUE($C234),REPT("0",LEN($C234)))=$C234,FALSE))),"CHECK: HTS must be 10 digits",IF(LEN($E234)&lt;&gt;2,"CHECK: origin code missing or not 2 letters",IF(TRIM(CLEAN(SUBSTITUTE(Items!G234&amp;""," "," ")))="","CHECK: unit of measure missing",IF(OR(Items!H234="",Items!J234="",Items!K234=""),"CHECK: value, rate or cost missing",IF(OR(NOT(ISNUMBER(Items!H234)),NOT(ISNUMBER(Items!J234)),NOT(ISNUMBER(Items!K234)),AND(Items!I234&lt;&gt;"",NOT(ISNUMBER(Items!I234))),AND(Items!L234&lt;&gt;"",NOT(ISNUMBER(Items!L234))),AND(Items!M234&lt;&gt;"",NOT(ISNUMBER(Items!M234)))),"CHECK: text in a number column",IF(AND(ISNUMBER(Items!M234),OR(N(Items!M234)&lt;0,N(Items!M234)&gt;1)),"CHECK: dutiable share must be 0% to 100%",IF(AND(UPPER(TRIM(CLEAN(SUBSTITUTE(Items!F234&amp;""," "," "))))&lt;&gt;"",UPPER(TRIM(CLEAN(SUBSTITUTE(Items!F234&amp;""," "," "))))&lt;&gt;"Y",UPPER(TRIM(CLEAN(SUBSTITUTE(Items!F234&amp;""," "," "))))&lt;&gt;"N"),"CHECK: USMCA flag must be Y, N or blank",IF(AND(UPPER(TRIM(CLEAN(SUBSTITUTE(Items!F234&amp;""," "," "))))="Y",$E234&lt;&gt;"US",$E234&lt;&gt;"CA",$E234&lt;&gt;"MX"),"CHECK: USMCA flag on an origin other than US, CA or MX",IF(AND($L234="Y",$AO234=0,NOT(ISNUMBER(act_Rate))),"CHECK: in scope but no rate (add a rate line or B15)",IF(AND($L234="Y",UPPER(TRIM(CLEAN(SUBSTITUTE(act_RateType&amp;""," "," "))))="REPLACE",NOT(ISNUMBER(act_PriorRate)),IF($AO234=0,TRUE,NOT(ISNUMBER(INDEX(rate_Prior,MOD($AO234,100)))))),"CHECK: REPLACE but no earlier rate (B17 or the rate line's AD)",IF(AND($L234="Y",$AP234&gt;1),"CHECK: two rate lines match equally",IF(AND($L234="Y",$AN234&gt;1),"CHECK: HTS prefix listed twice on the scope list",IF(AND($L234="Y",$P234="PART",NOT(ISNUMBER(Items!M234))),"CHECK: dutiable share missing (PART base)",IF(AND($L234="Y",$P234="FULL",ISNUMBER(Items!M234),N(Items!M234)&lt;&gt;1),"CHECK: dutiable share entered, but the rate taxes the full value",IF(AND($L234="Y",$Q234+0.0000001&lt;$T234*$S234+$U234),"CHECK: current rate is below the duty being replaced or displaced",IF(AND($L234="Y",$AD234=0),"NOTE: in scope, no quantity",IF(AND($L234="Y",$AF234="N"),"NOTE: in scope, no sell price (left out of margin %)",IF(AND($L234="Y",N(Items!H234)&gt;N(Items!K234)),"NOTE: customs value above standard cost (check unit of measure)",IF(AND($L234="Y",$Q234&gt;1),"NOTE: current rate above 100% (check it was entered as a percentage)","OK")))))))))))))))))))))))</f>
        <v/>
      </c>
      <c r="AK234" s="20">
        <f>IF($A234="","",IF(AND($L234="Y",$AE234&lt;&gt;0),ABS($AE234)+ROW()/1000000000,""))</f>
        <v/>
      </c>
      <c r="AL234" s="10">
        <f>IF($A234="","",UPPER($A234)&amp;"/"&amp;UPPER(TRIM(CLEAN(SUBSTITUTE(Items!C234&amp;""," "," ")))))</f>
        <v/>
      </c>
      <c r="AM234" s="13">
        <f>IF($A234="",0,SUMPRODUCT(MAX((scope_HTS&lt;&gt;"")*(LEFT($C234,LEN(scope_HTS))=scope_HTS)*(LEN(scope_HTS)*1000+ROW(scope_HTS)-4))))</f>
        <v/>
      </c>
      <c r="AN234" s="13">
        <f>IF($AM234=0,0,SUMPRODUCT((scope_HTS&lt;&gt;"")*(LEFT($C234,LEN(scope_HTS))=scope_HTS)*(LEN(scope_HTS)=INT($AM234/1000))))</f>
        <v/>
      </c>
      <c r="AO234" s="13">
        <f>IF($L234&lt;&gt;"Y",0,SUMPRODUCT(MAX(ISNUMBER(rate_Rate)*((UPPER(TRIM(CLEAN(SUBSTITUTE(rate_Group&amp;""," "," "))))="")+(UPPER(TRIM(CLEAN(SUBSTITUTE(rate_Group&amp;""," "," "))))=$N234)&gt;0)*((UPPER(TRIM(CLEAN(SUBSTITUTE(rate_COO&amp;""," "," "))))="")+(UPPER(TRIM(CLEAN(SUBSTITUTE(rate_COO&amp;""," "," "))))=$E234)&gt;0)*((UPPER(TRIM(CLEAN(SUBSTITUTE(rate_USMCA&amp;""," "," "))))="")+(UPPER(TRIM(CLEAN(SUBSTITUTE(rate_USMCA&amp;""," "," "))))=IF(UPPER(TRIM(CLEAN(SUBSTITUTE(Items!F234&amp;""," "," "))))="Y","Y","N"))&gt;0)*((1+(UPPER(TRIM(CLEAN(SUBSTITUTE(rate_Group&amp;""," "," "))))&lt;&gt;"")+2*(UPPER(TRIM(CLEAN(SUBSTITUTE(rate_USMCA&amp;""," "," "))))&lt;&gt;"")+4*(UPPER(TRIM(CLEAN(SUBSTITUTE(rate_COO&amp;""," "," "))))&lt;&gt;""))*100+ROW(rate_Rate)-4))))</f>
        <v/>
      </c>
      <c r="AP234" s="13">
        <f>IF($AO234=0,0,SUMPRODUCT(ISNUMBER(rate_Rate)*((UPPER(TRIM(CLEAN(SUBSTITUTE(rate_Group&amp;""," "," "))))="")+(UPPER(TRIM(CLEAN(SUBSTITUTE(rate_Group&amp;""," "," "))))=$N234)&gt;0)*((UPPER(TRIM(CLEAN(SUBSTITUTE(rate_COO&amp;""," "," "))))="")+(UPPER(TRIM(CLEAN(SUBSTITUTE(rate_COO&amp;""," "," "))))=$E234)&gt;0)*((UPPER(TRIM(CLEAN(SUBSTITUTE(rate_USMCA&amp;""," "," "))))="")+(UPPER(TRIM(CLEAN(SUBSTITUTE(rate_USMCA&amp;""," "," "))))=IF(UPPER(TRIM(CLEAN(SUBSTITUTE(Items!F234&amp;""," "," "))))="Y","Y","N"))&gt;0)*((1+(UPPER(TRIM(CLEAN(SUBSTITUTE(rate_Group&amp;""," "," "))))&lt;&gt;"")+2*(UPPER(TRIM(CLEAN(SUBSTITUTE(rate_USMCA&amp;""," "," "))))&lt;&gt;"")+4*(UPPER(TRIM(CLEAN(SUBSTITUTE(rate_COO&amp;""," "," "))))&lt;&gt;""))=INT($AO234/100))))</f>
        <v/>
      </c>
      <c r="AQ234" s="13">
        <f>IF($A234="",0,IFERROR(MATCH($AL234,det_Key,0),0))</f>
        <v/>
      </c>
    </row>
    <row r="235">
      <c r="A235" s="10">
        <f>IF(TRIM(CLEAN(SUBSTITUTE(Items!A235&amp;""," "," ")))="","",TRIM(CLEAN(SUBSTITUTE(Items!A235&amp;""," "," "))))</f>
        <v/>
      </c>
      <c r="B235" s="10">
        <f>IF($A235="","",Items!B235&amp;"")</f>
        <v/>
      </c>
      <c r="C235" s="10">
        <f>IF($A235="","",SUBSTITUTE(SUBSTITUTE(SUBSTITUTE(SUBSTITUTE(CLEAN(Items!D235&amp;"")," ",""),".","")," ",""),"-",""))</f>
        <v/>
      </c>
      <c r="D235" s="10">
        <f>IF($A235="","",LEFT($C235,2))</f>
        <v/>
      </c>
      <c r="E235" s="10">
        <f>IF($A235="","",UPPER(TRIM(CLEAN(SUBSTITUTE(Items!E235&amp;""," "," ")))))</f>
        <v/>
      </c>
      <c r="F235" s="10">
        <f>IF($A235="","",IF(UPPER(TRIM(CLEAN(SUBSTITUTE(Items!C235&amp;""," "," "))))=UPPER(TRIM(CLEAN(SUBSTITUTE(act_Country&amp;""," "," ")))),"Y","N"))</f>
        <v/>
      </c>
      <c r="G235" s="10">
        <f>IF($A235="","",IF($AM235&gt;0,"Y","N"))</f>
        <v/>
      </c>
      <c r="H235" s="10">
        <f>IF($A235="","",IF(SUMPRODUCT((excl_HTS&lt;&gt;"")*(LEFT($C235,LEN(excl_HTS))=excl_HTS))&gt;0,"Y","N"))</f>
        <v/>
      </c>
      <c r="I235" s="10">
        <f>IF($A235="","",IF($E235="","N",IF(SUMPRODUCT(--(UPPER(TRIM(CLEAN(SUBSTITUTE(scope_COO&amp;""," "," "))))=$E235))&gt;0,"Y","N")))</f>
        <v/>
      </c>
      <c r="J235" s="10">
        <f>IF($A235="","",IF(AND(UPPER(TRIM(CLEAN(SUBSTITUTE(act_USMCAExempt&amp;""," "," "))))="Y",UPPER(TRIM(CLEAN(SUBSTITUTE(Items!F235&amp;""," "," "))))="Y"),"Y","N"))</f>
        <v/>
      </c>
      <c r="K235" s="10">
        <f>IF($A235="","",IF($AQ235=0,"",UPPER(TRIM(CLEAN(SUBSTITUTE(INDEX(det_Status,$AQ235)&amp;""," "," "))))))</f>
        <v/>
      </c>
      <c r="L235" s="10">
        <f>IF($A235="","",IF($F235="N","N",IF($K235="IN","Y",IF($K235="OUT","N",IF(AND($G235="Y",$H235="N",$I235="Y",$J235="N"),"Y","N")))))</f>
        <v/>
      </c>
      <c r="M235" s="10">
        <f>IF($A235="","",IF($F235="N","Out: different import country",IF($K235="IN","In: Research determination",IF($K235="OUT","Out: Research determination",IF($G235="N","Out: HTS not on scope list",IF($H235="Y","Out: HTS on exclusion list",IF($I235="N","Out: origin not on scope list",IF($J235="Y","Out: USMCA-qualifying, exempt","In: matches scope rules"))))))))</f>
        <v/>
      </c>
      <c r="N235" s="10">
        <f>IF(OR($A235="",$AM235=0),"",UPPER(TRIM(CLEAN(SUBSTITUTE(INDEX(scope_Group,MOD($AM235,1000))&amp;""," "," ")))))</f>
        <v/>
      </c>
      <c r="O235" s="10">
        <f>IF($L235&lt;&gt;"Y","",IF($AO235=0,"Default (B15)",UPPER(TRIM(CLEAN(SUBSTITUTE(INDEX(rate_ID,MOD($AO235,100))&amp;""," "," "))))))</f>
        <v/>
      </c>
      <c r="P235" s="10">
        <f>IF($L235&lt;&gt;"Y","",IF($AO235=0,IF(UPPER(TRIM(CLEAN(SUBSTITUTE(act_DefaultBase&amp;""," "," "))))="PART","PART","FULL"),IF(UPPER(TRIM(CLEAN(SUBSTITUTE(INDEX(rate_Base,MOD($AO235,100))&amp;""," "," "))))="PART","PART","FULL")))</f>
        <v/>
      </c>
      <c r="Q235" s="17">
        <f>IF($A235="","",N(Items!J235))</f>
        <v/>
      </c>
      <c r="R235" s="17">
        <f>IF($A235="","",IF($L235&lt;&gt;"Y",0,IF($AO235=0,N(act_Rate),N(INDEX(rate_Rate,MOD($AO235,100))))))</f>
        <v/>
      </c>
      <c r="S235" s="17">
        <f>IF($A235="","",IF($L235&lt;&gt;"Y",0,IF($AO235=0,IF(UPPER(TRIM(CLEAN(SUBSTITUTE(act_RateType&amp;""," "," "))))="REPLACE",N(act_PriorRate),0),IF(ISNUMBER(INDEX(rate_Prior,MOD($AO235,100))),INDEX(rate_Prior,MOD($AO235,100)),IF(UPPER(TRIM(CLEAN(SUBSTITUTE(act_RateType&amp;""," "," "))))="REPLACE",N(act_PriorRate),0)))))</f>
        <v/>
      </c>
      <c r="T235" s="17">
        <f>IF($A235="","",IF(AND($L235="Y",$P235="PART",ISNUMBER(Items!M235)),Items!M235,1))</f>
        <v/>
      </c>
      <c r="U235" s="17">
        <f>IF($A235="","",IF($L235&lt;&gt;"Y",0,IF($AQ235&gt;0,IF(ISNUMBER(INDEX(det_Displaced,$AQ235)),INDEX(det_Displaced,$AQ235),IF($AO235=0,0,N(INDEX(rate_Displaced,MOD($AO235,100))))),IF($AO235=0,0,N(INDEX(rate_Displaced,MOD($AO235,100)))))))</f>
        <v/>
      </c>
      <c r="V235" s="17">
        <f>IF($A235="","",IF($L235="Y",$Q235+$T235*($R235-$S235)-$U235,$Q235))</f>
        <v/>
      </c>
      <c r="W235" s="18">
        <f>IF($A235="","",N(Items!H235)*$Q235)</f>
        <v/>
      </c>
      <c r="X235" s="18">
        <f>IF($A235="","",N(Items!H235)*$V235)</f>
        <v/>
      </c>
      <c r="Y235" s="18">
        <f>IF($A235="","",$X235-$W235)</f>
        <v/>
      </c>
      <c r="Z235" s="18">
        <f>IF($A235="","",N(Items!K235)+$Y235)</f>
        <v/>
      </c>
      <c r="AA235" s="17">
        <f>IF($A235="","",IF(N(Items!L235)=0,"",(N(Items!L235)-N(Items!K235))/N(Items!L235)))</f>
        <v/>
      </c>
      <c r="AB235" s="17">
        <f>IF($A235="","",IF(N(Items!L235)=0,"",(N(Items!L235)-$Z235)/N(Items!L235)))</f>
        <v/>
      </c>
      <c r="AC235" s="17">
        <f>IF(OR($AA235="",$AB235=""),"",$AB235-$AA235)</f>
        <v/>
      </c>
      <c r="AD235" s="13">
        <f>IF($A235="","",N(Items!I235))</f>
        <v/>
      </c>
      <c r="AE235" s="19">
        <f>IF($A235="","",$Y235*$AD235)</f>
        <v/>
      </c>
      <c r="AF235" s="10">
        <f>IF($A235="","",IF(N(Items!L235)&gt;0,"Y","N"))</f>
        <v/>
      </c>
      <c r="AG235" s="19">
        <f>IF($A235="","",IF($AF235="Y",N(Items!L235)*$AD235,0))</f>
        <v/>
      </c>
      <c r="AH235" s="19">
        <f>IF($A235="","",IF($AF235="Y",(N(Items!L235)-N(Items!K235))*$AD235,0))</f>
        <v/>
      </c>
      <c r="AI235" s="19">
        <f>IF($A235="","",IF($AF235="Y",$AH235-$AE235,0))</f>
        <v/>
      </c>
      <c r="AJ235" s="10">
        <f>IF($A235="","",IF(COUNTIF($AL$5:$AL$254,$AL235)&gt;1,"CHECK: duplicate item and import country",IF(TRIM(CLEAN(SUBSTITUTE(Items!C235&amp;""," "," ")))="","CHECK: import country missing",IF(AND(UPPER(TRIM(CLEAN(SUBSTITUTE(Items!C235&amp;""," "," "))))&lt;&gt;"US",UPPER(TRIM(CLEAN(SUBSTITUTE(Items!C235&amp;""," "," "))))&lt;&gt;"CA",UPPER(TRIM(CLEAN(SUBSTITUTE(Items!C235&amp;""," "," "))))&lt;&gt;"MX"),"CHECK: import country must be US, CA or MX",IF(NOT(AND(LEN($C235)=10,IFERROR(TEXT(VALUE($C235),REPT("0",LEN($C235)))=$C235,FALSE))),"CHECK: HTS must be 10 digits",IF(LEN($E235)&lt;&gt;2,"CHECK: origin code missing or not 2 letters",IF(TRIM(CLEAN(SUBSTITUTE(Items!G235&amp;""," "," ")))="","CHECK: unit of measure missing",IF(OR(Items!H235="",Items!J235="",Items!K235=""),"CHECK: value, rate or cost missing",IF(OR(NOT(ISNUMBER(Items!H235)),NOT(ISNUMBER(Items!J235)),NOT(ISNUMBER(Items!K235)),AND(Items!I235&lt;&gt;"",NOT(ISNUMBER(Items!I235))),AND(Items!L235&lt;&gt;"",NOT(ISNUMBER(Items!L235))),AND(Items!M235&lt;&gt;"",NOT(ISNUMBER(Items!M235)))),"CHECK: text in a number column",IF(AND(ISNUMBER(Items!M235),OR(N(Items!M235)&lt;0,N(Items!M235)&gt;1)),"CHECK: dutiable share must be 0% to 100%",IF(AND(UPPER(TRIM(CLEAN(SUBSTITUTE(Items!F235&amp;""," "," "))))&lt;&gt;"",UPPER(TRIM(CLEAN(SUBSTITUTE(Items!F235&amp;""," "," "))))&lt;&gt;"Y",UPPER(TRIM(CLEAN(SUBSTITUTE(Items!F235&amp;""," "," "))))&lt;&gt;"N"),"CHECK: USMCA flag must be Y, N or blank",IF(AND(UPPER(TRIM(CLEAN(SUBSTITUTE(Items!F235&amp;""," "," "))))="Y",$E235&lt;&gt;"US",$E235&lt;&gt;"CA",$E235&lt;&gt;"MX"),"CHECK: USMCA flag on an origin other than US, CA or MX",IF(AND($L235="Y",$AO235=0,NOT(ISNUMBER(act_Rate))),"CHECK: in scope but no rate (add a rate line or B15)",IF(AND($L235="Y",UPPER(TRIM(CLEAN(SUBSTITUTE(act_RateType&amp;""," "," "))))="REPLACE",NOT(ISNUMBER(act_PriorRate)),IF($AO235=0,TRUE,NOT(ISNUMBER(INDEX(rate_Prior,MOD($AO235,100)))))),"CHECK: REPLACE but no earlier rate (B17 or the rate line's AD)",IF(AND($L235="Y",$AP235&gt;1),"CHECK: two rate lines match equally",IF(AND($L235="Y",$AN235&gt;1),"CHECK: HTS prefix listed twice on the scope list",IF(AND($L235="Y",$P235="PART",NOT(ISNUMBER(Items!M235))),"CHECK: dutiable share missing (PART base)",IF(AND($L235="Y",$P235="FULL",ISNUMBER(Items!M235),N(Items!M235)&lt;&gt;1),"CHECK: dutiable share entered, but the rate taxes the full value",IF(AND($L235="Y",$Q235+0.0000001&lt;$T235*$S235+$U235),"CHECK: current rate is below the duty being replaced or displaced",IF(AND($L235="Y",$AD235=0),"NOTE: in scope, no quantity",IF(AND($L235="Y",$AF235="N"),"NOTE: in scope, no sell price (left out of margin %)",IF(AND($L235="Y",N(Items!H235)&gt;N(Items!K235)),"NOTE: customs value above standard cost (check unit of measure)",IF(AND($L235="Y",$Q235&gt;1),"NOTE: current rate above 100% (check it was entered as a percentage)","OK")))))))))))))))))))))))</f>
        <v/>
      </c>
      <c r="AK235" s="20">
        <f>IF($A235="","",IF(AND($L235="Y",$AE235&lt;&gt;0),ABS($AE235)+ROW()/1000000000,""))</f>
        <v/>
      </c>
      <c r="AL235" s="10">
        <f>IF($A235="","",UPPER($A235)&amp;"/"&amp;UPPER(TRIM(CLEAN(SUBSTITUTE(Items!C235&amp;""," "," ")))))</f>
        <v/>
      </c>
      <c r="AM235" s="13">
        <f>IF($A235="",0,SUMPRODUCT(MAX((scope_HTS&lt;&gt;"")*(LEFT($C235,LEN(scope_HTS))=scope_HTS)*(LEN(scope_HTS)*1000+ROW(scope_HTS)-4))))</f>
        <v/>
      </c>
      <c r="AN235" s="13">
        <f>IF($AM235=0,0,SUMPRODUCT((scope_HTS&lt;&gt;"")*(LEFT($C235,LEN(scope_HTS))=scope_HTS)*(LEN(scope_HTS)=INT($AM235/1000))))</f>
        <v/>
      </c>
      <c r="AO235" s="13">
        <f>IF($L235&lt;&gt;"Y",0,SUMPRODUCT(MAX(ISNUMBER(rate_Rate)*((UPPER(TRIM(CLEAN(SUBSTITUTE(rate_Group&amp;""," "," "))))="")+(UPPER(TRIM(CLEAN(SUBSTITUTE(rate_Group&amp;""," "," "))))=$N235)&gt;0)*((UPPER(TRIM(CLEAN(SUBSTITUTE(rate_COO&amp;""," "," "))))="")+(UPPER(TRIM(CLEAN(SUBSTITUTE(rate_COO&amp;""," "," "))))=$E235)&gt;0)*((UPPER(TRIM(CLEAN(SUBSTITUTE(rate_USMCA&amp;""," "," "))))="")+(UPPER(TRIM(CLEAN(SUBSTITUTE(rate_USMCA&amp;""," "," "))))=IF(UPPER(TRIM(CLEAN(SUBSTITUTE(Items!F235&amp;""," "," "))))="Y","Y","N"))&gt;0)*((1+(UPPER(TRIM(CLEAN(SUBSTITUTE(rate_Group&amp;""," "," "))))&lt;&gt;"")+2*(UPPER(TRIM(CLEAN(SUBSTITUTE(rate_USMCA&amp;""," "," "))))&lt;&gt;"")+4*(UPPER(TRIM(CLEAN(SUBSTITUTE(rate_COO&amp;""," "," "))))&lt;&gt;""))*100+ROW(rate_Rate)-4))))</f>
        <v/>
      </c>
      <c r="AP235" s="13">
        <f>IF($AO235=0,0,SUMPRODUCT(ISNUMBER(rate_Rate)*((UPPER(TRIM(CLEAN(SUBSTITUTE(rate_Group&amp;""," "," "))))="")+(UPPER(TRIM(CLEAN(SUBSTITUTE(rate_Group&amp;""," "," "))))=$N235)&gt;0)*((UPPER(TRIM(CLEAN(SUBSTITUTE(rate_COO&amp;""," "," "))))="")+(UPPER(TRIM(CLEAN(SUBSTITUTE(rate_COO&amp;""," "," "))))=$E235)&gt;0)*((UPPER(TRIM(CLEAN(SUBSTITUTE(rate_USMCA&amp;""," "," "))))="")+(UPPER(TRIM(CLEAN(SUBSTITUTE(rate_USMCA&amp;""," "," "))))=IF(UPPER(TRIM(CLEAN(SUBSTITUTE(Items!F235&amp;""," "," "))))="Y","Y","N"))&gt;0)*((1+(UPPER(TRIM(CLEAN(SUBSTITUTE(rate_Group&amp;""," "," "))))&lt;&gt;"")+2*(UPPER(TRIM(CLEAN(SUBSTITUTE(rate_USMCA&amp;""," "," "))))&lt;&gt;"")+4*(UPPER(TRIM(CLEAN(SUBSTITUTE(rate_COO&amp;""," "," "))))&lt;&gt;""))=INT($AO235/100))))</f>
        <v/>
      </c>
      <c r="AQ235" s="13">
        <f>IF($A235="",0,IFERROR(MATCH($AL235,det_Key,0),0))</f>
        <v/>
      </c>
    </row>
    <row r="236">
      <c r="A236" s="10">
        <f>IF(TRIM(CLEAN(SUBSTITUTE(Items!A236&amp;""," "," ")))="","",TRIM(CLEAN(SUBSTITUTE(Items!A236&amp;""," "," "))))</f>
        <v/>
      </c>
      <c r="B236" s="10">
        <f>IF($A236="","",Items!B236&amp;"")</f>
        <v/>
      </c>
      <c r="C236" s="10">
        <f>IF($A236="","",SUBSTITUTE(SUBSTITUTE(SUBSTITUTE(SUBSTITUTE(CLEAN(Items!D236&amp;"")," ",""),".","")," ",""),"-",""))</f>
        <v/>
      </c>
      <c r="D236" s="10">
        <f>IF($A236="","",LEFT($C236,2))</f>
        <v/>
      </c>
      <c r="E236" s="10">
        <f>IF($A236="","",UPPER(TRIM(CLEAN(SUBSTITUTE(Items!E236&amp;""," "," ")))))</f>
        <v/>
      </c>
      <c r="F236" s="10">
        <f>IF($A236="","",IF(UPPER(TRIM(CLEAN(SUBSTITUTE(Items!C236&amp;""," "," "))))=UPPER(TRIM(CLEAN(SUBSTITUTE(act_Country&amp;""," "," ")))),"Y","N"))</f>
        <v/>
      </c>
      <c r="G236" s="10">
        <f>IF($A236="","",IF($AM236&gt;0,"Y","N"))</f>
        <v/>
      </c>
      <c r="H236" s="10">
        <f>IF($A236="","",IF(SUMPRODUCT((excl_HTS&lt;&gt;"")*(LEFT($C236,LEN(excl_HTS))=excl_HTS))&gt;0,"Y","N"))</f>
        <v/>
      </c>
      <c r="I236" s="10">
        <f>IF($A236="","",IF($E236="","N",IF(SUMPRODUCT(--(UPPER(TRIM(CLEAN(SUBSTITUTE(scope_COO&amp;""," "," "))))=$E236))&gt;0,"Y","N")))</f>
        <v/>
      </c>
      <c r="J236" s="10">
        <f>IF($A236="","",IF(AND(UPPER(TRIM(CLEAN(SUBSTITUTE(act_USMCAExempt&amp;""," "," "))))="Y",UPPER(TRIM(CLEAN(SUBSTITUTE(Items!F236&amp;""," "," "))))="Y"),"Y","N"))</f>
        <v/>
      </c>
      <c r="K236" s="10">
        <f>IF($A236="","",IF($AQ236=0,"",UPPER(TRIM(CLEAN(SUBSTITUTE(INDEX(det_Status,$AQ236)&amp;""," "," "))))))</f>
        <v/>
      </c>
      <c r="L236" s="10">
        <f>IF($A236="","",IF($F236="N","N",IF($K236="IN","Y",IF($K236="OUT","N",IF(AND($G236="Y",$H236="N",$I236="Y",$J236="N"),"Y","N")))))</f>
        <v/>
      </c>
      <c r="M236" s="10">
        <f>IF($A236="","",IF($F236="N","Out: different import country",IF($K236="IN","In: Research determination",IF($K236="OUT","Out: Research determination",IF($G236="N","Out: HTS not on scope list",IF($H236="Y","Out: HTS on exclusion list",IF($I236="N","Out: origin not on scope list",IF($J236="Y","Out: USMCA-qualifying, exempt","In: matches scope rules"))))))))</f>
        <v/>
      </c>
      <c r="N236" s="10">
        <f>IF(OR($A236="",$AM236=0),"",UPPER(TRIM(CLEAN(SUBSTITUTE(INDEX(scope_Group,MOD($AM236,1000))&amp;""," "," ")))))</f>
        <v/>
      </c>
      <c r="O236" s="10">
        <f>IF($L236&lt;&gt;"Y","",IF($AO236=0,"Default (B15)",UPPER(TRIM(CLEAN(SUBSTITUTE(INDEX(rate_ID,MOD($AO236,100))&amp;""," "," "))))))</f>
        <v/>
      </c>
      <c r="P236" s="10">
        <f>IF($L236&lt;&gt;"Y","",IF($AO236=0,IF(UPPER(TRIM(CLEAN(SUBSTITUTE(act_DefaultBase&amp;""," "," "))))="PART","PART","FULL"),IF(UPPER(TRIM(CLEAN(SUBSTITUTE(INDEX(rate_Base,MOD($AO236,100))&amp;""," "," "))))="PART","PART","FULL")))</f>
        <v/>
      </c>
      <c r="Q236" s="17">
        <f>IF($A236="","",N(Items!J236))</f>
        <v/>
      </c>
      <c r="R236" s="17">
        <f>IF($A236="","",IF($L236&lt;&gt;"Y",0,IF($AO236=0,N(act_Rate),N(INDEX(rate_Rate,MOD($AO236,100))))))</f>
        <v/>
      </c>
      <c r="S236" s="17">
        <f>IF($A236="","",IF($L236&lt;&gt;"Y",0,IF($AO236=0,IF(UPPER(TRIM(CLEAN(SUBSTITUTE(act_RateType&amp;""," "," "))))="REPLACE",N(act_PriorRate),0),IF(ISNUMBER(INDEX(rate_Prior,MOD($AO236,100))),INDEX(rate_Prior,MOD($AO236,100)),IF(UPPER(TRIM(CLEAN(SUBSTITUTE(act_RateType&amp;""," "," "))))="REPLACE",N(act_PriorRate),0)))))</f>
        <v/>
      </c>
      <c r="T236" s="17">
        <f>IF($A236="","",IF(AND($L236="Y",$P236="PART",ISNUMBER(Items!M236)),Items!M236,1))</f>
        <v/>
      </c>
      <c r="U236" s="17">
        <f>IF($A236="","",IF($L236&lt;&gt;"Y",0,IF($AQ236&gt;0,IF(ISNUMBER(INDEX(det_Displaced,$AQ236)),INDEX(det_Displaced,$AQ236),IF($AO236=0,0,N(INDEX(rate_Displaced,MOD($AO236,100))))),IF($AO236=0,0,N(INDEX(rate_Displaced,MOD($AO236,100)))))))</f>
        <v/>
      </c>
      <c r="V236" s="17">
        <f>IF($A236="","",IF($L236="Y",$Q236+$T236*($R236-$S236)-$U236,$Q236))</f>
        <v/>
      </c>
      <c r="W236" s="18">
        <f>IF($A236="","",N(Items!H236)*$Q236)</f>
        <v/>
      </c>
      <c r="X236" s="18">
        <f>IF($A236="","",N(Items!H236)*$V236)</f>
        <v/>
      </c>
      <c r="Y236" s="18">
        <f>IF($A236="","",$X236-$W236)</f>
        <v/>
      </c>
      <c r="Z236" s="18">
        <f>IF($A236="","",N(Items!K236)+$Y236)</f>
        <v/>
      </c>
      <c r="AA236" s="17">
        <f>IF($A236="","",IF(N(Items!L236)=0,"",(N(Items!L236)-N(Items!K236))/N(Items!L236)))</f>
        <v/>
      </c>
      <c r="AB236" s="17">
        <f>IF($A236="","",IF(N(Items!L236)=0,"",(N(Items!L236)-$Z236)/N(Items!L236)))</f>
        <v/>
      </c>
      <c r="AC236" s="17">
        <f>IF(OR($AA236="",$AB236=""),"",$AB236-$AA236)</f>
        <v/>
      </c>
      <c r="AD236" s="13">
        <f>IF($A236="","",N(Items!I236))</f>
        <v/>
      </c>
      <c r="AE236" s="19">
        <f>IF($A236="","",$Y236*$AD236)</f>
        <v/>
      </c>
      <c r="AF236" s="10">
        <f>IF($A236="","",IF(N(Items!L236)&gt;0,"Y","N"))</f>
        <v/>
      </c>
      <c r="AG236" s="19">
        <f>IF($A236="","",IF($AF236="Y",N(Items!L236)*$AD236,0))</f>
        <v/>
      </c>
      <c r="AH236" s="19">
        <f>IF($A236="","",IF($AF236="Y",(N(Items!L236)-N(Items!K236))*$AD236,0))</f>
        <v/>
      </c>
      <c r="AI236" s="19">
        <f>IF($A236="","",IF($AF236="Y",$AH236-$AE236,0))</f>
        <v/>
      </c>
      <c r="AJ236" s="10">
        <f>IF($A236="","",IF(COUNTIF($AL$5:$AL$254,$AL236)&gt;1,"CHECK: duplicate item and import country",IF(TRIM(CLEAN(SUBSTITUTE(Items!C236&amp;""," "," ")))="","CHECK: import country missing",IF(AND(UPPER(TRIM(CLEAN(SUBSTITUTE(Items!C236&amp;""," "," "))))&lt;&gt;"US",UPPER(TRIM(CLEAN(SUBSTITUTE(Items!C236&amp;""," "," "))))&lt;&gt;"CA",UPPER(TRIM(CLEAN(SUBSTITUTE(Items!C236&amp;""," "," "))))&lt;&gt;"MX"),"CHECK: import country must be US, CA or MX",IF(NOT(AND(LEN($C236)=10,IFERROR(TEXT(VALUE($C236),REPT("0",LEN($C236)))=$C236,FALSE))),"CHECK: HTS must be 10 digits",IF(LEN($E236)&lt;&gt;2,"CHECK: origin code missing or not 2 letters",IF(TRIM(CLEAN(SUBSTITUTE(Items!G236&amp;""," "," ")))="","CHECK: unit of measure missing",IF(OR(Items!H236="",Items!J236="",Items!K236=""),"CHECK: value, rate or cost missing",IF(OR(NOT(ISNUMBER(Items!H236)),NOT(ISNUMBER(Items!J236)),NOT(ISNUMBER(Items!K236)),AND(Items!I236&lt;&gt;"",NOT(ISNUMBER(Items!I236))),AND(Items!L236&lt;&gt;"",NOT(ISNUMBER(Items!L236))),AND(Items!M236&lt;&gt;"",NOT(ISNUMBER(Items!M236)))),"CHECK: text in a number column",IF(AND(ISNUMBER(Items!M236),OR(N(Items!M236)&lt;0,N(Items!M236)&gt;1)),"CHECK: dutiable share must be 0% to 100%",IF(AND(UPPER(TRIM(CLEAN(SUBSTITUTE(Items!F236&amp;""," "," "))))&lt;&gt;"",UPPER(TRIM(CLEAN(SUBSTITUTE(Items!F236&amp;""," "," "))))&lt;&gt;"Y",UPPER(TRIM(CLEAN(SUBSTITUTE(Items!F236&amp;""," "," "))))&lt;&gt;"N"),"CHECK: USMCA flag must be Y, N or blank",IF(AND(UPPER(TRIM(CLEAN(SUBSTITUTE(Items!F236&amp;""," "," "))))="Y",$E236&lt;&gt;"US",$E236&lt;&gt;"CA",$E236&lt;&gt;"MX"),"CHECK: USMCA flag on an origin other than US, CA or MX",IF(AND($L236="Y",$AO236=0,NOT(ISNUMBER(act_Rate))),"CHECK: in scope but no rate (add a rate line or B15)",IF(AND($L236="Y",UPPER(TRIM(CLEAN(SUBSTITUTE(act_RateType&amp;""," "," "))))="REPLACE",NOT(ISNUMBER(act_PriorRate)),IF($AO236=0,TRUE,NOT(ISNUMBER(INDEX(rate_Prior,MOD($AO236,100)))))),"CHECK: REPLACE but no earlier rate (B17 or the rate line's AD)",IF(AND($L236="Y",$AP236&gt;1),"CHECK: two rate lines match equally",IF(AND($L236="Y",$AN236&gt;1),"CHECK: HTS prefix listed twice on the scope list",IF(AND($L236="Y",$P236="PART",NOT(ISNUMBER(Items!M236))),"CHECK: dutiable share missing (PART base)",IF(AND($L236="Y",$P236="FULL",ISNUMBER(Items!M236),N(Items!M236)&lt;&gt;1),"CHECK: dutiable share entered, but the rate taxes the full value",IF(AND($L236="Y",$Q236+0.0000001&lt;$T236*$S236+$U236),"CHECK: current rate is below the duty being replaced or displaced",IF(AND($L236="Y",$AD236=0),"NOTE: in scope, no quantity",IF(AND($L236="Y",$AF236="N"),"NOTE: in scope, no sell price (left out of margin %)",IF(AND($L236="Y",N(Items!H236)&gt;N(Items!K236)),"NOTE: customs value above standard cost (check unit of measure)",IF(AND($L236="Y",$Q236&gt;1),"NOTE: current rate above 100% (check it was entered as a percentage)","OK")))))))))))))))))))))))</f>
        <v/>
      </c>
      <c r="AK236" s="20">
        <f>IF($A236="","",IF(AND($L236="Y",$AE236&lt;&gt;0),ABS($AE236)+ROW()/1000000000,""))</f>
        <v/>
      </c>
      <c r="AL236" s="10">
        <f>IF($A236="","",UPPER($A236)&amp;"/"&amp;UPPER(TRIM(CLEAN(SUBSTITUTE(Items!C236&amp;""," "," ")))))</f>
        <v/>
      </c>
      <c r="AM236" s="13">
        <f>IF($A236="",0,SUMPRODUCT(MAX((scope_HTS&lt;&gt;"")*(LEFT($C236,LEN(scope_HTS))=scope_HTS)*(LEN(scope_HTS)*1000+ROW(scope_HTS)-4))))</f>
        <v/>
      </c>
      <c r="AN236" s="13">
        <f>IF($AM236=0,0,SUMPRODUCT((scope_HTS&lt;&gt;"")*(LEFT($C236,LEN(scope_HTS))=scope_HTS)*(LEN(scope_HTS)=INT($AM236/1000))))</f>
        <v/>
      </c>
      <c r="AO236" s="13">
        <f>IF($L236&lt;&gt;"Y",0,SUMPRODUCT(MAX(ISNUMBER(rate_Rate)*((UPPER(TRIM(CLEAN(SUBSTITUTE(rate_Group&amp;""," "," "))))="")+(UPPER(TRIM(CLEAN(SUBSTITUTE(rate_Group&amp;""," "," "))))=$N236)&gt;0)*((UPPER(TRIM(CLEAN(SUBSTITUTE(rate_COO&amp;""," "," "))))="")+(UPPER(TRIM(CLEAN(SUBSTITUTE(rate_COO&amp;""," "," "))))=$E236)&gt;0)*((UPPER(TRIM(CLEAN(SUBSTITUTE(rate_USMCA&amp;""," "," "))))="")+(UPPER(TRIM(CLEAN(SUBSTITUTE(rate_USMCA&amp;""," "," "))))=IF(UPPER(TRIM(CLEAN(SUBSTITUTE(Items!F236&amp;""," "," "))))="Y","Y","N"))&gt;0)*((1+(UPPER(TRIM(CLEAN(SUBSTITUTE(rate_Group&amp;""," "," "))))&lt;&gt;"")+2*(UPPER(TRIM(CLEAN(SUBSTITUTE(rate_USMCA&amp;""," "," "))))&lt;&gt;"")+4*(UPPER(TRIM(CLEAN(SUBSTITUTE(rate_COO&amp;""," "," "))))&lt;&gt;""))*100+ROW(rate_Rate)-4))))</f>
        <v/>
      </c>
      <c r="AP236" s="13">
        <f>IF($AO236=0,0,SUMPRODUCT(ISNUMBER(rate_Rate)*((UPPER(TRIM(CLEAN(SUBSTITUTE(rate_Group&amp;""," "," "))))="")+(UPPER(TRIM(CLEAN(SUBSTITUTE(rate_Group&amp;""," "," "))))=$N236)&gt;0)*((UPPER(TRIM(CLEAN(SUBSTITUTE(rate_COO&amp;""," "," "))))="")+(UPPER(TRIM(CLEAN(SUBSTITUTE(rate_COO&amp;""," "," "))))=$E236)&gt;0)*((UPPER(TRIM(CLEAN(SUBSTITUTE(rate_USMCA&amp;""," "," "))))="")+(UPPER(TRIM(CLEAN(SUBSTITUTE(rate_USMCA&amp;""," "," "))))=IF(UPPER(TRIM(CLEAN(SUBSTITUTE(Items!F236&amp;""," "," "))))="Y","Y","N"))&gt;0)*((1+(UPPER(TRIM(CLEAN(SUBSTITUTE(rate_Group&amp;""," "," "))))&lt;&gt;"")+2*(UPPER(TRIM(CLEAN(SUBSTITUTE(rate_USMCA&amp;""," "," "))))&lt;&gt;"")+4*(UPPER(TRIM(CLEAN(SUBSTITUTE(rate_COO&amp;""," "," "))))&lt;&gt;""))=INT($AO236/100))))</f>
        <v/>
      </c>
      <c r="AQ236" s="13">
        <f>IF($A236="",0,IFERROR(MATCH($AL236,det_Key,0),0))</f>
        <v/>
      </c>
    </row>
    <row r="237">
      <c r="A237" s="10">
        <f>IF(TRIM(CLEAN(SUBSTITUTE(Items!A237&amp;""," "," ")))="","",TRIM(CLEAN(SUBSTITUTE(Items!A237&amp;""," "," "))))</f>
        <v/>
      </c>
      <c r="B237" s="10">
        <f>IF($A237="","",Items!B237&amp;"")</f>
        <v/>
      </c>
      <c r="C237" s="10">
        <f>IF($A237="","",SUBSTITUTE(SUBSTITUTE(SUBSTITUTE(SUBSTITUTE(CLEAN(Items!D237&amp;"")," ",""),".","")," ",""),"-",""))</f>
        <v/>
      </c>
      <c r="D237" s="10">
        <f>IF($A237="","",LEFT($C237,2))</f>
        <v/>
      </c>
      <c r="E237" s="10">
        <f>IF($A237="","",UPPER(TRIM(CLEAN(SUBSTITUTE(Items!E237&amp;""," "," ")))))</f>
        <v/>
      </c>
      <c r="F237" s="10">
        <f>IF($A237="","",IF(UPPER(TRIM(CLEAN(SUBSTITUTE(Items!C237&amp;""," "," "))))=UPPER(TRIM(CLEAN(SUBSTITUTE(act_Country&amp;""," "," ")))),"Y","N"))</f>
        <v/>
      </c>
      <c r="G237" s="10">
        <f>IF($A237="","",IF($AM237&gt;0,"Y","N"))</f>
        <v/>
      </c>
      <c r="H237" s="10">
        <f>IF($A237="","",IF(SUMPRODUCT((excl_HTS&lt;&gt;"")*(LEFT($C237,LEN(excl_HTS))=excl_HTS))&gt;0,"Y","N"))</f>
        <v/>
      </c>
      <c r="I237" s="10">
        <f>IF($A237="","",IF($E237="","N",IF(SUMPRODUCT(--(UPPER(TRIM(CLEAN(SUBSTITUTE(scope_COO&amp;""," "," "))))=$E237))&gt;0,"Y","N")))</f>
        <v/>
      </c>
      <c r="J237" s="10">
        <f>IF($A237="","",IF(AND(UPPER(TRIM(CLEAN(SUBSTITUTE(act_USMCAExempt&amp;""," "," "))))="Y",UPPER(TRIM(CLEAN(SUBSTITUTE(Items!F237&amp;""," "," "))))="Y"),"Y","N"))</f>
        <v/>
      </c>
      <c r="K237" s="10">
        <f>IF($A237="","",IF($AQ237=0,"",UPPER(TRIM(CLEAN(SUBSTITUTE(INDEX(det_Status,$AQ237)&amp;""," "," "))))))</f>
        <v/>
      </c>
      <c r="L237" s="10">
        <f>IF($A237="","",IF($F237="N","N",IF($K237="IN","Y",IF($K237="OUT","N",IF(AND($G237="Y",$H237="N",$I237="Y",$J237="N"),"Y","N")))))</f>
        <v/>
      </c>
      <c r="M237" s="10">
        <f>IF($A237="","",IF($F237="N","Out: different import country",IF($K237="IN","In: Research determination",IF($K237="OUT","Out: Research determination",IF($G237="N","Out: HTS not on scope list",IF($H237="Y","Out: HTS on exclusion list",IF($I237="N","Out: origin not on scope list",IF($J237="Y","Out: USMCA-qualifying, exempt","In: matches scope rules"))))))))</f>
        <v/>
      </c>
      <c r="N237" s="10">
        <f>IF(OR($A237="",$AM237=0),"",UPPER(TRIM(CLEAN(SUBSTITUTE(INDEX(scope_Group,MOD($AM237,1000))&amp;""," "," ")))))</f>
        <v/>
      </c>
      <c r="O237" s="10">
        <f>IF($L237&lt;&gt;"Y","",IF($AO237=0,"Default (B15)",UPPER(TRIM(CLEAN(SUBSTITUTE(INDEX(rate_ID,MOD($AO237,100))&amp;""," "," "))))))</f>
        <v/>
      </c>
      <c r="P237" s="10">
        <f>IF($L237&lt;&gt;"Y","",IF($AO237=0,IF(UPPER(TRIM(CLEAN(SUBSTITUTE(act_DefaultBase&amp;""," "," "))))="PART","PART","FULL"),IF(UPPER(TRIM(CLEAN(SUBSTITUTE(INDEX(rate_Base,MOD($AO237,100))&amp;""," "," "))))="PART","PART","FULL")))</f>
        <v/>
      </c>
      <c r="Q237" s="17">
        <f>IF($A237="","",N(Items!J237))</f>
        <v/>
      </c>
      <c r="R237" s="17">
        <f>IF($A237="","",IF($L237&lt;&gt;"Y",0,IF($AO237=0,N(act_Rate),N(INDEX(rate_Rate,MOD($AO237,100))))))</f>
        <v/>
      </c>
      <c r="S237" s="17">
        <f>IF($A237="","",IF($L237&lt;&gt;"Y",0,IF($AO237=0,IF(UPPER(TRIM(CLEAN(SUBSTITUTE(act_RateType&amp;""," "," "))))="REPLACE",N(act_PriorRate),0),IF(ISNUMBER(INDEX(rate_Prior,MOD($AO237,100))),INDEX(rate_Prior,MOD($AO237,100)),IF(UPPER(TRIM(CLEAN(SUBSTITUTE(act_RateType&amp;""," "," "))))="REPLACE",N(act_PriorRate),0)))))</f>
        <v/>
      </c>
      <c r="T237" s="17">
        <f>IF($A237="","",IF(AND($L237="Y",$P237="PART",ISNUMBER(Items!M237)),Items!M237,1))</f>
        <v/>
      </c>
      <c r="U237" s="17">
        <f>IF($A237="","",IF($L237&lt;&gt;"Y",0,IF($AQ237&gt;0,IF(ISNUMBER(INDEX(det_Displaced,$AQ237)),INDEX(det_Displaced,$AQ237),IF($AO237=0,0,N(INDEX(rate_Displaced,MOD($AO237,100))))),IF($AO237=0,0,N(INDEX(rate_Displaced,MOD($AO237,100)))))))</f>
        <v/>
      </c>
      <c r="V237" s="17">
        <f>IF($A237="","",IF($L237="Y",$Q237+$T237*($R237-$S237)-$U237,$Q237))</f>
        <v/>
      </c>
      <c r="W237" s="18">
        <f>IF($A237="","",N(Items!H237)*$Q237)</f>
        <v/>
      </c>
      <c r="X237" s="18">
        <f>IF($A237="","",N(Items!H237)*$V237)</f>
        <v/>
      </c>
      <c r="Y237" s="18">
        <f>IF($A237="","",$X237-$W237)</f>
        <v/>
      </c>
      <c r="Z237" s="18">
        <f>IF($A237="","",N(Items!K237)+$Y237)</f>
        <v/>
      </c>
      <c r="AA237" s="17">
        <f>IF($A237="","",IF(N(Items!L237)=0,"",(N(Items!L237)-N(Items!K237))/N(Items!L237)))</f>
        <v/>
      </c>
      <c r="AB237" s="17">
        <f>IF($A237="","",IF(N(Items!L237)=0,"",(N(Items!L237)-$Z237)/N(Items!L237)))</f>
        <v/>
      </c>
      <c r="AC237" s="17">
        <f>IF(OR($AA237="",$AB237=""),"",$AB237-$AA237)</f>
        <v/>
      </c>
      <c r="AD237" s="13">
        <f>IF($A237="","",N(Items!I237))</f>
        <v/>
      </c>
      <c r="AE237" s="19">
        <f>IF($A237="","",$Y237*$AD237)</f>
        <v/>
      </c>
      <c r="AF237" s="10">
        <f>IF($A237="","",IF(N(Items!L237)&gt;0,"Y","N"))</f>
        <v/>
      </c>
      <c r="AG237" s="19">
        <f>IF($A237="","",IF($AF237="Y",N(Items!L237)*$AD237,0))</f>
        <v/>
      </c>
      <c r="AH237" s="19">
        <f>IF($A237="","",IF($AF237="Y",(N(Items!L237)-N(Items!K237))*$AD237,0))</f>
        <v/>
      </c>
      <c r="AI237" s="19">
        <f>IF($A237="","",IF($AF237="Y",$AH237-$AE237,0))</f>
        <v/>
      </c>
      <c r="AJ237" s="10">
        <f>IF($A237="","",IF(COUNTIF($AL$5:$AL$254,$AL237)&gt;1,"CHECK: duplicate item and import country",IF(TRIM(CLEAN(SUBSTITUTE(Items!C237&amp;""," "," ")))="","CHECK: import country missing",IF(AND(UPPER(TRIM(CLEAN(SUBSTITUTE(Items!C237&amp;""," "," "))))&lt;&gt;"US",UPPER(TRIM(CLEAN(SUBSTITUTE(Items!C237&amp;""," "," "))))&lt;&gt;"CA",UPPER(TRIM(CLEAN(SUBSTITUTE(Items!C237&amp;""," "," "))))&lt;&gt;"MX"),"CHECK: import country must be US, CA or MX",IF(NOT(AND(LEN($C237)=10,IFERROR(TEXT(VALUE($C237),REPT("0",LEN($C237)))=$C237,FALSE))),"CHECK: HTS must be 10 digits",IF(LEN($E237)&lt;&gt;2,"CHECK: origin code missing or not 2 letters",IF(TRIM(CLEAN(SUBSTITUTE(Items!G237&amp;""," "," ")))="","CHECK: unit of measure missing",IF(OR(Items!H237="",Items!J237="",Items!K237=""),"CHECK: value, rate or cost missing",IF(OR(NOT(ISNUMBER(Items!H237)),NOT(ISNUMBER(Items!J237)),NOT(ISNUMBER(Items!K237)),AND(Items!I237&lt;&gt;"",NOT(ISNUMBER(Items!I237))),AND(Items!L237&lt;&gt;"",NOT(ISNUMBER(Items!L237))),AND(Items!M237&lt;&gt;"",NOT(ISNUMBER(Items!M237)))),"CHECK: text in a number column",IF(AND(ISNUMBER(Items!M237),OR(N(Items!M237)&lt;0,N(Items!M237)&gt;1)),"CHECK: dutiable share must be 0% to 100%",IF(AND(UPPER(TRIM(CLEAN(SUBSTITUTE(Items!F237&amp;""," "," "))))&lt;&gt;"",UPPER(TRIM(CLEAN(SUBSTITUTE(Items!F237&amp;""," "," "))))&lt;&gt;"Y",UPPER(TRIM(CLEAN(SUBSTITUTE(Items!F237&amp;""," "," "))))&lt;&gt;"N"),"CHECK: USMCA flag must be Y, N or blank",IF(AND(UPPER(TRIM(CLEAN(SUBSTITUTE(Items!F237&amp;""," "," "))))="Y",$E237&lt;&gt;"US",$E237&lt;&gt;"CA",$E237&lt;&gt;"MX"),"CHECK: USMCA flag on an origin other than US, CA or MX",IF(AND($L237="Y",$AO237=0,NOT(ISNUMBER(act_Rate))),"CHECK: in scope but no rate (add a rate line or B15)",IF(AND($L237="Y",UPPER(TRIM(CLEAN(SUBSTITUTE(act_RateType&amp;""," "," "))))="REPLACE",NOT(ISNUMBER(act_PriorRate)),IF($AO237=0,TRUE,NOT(ISNUMBER(INDEX(rate_Prior,MOD($AO237,100)))))),"CHECK: REPLACE but no earlier rate (B17 or the rate line's AD)",IF(AND($L237="Y",$AP237&gt;1),"CHECK: two rate lines match equally",IF(AND($L237="Y",$AN237&gt;1),"CHECK: HTS prefix listed twice on the scope list",IF(AND($L237="Y",$P237="PART",NOT(ISNUMBER(Items!M237))),"CHECK: dutiable share missing (PART base)",IF(AND($L237="Y",$P237="FULL",ISNUMBER(Items!M237),N(Items!M237)&lt;&gt;1),"CHECK: dutiable share entered, but the rate taxes the full value",IF(AND($L237="Y",$Q237+0.0000001&lt;$T237*$S237+$U237),"CHECK: current rate is below the duty being replaced or displaced",IF(AND($L237="Y",$AD237=0),"NOTE: in scope, no quantity",IF(AND($L237="Y",$AF237="N"),"NOTE: in scope, no sell price (left out of margin %)",IF(AND($L237="Y",N(Items!H237)&gt;N(Items!K237)),"NOTE: customs value above standard cost (check unit of measure)",IF(AND($L237="Y",$Q237&gt;1),"NOTE: current rate above 100% (check it was entered as a percentage)","OK")))))))))))))))))))))))</f>
        <v/>
      </c>
      <c r="AK237" s="20">
        <f>IF($A237="","",IF(AND($L237="Y",$AE237&lt;&gt;0),ABS($AE237)+ROW()/1000000000,""))</f>
        <v/>
      </c>
      <c r="AL237" s="10">
        <f>IF($A237="","",UPPER($A237)&amp;"/"&amp;UPPER(TRIM(CLEAN(SUBSTITUTE(Items!C237&amp;""," "," ")))))</f>
        <v/>
      </c>
      <c r="AM237" s="13">
        <f>IF($A237="",0,SUMPRODUCT(MAX((scope_HTS&lt;&gt;"")*(LEFT($C237,LEN(scope_HTS))=scope_HTS)*(LEN(scope_HTS)*1000+ROW(scope_HTS)-4))))</f>
        <v/>
      </c>
      <c r="AN237" s="13">
        <f>IF($AM237=0,0,SUMPRODUCT((scope_HTS&lt;&gt;"")*(LEFT($C237,LEN(scope_HTS))=scope_HTS)*(LEN(scope_HTS)=INT($AM237/1000))))</f>
        <v/>
      </c>
      <c r="AO237" s="13">
        <f>IF($L237&lt;&gt;"Y",0,SUMPRODUCT(MAX(ISNUMBER(rate_Rate)*((UPPER(TRIM(CLEAN(SUBSTITUTE(rate_Group&amp;""," "," "))))="")+(UPPER(TRIM(CLEAN(SUBSTITUTE(rate_Group&amp;""," "," "))))=$N237)&gt;0)*((UPPER(TRIM(CLEAN(SUBSTITUTE(rate_COO&amp;""," "," "))))="")+(UPPER(TRIM(CLEAN(SUBSTITUTE(rate_COO&amp;""," "," "))))=$E237)&gt;0)*((UPPER(TRIM(CLEAN(SUBSTITUTE(rate_USMCA&amp;""," "," "))))="")+(UPPER(TRIM(CLEAN(SUBSTITUTE(rate_USMCA&amp;""," "," "))))=IF(UPPER(TRIM(CLEAN(SUBSTITUTE(Items!F237&amp;""," "," "))))="Y","Y","N"))&gt;0)*((1+(UPPER(TRIM(CLEAN(SUBSTITUTE(rate_Group&amp;""," "," "))))&lt;&gt;"")+2*(UPPER(TRIM(CLEAN(SUBSTITUTE(rate_USMCA&amp;""," "," "))))&lt;&gt;"")+4*(UPPER(TRIM(CLEAN(SUBSTITUTE(rate_COO&amp;""," "," "))))&lt;&gt;""))*100+ROW(rate_Rate)-4))))</f>
        <v/>
      </c>
      <c r="AP237" s="13">
        <f>IF($AO237=0,0,SUMPRODUCT(ISNUMBER(rate_Rate)*((UPPER(TRIM(CLEAN(SUBSTITUTE(rate_Group&amp;""," "," "))))="")+(UPPER(TRIM(CLEAN(SUBSTITUTE(rate_Group&amp;""," "," "))))=$N237)&gt;0)*((UPPER(TRIM(CLEAN(SUBSTITUTE(rate_COO&amp;""," "," "))))="")+(UPPER(TRIM(CLEAN(SUBSTITUTE(rate_COO&amp;""," "," "))))=$E237)&gt;0)*((UPPER(TRIM(CLEAN(SUBSTITUTE(rate_USMCA&amp;""," "," "))))="")+(UPPER(TRIM(CLEAN(SUBSTITUTE(rate_USMCA&amp;""," "," "))))=IF(UPPER(TRIM(CLEAN(SUBSTITUTE(Items!F237&amp;""," "," "))))="Y","Y","N"))&gt;0)*((1+(UPPER(TRIM(CLEAN(SUBSTITUTE(rate_Group&amp;""," "," "))))&lt;&gt;"")+2*(UPPER(TRIM(CLEAN(SUBSTITUTE(rate_USMCA&amp;""," "," "))))&lt;&gt;"")+4*(UPPER(TRIM(CLEAN(SUBSTITUTE(rate_COO&amp;""," "," "))))&lt;&gt;""))=INT($AO237/100))))</f>
        <v/>
      </c>
      <c r="AQ237" s="13">
        <f>IF($A237="",0,IFERROR(MATCH($AL237,det_Key,0),0))</f>
        <v/>
      </c>
    </row>
    <row r="238">
      <c r="A238" s="10">
        <f>IF(TRIM(CLEAN(SUBSTITUTE(Items!A238&amp;""," "," ")))="","",TRIM(CLEAN(SUBSTITUTE(Items!A238&amp;""," "," "))))</f>
        <v/>
      </c>
      <c r="B238" s="10">
        <f>IF($A238="","",Items!B238&amp;"")</f>
        <v/>
      </c>
      <c r="C238" s="10">
        <f>IF($A238="","",SUBSTITUTE(SUBSTITUTE(SUBSTITUTE(SUBSTITUTE(CLEAN(Items!D238&amp;"")," ",""),".","")," ",""),"-",""))</f>
        <v/>
      </c>
      <c r="D238" s="10">
        <f>IF($A238="","",LEFT($C238,2))</f>
        <v/>
      </c>
      <c r="E238" s="10">
        <f>IF($A238="","",UPPER(TRIM(CLEAN(SUBSTITUTE(Items!E238&amp;""," "," ")))))</f>
        <v/>
      </c>
      <c r="F238" s="10">
        <f>IF($A238="","",IF(UPPER(TRIM(CLEAN(SUBSTITUTE(Items!C238&amp;""," "," "))))=UPPER(TRIM(CLEAN(SUBSTITUTE(act_Country&amp;""," "," ")))),"Y","N"))</f>
        <v/>
      </c>
      <c r="G238" s="10">
        <f>IF($A238="","",IF($AM238&gt;0,"Y","N"))</f>
        <v/>
      </c>
      <c r="H238" s="10">
        <f>IF($A238="","",IF(SUMPRODUCT((excl_HTS&lt;&gt;"")*(LEFT($C238,LEN(excl_HTS))=excl_HTS))&gt;0,"Y","N"))</f>
        <v/>
      </c>
      <c r="I238" s="10">
        <f>IF($A238="","",IF($E238="","N",IF(SUMPRODUCT(--(UPPER(TRIM(CLEAN(SUBSTITUTE(scope_COO&amp;""," "," "))))=$E238))&gt;0,"Y","N")))</f>
        <v/>
      </c>
      <c r="J238" s="10">
        <f>IF($A238="","",IF(AND(UPPER(TRIM(CLEAN(SUBSTITUTE(act_USMCAExempt&amp;""," "," "))))="Y",UPPER(TRIM(CLEAN(SUBSTITUTE(Items!F238&amp;""," "," "))))="Y"),"Y","N"))</f>
        <v/>
      </c>
      <c r="K238" s="10">
        <f>IF($A238="","",IF($AQ238=0,"",UPPER(TRIM(CLEAN(SUBSTITUTE(INDEX(det_Status,$AQ238)&amp;""," "," "))))))</f>
        <v/>
      </c>
      <c r="L238" s="10">
        <f>IF($A238="","",IF($F238="N","N",IF($K238="IN","Y",IF($K238="OUT","N",IF(AND($G238="Y",$H238="N",$I238="Y",$J238="N"),"Y","N")))))</f>
        <v/>
      </c>
      <c r="M238" s="10">
        <f>IF($A238="","",IF($F238="N","Out: different import country",IF($K238="IN","In: Research determination",IF($K238="OUT","Out: Research determination",IF($G238="N","Out: HTS not on scope list",IF($H238="Y","Out: HTS on exclusion list",IF($I238="N","Out: origin not on scope list",IF($J238="Y","Out: USMCA-qualifying, exempt","In: matches scope rules"))))))))</f>
        <v/>
      </c>
      <c r="N238" s="10">
        <f>IF(OR($A238="",$AM238=0),"",UPPER(TRIM(CLEAN(SUBSTITUTE(INDEX(scope_Group,MOD($AM238,1000))&amp;""," "," ")))))</f>
        <v/>
      </c>
      <c r="O238" s="10">
        <f>IF($L238&lt;&gt;"Y","",IF($AO238=0,"Default (B15)",UPPER(TRIM(CLEAN(SUBSTITUTE(INDEX(rate_ID,MOD($AO238,100))&amp;""," "," "))))))</f>
        <v/>
      </c>
      <c r="P238" s="10">
        <f>IF($L238&lt;&gt;"Y","",IF($AO238=0,IF(UPPER(TRIM(CLEAN(SUBSTITUTE(act_DefaultBase&amp;""," "," "))))="PART","PART","FULL"),IF(UPPER(TRIM(CLEAN(SUBSTITUTE(INDEX(rate_Base,MOD($AO238,100))&amp;""," "," "))))="PART","PART","FULL")))</f>
        <v/>
      </c>
      <c r="Q238" s="17">
        <f>IF($A238="","",N(Items!J238))</f>
        <v/>
      </c>
      <c r="R238" s="17">
        <f>IF($A238="","",IF($L238&lt;&gt;"Y",0,IF($AO238=0,N(act_Rate),N(INDEX(rate_Rate,MOD($AO238,100))))))</f>
        <v/>
      </c>
      <c r="S238" s="17">
        <f>IF($A238="","",IF($L238&lt;&gt;"Y",0,IF($AO238=0,IF(UPPER(TRIM(CLEAN(SUBSTITUTE(act_RateType&amp;""," "," "))))="REPLACE",N(act_PriorRate),0),IF(ISNUMBER(INDEX(rate_Prior,MOD($AO238,100))),INDEX(rate_Prior,MOD($AO238,100)),IF(UPPER(TRIM(CLEAN(SUBSTITUTE(act_RateType&amp;""," "," "))))="REPLACE",N(act_PriorRate),0)))))</f>
        <v/>
      </c>
      <c r="T238" s="17">
        <f>IF($A238="","",IF(AND($L238="Y",$P238="PART",ISNUMBER(Items!M238)),Items!M238,1))</f>
        <v/>
      </c>
      <c r="U238" s="17">
        <f>IF($A238="","",IF($L238&lt;&gt;"Y",0,IF($AQ238&gt;0,IF(ISNUMBER(INDEX(det_Displaced,$AQ238)),INDEX(det_Displaced,$AQ238),IF($AO238=0,0,N(INDEX(rate_Displaced,MOD($AO238,100))))),IF($AO238=0,0,N(INDEX(rate_Displaced,MOD($AO238,100)))))))</f>
        <v/>
      </c>
      <c r="V238" s="17">
        <f>IF($A238="","",IF($L238="Y",$Q238+$T238*($R238-$S238)-$U238,$Q238))</f>
        <v/>
      </c>
      <c r="W238" s="18">
        <f>IF($A238="","",N(Items!H238)*$Q238)</f>
        <v/>
      </c>
      <c r="X238" s="18">
        <f>IF($A238="","",N(Items!H238)*$V238)</f>
        <v/>
      </c>
      <c r="Y238" s="18">
        <f>IF($A238="","",$X238-$W238)</f>
        <v/>
      </c>
      <c r="Z238" s="18">
        <f>IF($A238="","",N(Items!K238)+$Y238)</f>
        <v/>
      </c>
      <c r="AA238" s="17">
        <f>IF($A238="","",IF(N(Items!L238)=0,"",(N(Items!L238)-N(Items!K238))/N(Items!L238)))</f>
        <v/>
      </c>
      <c r="AB238" s="17">
        <f>IF($A238="","",IF(N(Items!L238)=0,"",(N(Items!L238)-$Z238)/N(Items!L238)))</f>
        <v/>
      </c>
      <c r="AC238" s="17">
        <f>IF(OR($AA238="",$AB238=""),"",$AB238-$AA238)</f>
        <v/>
      </c>
      <c r="AD238" s="13">
        <f>IF($A238="","",N(Items!I238))</f>
        <v/>
      </c>
      <c r="AE238" s="19">
        <f>IF($A238="","",$Y238*$AD238)</f>
        <v/>
      </c>
      <c r="AF238" s="10">
        <f>IF($A238="","",IF(N(Items!L238)&gt;0,"Y","N"))</f>
        <v/>
      </c>
      <c r="AG238" s="19">
        <f>IF($A238="","",IF($AF238="Y",N(Items!L238)*$AD238,0))</f>
        <v/>
      </c>
      <c r="AH238" s="19">
        <f>IF($A238="","",IF($AF238="Y",(N(Items!L238)-N(Items!K238))*$AD238,0))</f>
        <v/>
      </c>
      <c r="AI238" s="19">
        <f>IF($A238="","",IF($AF238="Y",$AH238-$AE238,0))</f>
        <v/>
      </c>
      <c r="AJ238" s="10">
        <f>IF($A238="","",IF(COUNTIF($AL$5:$AL$254,$AL238)&gt;1,"CHECK: duplicate item and import country",IF(TRIM(CLEAN(SUBSTITUTE(Items!C238&amp;""," "," ")))="","CHECK: import country missing",IF(AND(UPPER(TRIM(CLEAN(SUBSTITUTE(Items!C238&amp;""," "," "))))&lt;&gt;"US",UPPER(TRIM(CLEAN(SUBSTITUTE(Items!C238&amp;""," "," "))))&lt;&gt;"CA",UPPER(TRIM(CLEAN(SUBSTITUTE(Items!C238&amp;""," "," "))))&lt;&gt;"MX"),"CHECK: import country must be US, CA or MX",IF(NOT(AND(LEN($C238)=10,IFERROR(TEXT(VALUE($C238),REPT("0",LEN($C238)))=$C238,FALSE))),"CHECK: HTS must be 10 digits",IF(LEN($E238)&lt;&gt;2,"CHECK: origin code missing or not 2 letters",IF(TRIM(CLEAN(SUBSTITUTE(Items!G238&amp;""," "," ")))="","CHECK: unit of measure missing",IF(OR(Items!H238="",Items!J238="",Items!K238=""),"CHECK: value, rate or cost missing",IF(OR(NOT(ISNUMBER(Items!H238)),NOT(ISNUMBER(Items!J238)),NOT(ISNUMBER(Items!K238)),AND(Items!I238&lt;&gt;"",NOT(ISNUMBER(Items!I238))),AND(Items!L238&lt;&gt;"",NOT(ISNUMBER(Items!L238))),AND(Items!M238&lt;&gt;"",NOT(ISNUMBER(Items!M238)))),"CHECK: text in a number column",IF(AND(ISNUMBER(Items!M238),OR(N(Items!M238)&lt;0,N(Items!M238)&gt;1)),"CHECK: dutiable share must be 0% to 100%",IF(AND(UPPER(TRIM(CLEAN(SUBSTITUTE(Items!F238&amp;""," "," "))))&lt;&gt;"",UPPER(TRIM(CLEAN(SUBSTITUTE(Items!F238&amp;""," "," "))))&lt;&gt;"Y",UPPER(TRIM(CLEAN(SUBSTITUTE(Items!F238&amp;""," "," "))))&lt;&gt;"N"),"CHECK: USMCA flag must be Y, N or blank",IF(AND(UPPER(TRIM(CLEAN(SUBSTITUTE(Items!F238&amp;""," "," "))))="Y",$E238&lt;&gt;"US",$E238&lt;&gt;"CA",$E238&lt;&gt;"MX"),"CHECK: USMCA flag on an origin other than US, CA or MX",IF(AND($L238="Y",$AO238=0,NOT(ISNUMBER(act_Rate))),"CHECK: in scope but no rate (add a rate line or B15)",IF(AND($L238="Y",UPPER(TRIM(CLEAN(SUBSTITUTE(act_RateType&amp;""," "," "))))="REPLACE",NOT(ISNUMBER(act_PriorRate)),IF($AO238=0,TRUE,NOT(ISNUMBER(INDEX(rate_Prior,MOD($AO238,100)))))),"CHECK: REPLACE but no earlier rate (B17 or the rate line's AD)",IF(AND($L238="Y",$AP238&gt;1),"CHECK: two rate lines match equally",IF(AND($L238="Y",$AN238&gt;1),"CHECK: HTS prefix listed twice on the scope list",IF(AND($L238="Y",$P238="PART",NOT(ISNUMBER(Items!M238))),"CHECK: dutiable share missing (PART base)",IF(AND($L238="Y",$P238="FULL",ISNUMBER(Items!M238),N(Items!M238)&lt;&gt;1),"CHECK: dutiable share entered, but the rate taxes the full value",IF(AND($L238="Y",$Q238+0.0000001&lt;$T238*$S238+$U238),"CHECK: current rate is below the duty being replaced or displaced",IF(AND($L238="Y",$AD238=0),"NOTE: in scope, no quantity",IF(AND($L238="Y",$AF238="N"),"NOTE: in scope, no sell price (left out of margin %)",IF(AND($L238="Y",N(Items!H238)&gt;N(Items!K238)),"NOTE: customs value above standard cost (check unit of measure)",IF(AND($L238="Y",$Q238&gt;1),"NOTE: current rate above 100% (check it was entered as a percentage)","OK")))))))))))))))))))))))</f>
        <v/>
      </c>
      <c r="AK238" s="20">
        <f>IF($A238="","",IF(AND($L238="Y",$AE238&lt;&gt;0),ABS($AE238)+ROW()/1000000000,""))</f>
        <v/>
      </c>
      <c r="AL238" s="10">
        <f>IF($A238="","",UPPER($A238)&amp;"/"&amp;UPPER(TRIM(CLEAN(SUBSTITUTE(Items!C238&amp;""," "," ")))))</f>
        <v/>
      </c>
      <c r="AM238" s="13">
        <f>IF($A238="",0,SUMPRODUCT(MAX((scope_HTS&lt;&gt;"")*(LEFT($C238,LEN(scope_HTS))=scope_HTS)*(LEN(scope_HTS)*1000+ROW(scope_HTS)-4))))</f>
        <v/>
      </c>
      <c r="AN238" s="13">
        <f>IF($AM238=0,0,SUMPRODUCT((scope_HTS&lt;&gt;"")*(LEFT($C238,LEN(scope_HTS))=scope_HTS)*(LEN(scope_HTS)=INT($AM238/1000))))</f>
        <v/>
      </c>
      <c r="AO238" s="13">
        <f>IF($L238&lt;&gt;"Y",0,SUMPRODUCT(MAX(ISNUMBER(rate_Rate)*((UPPER(TRIM(CLEAN(SUBSTITUTE(rate_Group&amp;""," "," "))))="")+(UPPER(TRIM(CLEAN(SUBSTITUTE(rate_Group&amp;""," "," "))))=$N238)&gt;0)*((UPPER(TRIM(CLEAN(SUBSTITUTE(rate_COO&amp;""," "," "))))="")+(UPPER(TRIM(CLEAN(SUBSTITUTE(rate_COO&amp;""," "," "))))=$E238)&gt;0)*((UPPER(TRIM(CLEAN(SUBSTITUTE(rate_USMCA&amp;""," "," "))))="")+(UPPER(TRIM(CLEAN(SUBSTITUTE(rate_USMCA&amp;""," "," "))))=IF(UPPER(TRIM(CLEAN(SUBSTITUTE(Items!F238&amp;""," "," "))))="Y","Y","N"))&gt;0)*((1+(UPPER(TRIM(CLEAN(SUBSTITUTE(rate_Group&amp;""," "," "))))&lt;&gt;"")+2*(UPPER(TRIM(CLEAN(SUBSTITUTE(rate_USMCA&amp;""," "," "))))&lt;&gt;"")+4*(UPPER(TRIM(CLEAN(SUBSTITUTE(rate_COO&amp;""," "," "))))&lt;&gt;""))*100+ROW(rate_Rate)-4))))</f>
        <v/>
      </c>
      <c r="AP238" s="13">
        <f>IF($AO238=0,0,SUMPRODUCT(ISNUMBER(rate_Rate)*((UPPER(TRIM(CLEAN(SUBSTITUTE(rate_Group&amp;""," "," "))))="")+(UPPER(TRIM(CLEAN(SUBSTITUTE(rate_Group&amp;""," "," "))))=$N238)&gt;0)*((UPPER(TRIM(CLEAN(SUBSTITUTE(rate_COO&amp;""," "," "))))="")+(UPPER(TRIM(CLEAN(SUBSTITUTE(rate_COO&amp;""," "," "))))=$E238)&gt;0)*((UPPER(TRIM(CLEAN(SUBSTITUTE(rate_USMCA&amp;""," "," "))))="")+(UPPER(TRIM(CLEAN(SUBSTITUTE(rate_USMCA&amp;""," "," "))))=IF(UPPER(TRIM(CLEAN(SUBSTITUTE(Items!F238&amp;""," "," "))))="Y","Y","N"))&gt;0)*((1+(UPPER(TRIM(CLEAN(SUBSTITUTE(rate_Group&amp;""," "," "))))&lt;&gt;"")+2*(UPPER(TRIM(CLEAN(SUBSTITUTE(rate_USMCA&amp;""," "," "))))&lt;&gt;"")+4*(UPPER(TRIM(CLEAN(SUBSTITUTE(rate_COO&amp;""," "," "))))&lt;&gt;""))=INT($AO238/100))))</f>
        <v/>
      </c>
      <c r="AQ238" s="13">
        <f>IF($A238="",0,IFERROR(MATCH($AL238,det_Key,0),0))</f>
        <v/>
      </c>
    </row>
    <row r="239">
      <c r="A239" s="10">
        <f>IF(TRIM(CLEAN(SUBSTITUTE(Items!A239&amp;""," "," ")))="","",TRIM(CLEAN(SUBSTITUTE(Items!A239&amp;""," "," "))))</f>
        <v/>
      </c>
      <c r="B239" s="10">
        <f>IF($A239="","",Items!B239&amp;"")</f>
        <v/>
      </c>
      <c r="C239" s="10">
        <f>IF($A239="","",SUBSTITUTE(SUBSTITUTE(SUBSTITUTE(SUBSTITUTE(CLEAN(Items!D239&amp;"")," ",""),".","")," ",""),"-",""))</f>
        <v/>
      </c>
      <c r="D239" s="10">
        <f>IF($A239="","",LEFT($C239,2))</f>
        <v/>
      </c>
      <c r="E239" s="10">
        <f>IF($A239="","",UPPER(TRIM(CLEAN(SUBSTITUTE(Items!E239&amp;""," "," ")))))</f>
        <v/>
      </c>
      <c r="F239" s="10">
        <f>IF($A239="","",IF(UPPER(TRIM(CLEAN(SUBSTITUTE(Items!C239&amp;""," "," "))))=UPPER(TRIM(CLEAN(SUBSTITUTE(act_Country&amp;""," "," ")))),"Y","N"))</f>
        <v/>
      </c>
      <c r="G239" s="10">
        <f>IF($A239="","",IF($AM239&gt;0,"Y","N"))</f>
        <v/>
      </c>
      <c r="H239" s="10">
        <f>IF($A239="","",IF(SUMPRODUCT((excl_HTS&lt;&gt;"")*(LEFT($C239,LEN(excl_HTS))=excl_HTS))&gt;0,"Y","N"))</f>
        <v/>
      </c>
      <c r="I239" s="10">
        <f>IF($A239="","",IF($E239="","N",IF(SUMPRODUCT(--(UPPER(TRIM(CLEAN(SUBSTITUTE(scope_COO&amp;""," "," "))))=$E239))&gt;0,"Y","N")))</f>
        <v/>
      </c>
      <c r="J239" s="10">
        <f>IF($A239="","",IF(AND(UPPER(TRIM(CLEAN(SUBSTITUTE(act_USMCAExempt&amp;""," "," "))))="Y",UPPER(TRIM(CLEAN(SUBSTITUTE(Items!F239&amp;""," "," "))))="Y"),"Y","N"))</f>
        <v/>
      </c>
      <c r="K239" s="10">
        <f>IF($A239="","",IF($AQ239=0,"",UPPER(TRIM(CLEAN(SUBSTITUTE(INDEX(det_Status,$AQ239)&amp;""," "," "))))))</f>
        <v/>
      </c>
      <c r="L239" s="10">
        <f>IF($A239="","",IF($F239="N","N",IF($K239="IN","Y",IF($K239="OUT","N",IF(AND($G239="Y",$H239="N",$I239="Y",$J239="N"),"Y","N")))))</f>
        <v/>
      </c>
      <c r="M239" s="10">
        <f>IF($A239="","",IF($F239="N","Out: different import country",IF($K239="IN","In: Research determination",IF($K239="OUT","Out: Research determination",IF($G239="N","Out: HTS not on scope list",IF($H239="Y","Out: HTS on exclusion list",IF($I239="N","Out: origin not on scope list",IF($J239="Y","Out: USMCA-qualifying, exempt","In: matches scope rules"))))))))</f>
        <v/>
      </c>
      <c r="N239" s="10">
        <f>IF(OR($A239="",$AM239=0),"",UPPER(TRIM(CLEAN(SUBSTITUTE(INDEX(scope_Group,MOD($AM239,1000))&amp;""," "," ")))))</f>
        <v/>
      </c>
      <c r="O239" s="10">
        <f>IF($L239&lt;&gt;"Y","",IF($AO239=0,"Default (B15)",UPPER(TRIM(CLEAN(SUBSTITUTE(INDEX(rate_ID,MOD($AO239,100))&amp;""," "," "))))))</f>
        <v/>
      </c>
      <c r="P239" s="10">
        <f>IF($L239&lt;&gt;"Y","",IF($AO239=0,IF(UPPER(TRIM(CLEAN(SUBSTITUTE(act_DefaultBase&amp;""," "," "))))="PART","PART","FULL"),IF(UPPER(TRIM(CLEAN(SUBSTITUTE(INDEX(rate_Base,MOD($AO239,100))&amp;""," "," "))))="PART","PART","FULL")))</f>
        <v/>
      </c>
      <c r="Q239" s="17">
        <f>IF($A239="","",N(Items!J239))</f>
        <v/>
      </c>
      <c r="R239" s="17">
        <f>IF($A239="","",IF($L239&lt;&gt;"Y",0,IF($AO239=0,N(act_Rate),N(INDEX(rate_Rate,MOD($AO239,100))))))</f>
        <v/>
      </c>
      <c r="S239" s="17">
        <f>IF($A239="","",IF($L239&lt;&gt;"Y",0,IF($AO239=0,IF(UPPER(TRIM(CLEAN(SUBSTITUTE(act_RateType&amp;""," "," "))))="REPLACE",N(act_PriorRate),0),IF(ISNUMBER(INDEX(rate_Prior,MOD($AO239,100))),INDEX(rate_Prior,MOD($AO239,100)),IF(UPPER(TRIM(CLEAN(SUBSTITUTE(act_RateType&amp;""," "," "))))="REPLACE",N(act_PriorRate),0)))))</f>
        <v/>
      </c>
      <c r="T239" s="17">
        <f>IF($A239="","",IF(AND($L239="Y",$P239="PART",ISNUMBER(Items!M239)),Items!M239,1))</f>
        <v/>
      </c>
      <c r="U239" s="17">
        <f>IF($A239="","",IF($L239&lt;&gt;"Y",0,IF($AQ239&gt;0,IF(ISNUMBER(INDEX(det_Displaced,$AQ239)),INDEX(det_Displaced,$AQ239),IF($AO239=0,0,N(INDEX(rate_Displaced,MOD($AO239,100))))),IF($AO239=0,0,N(INDEX(rate_Displaced,MOD($AO239,100)))))))</f>
        <v/>
      </c>
      <c r="V239" s="17">
        <f>IF($A239="","",IF($L239="Y",$Q239+$T239*($R239-$S239)-$U239,$Q239))</f>
        <v/>
      </c>
      <c r="W239" s="18">
        <f>IF($A239="","",N(Items!H239)*$Q239)</f>
        <v/>
      </c>
      <c r="X239" s="18">
        <f>IF($A239="","",N(Items!H239)*$V239)</f>
        <v/>
      </c>
      <c r="Y239" s="18">
        <f>IF($A239="","",$X239-$W239)</f>
        <v/>
      </c>
      <c r="Z239" s="18">
        <f>IF($A239="","",N(Items!K239)+$Y239)</f>
        <v/>
      </c>
      <c r="AA239" s="17">
        <f>IF($A239="","",IF(N(Items!L239)=0,"",(N(Items!L239)-N(Items!K239))/N(Items!L239)))</f>
        <v/>
      </c>
      <c r="AB239" s="17">
        <f>IF($A239="","",IF(N(Items!L239)=0,"",(N(Items!L239)-$Z239)/N(Items!L239)))</f>
        <v/>
      </c>
      <c r="AC239" s="17">
        <f>IF(OR($AA239="",$AB239=""),"",$AB239-$AA239)</f>
        <v/>
      </c>
      <c r="AD239" s="13">
        <f>IF($A239="","",N(Items!I239))</f>
        <v/>
      </c>
      <c r="AE239" s="19">
        <f>IF($A239="","",$Y239*$AD239)</f>
        <v/>
      </c>
      <c r="AF239" s="10">
        <f>IF($A239="","",IF(N(Items!L239)&gt;0,"Y","N"))</f>
        <v/>
      </c>
      <c r="AG239" s="19">
        <f>IF($A239="","",IF($AF239="Y",N(Items!L239)*$AD239,0))</f>
        <v/>
      </c>
      <c r="AH239" s="19">
        <f>IF($A239="","",IF($AF239="Y",(N(Items!L239)-N(Items!K239))*$AD239,0))</f>
        <v/>
      </c>
      <c r="AI239" s="19">
        <f>IF($A239="","",IF($AF239="Y",$AH239-$AE239,0))</f>
        <v/>
      </c>
      <c r="AJ239" s="10">
        <f>IF($A239="","",IF(COUNTIF($AL$5:$AL$254,$AL239)&gt;1,"CHECK: duplicate item and import country",IF(TRIM(CLEAN(SUBSTITUTE(Items!C239&amp;""," "," ")))="","CHECK: import country missing",IF(AND(UPPER(TRIM(CLEAN(SUBSTITUTE(Items!C239&amp;""," "," "))))&lt;&gt;"US",UPPER(TRIM(CLEAN(SUBSTITUTE(Items!C239&amp;""," "," "))))&lt;&gt;"CA",UPPER(TRIM(CLEAN(SUBSTITUTE(Items!C239&amp;""," "," "))))&lt;&gt;"MX"),"CHECK: import country must be US, CA or MX",IF(NOT(AND(LEN($C239)=10,IFERROR(TEXT(VALUE($C239),REPT("0",LEN($C239)))=$C239,FALSE))),"CHECK: HTS must be 10 digits",IF(LEN($E239)&lt;&gt;2,"CHECK: origin code missing or not 2 letters",IF(TRIM(CLEAN(SUBSTITUTE(Items!G239&amp;""," "," ")))="","CHECK: unit of measure missing",IF(OR(Items!H239="",Items!J239="",Items!K239=""),"CHECK: value, rate or cost missing",IF(OR(NOT(ISNUMBER(Items!H239)),NOT(ISNUMBER(Items!J239)),NOT(ISNUMBER(Items!K239)),AND(Items!I239&lt;&gt;"",NOT(ISNUMBER(Items!I239))),AND(Items!L239&lt;&gt;"",NOT(ISNUMBER(Items!L239))),AND(Items!M239&lt;&gt;"",NOT(ISNUMBER(Items!M239)))),"CHECK: text in a number column",IF(AND(ISNUMBER(Items!M239),OR(N(Items!M239)&lt;0,N(Items!M239)&gt;1)),"CHECK: dutiable share must be 0% to 100%",IF(AND(UPPER(TRIM(CLEAN(SUBSTITUTE(Items!F239&amp;""," "," "))))&lt;&gt;"",UPPER(TRIM(CLEAN(SUBSTITUTE(Items!F239&amp;""," "," "))))&lt;&gt;"Y",UPPER(TRIM(CLEAN(SUBSTITUTE(Items!F239&amp;""," "," "))))&lt;&gt;"N"),"CHECK: USMCA flag must be Y, N or blank",IF(AND(UPPER(TRIM(CLEAN(SUBSTITUTE(Items!F239&amp;""," "," "))))="Y",$E239&lt;&gt;"US",$E239&lt;&gt;"CA",$E239&lt;&gt;"MX"),"CHECK: USMCA flag on an origin other than US, CA or MX",IF(AND($L239="Y",$AO239=0,NOT(ISNUMBER(act_Rate))),"CHECK: in scope but no rate (add a rate line or B15)",IF(AND($L239="Y",UPPER(TRIM(CLEAN(SUBSTITUTE(act_RateType&amp;""," "," "))))="REPLACE",NOT(ISNUMBER(act_PriorRate)),IF($AO239=0,TRUE,NOT(ISNUMBER(INDEX(rate_Prior,MOD($AO239,100)))))),"CHECK: REPLACE but no earlier rate (B17 or the rate line's AD)",IF(AND($L239="Y",$AP239&gt;1),"CHECK: two rate lines match equally",IF(AND($L239="Y",$AN239&gt;1),"CHECK: HTS prefix listed twice on the scope list",IF(AND($L239="Y",$P239="PART",NOT(ISNUMBER(Items!M239))),"CHECK: dutiable share missing (PART base)",IF(AND($L239="Y",$P239="FULL",ISNUMBER(Items!M239),N(Items!M239)&lt;&gt;1),"CHECK: dutiable share entered, but the rate taxes the full value",IF(AND($L239="Y",$Q239+0.0000001&lt;$T239*$S239+$U239),"CHECK: current rate is below the duty being replaced or displaced",IF(AND($L239="Y",$AD239=0),"NOTE: in scope, no quantity",IF(AND($L239="Y",$AF239="N"),"NOTE: in scope, no sell price (left out of margin %)",IF(AND($L239="Y",N(Items!H239)&gt;N(Items!K239)),"NOTE: customs value above standard cost (check unit of measure)",IF(AND($L239="Y",$Q239&gt;1),"NOTE: current rate above 100% (check it was entered as a percentage)","OK")))))))))))))))))))))))</f>
        <v/>
      </c>
      <c r="AK239" s="20">
        <f>IF($A239="","",IF(AND($L239="Y",$AE239&lt;&gt;0),ABS($AE239)+ROW()/1000000000,""))</f>
        <v/>
      </c>
      <c r="AL239" s="10">
        <f>IF($A239="","",UPPER($A239)&amp;"/"&amp;UPPER(TRIM(CLEAN(SUBSTITUTE(Items!C239&amp;""," "," ")))))</f>
        <v/>
      </c>
      <c r="AM239" s="13">
        <f>IF($A239="",0,SUMPRODUCT(MAX((scope_HTS&lt;&gt;"")*(LEFT($C239,LEN(scope_HTS))=scope_HTS)*(LEN(scope_HTS)*1000+ROW(scope_HTS)-4))))</f>
        <v/>
      </c>
      <c r="AN239" s="13">
        <f>IF($AM239=0,0,SUMPRODUCT((scope_HTS&lt;&gt;"")*(LEFT($C239,LEN(scope_HTS))=scope_HTS)*(LEN(scope_HTS)=INT($AM239/1000))))</f>
        <v/>
      </c>
      <c r="AO239" s="13">
        <f>IF($L239&lt;&gt;"Y",0,SUMPRODUCT(MAX(ISNUMBER(rate_Rate)*((UPPER(TRIM(CLEAN(SUBSTITUTE(rate_Group&amp;""," "," "))))="")+(UPPER(TRIM(CLEAN(SUBSTITUTE(rate_Group&amp;""," "," "))))=$N239)&gt;0)*((UPPER(TRIM(CLEAN(SUBSTITUTE(rate_COO&amp;""," "," "))))="")+(UPPER(TRIM(CLEAN(SUBSTITUTE(rate_COO&amp;""," "," "))))=$E239)&gt;0)*((UPPER(TRIM(CLEAN(SUBSTITUTE(rate_USMCA&amp;""," "," "))))="")+(UPPER(TRIM(CLEAN(SUBSTITUTE(rate_USMCA&amp;""," "," "))))=IF(UPPER(TRIM(CLEAN(SUBSTITUTE(Items!F239&amp;""," "," "))))="Y","Y","N"))&gt;0)*((1+(UPPER(TRIM(CLEAN(SUBSTITUTE(rate_Group&amp;""," "," "))))&lt;&gt;"")+2*(UPPER(TRIM(CLEAN(SUBSTITUTE(rate_USMCA&amp;""," "," "))))&lt;&gt;"")+4*(UPPER(TRIM(CLEAN(SUBSTITUTE(rate_COO&amp;""," "," "))))&lt;&gt;""))*100+ROW(rate_Rate)-4))))</f>
        <v/>
      </c>
      <c r="AP239" s="13">
        <f>IF($AO239=0,0,SUMPRODUCT(ISNUMBER(rate_Rate)*((UPPER(TRIM(CLEAN(SUBSTITUTE(rate_Group&amp;""," "," "))))="")+(UPPER(TRIM(CLEAN(SUBSTITUTE(rate_Group&amp;""," "," "))))=$N239)&gt;0)*((UPPER(TRIM(CLEAN(SUBSTITUTE(rate_COO&amp;""," "," "))))="")+(UPPER(TRIM(CLEAN(SUBSTITUTE(rate_COO&amp;""," "," "))))=$E239)&gt;0)*((UPPER(TRIM(CLEAN(SUBSTITUTE(rate_USMCA&amp;""," "," "))))="")+(UPPER(TRIM(CLEAN(SUBSTITUTE(rate_USMCA&amp;""," "," "))))=IF(UPPER(TRIM(CLEAN(SUBSTITUTE(Items!F239&amp;""," "," "))))="Y","Y","N"))&gt;0)*((1+(UPPER(TRIM(CLEAN(SUBSTITUTE(rate_Group&amp;""," "," "))))&lt;&gt;"")+2*(UPPER(TRIM(CLEAN(SUBSTITUTE(rate_USMCA&amp;""," "," "))))&lt;&gt;"")+4*(UPPER(TRIM(CLEAN(SUBSTITUTE(rate_COO&amp;""," "," "))))&lt;&gt;""))=INT($AO239/100))))</f>
        <v/>
      </c>
      <c r="AQ239" s="13">
        <f>IF($A239="",0,IFERROR(MATCH($AL239,det_Key,0),0))</f>
        <v/>
      </c>
    </row>
    <row r="240">
      <c r="A240" s="10">
        <f>IF(TRIM(CLEAN(SUBSTITUTE(Items!A240&amp;""," "," ")))="","",TRIM(CLEAN(SUBSTITUTE(Items!A240&amp;""," "," "))))</f>
        <v/>
      </c>
      <c r="B240" s="10">
        <f>IF($A240="","",Items!B240&amp;"")</f>
        <v/>
      </c>
      <c r="C240" s="10">
        <f>IF($A240="","",SUBSTITUTE(SUBSTITUTE(SUBSTITUTE(SUBSTITUTE(CLEAN(Items!D240&amp;"")," ",""),".","")," ",""),"-",""))</f>
        <v/>
      </c>
      <c r="D240" s="10">
        <f>IF($A240="","",LEFT($C240,2))</f>
        <v/>
      </c>
      <c r="E240" s="10">
        <f>IF($A240="","",UPPER(TRIM(CLEAN(SUBSTITUTE(Items!E240&amp;""," "," ")))))</f>
        <v/>
      </c>
      <c r="F240" s="10">
        <f>IF($A240="","",IF(UPPER(TRIM(CLEAN(SUBSTITUTE(Items!C240&amp;""," "," "))))=UPPER(TRIM(CLEAN(SUBSTITUTE(act_Country&amp;""," "," ")))),"Y","N"))</f>
        <v/>
      </c>
      <c r="G240" s="10">
        <f>IF($A240="","",IF($AM240&gt;0,"Y","N"))</f>
        <v/>
      </c>
      <c r="H240" s="10">
        <f>IF($A240="","",IF(SUMPRODUCT((excl_HTS&lt;&gt;"")*(LEFT($C240,LEN(excl_HTS))=excl_HTS))&gt;0,"Y","N"))</f>
        <v/>
      </c>
      <c r="I240" s="10">
        <f>IF($A240="","",IF($E240="","N",IF(SUMPRODUCT(--(UPPER(TRIM(CLEAN(SUBSTITUTE(scope_COO&amp;""," "," "))))=$E240))&gt;0,"Y","N")))</f>
        <v/>
      </c>
      <c r="J240" s="10">
        <f>IF($A240="","",IF(AND(UPPER(TRIM(CLEAN(SUBSTITUTE(act_USMCAExempt&amp;""," "," "))))="Y",UPPER(TRIM(CLEAN(SUBSTITUTE(Items!F240&amp;""," "," "))))="Y"),"Y","N"))</f>
        <v/>
      </c>
      <c r="K240" s="10">
        <f>IF($A240="","",IF($AQ240=0,"",UPPER(TRIM(CLEAN(SUBSTITUTE(INDEX(det_Status,$AQ240)&amp;""," "," "))))))</f>
        <v/>
      </c>
      <c r="L240" s="10">
        <f>IF($A240="","",IF($F240="N","N",IF($K240="IN","Y",IF($K240="OUT","N",IF(AND($G240="Y",$H240="N",$I240="Y",$J240="N"),"Y","N")))))</f>
        <v/>
      </c>
      <c r="M240" s="10">
        <f>IF($A240="","",IF($F240="N","Out: different import country",IF($K240="IN","In: Research determination",IF($K240="OUT","Out: Research determination",IF($G240="N","Out: HTS not on scope list",IF($H240="Y","Out: HTS on exclusion list",IF($I240="N","Out: origin not on scope list",IF($J240="Y","Out: USMCA-qualifying, exempt","In: matches scope rules"))))))))</f>
        <v/>
      </c>
      <c r="N240" s="10">
        <f>IF(OR($A240="",$AM240=0),"",UPPER(TRIM(CLEAN(SUBSTITUTE(INDEX(scope_Group,MOD($AM240,1000))&amp;""," "," ")))))</f>
        <v/>
      </c>
      <c r="O240" s="10">
        <f>IF($L240&lt;&gt;"Y","",IF($AO240=0,"Default (B15)",UPPER(TRIM(CLEAN(SUBSTITUTE(INDEX(rate_ID,MOD($AO240,100))&amp;""," "," "))))))</f>
        <v/>
      </c>
      <c r="P240" s="10">
        <f>IF($L240&lt;&gt;"Y","",IF($AO240=0,IF(UPPER(TRIM(CLEAN(SUBSTITUTE(act_DefaultBase&amp;""," "," "))))="PART","PART","FULL"),IF(UPPER(TRIM(CLEAN(SUBSTITUTE(INDEX(rate_Base,MOD($AO240,100))&amp;""," "," "))))="PART","PART","FULL")))</f>
        <v/>
      </c>
      <c r="Q240" s="17">
        <f>IF($A240="","",N(Items!J240))</f>
        <v/>
      </c>
      <c r="R240" s="17">
        <f>IF($A240="","",IF($L240&lt;&gt;"Y",0,IF($AO240=0,N(act_Rate),N(INDEX(rate_Rate,MOD($AO240,100))))))</f>
        <v/>
      </c>
      <c r="S240" s="17">
        <f>IF($A240="","",IF($L240&lt;&gt;"Y",0,IF($AO240=0,IF(UPPER(TRIM(CLEAN(SUBSTITUTE(act_RateType&amp;""," "," "))))="REPLACE",N(act_PriorRate),0),IF(ISNUMBER(INDEX(rate_Prior,MOD($AO240,100))),INDEX(rate_Prior,MOD($AO240,100)),IF(UPPER(TRIM(CLEAN(SUBSTITUTE(act_RateType&amp;""," "," "))))="REPLACE",N(act_PriorRate),0)))))</f>
        <v/>
      </c>
      <c r="T240" s="17">
        <f>IF($A240="","",IF(AND($L240="Y",$P240="PART",ISNUMBER(Items!M240)),Items!M240,1))</f>
        <v/>
      </c>
      <c r="U240" s="17">
        <f>IF($A240="","",IF($L240&lt;&gt;"Y",0,IF($AQ240&gt;0,IF(ISNUMBER(INDEX(det_Displaced,$AQ240)),INDEX(det_Displaced,$AQ240),IF($AO240=0,0,N(INDEX(rate_Displaced,MOD($AO240,100))))),IF($AO240=0,0,N(INDEX(rate_Displaced,MOD($AO240,100)))))))</f>
        <v/>
      </c>
      <c r="V240" s="17">
        <f>IF($A240="","",IF($L240="Y",$Q240+$T240*($R240-$S240)-$U240,$Q240))</f>
        <v/>
      </c>
      <c r="W240" s="18">
        <f>IF($A240="","",N(Items!H240)*$Q240)</f>
        <v/>
      </c>
      <c r="X240" s="18">
        <f>IF($A240="","",N(Items!H240)*$V240)</f>
        <v/>
      </c>
      <c r="Y240" s="18">
        <f>IF($A240="","",$X240-$W240)</f>
        <v/>
      </c>
      <c r="Z240" s="18">
        <f>IF($A240="","",N(Items!K240)+$Y240)</f>
        <v/>
      </c>
      <c r="AA240" s="17">
        <f>IF($A240="","",IF(N(Items!L240)=0,"",(N(Items!L240)-N(Items!K240))/N(Items!L240)))</f>
        <v/>
      </c>
      <c r="AB240" s="17">
        <f>IF($A240="","",IF(N(Items!L240)=0,"",(N(Items!L240)-$Z240)/N(Items!L240)))</f>
        <v/>
      </c>
      <c r="AC240" s="17">
        <f>IF(OR($AA240="",$AB240=""),"",$AB240-$AA240)</f>
        <v/>
      </c>
      <c r="AD240" s="13">
        <f>IF($A240="","",N(Items!I240))</f>
        <v/>
      </c>
      <c r="AE240" s="19">
        <f>IF($A240="","",$Y240*$AD240)</f>
        <v/>
      </c>
      <c r="AF240" s="10">
        <f>IF($A240="","",IF(N(Items!L240)&gt;0,"Y","N"))</f>
        <v/>
      </c>
      <c r="AG240" s="19">
        <f>IF($A240="","",IF($AF240="Y",N(Items!L240)*$AD240,0))</f>
        <v/>
      </c>
      <c r="AH240" s="19">
        <f>IF($A240="","",IF($AF240="Y",(N(Items!L240)-N(Items!K240))*$AD240,0))</f>
        <v/>
      </c>
      <c r="AI240" s="19">
        <f>IF($A240="","",IF($AF240="Y",$AH240-$AE240,0))</f>
        <v/>
      </c>
      <c r="AJ240" s="10">
        <f>IF($A240="","",IF(COUNTIF($AL$5:$AL$254,$AL240)&gt;1,"CHECK: duplicate item and import country",IF(TRIM(CLEAN(SUBSTITUTE(Items!C240&amp;""," "," ")))="","CHECK: import country missing",IF(AND(UPPER(TRIM(CLEAN(SUBSTITUTE(Items!C240&amp;""," "," "))))&lt;&gt;"US",UPPER(TRIM(CLEAN(SUBSTITUTE(Items!C240&amp;""," "," "))))&lt;&gt;"CA",UPPER(TRIM(CLEAN(SUBSTITUTE(Items!C240&amp;""," "," "))))&lt;&gt;"MX"),"CHECK: import country must be US, CA or MX",IF(NOT(AND(LEN($C240)=10,IFERROR(TEXT(VALUE($C240),REPT("0",LEN($C240)))=$C240,FALSE))),"CHECK: HTS must be 10 digits",IF(LEN($E240)&lt;&gt;2,"CHECK: origin code missing or not 2 letters",IF(TRIM(CLEAN(SUBSTITUTE(Items!G240&amp;""," "," ")))="","CHECK: unit of measure missing",IF(OR(Items!H240="",Items!J240="",Items!K240=""),"CHECK: value, rate or cost missing",IF(OR(NOT(ISNUMBER(Items!H240)),NOT(ISNUMBER(Items!J240)),NOT(ISNUMBER(Items!K240)),AND(Items!I240&lt;&gt;"",NOT(ISNUMBER(Items!I240))),AND(Items!L240&lt;&gt;"",NOT(ISNUMBER(Items!L240))),AND(Items!M240&lt;&gt;"",NOT(ISNUMBER(Items!M240)))),"CHECK: text in a number column",IF(AND(ISNUMBER(Items!M240),OR(N(Items!M240)&lt;0,N(Items!M240)&gt;1)),"CHECK: dutiable share must be 0% to 100%",IF(AND(UPPER(TRIM(CLEAN(SUBSTITUTE(Items!F240&amp;""," "," "))))&lt;&gt;"",UPPER(TRIM(CLEAN(SUBSTITUTE(Items!F240&amp;""," "," "))))&lt;&gt;"Y",UPPER(TRIM(CLEAN(SUBSTITUTE(Items!F240&amp;""," "," "))))&lt;&gt;"N"),"CHECK: USMCA flag must be Y, N or blank",IF(AND(UPPER(TRIM(CLEAN(SUBSTITUTE(Items!F240&amp;""," "," "))))="Y",$E240&lt;&gt;"US",$E240&lt;&gt;"CA",$E240&lt;&gt;"MX"),"CHECK: USMCA flag on an origin other than US, CA or MX",IF(AND($L240="Y",$AO240=0,NOT(ISNUMBER(act_Rate))),"CHECK: in scope but no rate (add a rate line or B15)",IF(AND($L240="Y",UPPER(TRIM(CLEAN(SUBSTITUTE(act_RateType&amp;""," "," "))))="REPLACE",NOT(ISNUMBER(act_PriorRate)),IF($AO240=0,TRUE,NOT(ISNUMBER(INDEX(rate_Prior,MOD($AO240,100)))))),"CHECK: REPLACE but no earlier rate (B17 or the rate line's AD)",IF(AND($L240="Y",$AP240&gt;1),"CHECK: two rate lines match equally",IF(AND($L240="Y",$AN240&gt;1),"CHECK: HTS prefix listed twice on the scope list",IF(AND($L240="Y",$P240="PART",NOT(ISNUMBER(Items!M240))),"CHECK: dutiable share missing (PART base)",IF(AND($L240="Y",$P240="FULL",ISNUMBER(Items!M240),N(Items!M240)&lt;&gt;1),"CHECK: dutiable share entered, but the rate taxes the full value",IF(AND($L240="Y",$Q240+0.0000001&lt;$T240*$S240+$U240),"CHECK: current rate is below the duty being replaced or displaced",IF(AND($L240="Y",$AD240=0),"NOTE: in scope, no quantity",IF(AND($L240="Y",$AF240="N"),"NOTE: in scope, no sell price (left out of margin %)",IF(AND($L240="Y",N(Items!H240)&gt;N(Items!K240)),"NOTE: customs value above standard cost (check unit of measure)",IF(AND($L240="Y",$Q240&gt;1),"NOTE: current rate above 100% (check it was entered as a percentage)","OK")))))))))))))))))))))))</f>
        <v/>
      </c>
      <c r="AK240" s="20">
        <f>IF($A240="","",IF(AND($L240="Y",$AE240&lt;&gt;0),ABS($AE240)+ROW()/1000000000,""))</f>
        <v/>
      </c>
      <c r="AL240" s="10">
        <f>IF($A240="","",UPPER($A240)&amp;"/"&amp;UPPER(TRIM(CLEAN(SUBSTITUTE(Items!C240&amp;""," "," ")))))</f>
        <v/>
      </c>
      <c r="AM240" s="13">
        <f>IF($A240="",0,SUMPRODUCT(MAX((scope_HTS&lt;&gt;"")*(LEFT($C240,LEN(scope_HTS))=scope_HTS)*(LEN(scope_HTS)*1000+ROW(scope_HTS)-4))))</f>
        <v/>
      </c>
      <c r="AN240" s="13">
        <f>IF($AM240=0,0,SUMPRODUCT((scope_HTS&lt;&gt;"")*(LEFT($C240,LEN(scope_HTS))=scope_HTS)*(LEN(scope_HTS)=INT($AM240/1000))))</f>
        <v/>
      </c>
      <c r="AO240" s="13">
        <f>IF($L240&lt;&gt;"Y",0,SUMPRODUCT(MAX(ISNUMBER(rate_Rate)*((UPPER(TRIM(CLEAN(SUBSTITUTE(rate_Group&amp;""," "," "))))="")+(UPPER(TRIM(CLEAN(SUBSTITUTE(rate_Group&amp;""," "," "))))=$N240)&gt;0)*((UPPER(TRIM(CLEAN(SUBSTITUTE(rate_COO&amp;""," "," "))))="")+(UPPER(TRIM(CLEAN(SUBSTITUTE(rate_COO&amp;""," "," "))))=$E240)&gt;0)*((UPPER(TRIM(CLEAN(SUBSTITUTE(rate_USMCA&amp;""," "," "))))="")+(UPPER(TRIM(CLEAN(SUBSTITUTE(rate_USMCA&amp;""," "," "))))=IF(UPPER(TRIM(CLEAN(SUBSTITUTE(Items!F240&amp;""," "," "))))="Y","Y","N"))&gt;0)*((1+(UPPER(TRIM(CLEAN(SUBSTITUTE(rate_Group&amp;""," "," "))))&lt;&gt;"")+2*(UPPER(TRIM(CLEAN(SUBSTITUTE(rate_USMCA&amp;""," "," "))))&lt;&gt;"")+4*(UPPER(TRIM(CLEAN(SUBSTITUTE(rate_COO&amp;""," "," "))))&lt;&gt;""))*100+ROW(rate_Rate)-4))))</f>
        <v/>
      </c>
      <c r="AP240" s="13">
        <f>IF($AO240=0,0,SUMPRODUCT(ISNUMBER(rate_Rate)*((UPPER(TRIM(CLEAN(SUBSTITUTE(rate_Group&amp;""," "," "))))="")+(UPPER(TRIM(CLEAN(SUBSTITUTE(rate_Group&amp;""," "," "))))=$N240)&gt;0)*((UPPER(TRIM(CLEAN(SUBSTITUTE(rate_COO&amp;""," "," "))))="")+(UPPER(TRIM(CLEAN(SUBSTITUTE(rate_COO&amp;""," "," "))))=$E240)&gt;0)*((UPPER(TRIM(CLEAN(SUBSTITUTE(rate_USMCA&amp;""," "," "))))="")+(UPPER(TRIM(CLEAN(SUBSTITUTE(rate_USMCA&amp;""," "," "))))=IF(UPPER(TRIM(CLEAN(SUBSTITUTE(Items!F240&amp;""," "," "))))="Y","Y","N"))&gt;0)*((1+(UPPER(TRIM(CLEAN(SUBSTITUTE(rate_Group&amp;""," "," "))))&lt;&gt;"")+2*(UPPER(TRIM(CLEAN(SUBSTITUTE(rate_USMCA&amp;""," "," "))))&lt;&gt;"")+4*(UPPER(TRIM(CLEAN(SUBSTITUTE(rate_COO&amp;""," "," "))))&lt;&gt;""))=INT($AO240/100))))</f>
        <v/>
      </c>
      <c r="AQ240" s="13">
        <f>IF($A240="",0,IFERROR(MATCH($AL240,det_Key,0),0))</f>
        <v/>
      </c>
    </row>
    <row r="241">
      <c r="A241" s="10">
        <f>IF(TRIM(CLEAN(SUBSTITUTE(Items!A241&amp;""," "," ")))="","",TRIM(CLEAN(SUBSTITUTE(Items!A241&amp;""," "," "))))</f>
        <v/>
      </c>
      <c r="B241" s="10">
        <f>IF($A241="","",Items!B241&amp;"")</f>
        <v/>
      </c>
      <c r="C241" s="10">
        <f>IF($A241="","",SUBSTITUTE(SUBSTITUTE(SUBSTITUTE(SUBSTITUTE(CLEAN(Items!D241&amp;"")," ",""),".","")," ",""),"-",""))</f>
        <v/>
      </c>
      <c r="D241" s="10">
        <f>IF($A241="","",LEFT($C241,2))</f>
        <v/>
      </c>
      <c r="E241" s="10">
        <f>IF($A241="","",UPPER(TRIM(CLEAN(SUBSTITUTE(Items!E241&amp;""," "," ")))))</f>
        <v/>
      </c>
      <c r="F241" s="10">
        <f>IF($A241="","",IF(UPPER(TRIM(CLEAN(SUBSTITUTE(Items!C241&amp;""," "," "))))=UPPER(TRIM(CLEAN(SUBSTITUTE(act_Country&amp;""," "," ")))),"Y","N"))</f>
        <v/>
      </c>
      <c r="G241" s="10">
        <f>IF($A241="","",IF($AM241&gt;0,"Y","N"))</f>
        <v/>
      </c>
      <c r="H241" s="10">
        <f>IF($A241="","",IF(SUMPRODUCT((excl_HTS&lt;&gt;"")*(LEFT($C241,LEN(excl_HTS))=excl_HTS))&gt;0,"Y","N"))</f>
        <v/>
      </c>
      <c r="I241" s="10">
        <f>IF($A241="","",IF($E241="","N",IF(SUMPRODUCT(--(UPPER(TRIM(CLEAN(SUBSTITUTE(scope_COO&amp;""," "," "))))=$E241))&gt;0,"Y","N")))</f>
        <v/>
      </c>
      <c r="J241" s="10">
        <f>IF($A241="","",IF(AND(UPPER(TRIM(CLEAN(SUBSTITUTE(act_USMCAExempt&amp;""," "," "))))="Y",UPPER(TRIM(CLEAN(SUBSTITUTE(Items!F241&amp;""," "," "))))="Y"),"Y","N"))</f>
        <v/>
      </c>
      <c r="K241" s="10">
        <f>IF($A241="","",IF($AQ241=0,"",UPPER(TRIM(CLEAN(SUBSTITUTE(INDEX(det_Status,$AQ241)&amp;""," "," "))))))</f>
        <v/>
      </c>
      <c r="L241" s="10">
        <f>IF($A241="","",IF($F241="N","N",IF($K241="IN","Y",IF($K241="OUT","N",IF(AND($G241="Y",$H241="N",$I241="Y",$J241="N"),"Y","N")))))</f>
        <v/>
      </c>
      <c r="M241" s="10">
        <f>IF($A241="","",IF($F241="N","Out: different import country",IF($K241="IN","In: Research determination",IF($K241="OUT","Out: Research determination",IF($G241="N","Out: HTS not on scope list",IF($H241="Y","Out: HTS on exclusion list",IF($I241="N","Out: origin not on scope list",IF($J241="Y","Out: USMCA-qualifying, exempt","In: matches scope rules"))))))))</f>
        <v/>
      </c>
      <c r="N241" s="10">
        <f>IF(OR($A241="",$AM241=0),"",UPPER(TRIM(CLEAN(SUBSTITUTE(INDEX(scope_Group,MOD($AM241,1000))&amp;""," "," ")))))</f>
        <v/>
      </c>
      <c r="O241" s="10">
        <f>IF($L241&lt;&gt;"Y","",IF($AO241=0,"Default (B15)",UPPER(TRIM(CLEAN(SUBSTITUTE(INDEX(rate_ID,MOD($AO241,100))&amp;""," "," "))))))</f>
        <v/>
      </c>
      <c r="P241" s="10">
        <f>IF($L241&lt;&gt;"Y","",IF($AO241=0,IF(UPPER(TRIM(CLEAN(SUBSTITUTE(act_DefaultBase&amp;""," "," "))))="PART","PART","FULL"),IF(UPPER(TRIM(CLEAN(SUBSTITUTE(INDEX(rate_Base,MOD($AO241,100))&amp;""," "," "))))="PART","PART","FULL")))</f>
        <v/>
      </c>
      <c r="Q241" s="17">
        <f>IF($A241="","",N(Items!J241))</f>
        <v/>
      </c>
      <c r="R241" s="17">
        <f>IF($A241="","",IF($L241&lt;&gt;"Y",0,IF($AO241=0,N(act_Rate),N(INDEX(rate_Rate,MOD($AO241,100))))))</f>
        <v/>
      </c>
      <c r="S241" s="17">
        <f>IF($A241="","",IF($L241&lt;&gt;"Y",0,IF($AO241=0,IF(UPPER(TRIM(CLEAN(SUBSTITUTE(act_RateType&amp;""," "," "))))="REPLACE",N(act_PriorRate),0),IF(ISNUMBER(INDEX(rate_Prior,MOD($AO241,100))),INDEX(rate_Prior,MOD($AO241,100)),IF(UPPER(TRIM(CLEAN(SUBSTITUTE(act_RateType&amp;""," "," "))))="REPLACE",N(act_PriorRate),0)))))</f>
        <v/>
      </c>
      <c r="T241" s="17">
        <f>IF($A241="","",IF(AND($L241="Y",$P241="PART",ISNUMBER(Items!M241)),Items!M241,1))</f>
        <v/>
      </c>
      <c r="U241" s="17">
        <f>IF($A241="","",IF($L241&lt;&gt;"Y",0,IF($AQ241&gt;0,IF(ISNUMBER(INDEX(det_Displaced,$AQ241)),INDEX(det_Displaced,$AQ241),IF($AO241=0,0,N(INDEX(rate_Displaced,MOD($AO241,100))))),IF($AO241=0,0,N(INDEX(rate_Displaced,MOD($AO241,100)))))))</f>
        <v/>
      </c>
      <c r="V241" s="17">
        <f>IF($A241="","",IF($L241="Y",$Q241+$T241*($R241-$S241)-$U241,$Q241))</f>
        <v/>
      </c>
      <c r="W241" s="18">
        <f>IF($A241="","",N(Items!H241)*$Q241)</f>
        <v/>
      </c>
      <c r="X241" s="18">
        <f>IF($A241="","",N(Items!H241)*$V241)</f>
        <v/>
      </c>
      <c r="Y241" s="18">
        <f>IF($A241="","",$X241-$W241)</f>
        <v/>
      </c>
      <c r="Z241" s="18">
        <f>IF($A241="","",N(Items!K241)+$Y241)</f>
        <v/>
      </c>
      <c r="AA241" s="17">
        <f>IF($A241="","",IF(N(Items!L241)=0,"",(N(Items!L241)-N(Items!K241))/N(Items!L241)))</f>
        <v/>
      </c>
      <c r="AB241" s="17">
        <f>IF($A241="","",IF(N(Items!L241)=0,"",(N(Items!L241)-$Z241)/N(Items!L241)))</f>
        <v/>
      </c>
      <c r="AC241" s="17">
        <f>IF(OR($AA241="",$AB241=""),"",$AB241-$AA241)</f>
        <v/>
      </c>
      <c r="AD241" s="13">
        <f>IF($A241="","",N(Items!I241))</f>
        <v/>
      </c>
      <c r="AE241" s="19">
        <f>IF($A241="","",$Y241*$AD241)</f>
        <v/>
      </c>
      <c r="AF241" s="10">
        <f>IF($A241="","",IF(N(Items!L241)&gt;0,"Y","N"))</f>
        <v/>
      </c>
      <c r="AG241" s="19">
        <f>IF($A241="","",IF($AF241="Y",N(Items!L241)*$AD241,0))</f>
        <v/>
      </c>
      <c r="AH241" s="19">
        <f>IF($A241="","",IF($AF241="Y",(N(Items!L241)-N(Items!K241))*$AD241,0))</f>
        <v/>
      </c>
      <c r="AI241" s="19">
        <f>IF($A241="","",IF($AF241="Y",$AH241-$AE241,0))</f>
        <v/>
      </c>
      <c r="AJ241" s="10">
        <f>IF($A241="","",IF(COUNTIF($AL$5:$AL$254,$AL241)&gt;1,"CHECK: duplicate item and import country",IF(TRIM(CLEAN(SUBSTITUTE(Items!C241&amp;""," "," ")))="","CHECK: import country missing",IF(AND(UPPER(TRIM(CLEAN(SUBSTITUTE(Items!C241&amp;""," "," "))))&lt;&gt;"US",UPPER(TRIM(CLEAN(SUBSTITUTE(Items!C241&amp;""," "," "))))&lt;&gt;"CA",UPPER(TRIM(CLEAN(SUBSTITUTE(Items!C241&amp;""," "," "))))&lt;&gt;"MX"),"CHECK: import country must be US, CA or MX",IF(NOT(AND(LEN($C241)=10,IFERROR(TEXT(VALUE($C241),REPT("0",LEN($C241)))=$C241,FALSE))),"CHECK: HTS must be 10 digits",IF(LEN($E241)&lt;&gt;2,"CHECK: origin code missing or not 2 letters",IF(TRIM(CLEAN(SUBSTITUTE(Items!G241&amp;""," "," ")))="","CHECK: unit of measure missing",IF(OR(Items!H241="",Items!J241="",Items!K241=""),"CHECK: value, rate or cost missing",IF(OR(NOT(ISNUMBER(Items!H241)),NOT(ISNUMBER(Items!J241)),NOT(ISNUMBER(Items!K241)),AND(Items!I241&lt;&gt;"",NOT(ISNUMBER(Items!I241))),AND(Items!L241&lt;&gt;"",NOT(ISNUMBER(Items!L241))),AND(Items!M241&lt;&gt;"",NOT(ISNUMBER(Items!M241)))),"CHECK: text in a number column",IF(AND(ISNUMBER(Items!M241),OR(N(Items!M241)&lt;0,N(Items!M241)&gt;1)),"CHECK: dutiable share must be 0% to 100%",IF(AND(UPPER(TRIM(CLEAN(SUBSTITUTE(Items!F241&amp;""," "," "))))&lt;&gt;"",UPPER(TRIM(CLEAN(SUBSTITUTE(Items!F241&amp;""," "," "))))&lt;&gt;"Y",UPPER(TRIM(CLEAN(SUBSTITUTE(Items!F241&amp;""," "," "))))&lt;&gt;"N"),"CHECK: USMCA flag must be Y, N or blank",IF(AND(UPPER(TRIM(CLEAN(SUBSTITUTE(Items!F241&amp;""," "," "))))="Y",$E241&lt;&gt;"US",$E241&lt;&gt;"CA",$E241&lt;&gt;"MX"),"CHECK: USMCA flag on an origin other than US, CA or MX",IF(AND($L241="Y",$AO241=0,NOT(ISNUMBER(act_Rate))),"CHECK: in scope but no rate (add a rate line or B15)",IF(AND($L241="Y",UPPER(TRIM(CLEAN(SUBSTITUTE(act_RateType&amp;""," "," "))))="REPLACE",NOT(ISNUMBER(act_PriorRate)),IF($AO241=0,TRUE,NOT(ISNUMBER(INDEX(rate_Prior,MOD($AO241,100)))))),"CHECK: REPLACE but no earlier rate (B17 or the rate line's AD)",IF(AND($L241="Y",$AP241&gt;1),"CHECK: two rate lines match equally",IF(AND($L241="Y",$AN241&gt;1),"CHECK: HTS prefix listed twice on the scope list",IF(AND($L241="Y",$P241="PART",NOT(ISNUMBER(Items!M241))),"CHECK: dutiable share missing (PART base)",IF(AND($L241="Y",$P241="FULL",ISNUMBER(Items!M241),N(Items!M241)&lt;&gt;1),"CHECK: dutiable share entered, but the rate taxes the full value",IF(AND($L241="Y",$Q241+0.0000001&lt;$T241*$S241+$U241),"CHECK: current rate is below the duty being replaced or displaced",IF(AND($L241="Y",$AD241=0),"NOTE: in scope, no quantity",IF(AND($L241="Y",$AF241="N"),"NOTE: in scope, no sell price (left out of margin %)",IF(AND($L241="Y",N(Items!H241)&gt;N(Items!K241)),"NOTE: customs value above standard cost (check unit of measure)",IF(AND($L241="Y",$Q241&gt;1),"NOTE: current rate above 100% (check it was entered as a percentage)","OK")))))))))))))))))))))))</f>
        <v/>
      </c>
      <c r="AK241" s="20">
        <f>IF($A241="","",IF(AND($L241="Y",$AE241&lt;&gt;0),ABS($AE241)+ROW()/1000000000,""))</f>
        <v/>
      </c>
      <c r="AL241" s="10">
        <f>IF($A241="","",UPPER($A241)&amp;"/"&amp;UPPER(TRIM(CLEAN(SUBSTITUTE(Items!C241&amp;""," "," ")))))</f>
        <v/>
      </c>
      <c r="AM241" s="13">
        <f>IF($A241="",0,SUMPRODUCT(MAX((scope_HTS&lt;&gt;"")*(LEFT($C241,LEN(scope_HTS))=scope_HTS)*(LEN(scope_HTS)*1000+ROW(scope_HTS)-4))))</f>
        <v/>
      </c>
      <c r="AN241" s="13">
        <f>IF($AM241=0,0,SUMPRODUCT((scope_HTS&lt;&gt;"")*(LEFT($C241,LEN(scope_HTS))=scope_HTS)*(LEN(scope_HTS)=INT($AM241/1000))))</f>
        <v/>
      </c>
      <c r="AO241" s="13">
        <f>IF($L241&lt;&gt;"Y",0,SUMPRODUCT(MAX(ISNUMBER(rate_Rate)*((UPPER(TRIM(CLEAN(SUBSTITUTE(rate_Group&amp;""," "," "))))="")+(UPPER(TRIM(CLEAN(SUBSTITUTE(rate_Group&amp;""," "," "))))=$N241)&gt;0)*((UPPER(TRIM(CLEAN(SUBSTITUTE(rate_COO&amp;""," "," "))))="")+(UPPER(TRIM(CLEAN(SUBSTITUTE(rate_COO&amp;""," "," "))))=$E241)&gt;0)*((UPPER(TRIM(CLEAN(SUBSTITUTE(rate_USMCA&amp;""," "," "))))="")+(UPPER(TRIM(CLEAN(SUBSTITUTE(rate_USMCA&amp;""," "," "))))=IF(UPPER(TRIM(CLEAN(SUBSTITUTE(Items!F241&amp;""," "," "))))="Y","Y","N"))&gt;0)*((1+(UPPER(TRIM(CLEAN(SUBSTITUTE(rate_Group&amp;""," "," "))))&lt;&gt;"")+2*(UPPER(TRIM(CLEAN(SUBSTITUTE(rate_USMCA&amp;""," "," "))))&lt;&gt;"")+4*(UPPER(TRIM(CLEAN(SUBSTITUTE(rate_COO&amp;""," "," "))))&lt;&gt;""))*100+ROW(rate_Rate)-4))))</f>
        <v/>
      </c>
      <c r="AP241" s="13">
        <f>IF($AO241=0,0,SUMPRODUCT(ISNUMBER(rate_Rate)*((UPPER(TRIM(CLEAN(SUBSTITUTE(rate_Group&amp;""," "," "))))="")+(UPPER(TRIM(CLEAN(SUBSTITUTE(rate_Group&amp;""," "," "))))=$N241)&gt;0)*((UPPER(TRIM(CLEAN(SUBSTITUTE(rate_COO&amp;""," "," "))))="")+(UPPER(TRIM(CLEAN(SUBSTITUTE(rate_COO&amp;""," "," "))))=$E241)&gt;0)*((UPPER(TRIM(CLEAN(SUBSTITUTE(rate_USMCA&amp;""," "," "))))="")+(UPPER(TRIM(CLEAN(SUBSTITUTE(rate_USMCA&amp;""," "," "))))=IF(UPPER(TRIM(CLEAN(SUBSTITUTE(Items!F241&amp;""," "," "))))="Y","Y","N"))&gt;0)*((1+(UPPER(TRIM(CLEAN(SUBSTITUTE(rate_Group&amp;""," "," "))))&lt;&gt;"")+2*(UPPER(TRIM(CLEAN(SUBSTITUTE(rate_USMCA&amp;""," "," "))))&lt;&gt;"")+4*(UPPER(TRIM(CLEAN(SUBSTITUTE(rate_COO&amp;""," "," "))))&lt;&gt;""))=INT($AO241/100))))</f>
        <v/>
      </c>
      <c r="AQ241" s="13">
        <f>IF($A241="",0,IFERROR(MATCH($AL241,det_Key,0),0))</f>
        <v/>
      </c>
    </row>
    <row r="242">
      <c r="A242" s="10">
        <f>IF(TRIM(CLEAN(SUBSTITUTE(Items!A242&amp;""," "," ")))="","",TRIM(CLEAN(SUBSTITUTE(Items!A242&amp;""," "," "))))</f>
        <v/>
      </c>
      <c r="B242" s="10">
        <f>IF($A242="","",Items!B242&amp;"")</f>
        <v/>
      </c>
      <c r="C242" s="10">
        <f>IF($A242="","",SUBSTITUTE(SUBSTITUTE(SUBSTITUTE(SUBSTITUTE(CLEAN(Items!D242&amp;"")," ",""),".","")," ",""),"-",""))</f>
        <v/>
      </c>
      <c r="D242" s="10">
        <f>IF($A242="","",LEFT($C242,2))</f>
        <v/>
      </c>
      <c r="E242" s="10">
        <f>IF($A242="","",UPPER(TRIM(CLEAN(SUBSTITUTE(Items!E242&amp;""," "," ")))))</f>
        <v/>
      </c>
      <c r="F242" s="10">
        <f>IF($A242="","",IF(UPPER(TRIM(CLEAN(SUBSTITUTE(Items!C242&amp;""," "," "))))=UPPER(TRIM(CLEAN(SUBSTITUTE(act_Country&amp;""," "," ")))),"Y","N"))</f>
        <v/>
      </c>
      <c r="G242" s="10">
        <f>IF($A242="","",IF($AM242&gt;0,"Y","N"))</f>
        <v/>
      </c>
      <c r="H242" s="10">
        <f>IF($A242="","",IF(SUMPRODUCT((excl_HTS&lt;&gt;"")*(LEFT($C242,LEN(excl_HTS))=excl_HTS))&gt;0,"Y","N"))</f>
        <v/>
      </c>
      <c r="I242" s="10">
        <f>IF($A242="","",IF($E242="","N",IF(SUMPRODUCT(--(UPPER(TRIM(CLEAN(SUBSTITUTE(scope_COO&amp;""," "," "))))=$E242))&gt;0,"Y","N")))</f>
        <v/>
      </c>
      <c r="J242" s="10">
        <f>IF($A242="","",IF(AND(UPPER(TRIM(CLEAN(SUBSTITUTE(act_USMCAExempt&amp;""," "," "))))="Y",UPPER(TRIM(CLEAN(SUBSTITUTE(Items!F242&amp;""," "," "))))="Y"),"Y","N"))</f>
        <v/>
      </c>
      <c r="K242" s="10">
        <f>IF($A242="","",IF($AQ242=0,"",UPPER(TRIM(CLEAN(SUBSTITUTE(INDEX(det_Status,$AQ242)&amp;""," "," "))))))</f>
        <v/>
      </c>
      <c r="L242" s="10">
        <f>IF($A242="","",IF($F242="N","N",IF($K242="IN","Y",IF($K242="OUT","N",IF(AND($G242="Y",$H242="N",$I242="Y",$J242="N"),"Y","N")))))</f>
        <v/>
      </c>
      <c r="M242" s="10">
        <f>IF($A242="","",IF($F242="N","Out: different import country",IF($K242="IN","In: Research determination",IF($K242="OUT","Out: Research determination",IF($G242="N","Out: HTS not on scope list",IF($H242="Y","Out: HTS on exclusion list",IF($I242="N","Out: origin not on scope list",IF($J242="Y","Out: USMCA-qualifying, exempt","In: matches scope rules"))))))))</f>
        <v/>
      </c>
      <c r="N242" s="10">
        <f>IF(OR($A242="",$AM242=0),"",UPPER(TRIM(CLEAN(SUBSTITUTE(INDEX(scope_Group,MOD($AM242,1000))&amp;""," "," ")))))</f>
        <v/>
      </c>
      <c r="O242" s="10">
        <f>IF($L242&lt;&gt;"Y","",IF($AO242=0,"Default (B15)",UPPER(TRIM(CLEAN(SUBSTITUTE(INDEX(rate_ID,MOD($AO242,100))&amp;""," "," "))))))</f>
        <v/>
      </c>
      <c r="P242" s="10">
        <f>IF($L242&lt;&gt;"Y","",IF($AO242=0,IF(UPPER(TRIM(CLEAN(SUBSTITUTE(act_DefaultBase&amp;""," "," "))))="PART","PART","FULL"),IF(UPPER(TRIM(CLEAN(SUBSTITUTE(INDEX(rate_Base,MOD($AO242,100))&amp;""," "," "))))="PART","PART","FULL")))</f>
        <v/>
      </c>
      <c r="Q242" s="17">
        <f>IF($A242="","",N(Items!J242))</f>
        <v/>
      </c>
      <c r="R242" s="17">
        <f>IF($A242="","",IF($L242&lt;&gt;"Y",0,IF($AO242=0,N(act_Rate),N(INDEX(rate_Rate,MOD($AO242,100))))))</f>
        <v/>
      </c>
      <c r="S242" s="17">
        <f>IF($A242="","",IF($L242&lt;&gt;"Y",0,IF($AO242=0,IF(UPPER(TRIM(CLEAN(SUBSTITUTE(act_RateType&amp;""," "," "))))="REPLACE",N(act_PriorRate),0),IF(ISNUMBER(INDEX(rate_Prior,MOD($AO242,100))),INDEX(rate_Prior,MOD($AO242,100)),IF(UPPER(TRIM(CLEAN(SUBSTITUTE(act_RateType&amp;""," "," "))))="REPLACE",N(act_PriorRate),0)))))</f>
        <v/>
      </c>
      <c r="T242" s="17">
        <f>IF($A242="","",IF(AND($L242="Y",$P242="PART",ISNUMBER(Items!M242)),Items!M242,1))</f>
        <v/>
      </c>
      <c r="U242" s="17">
        <f>IF($A242="","",IF($L242&lt;&gt;"Y",0,IF($AQ242&gt;0,IF(ISNUMBER(INDEX(det_Displaced,$AQ242)),INDEX(det_Displaced,$AQ242),IF($AO242=0,0,N(INDEX(rate_Displaced,MOD($AO242,100))))),IF($AO242=0,0,N(INDEX(rate_Displaced,MOD($AO242,100)))))))</f>
        <v/>
      </c>
      <c r="V242" s="17">
        <f>IF($A242="","",IF($L242="Y",$Q242+$T242*($R242-$S242)-$U242,$Q242))</f>
        <v/>
      </c>
      <c r="W242" s="18">
        <f>IF($A242="","",N(Items!H242)*$Q242)</f>
        <v/>
      </c>
      <c r="X242" s="18">
        <f>IF($A242="","",N(Items!H242)*$V242)</f>
        <v/>
      </c>
      <c r="Y242" s="18">
        <f>IF($A242="","",$X242-$W242)</f>
        <v/>
      </c>
      <c r="Z242" s="18">
        <f>IF($A242="","",N(Items!K242)+$Y242)</f>
        <v/>
      </c>
      <c r="AA242" s="17">
        <f>IF($A242="","",IF(N(Items!L242)=0,"",(N(Items!L242)-N(Items!K242))/N(Items!L242)))</f>
        <v/>
      </c>
      <c r="AB242" s="17">
        <f>IF($A242="","",IF(N(Items!L242)=0,"",(N(Items!L242)-$Z242)/N(Items!L242)))</f>
        <v/>
      </c>
      <c r="AC242" s="17">
        <f>IF(OR($AA242="",$AB242=""),"",$AB242-$AA242)</f>
        <v/>
      </c>
      <c r="AD242" s="13">
        <f>IF($A242="","",N(Items!I242))</f>
        <v/>
      </c>
      <c r="AE242" s="19">
        <f>IF($A242="","",$Y242*$AD242)</f>
        <v/>
      </c>
      <c r="AF242" s="10">
        <f>IF($A242="","",IF(N(Items!L242)&gt;0,"Y","N"))</f>
        <v/>
      </c>
      <c r="AG242" s="19">
        <f>IF($A242="","",IF($AF242="Y",N(Items!L242)*$AD242,0))</f>
        <v/>
      </c>
      <c r="AH242" s="19">
        <f>IF($A242="","",IF($AF242="Y",(N(Items!L242)-N(Items!K242))*$AD242,0))</f>
        <v/>
      </c>
      <c r="AI242" s="19">
        <f>IF($A242="","",IF($AF242="Y",$AH242-$AE242,0))</f>
        <v/>
      </c>
      <c r="AJ242" s="10">
        <f>IF($A242="","",IF(COUNTIF($AL$5:$AL$254,$AL242)&gt;1,"CHECK: duplicate item and import country",IF(TRIM(CLEAN(SUBSTITUTE(Items!C242&amp;""," "," ")))="","CHECK: import country missing",IF(AND(UPPER(TRIM(CLEAN(SUBSTITUTE(Items!C242&amp;""," "," "))))&lt;&gt;"US",UPPER(TRIM(CLEAN(SUBSTITUTE(Items!C242&amp;""," "," "))))&lt;&gt;"CA",UPPER(TRIM(CLEAN(SUBSTITUTE(Items!C242&amp;""," "," "))))&lt;&gt;"MX"),"CHECK: import country must be US, CA or MX",IF(NOT(AND(LEN($C242)=10,IFERROR(TEXT(VALUE($C242),REPT("0",LEN($C242)))=$C242,FALSE))),"CHECK: HTS must be 10 digits",IF(LEN($E242)&lt;&gt;2,"CHECK: origin code missing or not 2 letters",IF(TRIM(CLEAN(SUBSTITUTE(Items!G242&amp;""," "," ")))="","CHECK: unit of measure missing",IF(OR(Items!H242="",Items!J242="",Items!K242=""),"CHECK: value, rate or cost missing",IF(OR(NOT(ISNUMBER(Items!H242)),NOT(ISNUMBER(Items!J242)),NOT(ISNUMBER(Items!K242)),AND(Items!I242&lt;&gt;"",NOT(ISNUMBER(Items!I242))),AND(Items!L242&lt;&gt;"",NOT(ISNUMBER(Items!L242))),AND(Items!M242&lt;&gt;"",NOT(ISNUMBER(Items!M242)))),"CHECK: text in a number column",IF(AND(ISNUMBER(Items!M242),OR(N(Items!M242)&lt;0,N(Items!M242)&gt;1)),"CHECK: dutiable share must be 0% to 100%",IF(AND(UPPER(TRIM(CLEAN(SUBSTITUTE(Items!F242&amp;""," "," "))))&lt;&gt;"",UPPER(TRIM(CLEAN(SUBSTITUTE(Items!F242&amp;""," "," "))))&lt;&gt;"Y",UPPER(TRIM(CLEAN(SUBSTITUTE(Items!F242&amp;""," "," "))))&lt;&gt;"N"),"CHECK: USMCA flag must be Y, N or blank",IF(AND(UPPER(TRIM(CLEAN(SUBSTITUTE(Items!F242&amp;""," "," "))))="Y",$E242&lt;&gt;"US",$E242&lt;&gt;"CA",$E242&lt;&gt;"MX"),"CHECK: USMCA flag on an origin other than US, CA or MX",IF(AND($L242="Y",$AO242=0,NOT(ISNUMBER(act_Rate))),"CHECK: in scope but no rate (add a rate line or B15)",IF(AND($L242="Y",UPPER(TRIM(CLEAN(SUBSTITUTE(act_RateType&amp;""," "," "))))="REPLACE",NOT(ISNUMBER(act_PriorRate)),IF($AO242=0,TRUE,NOT(ISNUMBER(INDEX(rate_Prior,MOD($AO242,100)))))),"CHECK: REPLACE but no earlier rate (B17 or the rate line's AD)",IF(AND($L242="Y",$AP242&gt;1),"CHECK: two rate lines match equally",IF(AND($L242="Y",$AN242&gt;1),"CHECK: HTS prefix listed twice on the scope list",IF(AND($L242="Y",$P242="PART",NOT(ISNUMBER(Items!M242))),"CHECK: dutiable share missing (PART base)",IF(AND($L242="Y",$P242="FULL",ISNUMBER(Items!M242),N(Items!M242)&lt;&gt;1),"CHECK: dutiable share entered, but the rate taxes the full value",IF(AND($L242="Y",$Q242+0.0000001&lt;$T242*$S242+$U242),"CHECK: current rate is below the duty being replaced or displaced",IF(AND($L242="Y",$AD242=0),"NOTE: in scope, no quantity",IF(AND($L242="Y",$AF242="N"),"NOTE: in scope, no sell price (left out of margin %)",IF(AND($L242="Y",N(Items!H242)&gt;N(Items!K242)),"NOTE: customs value above standard cost (check unit of measure)",IF(AND($L242="Y",$Q242&gt;1),"NOTE: current rate above 100% (check it was entered as a percentage)","OK")))))))))))))))))))))))</f>
        <v/>
      </c>
      <c r="AK242" s="20">
        <f>IF($A242="","",IF(AND($L242="Y",$AE242&lt;&gt;0),ABS($AE242)+ROW()/1000000000,""))</f>
        <v/>
      </c>
      <c r="AL242" s="10">
        <f>IF($A242="","",UPPER($A242)&amp;"/"&amp;UPPER(TRIM(CLEAN(SUBSTITUTE(Items!C242&amp;""," "," ")))))</f>
        <v/>
      </c>
      <c r="AM242" s="13">
        <f>IF($A242="",0,SUMPRODUCT(MAX((scope_HTS&lt;&gt;"")*(LEFT($C242,LEN(scope_HTS))=scope_HTS)*(LEN(scope_HTS)*1000+ROW(scope_HTS)-4))))</f>
        <v/>
      </c>
      <c r="AN242" s="13">
        <f>IF($AM242=0,0,SUMPRODUCT((scope_HTS&lt;&gt;"")*(LEFT($C242,LEN(scope_HTS))=scope_HTS)*(LEN(scope_HTS)=INT($AM242/1000))))</f>
        <v/>
      </c>
      <c r="AO242" s="13">
        <f>IF($L242&lt;&gt;"Y",0,SUMPRODUCT(MAX(ISNUMBER(rate_Rate)*((UPPER(TRIM(CLEAN(SUBSTITUTE(rate_Group&amp;""," "," "))))="")+(UPPER(TRIM(CLEAN(SUBSTITUTE(rate_Group&amp;""," "," "))))=$N242)&gt;0)*((UPPER(TRIM(CLEAN(SUBSTITUTE(rate_COO&amp;""," "," "))))="")+(UPPER(TRIM(CLEAN(SUBSTITUTE(rate_COO&amp;""," "," "))))=$E242)&gt;0)*((UPPER(TRIM(CLEAN(SUBSTITUTE(rate_USMCA&amp;""," "," "))))="")+(UPPER(TRIM(CLEAN(SUBSTITUTE(rate_USMCA&amp;""," "," "))))=IF(UPPER(TRIM(CLEAN(SUBSTITUTE(Items!F242&amp;""," "," "))))="Y","Y","N"))&gt;0)*((1+(UPPER(TRIM(CLEAN(SUBSTITUTE(rate_Group&amp;""," "," "))))&lt;&gt;"")+2*(UPPER(TRIM(CLEAN(SUBSTITUTE(rate_USMCA&amp;""," "," "))))&lt;&gt;"")+4*(UPPER(TRIM(CLEAN(SUBSTITUTE(rate_COO&amp;""," "," "))))&lt;&gt;""))*100+ROW(rate_Rate)-4))))</f>
        <v/>
      </c>
      <c r="AP242" s="13">
        <f>IF($AO242=0,0,SUMPRODUCT(ISNUMBER(rate_Rate)*((UPPER(TRIM(CLEAN(SUBSTITUTE(rate_Group&amp;""," "," "))))="")+(UPPER(TRIM(CLEAN(SUBSTITUTE(rate_Group&amp;""," "," "))))=$N242)&gt;0)*((UPPER(TRIM(CLEAN(SUBSTITUTE(rate_COO&amp;""," "," "))))="")+(UPPER(TRIM(CLEAN(SUBSTITUTE(rate_COO&amp;""," "," "))))=$E242)&gt;0)*((UPPER(TRIM(CLEAN(SUBSTITUTE(rate_USMCA&amp;""," "," "))))="")+(UPPER(TRIM(CLEAN(SUBSTITUTE(rate_USMCA&amp;""," "," "))))=IF(UPPER(TRIM(CLEAN(SUBSTITUTE(Items!F242&amp;""," "," "))))="Y","Y","N"))&gt;0)*((1+(UPPER(TRIM(CLEAN(SUBSTITUTE(rate_Group&amp;""," "," "))))&lt;&gt;"")+2*(UPPER(TRIM(CLEAN(SUBSTITUTE(rate_USMCA&amp;""," "," "))))&lt;&gt;"")+4*(UPPER(TRIM(CLEAN(SUBSTITUTE(rate_COO&amp;""," "," "))))&lt;&gt;""))=INT($AO242/100))))</f>
        <v/>
      </c>
      <c r="AQ242" s="13">
        <f>IF($A242="",0,IFERROR(MATCH($AL242,det_Key,0),0))</f>
        <v/>
      </c>
    </row>
    <row r="243">
      <c r="A243" s="10">
        <f>IF(TRIM(CLEAN(SUBSTITUTE(Items!A243&amp;""," "," ")))="","",TRIM(CLEAN(SUBSTITUTE(Items!A243&amp;""," "," "))))</f>
        <v/>
      </c>
      <c r="B243" s="10">
        <f>IF($A243="","",Items!B243&amp;"")</f>
        <v/>
      </c>
      <c r="C243" s="10">
        <f>IF($A243="","",SUBSTITUTE(SUBSTITUTE(SUBSTITUTE(SUBSTITUTE(CLEAN(Items!D243&amp;"")," ",""),".","")," ",""),"-",""))</f>
        <v/>
      </c>
      <c r="D243" s="10">
        <f>IF($A243="","",LEFT($C243,2))</f>
        <v/>
      </c>
      <c r="E243" s="10">
        <f>IF($A243="","",UPPER(TRIM(CLEAN(SUBSTITUTE(Items!E243&amp;""," "," ")))))</f>
        <v/>
      </c>
      <c r="F243" s="10">
        <f>IF($A243="","",IF(UPPER(TRIM(CLEAN(SUBSTITUTE(Items!C243&amp;""," "," "))))=UPPER(TRIM(CLEAN(SUBSTITUTE(act_Country&amp;""," "," ")))),"Y","N"))</f>
        <v/>
      </c>
      <c r="G243" s="10">
        <f>IF($A243="","",IF($AM243&gt;0,"Y","N"))</f>
        <v/>
      </c>
      <c r="H243" s="10">
        <f>IF($A243="","",IF(SUMPRODUCT((excl_HTS&lt;&gt;"")*(LEFT($C243,LEN(excl_HTS))=excl_HTS))&gt;0,"Y","N"))</f>
        <v/>
      </c>
      <c r="I243" s="10">
        <f>IF($A243="","",IF($E243="","N",IF(SUMPRODUCT(--(UPPER(TRIM(CLEAN(SUBSTITUTE(scope_COO&amp;""," "," "))))=$E243))&gt;0,"Y","N")))</f>
        <v/>
      </c>
      <c r="J243" s="10">
        <f>IF($A243="","",IF(AND(UPPER(TRIM(CLEAN(SUBSTITUTE(act_USMCAExempt&amp;""," "," "))))="Y",UPPER(TRIM(CLEAN(SUBSTITUTE(Items!F243&amp;""," "," "))))="Y"),"Y","N"))</f>
        <v/>
      </c>
      <c r="K243" s="10">
        <f>IF($A243="","",IF($AQ243=0,"",UPPER(TRIM(CLEAN(SUBSTITUTE(INDEX(det_Status,$AQ243)&amp;""," "," "))))))</f>
        <v/>
      </c>
      <c r="L243" s="10">
        <f>IF($A243="","",IF($F243="N","N",IF($K243="IN","Y",IF($K243="OUT","N",IF(AND($G243="Y",$H243="N",$I243="Y",$J243="N"),"Y","N")))))</f>
        <v/>
      </c>
      <c r="M243" s="10">
        <f>IF($A243="","",IF($F243="N","Out: different import country",IF($K243="IN","In: Research determination",IF($K243="OUT","Out: Research determination",IF($G243="N","Out: HTS not on scope list",IF($H243="Y","Out: HTS on exclusion list",IF($I243="N","Out: origin not on scope list",IF($J243="Y","Out: USMCA-qualifying, exempt","In: matches scope rules"))))))))</f>
        <v/>
      </c>
      <c r="N243" s="10">
        <f>IF(OR($A243="",$AM243=0),"",UPPER(TRIM(CLEAN(SUBSTITUTE(INDEX(scope_Group,MOD($AM243,1000))&amp;""," "," ")))))</f>
        <v/>
      </c>
      <c r="O243" s="10">
        <f>IF($L243&lt;&gt;"Y","",IF($AO243=0,"Default (B15)",UPPER(TRIM(CLEAN(SUBSTITUTE(INDEX(rate_ID,MOD($AO243,100))&amp;""," "," "))))))</f>
        <v/>
      </c>
      <c r="P243" s="10">
        <f>IF($L243&lt;&gt;"Y","",IF($AO243=0,IF(UPPER(TRIM(CLEAN(SUBSTITUTE(act_DefaultBase&amp;""," "," "))))="PART","PART","FULL"),IF(UPPER(TRIM(CLEAN(SUBSTITUTE(INDEX(rate_Base,MOD($AO243,100))&amp;""," "," "))))="PART","PART","FULL")))</f>
        <v/>
      </c>
      <c r="Q243" s="17">
        <f>IF($A243="","",N(Items!J243))</f>
        <v/>
      </c>
      <c r="R243" s="17">
        <f>IF($A243="","",IF($L243&lt;&gt;"Y",0,IF($AO243=0,N(act_Rate),N(INDEX(rate_Rate,MOD($AO243,100))))))</f>
        <v/>
      </c>
      <c r="S243" s="17">
        <f>IF($A243="","",IF($L243&lt;&gt;"Y",0,IF($AO243=0,IF(UPPER(TRIM(CLEAN(SUBSTITUTE(act_RateType&amp;""," "," "))))="REPLACE",N(act_PriorRate),0),IF(ISNUMBER(INDEX(rate_Prior,MOD($AO243,100))),INDEX(rate_Prior,MOD($AO243,100)),IF(UPPER(TRIM(CLEAN(SUBSTITUTE(act_RateType&amp;""," "," "))))="REPLACE",N(act_PriorRate),0)))))</f>
        <v/>
      </c>
      <c r="T243" s="17">
        <f>IF($A243="","",IF(AND($L243="Y",$P243="PART",ISNUMBER(Items!M243)),Items!M243,1))</f>
        <v/>
      </c>
      <c r="U243" s="17">
        <f>IF($A243="","",IF($L243&lt;&gt;"Y",0,IF($AQ243&gt;0,IF(ISNUMBER(INDEX(det_Displaced,$AQ243)),INDEX(det_Displaced,$AQ243),IF($AO243=0,0,N(INDEX(rate_Displaced,MOD($AO243,100))))),IF($AO243=0,0,N(INDEX(rate_Displaced,MOD($AO243,100)))))))</f>
        <v/>
      </c>
      <c r="V243" s="17">
        <f>IF($A243="","",IF($L243="Y",$Q243+$T243*($R243-$S243)-$U243,$Q243))</f>
        <v/>
      </c>
      <c r="W243" s="18">
        <f>IF($A243="","",N(Items!H243)*$Q243)</f>
        <v/>
      </c>
      <c r="X243" s="18">
        <f>IF($A243="","",N(Items!H243)*$V243)</f>
        <v/>
      </c>
      <c r="Y243" s="18">
        <f>IF($A243="","",$X243-$W243)</f>
        <v/>
      </c>
      <c r="Z243" s="18">
        <f>IF($A243="","",N(Items!K243)+$Y243)</f>
        <v/>
      </c>
      <c r="AA243" s="17">
        <f>IF($A243="","",IF(N(Items!L243)=0,"",(N(Items!L243)-N(Items!K243))/N(Items!L243)))</f>
        <v/>
      </c>
      <c r="AB243" s="17">
        <f>IF($A243="","",IF(N(Items!L243)=0,"",(N(Items!L243)-$Z243)/N(Items!L243)))</f>
        <v/>
      </c>
      <c r="AC243" s="17">
        <f>IF(OR($AA243="",$AB243=""),"",$AB243-$AA243)</f>
        <v/>
      </c>
      <c r="AD243" s="13">
        <f>IF($A243="","",N(Items!I243))</f>
        <v/>
      </c>
      <c r="AE243" s="19">
        <f>IF($A243="","",$Y243*$AD243)</f>
        <v/>
      </c>
      <c r="AF243" s="10">
        <f>IF($A243="","",IF(N(Items!L243)&gt;0,"Y","N"))</f>
        <v/>
      </c>
      <c r="AG243" s="19">
        <f>IF($A243="","",IF($AF243="Y",N(Items!L243)*$AD243,0))</f>
        <v/>
      </c>
      <c r="AH243" s="19">
        <f>IF($A243="","",IF($AF243="Y",(N(Items!L243)-N(Items!K243))*$AD243,0))</f>
        <v/>
      </c>
      <c r="AI243" s="19">
        <f>IF($A243="","",IF($AF243="Y",$AH243-$AE243,0))</f>
        <v/>
      </c>
      <c r="AJ243" s="10">
        <f>IF($A243="","",IF(COUNTIF($AL$5:$AL$254,$AL243)&gt;1,"CHECK: duplicate item and import country",IF(TRIM(CLEAN(SUBSTITUTE(Items!C243&amp;""," "," ")))="","CHECK: import country missing",IF(AND(UPPER(TRIM(CLEAN(SUBSTITUTE(Items!C243&amp;""," "," "))))&lt;&gt;"US",UPPER(TRIM(CLEAN(SUBSTITUTE(Items!C243&amp;""," "," "))))&lt;&gt;"CA",UPPER(TRIM(CLEAN(SUBSTITUTE(Items!C243&amp;""," "," "))))&lt;&gt;"MX"),"CHECK: import country must be US, CA or MX",IF(NOT(AND(LEN($C243)=10,IFERROR(TEXT(VALUE($C243),REPT("0",LEN($C243)))=$C243,FALSE))),"CHECK: HTS must be 10 digits",IF(LEN($E243)&lt;&gt;2,"CHECK: origin code missing or not 2 letters",IF(TRIM(CLEAN(SUBSTITUTE(Items!G243&amp;""," "," ")))="","CHECK: unit of measure missing",IF(OR(Items!H243="",Items!J243="",Items!K243=""),"CHECK: value, rate or cost missing",IF(OR(NOT(ISNUMBER(Items!H243)),NOT(ISNUMBER(Items!J243)),NOT(ISNUMBER(Items!K243)),AND(Items!I243&lt;&gt;"",NOT(ISNUMBER(Items!I243))),AND(Items!L243&lt;&gt;"",NOT(ISNUMBER(Items!L243))),AND(Items!M243&lt;&gt;"",NOT(ISNUMBER(Items!M243)))),"CHECK: text in a number column",IF(AND(ISNUMBER(Items!M243),OR(N(Items!M243)&lt;0,N(Items!M243)&gt;1)),"CHECK: dutiable share must be 0% to 100%",IF(AND(UPPER(TRIM(CLEAN(SUBSTITUTE(Items!F243&amp;""," "," "))))&lt;&gt;"",UPPER(TRIM(CLEAN(SUBSTITUTE(Items!F243&amp;""," "," "))))&lt;&gt;"Y",UPPER(TRIM(CLEAN(SUBSTITUTE(Items!F243&amp;""," "," "))))&lt;&gt;"N"),"CHECK: USMCA flag must be Y, N or blank",IF(AND(UPPER(TRIM(CLEAN(SUBSTITUTE(Items!F243&amp;""," "," "))))="Y",$E243&lt;&gt;"US",$E243&lt;&gt;"CA",$E243&lt;&gt;"MX"),"CHECK: USMCA flag on an origin other than US, CA or MX",IF(AND($L243="Y",$AO243=0,NOT(ISNUMBER(act_Rate))),"CHECK: in scope but no rate (add a rate line or B15)",IF(AND($L243="Y",UPPER(TRIM(CLEAN(SUBSTITUTE(act_RateType&amp;""," "," "))))="REPLACE",NOT(ISNUMBER(act_PriorRate)),IF($AO243=0,TRUE,NOT(ISNUMBER(INDEX(rate_Prior,MOD($AO243,100)))))),"CHECK: REPLACE but no earlier rate (B17 or the rate line's AD)",IF(AND($L243="Y",$AP243&gt;1),"CHECK: two rate lines match equally",IF(AND($L243="Y",$AN243&gt;1),"CHECK: HTS prefix listed twice on the scope list",IF(AND($L243="Y",$P243="PART",NOT(ISNUMBER(Items!M243))),"CHECK: dutiable share missing (PART base)",IF(AND($L243="Y",$P243="FULL",ISNUMBER(Items!M243),N(Items!M243)&lt;&gt;1),"CHECK: dutiable share entered, but the rate taxes the full value",IF(AND($L243="Y",$Q243+0.0000001&lt;$T243*$S243+$U243),"CHECK: current rate is below the duty being replaced or displaced",IF(AND($L243="Y",$AD243=0),"NOTE: in scope, no quantity",IF(AND($L243="Y",$AF243="N"),"NOTE: in scope, no sell price (left out of margin %)",IF(AND($L243="Y",N(Items!H243)&gt;N(Items!K243)),"NOTE: customs value above standard cost (check unit of measure)",IF(AND($L243="Y",$Q243&gt;1),"NOTE: current rate above 100% (check it was entered as a percentage)","OK")))))))))))))))))))))))</f>
        <v/>
      </c>
      <c r="AK243" s="20">
        <f>IF($A243="","",IF(AND($L243="Y",$AE243&lt;&gt;0),ABS($AE243)+ROW()/1000000000,""))</f>
        <v/>
      </c>
      <c r="AL243" s="10">
        <f>IF($A243="","",UPPER($A243)&amp;"/"&amp;UPPER(TRIM(CLEAN(SUBSTITUTE(Items!C243&amp;""," "," ")))))</f>
        <v/>
      </c>
      <c r="AM243" s="13">
        <f>IF($A243="",0,SUMPRODUCT(MAX((scope_HTS&lt;&gt;"")*(LEFT($C243,LEN(scope_HTS))=scope_HTS)*(LEN(scope_HTS)*1000+ROW(scope_HTS)-4))))</f>
        <v/>
      </c>
      <c r="AN243" s="13">
        <f>IF($AM243=0,0,SUMPRODUCT((scope_HTS&lt;&gt;"")*(LEFT($C243,LEN(scope_HTS))=scope_HTS)*(LEN(scope_HTS)=INT($AM243/1000))))</f>
        <v/>
      </c>
      <c r="AO243" s="13">
        <f>IF($L243&lt;&gt;"Y",0,SUMPRODUCT(MAX(ISNUMBER(rate_Rate)*((UPPER(TRIM(CLEAN(SUBSTITUTE(rate_Group&amp;""," "," "))))="")+(UPPER(TRIM(CLEAN(SUBSTITUTE(rate_Group&amp;""," "," "))))=$N243)&gt;0)*((UPPER(TRIM(CLEAN(SUBSTITUTE(rate_COO&amp;""," "," "))))="")+(UPPER(TRIM(CLEAN(SUBSTITUTE(rate_COO&amp;""," "," "))))=$E243)&gt;0)*((UPPER(TRIM(CLEAN(SUBSTITUTE(rate_USMCA&amp;""," "," "))))="")+(UPPER(TRIM(CLEAN(SUBSTITUTE(rate_USMCA&amp;""," "," "))))=IF(UPPER(TRIM(CLEAN(SUBSTITUTE(Items!F243&amp;""," "," "))))="Y","Y","N"))&gt;0)*((1+(UPPER(TRIM(CLEAN(SUBSTITUTE(rate_Group&amp;""," "," "))))&lt;&gt;"")+2*(UPPER(TRIM(CLEAN(SUBSTITUTE(rate_USMCA&amp;""," "," "))))&lt;&gt;"")+4*(UPPER(TRIM(CLEAN(SUBSTITUTE(rate_COO&amp;""," "," "))))&lt;&gt;""))*100+ROW(rate_Rate)-4))))</f>
        <v/>
      </c>
      <c r="AP243" s="13">
        <f>IF($AO243=0,0,SUMPRODUCT(ISNUMBER(rate_Rate)*((UPPER(TRIM(CLEAN(SUBSTITUTE(rate_Group&amp;""," "," "))))="")+(UPPER(TRIM(CLEAN(SUBSTITUTE(rate_Group&amp;""," "," "))))=$N243)&gt;0)*((UPPER(TRIM(CLEAN(SUBSTITUTE(rate_COO&amp;""," "," "))))="")+(UPPER(TRIM(CLEAN(SUBSTITUTE(rate_COO&amp;""," "," "))))=$E243)&gt;0)*((UPPER(TRIM(CLEAN(SUBSTITUTE(rate_USMCA&amp;""," "," "))))="")+(UPPER(TRIM(CLEAN(SUBSTITUTE(rate_USMCA&amp;""," "," "))))=IF(UPPER(TRIM(CLEAN(SUBSTITUTE(Items!F243&amp;""," "," "))))="Y","Y","N"))&gt;0)*((1+(UPPER(TRIM(CLEAN(SUBSTITUTE(rate_Group&amp;""," "," "))))&lt;&gt;"")+2*(UPPER(TRIM(CLEAN(SUBSTITUTE(rate_USMCA&amp;""," "," "))))&lt;&gt;"")+4*(UPPER(TRIM(CLEAN(SUBSTITUTE(rate_COO&amp;""," "," "))))&lt;&gt;""))=INT($AO243/100))))</f>
        <v/>
      </c>
      <c r="AQ243" s="13">
        <f>IF($A243="",0,IFERROR(MATCH($AL243,det_Key,0),0))</f>
        <v/>
      </c>
    </row>
    <row r="244">
      <c r="A244" s="10">
        <f>IF(TRIM(CLEAN(SUBSTITUTE(Items!A244&amp;""," "," ")))="","",TRIM(CLEAN(SUBSTITUTE(Items!A244&amp;""," "," "))))</f>
        <v/>
      </c>
      <c r="B244" s="10">
        <f>IF($A244="","",Items!B244&amp;"")</f>
        <v/>
      </c>
      <c r="C244" s="10">
        <f>IF($A244="","",SUBSTITUTE(SUBSTITUTE(SUBSTITUTE(SUBSTITUTE(CLEAN(Items!D244&amp;"")," ",""),".","")," ",""),"-",""))</f>
        <v/>
      </c>
      <c r="D244" s="10">
        <f>IF($A244="","",LEFT($C244,2))</f>
        <v/>
      </c>
      <c r="E244" s="10">
        <f>IF($A244="","",UPPER(TRIM(CLEAN(SUBSTITUTE(Items!E244&amp;""," "," ")))))</f>
        <v/>
      </c>
      <c r="F244" s="10">
        <f>IF($A244="","",IF(UPPER(TRIM(CLEAN(SUBSTITUTE(Items!C244&amp;""," "," "))))=UPPER(TRIM(CLEAN(SUBSTITUTE(act_Country&amp;""," "," ")))),"Y","N"))</f>
        <v/>
      </c>
      <c r="G244" s="10">
        <f>IF($A244="","",IF($AM244&gt;0,"Y","N"))</f>
        <v/>
      </c>
      <c r="H244" s="10">
        <f>IF($A244="","",IF(SUMPRODUCT((excl_HTS&lt;&gt;"")*(LEFT($C244,LEN(excl_HTS))=excl_HTS))&gt;0,"Y","N"))</f>
        <v/>
      </c>
      <c r="I244" s="10">
        <f>IF($A244="","",IF($E244="","N",IF(SUMPRODUCT(--(UPPER(TRIM(CLEAN(SUBSTITUTE(scope_COO&amp;""," "," "))))=$E244))&gt;0,"Y","N")))</f>
        <v/>
      </c>
      <c r="J244" s="10">
        <f>IF($A244="","",IF(AND(UPPER(TRIM(CLEAN(SUBSTITUTE(act_USMCAExempt&amp;""," "," "))))="Y",UPPER(TRIM(CLEAN(SUBSTITUTE(Items!F244&amp;""," "," "))))="Y"),"Y","N"))</f>
        <v/>
      </c>
      <c r="K244" s="10">
        <f>IF($A244="","",IF($AQ244=0,"",UPPER(TRIM(CLEAN(SUBSTITUTE(INDEX(det_Status,$AQ244)&amp;""," "," "))))))</f>
        <v/>
      </c>
      <c r="L244" s="10">
        <f>IF($A244="","",IF($F244="N","N",IF($K244="IN","Y",IF($K244="OUT","N",IF(AND($G244="Y",$H244="N",$I244="Y",$J244="N"),"Y","N")))))</f>
        <v/>
      </c>
      <c r="M244" s="10">
        <f>IF($A244="","",IF($F244="N","Out: different import country",IF($K244="IN","In: Research determination",IF($K244="OUT","Out: Research determination",IF($G244="N","Out: HTS not on scope list",IF($H244="Y","Out: HTS on exclusion list",IF($I244="N","Out: origin not on scope list",IF($J244="Y","Out: USMCA-qualifying, exempt","In: matches scope rules"))))))))</f>
        <v/>
      </c>
      <c r="N244" s="10">
        <f>IF(OR($A244="",$AM244=0),"",UPPER(TRIM(CLEAN(SUBSTITUTE(INDEX(scope_Group,MOD($AM244,1000))&amp;""," "," ")))))</f>
        <v/>
      </c>
      <c r="O244" s="10">
        <f>IF($L244&lt;&gt;"Y","",IF($AO244=0,"Default (B15)",UPPER(TRIM(CLEAN(SUBSTITUTE(INDEX(rate_ID,MOD($AO244,100))&amp;""," "," "))))))</f>
        <v/>
      </c>
      <c r="P244" s="10">
        <f>IF($L244&lt;&gt;"Y","",IF($AO244=0,IF(UPPER(TRIM(CLEAN(SUBSTITUTE(act_DefaultBase&amp;""," "," "))))="PART","PART","FULL"),IF(UPPER(TRIM(CLEAN(SUBSTITUTE(INDEX(rate_Base,MOD($AO244,100))&amp;""," "," "))))="PART","PART","FULL")))</f>
        <v/>
      </c>
      <c r="Q244" s="17">
        <f>IF($A244="","",N(Items!J244))</f>
        <v/>
      </c>
      <c r="R244" s="17">
        <f>IF($A244="","",IF($L244&lt;&gt;"Y",0,IF($AO244=0,N(act_Rate),N(INDEX(rate_Rate,MOD($AO244,100))))))</f>
        <v/>
      </c>
      <c r="S244" s="17">
        <f>IF($A244="","",IF($L244&lt;&gt;"Y",0,IF($AO244=0,IF(UPPER(TRIM(CLEAN(SUBSTITUTE(act_RateType&amp;""," "," "))))="REPLACE",N(act_PriorRate),0),IF(ISNUMBER(INDEX(rate_Prior,MOD($AO244,100))),INDEX(rate_Prior,MOD($AO244,100)),IF(UPPER(TRIM(CLEAN(SUBSTITUTE(act_RateType&amp;""," "," "))))="REPLACE",N(act_PriorRate),0)))))</f>
        <v/>
      </c>
      <c r="T244" s="17">
        <f>IF($A244="","",IF(AND($L244="Y",$P244="PART",ISNUMBER(Items!M244)),Items!M244,1))</f>
        <v/>
      </c>
      <c r="U244" s="17">
        <f>IF($A244="","",IF($L244&lt;&gt;"Y",0,IF($AQ244&gt;0,IF(ISNUMBER(INDEX(det_Displaced,$AQ244)),INDEX(det_Displaced,$AQ244),IF($AO244=0,0,N(INDEX(rate_Displaced,MOD($AO244,100))))),IF($AO244=0,0,N(INDEX(rate_Displaced,MOD($AO244,100)))))))</f>
        <v/>
      </c>
      <c r="V244" s="17">
        <f>IF($A244="","",IF($L244="Y",$Q244+$T244*($R244-$S244)-$U244,$Q244))</f>
        <v/>
      </c>
      <c r="W244" s="18">
        <f>IF($A244="","",N(Items!H244)*$Q244)</f>
        <v/>
      </c>
      <c r="X244" s="18">
        <f>IF($A244="","",N(Items!H244)*$V244)</f>
        <v/>
      </c>
      <c r="Y244" s="18">
        <f>IF($A244="","",$X244-$W244)</f>
        <v/>
      </c>
      <c r="Z244" s="18">
        <f>IF($A244="","",N(Items!K244)+$Y244)</f>
        <v/>
      </c>
      <c r="AA244" s="17">
        <f>IF($A244="","",IF(N(Items!L244)=0,"",(N(Items!L244)-N(Items!K244))/N(Items!L244)))</f>
        <v/>
      </c>
      <c r="AB244" s="17">
        <f>IF($A244="","",IF(N(Items!L244)=0,"",(N(Items!L244)-$Z244)/N(Items!L244)))</f>
        <v/>
      </c>
      <c r="AC244" s="17">
        <f>IF(OR($AA244="",$AB244=""),"",$AB244-$AA244)</f>
        <v/>
      </c>
      <c r="AD244" s="13">
        <f>IF($A244="","",N(Items!I244))</f>
        <v/>
      </c>
      <c r="AE244" s="19">
        <f>IF($A244="","",$Y244*$AD244)</f>
        <v/>
      </c>
      <c r="AF244" s="10">
        <f>IF($A244="","",IF(N(Items!L244)&gt;0,"Y","N"))</f>
        <v/>
      </c>
      <c r="AG244" s="19">
        <f>IF($A244="","",IF($AF244="Y",N(Items!L244)*$AD244,0))</f>
        <v/>
      </c>
      <c r="AH244" s="19">
        <f>IF($A244="","",IF($AF244="Y",(N(Items!L244)-N(Items!K244))*$AD244,0))</f>
        <v/>
      </c>
      <c r="AI244" s="19">
        <f>IF($A244="","",IF($AF244="Y",$AH244-$AE244,0))</f>
        <v/>
      </c>
      <c r="AJ244" s="10">
        <f>IF($A244="","",IF(COUNTIF($AL$5:$AL$254,$AL244)&gt;1,"CHECK: duplicate item and import country",IF(TRIM(CLEAN(SUBSTITUTE(Items!C244&amp;""," "," ")))="","CHECK: import country missing",IF(AND(UPPER(TRIM(CLEAN(SUBSTITUTE(Items!C244&amp;""," "," "))))&lt;&gt;"US",UPPER(TRIM(CLEAN(SUBSTITUTE(Items!C244&amp;""," "," "))))&lt;&gt;"CA",UPPER(TRIM(CLEAN(SUBSTITUTE(Items!C244&amp;""," "," "))))&lt;&gt;"MX"),"CHECK: import country must be US, CA or MX",IF(NOT(AND(LEN($C244)=10,IFERROR(TEXT(VALUE($C244),REPT("0",LEN($C244)))=$C244,FALSE))),"CHECK: HTS must be 10 digits",IF(LEN($E244)&lt;&gt;2,"CHECK: origin code missing or not 2 letters",IF(TRIM(CLEAN(SUBSTITUTE(Items!G244&amp;""," "," ")))="","CHECK: unit of measure missing",IF(OR(Items!H244="",Items!J244="",Items!K244=""),"CHECK: value, rate or cost missing",IF(OR(NOT(ISNUMBER(Items!H244)),NOT(ISNUMBER(Items!J244)),NOT(ISNUMBER(Items!K244)),AND(Items!I244&lt;&gt;"",NOT(ISNUMBER(Items!I244))),AND(Items!L244&lt;&gt;"",NOT(ISNUMBER(Items!L244))),AND(Items!M244&lt;&gt;"",NOT(ISNUMBER(Items!M244)))),"CHECK: text in a number column",IF(AND(ISNUMBER(Items!M244),OR(N(Items!M244)&lt;0,N(Items!M244)&gt;1)),"CHECK: dutiable share must be 0% to 100%",IF(AND(UPPER(TRIM(CLEAN(SUBSTITUTE(Items!F244&amp;""," "," "))))&lt;&gt;"",UPPER(TRIM(CLEAN(SUBSTITUTE(Items!F244&amp;""," "," "))))&lt;&gt;"Y",UPPER(TRIM(CLEAN(SUBSTITUTE(Items!F244&amp;""," "," "))))&lt;&gt;"N"),"CHECK: USMCA flag must be Y, N or blank",IF(AND(UPPER(TRIM(CLEAN(SUBSTITUTE(Items!F244&amp;""," "," "))))="Y",$E244&lt;&gt;"US",$E244&lt;&gt;"CA",$E244&lt;&gt;"MX"),"CHECK: USMCA flag on an origin other than US, CA or MX",IF(AND($L244="Y",$AO244=0,NOT(ISNUMBER(act_Rate))),"CHECK: in scope but no rate (add a rate line or B15)",IF(AND($L244="Y",UPPER(TRIM(CLEAN(SUBSTITUTE(act_RateType&amp;""," "," "))))="REPLACE",NOT(ISNUMBER(act_PriorRate)),IF($AO244=0,TRUE,NOT(ISNUMBER(INDEX(rate_Prior,MOD($AO244,100)))))),"CHECK: REPLACE but no earlier rate (B17 or the rate line's AD)",IF(AND($L244="Y",$AP244&gt;1),"CHECK: two rate lines match equally",IF(AND($L244="Y",$AN244&gt;1),"CHECK: HTS prefix listed twice on the scope list",IF(AND($L244="Y",$P244="PART",NOT(ISNUMBER(Items!M244))),"CHECK: dutiable share missing (PART base)",IF(AND($L244="Y",$P244="FULL",ISNUMBER(Items!M244),N(Items!M244)&lt;&gt;1),"CHECK: dutiable share entered, but the rate taxes the full value",IF(AND($L244="Y",$Q244+0.0000001&lt;$T244*$S244+$U244),"CHECK: current rate is below the duty being replaced or displaced",IF(AND($L244="Y",$AD244=0),"NOTE: in scope, no quantity",IF(AND($L244="Y",$AF244="N"),"NOTE: in scope, no sell price (left out of margin %)",IF(AND($L244="Y",N(Items!H244)&gt;N(Items!K244)),"NOTE: customs value above standard cost (check unit of measure)",IF(AND($L244="Y",$Q244&gt;1),"NOTE: current rate above 100% (check it was entered as a percentage)","OK")))))))))))))))))))))))</f>
        <v/>
      </c>
      <c r="AK244" s="20">
        <f>IF($A244="","",IF(AND($L244="Y",$AE244&lt;&gt;0),ABS($AE244)+ROW()/1000000000,""))</f>
        <v/>
      </c>
      <c r="AL244" s="10">
        <f>IF($A244="","",UPPER($A244)&amp;"/"&amp;UPPER(TRIM(CLEAN(SUBSTITUTE(Items!C244&amp;""," "," ")))))</f>
        <v/>
      </c>
      <c r="AM244" s="13">
        <f>IF($A244="",0,SUMPRODUCT(MAX((scope_HTS&lt;&gt;"")*(LEFT($C244,LEN(scope_HTS))=scope_HTS)*(LEN(scope_HTS)*1000+ROW(scope_HTS)-4))))</f>
        <v/>
      </c>
      <c r="AN244" s="13">
        <f>IF($AM244=0,0,SUMPRODUCT((scope_HTS&lt;&gt;"")*(LEFT($C244,LEN(scope_HTS))=scope_HTS)*(LEN(scope_HTS)=INT($AM244/1000))))</f>
        <v/>
      </c>
      <c r="AO244" s="13">
        <f>IF($L244&lt;&gt;"Y",0,SUMPRODUCT(MAX(ISNUMBER(rate_Rate)*((UPPER(TRIM(CLEAN(SUBSTITUTE(rate_Group&amp;""," "," "))))="")+(UPPER(TRIM(CLEAN(SUBSTITUTE(rate_Group&amp;""," "," "))))=$N244)&gt;0)*((UPPER(TRIM(CLEAN(SUBSTITUTE(rate_COO&amp;""," "," "))))="")+(UPPER(TRIM(CLEAN(SUBSTITUTE(rate_COO&amp;""," "," "))))=$E244)&gt;0)*((UPPER(TRIM(CLEAN(SUBSTITUTE(rate_USMCA&amp;""," "," "))))="")+(UPPER(TRIM(CLEAN(SUBSTITUTE(rate_USMCA&amp;""," "," "))))=IF(UPPER(TRIM(CLEAN(SUBSTITUTE(Items!F244&amp;""," "," "))))="Y","Y","N"))&gt;0)*((1+(UPPER(TRIM(CLEAN(SUBSTITUTE(rate_Group&amp;""," "," "))))&lt;&gt;"")+2*(UPPER(TRIM(CLEAN(SUBSTITUTE(rate_USMCA&amp;""," "," "))))&lt;&gt;"")+4*(UPPER(TRIM(CLEAN(SUBSTITUTE(rate_COO&amp;""," "," "))))&lt;&gt;""))*100+ROW(rate_Rate)-4))))</f>
        <v/>
      </c>
      <c r="AP244" s="13">
        <f>IF($AO244=0,0,SUMPRODUCT(ISNUMBER(rate_Rate)*((UPPER(TRIM(CLEAN(SUBSTITUTE(rate_Group&amp;""," "," "))))="")+(UPPER(TRIM(CLEAN(SUBSTITUTE(rate_Group&amp;""," "," "))))=$N244)&gt;0)*((UPPER(TRIM(CLEAN(SUBSTITUTE(rate_COO&amp;""," "," "))))="")+(UPPER(TRIM(CLEAN(SUBSTITUTE(rate_COO&amp;""," "," "))))=$E244)&gt;0)*((UPPER(TRIM(CLEAN(SUBSTITUTE(rate_USMCA&amp;""," "," "))))="")+(UPPER(TRIM(CLEAN(SUBSTITUTE(rate_USMCA&amp;""," "," "))))=IF(UPPER(TRIM(CLEAN(SUBSTITUTE(Items!F244&amp;""," "," "))))="Y","Y","N"))&gt;0)*((1+(UPPER(TRIM(CLEAN(SUBSTITUTE(rate_Group&amp;""," "," "))))&lt;&gt;"")+2*(UPPER(TRIM(CLEAN(SUBSTITUTE(rate_USMCA&amp;""," "," "))))&lt;&gt;"")+4*(UPPER(TRIM(CLEAN(SUBSTITUTE(rate_COO&amp;""," "," "))))&lt;&gt;""))=INT($AO244/100))))</f>
        <v/>
      </c>
      <c r="AQ244" s="13">
        <f>IF($A244="",0,IFERROR(MATCH($AL244,det_Key,0),0))</f>
        <v/>
      </c>
    </row>
    <row r="245">
      <c r="A245" s="10">
        <f>IF(TRIM(CLEAN(SUBSTITUTE(Items!A245&amp;""," "," ")))="","",TRIM(CLEAN(SUBSTITUTE(Items!A245&amp;""," "," "))))</f>
        <v/>
      </c>
      <c r="B245" s="10">
        <f>IF($A245="","",Items!B245&amp;"")</f>
        <v/>
      </c>
      <c r="C245" s="10">
        <f>IF($A245="","",SUBSTITUTE(SUBSTITUTE(SUBSTITUTE(SUBSTITUTE(CLEAN(Items!D245&amp;"")," ",""),".","")," ",""),"-",""))</f>
        <v/>
      </c>
      <c r="D245" s="10">
        <f>IF($A245="","",LEFT($C245,2))</f>
        <v/>
      </c>
      <c r="E245" s="10">
        <f>IF($A245="","",UPPER(TRIM(CLEAN(SUBSTITUTE(Items!E245&amp;""," "," ")))))</f>
        <v/>
      </c>
      <c r="F245" s="10">
        <f>IF($A245="","",IF(UPPER(TRIM(CLEAN(SUBSTITUTE(Items!C245&amp;""," "," "))))=UPPER(TRIM(CLEAN(SUBSTITUTE(act_Country&amp;""," "," ")))),"Y","N"))</f>
        <v/>
      </c>
      <c r="G245" s="10">
        <f>IF($A245="","",IF($AM245&gt;0,"Y","N"))</f>
        <v/>
      </c>
      <c r="H245" s="10">
        <f>IF($A245="","",IF(SUMPRODUCT((excl_HTS&lt;&gt;"")*(LEFT($C245,LEN(excl_HTS))=excl_HTS))&gt;0,"Y","N"))</f>
        <v/>
      </c>
      <c r="I245" s="10">
        <f>IF($A245="","",IF($E245="","N",IF(SUMPRODUCT(--(UPPER(TRIM(CLEAN(SUBSTITUTE(scope_COO&amp;""," "," "))))=$E245))&gt;0,"Y","N")))</f>
        <v/>
      </c>
      <c r="J245" s="10">
        <f>IF($A245="","",IF(AND(UPPER(TRIM(CLEAN(SUBSTITUTE(act_USMCAExempt&amp;""," "," "))))="Y",UPPER(TRIM(CLEAN(SUBSTITUTE(Items!F245&amp;""," "," "))))="Y"),"Y","N"))</f>
        <v/>
      </c>
      <c r="K245" s="10">
        <f>IF($A245="","",IF($AQ245=0,"",UPPER(TRIM(CLEAN(SUBSTITUTE(INDEX(det_Status,$AQ245)&amp;""," "," "))))))</f>
        <v/>
      </c>
      <c r="L245" s="10">
        <f>IF($A245="","",IF($F245="N","N",IF($K245="IN","Y",IF($K245="OUT","N",IF(AND($G245="Y",$H245="N",$I245="Y",$J245="N"),"Y","N")))))</f>
        <v/>
      </c>
      <c r="M245" s="10">
        <f>IF($A245="","",IF($F245="N","Out: different import country",IF($K245="IN","In: Research determination",IF($K245="OUT","Out: Research determination",IF($G245="N","Out: HTS not on scope list",IF($H245="Y","Out: HTS on exclusion list",IF($I245="N","Out: origin not on scope list",IF($J245="Y","Out: USMCA-qualifying, exempt","In: matches scope rules"))))))))</f>
        <v/>
      </c>
      <c r="N245" s="10">
        <f>IF(OR($A245="",$AM245=0),"",UPPER(TRIM(CLEAN(SUBSTITUTE(INDEX(scope_Group,MOD($AM245,1000))&amp;""," "," ")))))</f>
        <v/>
      </c>
      <c r="O245" s="10">
        <f>IF($L245&lt;&gt;"Y","",IF($AO245=0,"Default (B15)",UPPER(TRIM(CLEAN(SUBSTITUTE(INDEX(rate_ID,MOD($AO245,100))&amp;""," "," "))))))</f>
        <v/>
      </c>
      <c r="P245" s="10">
        <f>IF($L245&lt;&gt;"Y","",IF($AO245=0,IF(UPPER(TRIM(CLEAN(SUBSTITUTE(act_DefaultBase&amp;""," "," "))))="PART","PART","FULL"),IF(UPPER(TRIM(CLEAN(SUBSTITUTE(INDEX(rate_Base,MOD($AO245,100))&amp;""," "," "))))="PART","PART","FULL")))</f>
        <v/>
      </c>
      <c r="Q245" s="17">
        <f>IF($A245="","",N(Items!J245))</f>
        <v/>
      </c>
      <c r="R245" s="17">
        <f>IF($A245="","",IF($L245&lt;&gt;"Y",0,IF($AO245=0,N(act_Rate),N(INDEX(rate_Rate,MOD($AO245,100))))))</f>
        <v/>
      </c>
      <c r="S245" s="17">
        <f>IF($A245="","",IF($L245&lt;&gt;"Y",0,IF($AO245=0,IF(UPPER(TRIM(CLEAN(SUBSTITUTE(act_RateType&amp;""," "," "))))="REPLACE",N(act_PriorRate),0),IF(ISNUMBER(INDEX(rate_Prior,MOD($AO245,100))),INDEX(rate_Prior,MOD($AO245,100)),IF(UPPER(TRIM(CLEAN(SUBSTITUTE(act_RateType&amp;""," "," "))))="REPLACE",N(act_PriorRate),0)))))</f>
        <v/>
      </c>
      <c r="T245" s="17">
        <f>IF($A245="","",IF(AND($L245="Y",$P245="PART",ISNUMBER(Items!M245)),Items!M245,1))</f>
        <v/>
      </c>
      <c r="U245" s="17">
        <f>IF($A245="","",IF($L245&lt;&gt;"Y",0,IF($AQ245&gt;0,IF(ISNUMBER(INDEX(det_Displaced,$AQ245)),INDEX(det_Displaced,$AQ245),IF($AO245=0,0,N(INDEX(rate_Displaced,MOD($AO245,100))))),IF($AO245=0,0,N(INDEX(rate_Displaced,MOD($AO245,100)))))))</f>
        <v/>
      </c>
      <c r="V245" s="17">
        <f>IF($A245="","",IF($L245="Y",$Q245+$T245*($R245-$S245)-$U245,$Q245))</f>
        <v/>
      </c>
      <c r="W245" s="18">
        <f>IF($A245="","",N(Items!H245)*$Q245)</f>
        <v/>
      </c>
      <c r="X245" s="18">
        <f>IF($A245="","",N(Items!H245)*$V245)</f>
        <v/>
      </c>
      <c r="Y245" s="18">
        <f>IF($A245="","",$X245-$W245)</f>
        <v/>
      </c>
      <c r="Z245" s="18">
        <f>IF($A245="","",N(Items!K245)+$Y245)</f>
        <v/>
      </c>
      <c r="AA245" s="17">
        <f>IF($A245="","",IF(N(Items!L245)=0,"",(N(Items!L245)-N(Items!K245))/N(Items!L245)))</f>
        <v/>
      </c>
      <c r="AB245" s="17">
        <f>IF($A245="","",IF(N(Items!L245)=0,"",(N(Items!L245)-$Z245)/N(Items!L245)))</f>
        <v/>
      </c>
      <c r="AC245" s="17">
        <f>IF(OR($AA245="",$AB245=""),"",$AB245-$AA245)</f>
        <v/>
      </c>
      <c r="AD245" s="13">
        <f>IF($A245="","",N(Items!I245))</f>
        <v/>
      </c>
      <c r="AE245" s="19">
        <f>IF($A245="","",$Y245*$AD245)</f>
        <v/>
      </c>
      <c r="AF245" s="10">
        <f>IF($A245="","",IF(N(Items!L245)&gt;0,"Y","N"))</f>
        <v/>
      </c>
      <c r="AG245" s="19">
        <f>IF($A245="","",IF($AF245="Y",N(Items!L245)*$AD245,0))</f>
        <v/>
      </c>
      <c r="AH245" s="19">
        <f>IF($A245="","",IF($AF245="Y",(N(Items!L245)-N(Items!K245))*$AD245,0))</f>
        <v/>
      </c>
      <c r="AI245" s="19">
        <f>IF($A245="","",IF($AF245="Y",$AH245-$AE245,0))</f>
        <v/>
      </c>
      <c r="AJ245" s="10">
        <f>IF($A245="","",IF(COUNTIF($AL$5:$AL$254,$AL245)&gt;1,"CHECK: duplicate item and import country",IF(TRIM(CLEAN(SUBSTITUTE(Items!C245&amp;""," "," ")))="","CHECK: import country missing",IF(AND(UPPER(TRIM(CLEAN(SUBSTITUTE(Items!C245&amp;""," "," "))))&lt;&gt;"US",UPPER(TRIM(CLEAN(SUBSTITUTE(Items!C245&amp;""," "," "))))&lt;&gt;"CA",UPPER(TRIM(CLEAN(SUBSTITUTE(Items!C245&amp;""," "," "))))&lt;&gt;"MX"),"CHECK: import country must be US, CA or MX",IF(NOT(AND(LEN($C245)=10,IFERROR(TEXT(VALUE($C245),REPT("0",LEN($C245)))=$C245,FALSE))),"CHECK: HTS must be 10 digits",IF(LEN($E245)&lt;&gt;2,"CHECK: origin code missing or not 2 letters",IF(TRIM(CLEAN(SUBSTITUTE(Items!G245&amp;""," "," ")))="","CHECK: unit of measure missing",IF(OR(Items!H245="",Items!J245="",Items!K245=""),"CHECK: value, rate or cost missing",IF(OR(NOT(ISNUMBER(Items!H245)),NOT(ISNUMBER(Items!J245)),NOT(ISNUMBER(Items!K245)),AND(Items!I245&lt;&gt;"",NOT(ISNUMBER(Items!I245))),AND(Items!L245&lt;&gt;"",NOT(ISNUMBER(Items!L245))),AND(Items!M245&lt;&gt;"",NOT(ISNUMBER(Items!M245)))),"CHECK: text in a number column",IF(AND(ISNUMBER(Items!M245),OR(N(Items!M245)&lt;0,N(Items!M245)&gt;1)),"CHECK: dutiable share must be 0% to 100%",IF(AND(UPPER(TRIM(CLEAN(SUBSTITUTE(Items!F245&amp;""," "," "))))&lt;&gt;"",UPPER(TRIM(CLEAN(SUBSTITUTE(Items!F245&amp;""," "," "))))&lt;&gt;"Y",UPPER(TRIM(CLEAN(SUBSTITUTE(Items!F245&amp;""," "," "))))&lt;&gt;"N"),"CHECK: USMCA flag must be Y, N or blank",IF(AND(UPPER(TRIM(CLEAN(SUBSTITUTE(Items!F245&amp;""," "," "))))="Y",$E245&lt;&gt;"US",$E245&lt;&gt;"CA",$E245&lt;&gt;"MX"),"CHECK: USMCA flag on an origin other than US, CA or MX",IF(AND($L245="Y",$AO245=0,NOT(ISNUMBER(act_Rate))),"CHECK: in scope but no rate (add a rate line or B15)",IF(AND($L245="Y",UPPER(TRIM(CLEAN(SUBSTITUTE(act_RateType&amp;""," "," "))))="REPLACE",NOT(ISNUMBER(act_PriorRate)),IF($AO245=0,TRUE,NOT(ISNUMBER(INDEX(rate_Prior,MOD($AO245,100)))))),"CHECK: REPLACE but no earlier rate (B17 or the rate line's AD)",IF(AND($L245="Y",$AP245&gt;1),"CHECK: two rate lines match equally",IF(AND($L245="Y",$AN245&gt;1),"CHECK: HTS prefix listed twice on the scope list",IF(AND($L245="Y",$P245="PART",NOT(ISNUMBER(Items!M245))),"CHECK: dutiable share missing (PART base)",IF(AND($L245="Y",$P245="FULL",ISNUMBER(Items!M245),N(Items!M245)&lt;&gt;1),"CHECK: dutiable share entered, but the rate taxes the full value",IF(AND($L245="Y",$Q245+0.0000001&lt;$T245*$S245+$U245),"CHECK: current rate is below the duty being replaced or displaced",IF(AND($L245="Y",$AD245=0),"NOTE: in scope, no quantity",IF(AND($L245="Y",$AF245="N"),"NOTE: in scope, no sell price (left out of margin %)",IF(AND($L245="Y",N(Items!H245)&gt;N(Items!K245)),"NOTE: customs value above standard cost (check unit of measure)",IF(AND($L245="Y",$Q245&gt;1),"NOTE: current rate above 100% (check it was entered as a percentage)","OK")))))))))))))))))))))))</f>
        <v/>
      </c>
      <c r="AK245" s="20">
        <f>IF($A245="","",IF(AND($L245="Y",$AE245&lt;&gt;0),ABS($AE245)+ROW()/1000000000,""))</f>
        <v/>
      </c>
      <c r="AL245" s="10">
        <f>IF($A245="","",UPPER($A245)&amp;"/"&amp;UPPER(TRIM(CLEAN(SUBSTITUTE(Items!C245&amp;""," "," ")))))</f>
        <v/>
      </c>
      <c r="AM245" s="13">
        <f>IF($A245="",0,SUMPRODUCT(MAX((scope_HTS&lt;&gt;"")*(LEFT($C245,LEN(scope_HTS))=scope_HTS)*(LEN(scope_HTS)*1000+ROW(scope_HTS)-4))))</f>
        <v/>
      </c>
      <c r="AN245" s="13">
        <f>IF($AM245=0,0,SUMPRODUCT((scope_HTS&lt;&gt;"")*(LEFT($C245,LEN(scope_HTS))=scope_HTS)*(LEN(scope_HTS)=INT($AM245/1000))))</f>
        <v/>
      </c>
      <c r="AO245" s="13">
        <f>IF($L245&lt;&gt;"Y",0,SUMPRODUCT(MAX(ISNUMBER(rate_Rate)*((UPPER(TRIM(CLEAN(SUBSTITUTE(rate_Group&amp;""," "," "))))="")+(UPPER(TRIM(CLEAN(SUBSTITUTE(rate_Group&amp;""," "," "))))=$N245)&gt;0)*((UPPER(TRIM(CLEAN(SUBSTITUTE(rate_COO&amp;""," "," "))))="")+(UPPER(TRIM(CLEAN(SUBSTITUTE(rate_COO&amp;""," "," "))))=$E245)&gt;0)*((UPPER(TRIM(CLEAN(SUBSTITUTE(rate_USMCA&amp;""," "," "))))="")+(UPPER(TRIM(CLEAN(SUBSTITUTE(rate_USMCA&amp;""," "," "))))=IF(UPPER(TRIM(CLEAN(SUBSTITUTE(Items!F245&amp;""," "," "))))="Y","Y","N"))&gt;0)*((1+(UPPER(TRIM(CLEAN(SUBSTITUTE(rate_Group&amp;""," "," "))))&lt;&gt;"")+2*(UPPER(TRIM(CLEAN(SUBSTITUTE(rate_USMCA&amp;""," "," "))))&lt;&gt;"")+4*(UPPER(TRIM(CLEAN(SUBSTITUTE(rate_COO&amp;""," "," "))))&lt;&gt;""))*100+ROW(rate_Rate)-4))))</f>
        <v/>
      </c>
      <c r="AP245" s="13">
        <f>IF($AO245=0,0,SUMPRODUCT(ISNUMBER(rate_Rate)*((UPPER(TRIM(CLEAN(SUBSTITUTE(rate_Group&amp;""," "," "))))="")+(UPPER(TRIM(CLEAN(SUBSTITUTE(rate_Group&amp;""," "," "))))=$N245)&gt;0)*((UPPER(TRIM(CLEAN(SUBSTITUTE(rate_COO&amp;""," "," "))))="")+(UPPER(TRIM(CLEAN(SUBSTITUTE(rate_COO&amp;""," "," "))))=$E245)&gt;0)*((UPPER(TRIM(CLEAN(SUBSTITUTE(rate_USMCA&amp;""," "," "))))="")+(UPPER(TRIM(CLEAN(SUBSTITUTE(rate_USMCA&amp;""," "," "))))=IF(UPPER(TRIM(CLEAN(SUBSTITUTE(Items!F245&amp;""," "," "))))="Y","Y","N"))&gt;0)*((1+(UPPER(TRIM(CLEAN(SUBSTITUTE(rate_Group&amp;""," "," "))))&lt;&gt;"")+2*(UPPER(TRIM(CLEAN(SUBSTITUTE(rate_USMCA&amp;""," "," "))))&lt;&gt;"")+4*(UPPER(TRIM(CLEAN(SUBSTITUTE(rate_COO&amp;""," "," "))))&lt;&gt;""))=INT($AO245/100))))</f>
        <v/>
      </c>
      <c r="AQ245" s="13">
        <f>IF($A245="",0,IFERROR(MATCH($AL245,det_Key,0),0))</f>
        <v/>
      </c>
    </row>
    <row r="246">
      <c r="A246" s="10">
        <f>IF(TRIM(CLEAN(SUBSTITUTE(Items!A246&amp;""," "," ")))="","",TRIM(CLEAN(SUBSTITUTE(Items!A246&amp;""," "," "))))</f>
        <v/>
      </c>
      <c r="B246" s="10">
        <f>IF($A246="","",Items!B246&amp;"")</f>
        <v/>
      </c>
      <c r="C246" s="10">
        <f>IF($A246="","",SUBSTITUTE(SUBSTITUTE(SUBSTITUTE(SUBSTITUTE(CLEAN(Items!D246&amp;"")," ",""),".","")," ",""),"-",""))</f>
        <v/>
      </c>
      <c r="D246" s="10">
        <f>IF($A246="","",LEFT($C246,2))</f>
        <v/>
      </c>
      <c r="E246" s="10">
        <f>IF($A246="","",UPPER(TRIM(CLEAN(SUBSTITUTE(Items!E246&amp;""," "," ")))))</f>
        <v/>
      </c>
      <c r="F246" s="10">
        <f>IF($A246="","",IF(UPPER(TRIM(CLEAN(SUBSTITUTE(Items!C246&amp;""," "," "))))=UPPER(TRIM(CLEAN(SUBSTITUTE(act_Country&amp;""," "," ")))),"Y","N"))</f>
        <v/>
      </c>
      <c r="G246" s="10">
        <f>IF($A246="","",IF($AM246&gt;0,"Y","N"))</f>
        <v/>
      </c>
      <c r="H246" s="10">
        <f>IF($A246="","",IF(SUMPRODUCT((excl_HTS&lt;&gt;"")*(LEFT($C246,LEN(excl_HTS))=excl_HTS))&gt;0,"Y","N"))</f>
        <v/>
      </c>
      <c r="I246" s="10">
        <f>IF($A246="","",IF($E246="","N",IF(SUMPRODUCT(--(UPPER(TRIM(CLEAN(SUBSTITUTE(scope_COO&amp;""," "," "))))=$E246))&gt;0,"Y","N")))</f>
        <v/>
      </c>
      <c r="J246" s="10">
        <f>IF($A246="","",IF(AND(UPPER(TRIM(CLEAN(SUBSTITUTE(act_USMCAExempt&amp;""," "," "))))="Y",UPPER(TRIM(CLEAN(SUBSTITUTE(Items!F246&amp;""," "," "))))="Y"),"Y","N"))</f>
        <v/>
      </c>
      <c r="K246" s="10">
        <f>IF($A246="","",IF($AQ246=0,"",UPPER(TRIM(CLEAN(SUBSTITUTE(INDEX(det_Status,$AQ246)&amp;""," "," "))))))</f>
        <v/>
      </c>
      <c r="L246" s="10">
        <f>IF($A246="","",IF($F246="N","N",IF($K246="IN","Y",IF($K246="OUT","N",IF(AND($G246="Y",$H246="N",$I246="Y",$J246="N"),"Y","N")))))</f>
        <v/>
      </c>
      <c r="M246" s="10">
        <f>IF($A246="","",IF($F246="N","Out: different import country",IF($K246="IN","In: Research determination",IF($K246="OUT","Out: Research determination",IF($G246="N","Out: HTS not on scope list",IF($H246="Y","Out: HTS on exclusion list",IF($I246="N","Out: origin not on scope list",IF($J246="Y","Out: USMCA-qualifying, exempt","In: matches scope rules"))))))))</f>
        <v/>
      </c>
      <c r="N246" s="10">
        <f>IF(OR($A246="",$AM246=0),"",UPPER(TRIM(CLEAN(SUBSTITUTE(INDEX(scope_Group,MOD($AM246,1000))&amp;""," "," ")))))</f>
        <v/>
      </c>
      <c r="O246" s="10">
        <f>IF($L246&lt;&gt;"Y","",IF($AO246=0,"Default (B15)",UPPER(TRIM(CLEAN(SUBSTITUTE(INDEX(rate_ID,MOD($AO246,100))&amp;""," "," "))))))</f>
        <v/>
      </c>
      <c r="P246" s="10">
        <f>IF($L246&lt;&gt;"Y","",IF($AO246=0,IF(UPPER(TRIM(CLEAN(SUBSTITUTE(act_DefaultBase&amp;""," "," "))))="PART","PART","FULL"),IF(UPPER(TRIM(CLEAN(SUBSTITUTE(INDEX(rate_Base,MOD($AO246,100))&amp;""," "," "))))="PART","PART","FULL")))</f>
        <v/>
      </c>
      <c r="Q246" s="17">
        <f>IF($A246="","",N(Items!J246))</f>
        <v/>
      </c>
      <c r="R246" s="17">
        <f>IF($A246="","",IF($L246&lt;&gt;"Y",0,IF($AO246=0,N(act_Rate),N(INDEX(rate_Rate,MOD($AO246,100))))))</f>
        <v/>
      </c>
      <c r="S246" s="17">
        <f>IF($A246="","",IF($L246&lt;&gt;"Y",0,IF($AO246=0,IF(UPPER(TRIM(CLEAN(SUBSTITUTE(act_RateType&amp;""," "," "))))="REPLACE",N(act_PriorRate),0),IF(ISNUMBER(INDEX(rate_Prior,MOD($AO246,100))),INDEX(rate_Prior,MOD($AO246,100)),IF(UPPER(TRIM(CLEAN(SUBSTITUTE(act_RateType&amp;""," "," "))))="REPLACE",N(act_PriorRate),0)))))</f>
        <v/>
      </c>
      <c r="T246" s="17">
        <f>IF($A246="","",IF(AND($L246="Y",$P246="PART",ISNUMBER(Items!M246)),Items!M246,1))</f>
        <v/>
      </c>
      <c r="U246" s="17">
        <f>IF($A246="","",IF($L246&lt;&gt;"Y",0,IF($AQ246&gt;0,IF(ISNUMBER(INDEX(det_Displaced,$AQ246)),INDEX(det_Displaced,$AQ246),IF($AO246=0,0,N(INDEX(rate_Displaced,MOD($AO246,100))))),IF($AO246=0,0,N(INDEX(rate_Displaced,MOD($AO246,100)))))))</f>
        <v/>
      </c>
      <c r="V246" s="17">
        <f>IF($A246="","",IF($L246="Y",$Q246+$T246*($R246-$S246)-$U246,$Q246))</f>
        <v/>
      </c>
      <c r="W246" s="18">
        <f>IF($A246="","",N(Items!H246)*$Q246)</f>
        <v/>
      </c>
      <c r="X246" s="18">
        <f>IF($A246="","",N(Items!H246)*$V246)</f>
        <v/>
      </c>
      <c r="Y246" s="18">
        <f>IF($A246="","",$X246-$W246)</f>
        <v/>
      </c>
      <c r="Z246" s="18">
        <f>IF($A246="","",N(Items!K246)+$Y246)</f>
        <v/>
      </c>
      <c r="AA246" s="17">
        <f>IF($A246="","",IF(N(Items!L246)=0,"",(N(Items!L246)-N(Items!K246))/N(Items!L246)))</f>
        <v/>
      </c>
      <c r="AB246" s="17">
        <f>IF($A246="","",IF(N(Items!L246)=0,"",(N(Items!L246)-$Z246)/N(Items!L246)))</f>
        <v/>
      </c>
      <c r="AC246" s="17">
        <f>IF(OR($AA246="",$AB246=""),"",$AB246-$AA246)</f>
        <v/>
      </c>
      <c r="AD246" s="13">
        <f>IF($A246="","",N(Items!I246))</f>
        <v/>
      </c>
      <c r="AE246" s="19">
        <f>IF($A246="","",$Y246*$AD246)</f>
        <v/>
      </c>
      <c r="AF246" s="10">
        <f>IF($A246="","",IF(N(Items!L246)&gt;0,"Y","N"))</f>
        <v/>
      </c>
      <c r="AG246" s="19">
        <f>IF($A246="","",IF($AF246="Y",N(Items!L246)*$AD246,0))</f>
        <v/>
      </c>
      <c r="AH246" s="19">
        <f>IF($A246="","",IF($AF246="Y",(N(Items!L246)-N(Items!K246))*$AD246,0))</f>
        <v/>
      </c>
      <c r="AI246" s="19">
        <f>IF($A246="","",IF($AF246="Y",$AH246-$AE246,0))</f>
        <v/>
      </c>
      <c r="AJ246" s="10">
        <f>IF($A246="","",IF(COUNTIF($AL$5:$AL$254,$AL246)&gt;1,"CHECK: duplicate item and import country",IF(TRIM(CLEAN(SUBSTITUTE(Items!C246&amp;""," "," ")))="","CHECK: import country missing",IF(AND(UPPER(TRIM(CLEAN(SUBSTITUTE(Items!C246&amp;""," "," "))))&lt;&gt;"US",UPPER(TRIM(CLEAN(SUBSTITUTE(Items!C246&amp;""," "," "))))&lt;&gt;"CA",UPPER(TRIM(CLEAN(SUBSTITUTE(Items!C246&amp;""," "," "))))&lt;&gt;"MX"),"CHECK: import country must be US, CA or MX",IF(NOT(AND(LEN($C246)=10,IFERROR(TEXT(VALUE($C246),REPT("0",LEN($C246)))=$C246,FALSE))),"CHECK: HTS must be 10 digits",IF(LEN($E246)&lt;&gt;2,"CHECK: origin code missing or not 2 letters",IF(TRIM(CLEAN(SUBSTITUTE(Items!G246&amp;""," "," ")))="","CHECK: unit of measure missing",IF(OR(Items!H246="",Items!J246="",Items!K246=""),"CHECK: value, rate or cost missing",IF(OR(NOT(ISNUMBER(Items!H246)),NOT(ISNUMBER(Items!J246)),NOT(ISNUMBER(Items!K246)),AND(Items!I246&lt;&gt;"",NOT(ISNUMBER(Items!I246))),AND(Items!L246&lt;&gt;"",NOT(ISNUMBER(Items!L246))),AND(Items!M246&lt;&gt;"",NOT(ISNUMBER(Items!M246)))),"CHECK: text in a number column",IF(AND(ISNUMBER(Items!M246),OR(N(Items!M246)&lt;0,N(Items!M246)&gt;1)),"CHECK: dutiable share must be 0% to 100%",IF(AND(UPPER(TRIM(CLEAN(SUBSTITUTE(Items!F246&amp;""," "," "))))&lt;&gt;"",UPPER(TRIM(CLEAN(SUBSTITUTE(Items!F246&amp;""," "," "))))&lt;&gt;"Y",UPPER(TRIM(CLEAN(SUBSTITUTE(Items!F246&amp;""," "," "))))&lt;&gt;"N"),"CHECK: USMCA flag must be Y, N or blank",IF(AND(UPPER(TRIM(CLEAN(SUBSTITUTE(Items!F246&amp;""," "," "))))="Y",$E246&lt;&gt;"US",$E246&lt;&gt;"CA",$E246&lt;&gt;"MX"),"CHECK: USMCA flag on an origin other than US, CA or MX",IF(AND($L246="Y",$AO246=0,NOT(ISNUMBER(act_Rate))),"CHECK: in scope but no rate (add a rate line or B15)",IF(AND($L246="Y",UPPER(TRIM(CLEAN(SUBSTITUTE(act_RateType&amp;""," "," "))))="REPLACE",NOT(ISNUMBER(act_PriorRate)),IF($AO246=0,TRUE,NOT(ISNUMBER(INDEX(rate_Prior,MOD($AO246,100)))))),"CHECK: REPLACE but no earlier rate (B17 or the rate line's AD)",IF(AND($L246="Y",$AP246&gt;1),"CHECK: two rate lines match equally",IF(AND($L246="Y",$AN246&gt;1),"CHECK: HTS prefix listed twice on the scope list",IF(AND($L246="Y",$P246="PART",NOT(ISNUMBER(Items!M246))),"CHECK: dutiable share missing (PART base)",IF(AND($L246="Y",$P246="FULL",ISNUMBER(Items!M246),N(Items!M246)&lt;&gt;1),"CHECK: dutiable share entered, but the rate taxes the full value",IF(AND($L246="Y",$Q246+0.0000001&lt;$T246*$S246+$U246),"CHECK: current rate is below the duty being replaced or displaced",IF(AND($L246="Y",$AD246=0),"NOTE: in scope, no quantity",IF(AND($L246="Y",$AF246="N"),"NOTE: in scope, no sell price (left out of margin %)",IF(AND($L246="Y",N(Items!H246)&gt;N(Items!K246)),"NOTE: customs value above standard cost (check unit of measure)",IF(AND($L246="Y",$Q246&gt;1),"NOTE: current rate above 100% (check it was entered as a percentage)","OK")))))))))))))))))))))))</f>
        <v/>
      </c>
      <c r="AK246" s="20">
        <f>IF($A246="","",IF(AND($L246="Y",$AE246&lt;&gt;0),ABS($AE246)+ROW()/1000000000,""))</f>
        <v/>
      </c>
      <c r="AL246" s="10">
        <f>IF($A246="","",UPPER($A246)&amp;"/"&amp;UPPER(TRIM(CLEAN(SUBSTITUTE(Items!C246&amp;""," "," ")))))</f>
        <v/>
      </c>
      <c r="AM246" s="13">
        <f>IF($A246="",0,SUMPRODUCT(MAX((scope_HTS&lt;&gt;"")*(LEFT($C246,LEN(scope_HTS))=scope_HTS)*(LEN(scope_HTS)*1000+ROW(scope_HTS)-4))))</f>
        <v/>
      </c>
      <c r="AN246" s="13">
        <f>IF($AM246=0,0,SUMPRODUCT((scope_HTS&lt;&gt;"")*(LEFT($C246,LEN(scope_HTS))=scope_HTS)*(LEN(scope_HTS)=INT($AM246/1000))))</f>
        <v/>
      </c>
      <c r="AO246" s="13">
        <f>IF($L246&lt;&gt;"Y",0,SUMPRODUCT(MAX(ISNUMBER(rate_Rate)*((UPPER(TRIM(CLEAN(SUBSTITUTE(rate_Group&amp;""," "," "))))="")+(UPPER(TRIM(CLEAN(SUBSTITUTE(rate_Group&amp;""," "," "))))=$N246)&gt;0)*((UPPER(TRIM(CLEAN(SUBSTITUTE(rate_COO&amp;""," "," "))))="")+(UPPER(TRIM(CLEAN(SUBSTITUTE(rate_COO&amp;""," "," "))))=$E246)&gt;0)*((UPPER(TRIM(CLEAN(SUBSTITUTE(rate_USMCA&amp;""," "," "))))="")+(UPPER(TRIM(CLEAN(SUBSTITUTE(rate_USMCA&amp;""," "," "))))=IF(UPPER(TRIM(CLEAN(SUBSTITUTE(Items!F246&amp;""," "," "))))="Y","Y","N"))&gt;0)*((1+(UPPER(TRIM(CLEAN(SUBSTITUTE(rate_Group&amp;""," "," "))))&lt;&gt;"")+2*(UPPER(TRIM(CLEAN(SUBSTITUTE(rate_USMCA&amp;""," "," "))))&lt;&gt;"")+4*(UPPER(TRIM(CLEAN(SUBSTITUTE(rate_COO&amp;""," "," "))))&lt;&gt;""))*100+ROW(rate_Rate)-4))))</f>
        <v/>
      </c>
      <c r="AP246" s="13">
        <f>IF($AO246=0,0,SUMPRODUCT(ISNUMBER(rate_Rate)*((UPPER(TRIM(CLEAN(SUBSTITUTE(rate_Group&amp;""," "," "))))="")+(UPPER(TRIM(CLEAN(SUBSTITUTE(rate_Group&amp;""," "," "))))=$N246)&gt;0)*((UPPER(TRIM(CLEAN(SUBSTITUTE(rate_COO&amp;""," "," "))))="")+(UPPER(TRIM(CLEAN(SUBSTITUTE(rate_COO&amp;""," "," "))))=$E246)&gt;0)*((UPPER(TRIM(CLEAN(SUBSTITUTE(rate_USMCA&amp;""," "," "))))="")+(UPPER(TRIM(CLEAN(SUBSTITUTE(rate_USMCA&amp;""," "," "))))=IF(UPPER(TRIM(CLEAN(SUBSTITUTE(Items!F246&amp;""," "," "))))="Y","Y","N"))&gt;0)*((1+(UPPER(TRIM(CLEAN(SUBSTITUTE(rate_Group&amp;""," "," "))))&lt;&gt;"")+2*(UPPER(TRIM(CLEAN(SUBSTITUTE(rate_USMCA&amp;""," "," "))))&lt;&gt;"")+4*(UPPER(TRIM(CLEAN(SUBSTITUTE(rate_COO&amp;""," "," "))))&lt;&gt;""))=INT($AO246/100))))</f>
        <v/>
      </c>
      <c r="AQ246" s="13">
        <f>IF($A246="",0,IFERROR(MATCH($AL246,det_Key,0),0))</f>
        <v/>
      </c>
    </row>
    <row r="247">
      <c r="A247" s="10">
        <f>IF(TRIM(CLEAN(SUBSTITUTE(Items!A247&amp;""," "," ")))="","",TRIM(CLEAN(SUBSTITUTE(Items!A247&amp;""," "," "))))</f>
        <v/>
      </c>
      <c r="B247" s="10">
        <f>IF($A247="","",Items!B247&amp;"")</f>
        <v/>
      </c>
      <c r="C247" s="10">
        <f>IF($A247="","",SUBSTITUTE(SUBSTITUTE(SUBSTITUTE(SUBSTITUTE(CLEAN(Items!D247&amp;"")," ",""),".","")," ",""),"-",""))</f>
        <v/>
      </c>
      <c r="D247" s="10">
        <f>IF($A247="","",LEFT($C247,2))</f>
        <v/>
      </c>
      <c r="E247" s="10">
        <f>IF($A247="","",UPPER(TRIM(CLEAN(SUBSTITUTE(Items!E247&amp;""," "," ")))))</f>
        <v/>
      </c>
      <c r="F247" s="10">
        <f>IF($A247="","",IF(UPPER(TRIM(CLEAN(SUBSTITUTE(Items!C247&amp;""," "," "))))=UPPER(TRIM(CLEAN(SUBSTITUTE(act_Country&amp;""," "," ")))),"Y","N"))</f>
        <v/>
      </c>
      <c r="G247" s="10">
        <f>IF($A247="","",IF($AM247&gt;0,"Y","N"))</f>
        <v/>
      </c>
      <c r="H247" s="10">
        <f>IF($A247="","",IF(SUMPRODUCT((excl_HTS&lt;&gt;"")*(LEFT($C247,LEN(excl_HTS))=excl_HTS))&gt;0,"Y","N"))</f>
        <v/>
      </c>
      <c r="I247" s="10">
        <f>IF($A247="","",IF($E247="","N",IF(SUMPRODUCT(--(UPPER(TRIM(CLEAN(SUBSTITUTE(scope_COO&amp;""," "," "))))=$E247))&gt;0,"Y","N")))</f>
        <v/>
      </c>
      <c r="J247" s="10">
        <f>IF($A247="","",IF(AND(UPPER(TRIM(CLEAN(SUBSTITUTE(act_USMCAExempt&amp;""," "," "))))="Y",UPPER(TRIM(CLEAN(SUBSTITUTE(Items!F247&amp;""," "," "))))="Y"),"Y","N"))</f>
        <v/>
      </c>
      <c r="K247" s="10">
        <f>IF($A247="","",IF($AQ247=0,"",UPPER(TRIM(CLEAN(SUBSTITUTE(INDEX(det_Status,$AQ247)&amp;""," "," "))))))</f>
        <v/>
      </c>
      <c r="L247" s="10">
        <f>IF($A247="","",IF($F247="N","N",IF($K247="IN","Y",IF($K247="OUT","N",IF(AND($G247="Y",$H247="N",$I247="Y",$J247="N"),"Y","N")))))</f>
        <v/>
      </c>
      <c r="M247" s="10">
        <f>IF($A247="","",IF($F247="N","Out: different import country",IF($K247="IN","In: Research determination",IF($K247="OUT","Out: Research determination",IF($G247="N","Out: HTS not on scope list",IF($H247="Y","Out: HTS on exclusion list",IF($I247="N","Out: origin not on scope list",IF($J247="Y","Out: USMCA-qualifying, exempt","In: matches scope rules"))))))))</f>
        <v/>
      </c>
      <c r="N247" s="10">
        <f>IF(OR($A247="",$AM247=0),"",UPPER(TRIM(CLEAN(SUBSTITUTE(INDEX(scope_Group,MOD($AM247,1000))&amp;""," "," ")))))</f>
        <v/>
      </c>
      <c r="O247" s="10">
        <f>IF($L247&lt;&gt;"Y","",IF($AO247=0,"Default (B15)",UPPER(TRIM(CLEAN(SUBSTITUTE(INDEX(rate_ID,MOD($AO247,100))&amp;""," "," "))))))</f>
        <v/>
      </c>
      <c r="P247" s="10">
        <f>IF($L247&lt;&gt;"Y","",IF($AO247=0,IF(UPPER(TRIM(CLEAN(SUBSTITUTE(act_DefaultBase&amp;""," "," "))))="PART","PART","FULL"),IF(UPPER(TRIM(CLEAN(SUBSTITUTE(INDEX(rate_Base,MOD($AO247,100))&amp;""," "," "))))="PART","PART","FULL")))</f>
        <v/>
      </c>
      <c r="Q247" s="17">
        <f>IF($A247="","",N(Items!J247))</f>
        <v/>
      </c>
      <c r="R247" s="17">
        <f>IF($A247="","",IF($L247&lt;&gt;"Y",0,IF($AO247=0,N(act_Rate),N(INDEX(rate_Rate,MOD($AO247,100))))))</f>
        <v/>
      </c>
      <c r="S247" s="17">
        <f>IF($A247="","",IF($L247&lt;&gt;"Y",0,IF($AO247=0,IF(UPPER(TRIM(CLEAN(SUBSTITUTE(act_RateType&amp;""," "," "))))="REPLACE",N(act_PriorRate),0),IF(ISNUMBER(INDEX(rate_Prior,MOD($AO247,100))),INDEX(rate_Prior,MOD($AO247,100)),IF(UPPER(TRIM(CLEAN(SUBSTITUTE(act_RateType&amp;""," "," "))))="REPLACE",N(act_PriorRate),0)))))</f>
        <v/>
      </c>
      <c r="T247" s="17">
        <f>IF($A247="","",IF(AND($L247="Y",$P247="PART",ISNUMBER(Items!M247)),Items!M247,1))</f>
        <v/>
      </c>
      <c r="U247" s="17">
        <f>IF($A247="","",IF($L247&lt;&gt;"Y",0,IF($AQ247&gt;0,IF(ISNUMBER(INDEX(det_Displaced,$AQ247)),INDEX(det_Displaced,$AQ247),IF($AO247=0,0,N(INDEX(rate_Displaced,MOD($AO247,100))))),IF($AO247=0,0,N(INDEX(rate_Displaced,MOD($AO247,100)))))))</f>
        <v/>
      </c>
      <c r="V247" s="17">
        <f>IF($A247="","",IF($L247="Y",$Q247+$T247*($R247-$S247)-$U247,$Q247))</f>
        <v/>
      </c>
      <c r="W247" s="18">
        <f>IF($A247="","",N(Items!H247)*$Q247)</f>
        <v/>
      </c>
      <c r="X247" s="18">
        <f>IF($A247="","",N(Items!H247)*$V247)</f>
        <v/>
      </c>
      <c r="Y247" s="18">
        <f>IF($A247="","",$X247-$W247)</f>
        <v/>
      </c>
      <c r="Z247" s="18">
        <f>IF($A247="","",N(Items!K247)+$Y247)</f>
        <v/>
      </c>
      <c r="AA247" s="17">
        <f>IF($A247="","",IF(N(Items!L247)=0,"",(N(Items!L247)-N(Items!K247))/N(Items!L247)))</f>
        <v/>
      </c>
      <c r="AB247" s="17">
        <f>IF($A247="","",IF(N(Items!L247)=0,"",(N(Items!L247)-$Z247)/N(Items!L247)))</f>
        <v/>
      </c>
      <c r="AC247" s="17">
        <f>IF(OR($AA247="",$AB247=""),"",$AB247-$AA247)</f>
        <v/>
      </c>
      <c r="AD247" s="13">
        <f>IF($A247="","",N(Items!I247))</f>
        <v/>
      </c>
      <c r="AE247" s="19">
        <f>IF($A247="","",$Y247*$AD247)</f>
        <v/>
      </c>
      <c r="AF247" s="10">
        <f>IF($A247="","",IF(N(Items!L247)&gt;0,"Y","N"))</f>
        <v/>
      </c>
      <c r="AG247" s="19">
        <f>IF($A247="","",IF($AF247="Y",N(Items!L247)*$AD247,0))</f>
        <v/>
      </c>
      <c r="AH247" s="19">
        <f>IF($A247="","",IF($AF247="Y",(N(Items!L247)-N(Items!K247))*$AD247,0))</f>
        <v/>
      </c>
      <c r="AI247" s="19">
        <f>IF($A247="","",IF($AF247="Y",$AH247-$AE247,0))</f>
        <v/>
      </c>
      <c r="AJ247" s="10">
        <f>IF($A247="","",IF(COUNTIF($AL$5:$AL$254,$AL247)&gt;1,"CHECK: duplicate item and import country",IF(TRIM(CLEAN(SUBSTITUTE(Items!C247&amp;""," "," ")))="","CHECK: import country missing",IF(AND(UPPER(TRIM(CLEAN(SUBSTITUTE(Items!C247&amp;""," "," "))))&lt;&gt;"US",UPPER(TRIM(CLEAN(SUBSTITUTE(Items!C247&amp;""," "," "))))&lt;&gt;"CA",UPPER(TRIM(CLEAN(SUBSTITUTE(Items!C247&amp;""," "," "))))&lt;&gt;"MX"),"CHECK: import country must be US, CA or MX",IF(NOT(AND(LEN($C247)=10,IFERROR(TEXT(VALUE($C247),REPT("0",LEN($C247)))=$C247,FALSE))),"CHECK: HTS must be 10 digits",IF(LEN($E247)&lt;&gt;2,"CHECK: origin code missing or not 2 letters",IF(TRIM(CLEAN(SUBSTITUTE(Items!G247&amp;""," "," ")))="","CHECK: unit of measure missing",IF(OR(Items!H247="",Items!J247="",Items!K247=""),"CHECK: value, rate or cost missing",IF(OR(NOT(ISNUMBER(Items!H247)),NOT(ISNUMBER(Items!J247)),NOT(ISNUMBER(Items!K247)),AND(Items!I247&lt;&gt;"",NOT(ISNUMBER(Items!I247))),AND(Items!L247&lt;&gt;"",NOT(ISNUMBER(Items!L247))),AND(Items!M247&lt;&gt;"",NOT(ISNUMBER(Items!M247)))),"CHECK: text in a number column",IF(AND(ISNUMBER(Items!M247),OR(N(Items!M247)&lt;0,N(Items!M247)&gt;1)),"CHECK: dutiable share must be 0% to 100%",IF(AND(UPPER(TRIM(CLEAN(SUBSTITUTE(Items!F247&amp;""," "," "))))&lt;&gt;"",UPPER(TRIM(CLEAN(SUBSTITUTE(Items!F247&amp;""," "," "))))&lt;&gt;"Y",UPPER(TRIM(CLEAN(SUBSTITUTE(Items!F247&amp;""," "," "))))&lt;&gt;"N"),"CHECK: USMCA flag must be Y, N or blank",IF(AND(UPPER(TRIM(CLEAN(SUBSTITUTE(Items!F247&amp;""," "," "))))="Y",$E247&lt;&gt;"US",$E247&lt;&gt;"CA",$E247&lt;&gt;"MX"),"CHECK: USMCA flag on an origin other than US, CA or MX",IF(AND($L247="Y",$AO247=0,NOT(ISNUMBER(act_Rate))),"CHECK: in scope but no rate (add a rate line or B15)",IF(AND($L247="Y",UPPER(TRIM(CLEAN(SUBSTITUTE(act_RateType&amp;""," "," "))))="REPLACE",NOT(ISNUMBER(act_PriorRate)),IF($AO247=0,TRUE,NOT(ISNUMBER(INDEX(rate_Prior,MOD($AO247,100)))))),"CHECK: REPLACE but no earlier rate (B17 or the rate line's AD)",IF(AND($L247="Y",$AP247&gt;1),"CHECK: two rate lines match equally",IF(AND($L247="Y",$AN247&gt;1),"CHECK: HTS prefix listed twice on the scope list",IF(AND($L247="Y",$P247="PART",NOT(ISNUMBER(Items!M247))),"CHECK: dutiable share missing (PART base)",IF(AND($L247="Y",$P247="FULL",ISNUMBER(Items!M247),N(Items!M247)&lt;&gt;1),"CHECK: dutiable share entered, but the rate taxes the full value",IF(AND($L247="Y",$Q247+0.0000001&lt;$T247*$S247+$U247),"CHECK: current rate is below the duty being replaced or displaced",IF(AND($L247="Y",$AD247=0),"NOTE: in scope, no quantity",IF(AND($L247="Y",$AF247="N"),"NOTE: in scope, no sell price (left out of margin %)",IF(AND($L247="Y",N(Items!H247)&gt;N(Items!K247)),"NOTE: customs value above standard cost (check unit of measure)",IF(AND($L247="Y",$Q247&gt;1),"NOTE: current rate above 100% (check it was entered as a percentage)","OK")))))))))))))))))))))))</f>
        <v/>
      </c>
      <c r="AK247" s="20">
        <f>IF($A247="","",IF(AND($L247="Y",$AE247&lt;&gt;0),ABS($AE247)+ROW()/1000000000,""))</f>
        <v/>
      </c>
      <c r="AL247" s="10">
        <f>IF($A247="","",UPPER($A247)&amp;"/"&amp;UPPER(TRIM(CLEAN(SUBSTITUTE(Items!C247&amp;""," "," ")))))</f>
        <v/>
      </c>
      <c r="AM247" s="13">
        <f>IF($A247="",0,SUMPRODUCT(MAX((scope_HTS&lt;&gt;"")*(LEFT($C247,LEN(scope_HTS))=scope_HTS)*(LEN(scope_HTS)*1000+ROW(scope_HTS)-4))))</f>
        <v/>
      </c>
      <c r="AN247" s="13">
        <f>IF($AM247=0,0,SUMPRODUCT((scope_HTS&lt;&gt;"")*(LEFT($C247,LEN(scope_HTS))=scope_HTS)*(LEN(scope_HTS)=INT($AM247/1000))))</f>
        <v/>
      </c>
      <c r="AO247" s="13">
        <f>IF($L247&lt;&gt;"Y",0,SUMPRODUCT(MAX(ISNUMBER(rate_Rate)*((UPPER(TRIM(CLEAN(SUBSTITUTE(rate_Group&amp;""," "," "))))="")+(UPPER(TRIM(CLEAN(SUBSTITUTE(rate_Group&amp;""," "," "))))=$N247)&gt;0)*((UPPER(TRIM(CLEAN(SUBSTITUTE(rate_COO&amp;""," "," "))))="")+(UPPER(TRIM(CLEAN(SUBSTITUTE(rate_COO&amp;""," "," "))))=$E247)&gt;0)*((UPPER(TRIM(CLEAN(SUBSTITUTE(rate_USMCA&amp;""," "," "))))="")+(UPPER(TRIM(CLEAN(SUBSTITUTE(rate_USMCA&amp;""," "," "))))=IF(UPPER(TRIM(CLEAN(SUBSTITUTE(Items!F247&amp;""," "," "))))="Y","Y","N"))&gt;0)*((1+(UPPER(TRIM(CLEAN(SUBSTITUTE(rate_Group&amp;""," "," "))))&lt;&gt;"")+2*(UPPER(TRIM(CLEAN(SUBSTITUTE(rate_USMCA&amp;""," "," "))))&lt;&gt;"")+4*(UPPER(TRIM(CLEAN(SUBSTITUTE(rate_COO&amp;""," "," "))))&lt;&gt;""))*100+ROW(rate_Rate)-4))))</f>
        <v/>
      </c>
      <c r="AP247" s="13">
        <f>IF($AO247=0,0,SUMPRODUCT(ISNUMBER(rate_Rate)*((UPPER(TRIM(CLEAN(SUBSTITUTE(rate_Group&amp;""," "," "))))="")+(UPPER(TRIM(CLEAN(SUBSTITUTE(rate_Group&amp;""," "," "))))=$N247)&gt;0)*((UPPER(TRIM(CLEAN(SUBSTITUTE(rate_COO&amp;""," "," "))))="")+(UPPER(TRIM(CLEAN(SUBSTITUTE(rate_COO&amp;""," "," "))))=$E247)&gt;0)*((UPPER(TRIM(CLEAN(SUBSTITUTE(rate_USMCA&amp;""," "," "))))="")+(UPPER(TRIM(CLEAN(SUBSTITUTE(rate_USMCA&amp;""," "," "))))=IF(UPPER(TRIM(CLEAN(SUBSTITUTE(Items!F247&amp;""," "," "))))="Y","Y","N"))&gt;0)*((1+(UPPER(TRIM(CLEAN(SUBSTITUTE(rate_Group&amp;""," "," "))))&lt;&gt;"")+2*(UPPER(TRIM(CLEAN(SUBSTITUTE(rate_USMCA&amp;""," "," "))))&lt;&gt;"")+4*(UPPER(TRIM(CLEAN(SUBSTITUTE(rate_COO&amp;""," "," "))))&lt;&gt;""))=INT($AO247/100))))</f>
        <v/>
      </c>
      <c r="AQ247" s="13">
        <f>IF($A247="",0,IFERROR(MATCH($AL247,det_Key,0),0))</f>
        <v/>
      </c>
    </row>
    <row r="248">
      <c r="A248" s="10">
        <f>IF(TRIM(CLEAN(SUBSTITUTE(Items!A248&amp;""," "," ")))="","",TRIM(CLEAN(SUBSTITUTE(Items!A248&amp;""," "," "))))</f>
        <v/>
      </c>
      <c r="B248" s="10">
        <f>IF($A248="","",Items!B248&amp;"")</f>
        <v/>
      </c>
      <c r="C248" s="10">
        <f>IF($A248="","",SUBSTITUTE(SUBSTITUTE(SUBSTITUTE(SUBSTITUTE(CLEAN(Items!D248&amp;"")," ",""),".","")," ",""),"-",""))</f>
        <v/>
      </c>
      <c r="D248" s="10">
        <f>IF($A248="","",LEFT($C248,2))</f>
        <v/>
      </c>
      <c r="E248" s="10">
        <f>IF($A248="","",UPPER(TRIM(CLEAN(SUBSTITUTE(Items!E248&amp;""," "," ")))))</f>
        <v/>
      </c>
      <c r="F248" s="10">
        <f>IF($A248="","",IF(UPPER(TRIM(CLEAN(SUBSTITUTE(Items!C248&amp;""," "," "))))=UPPER(TRIM(CLEAN(SUBSTITUTE(act_Country&amp;""," "," ")))),"Y","N"))</f>
        <v/>
      </c>
      <c r="G248" s="10">
        <f>IF($A248="","",IF($AM248&gt;0,"Y","N"))</f>
        <v/>
      </c>
      <c r="H248" s="10">
        <f>IF($A248="","",IF(SUMPRODUCT((excl_HTS&lt;&gt;"")*(LEFT($C248,LEN(excl_HTS))=excl_HTS))&gt;0,"Y","N"))</f>
        <v/>
      </c>
      <c r="I248" s="10">
        <f>IF($A248="","",IF($E248="","N",IF(SUMPRODUCT(--(UPPER(TRIM(CLEAN(SUBSTITUTE(scope_COO&amp;""," "," "))))=$E248))&gt;0,"Y","N")))</f>
        <v/>
      </c>
      <c r="J248" s="10">
        <f>IF($A248="","",IF(AND(UPPER(TRIM(CLEAN(SUBSTITUTE(act_USMCAExempt&amp;""," "," "))))="Y",UPPER(TRIM(CLEAN(SUBSTITUTE(Items!F248&amp;""," "," "))))="Y"),"Y","N"))</f>
        <v/>
      </c>
      <c r="K248" s="10">
        <f>IF($A248="","",IF($AQ248=0,"",UPPER(TRIM(CLEAN(SUBSTITUTE(INDEX(det_Status,$AQ248)&amp;""," "," "))))))</f>
        <v/>
      </c>
      <c r="L248" s="10">
        <f>IF($A248="","",IF($F248="N","N",IF($K248="IN","Y",IF($K248="OUT","N",IF(AND($G248="Y",$H248="N",$I248="Y",$J248="N"),"Y","N")))))</f>
        <v/>
      </c>
      <c r="M248" s="10">
        <f>IF($A248="","",IF($F248="N","Out: different import country",IF($K248="IN","In: Research determination",IF($K248="OUT","Out: Research determination",IF($G248="N","Out: HTS not on scope list",IF($H248="Y","Out: HTS on exclusion list",IF($I248="N","Out: origin not on scope list",IF($J248="Y","Out: USMCA-qualifying, exempt","In: matches scope rules"))))))))</f>
        <v/>
      </c>
      <c r="N248" s="10">
        <f>IF(OR($A248="",$AM248=0),"",UPPER(TRIM(CLEAN(SUBSTITUTE(INDEX(scope_Group,MOD($AM248,1000))&amp;""," "," ")))))</f>
        <v/>
      </c>
      <c r="O248" s="10">
        <f>IF($L248&lt;&gt;"Y","",IF($AO248=0,"Default (B15)",UPPER(TRIM(CLEAN(SUBSTITUTE(INDEX(rate_ID,MOD($AO248,100))&amp;""," "," "))))))</f>
        <v/>
      </c>
      <c r="P248" s="10">
        <f>IF($L248&lt;&gt;"Y","",IF($AO248=0,IF(UPPER(TRIM(CLEAN(SUBSTITUTE(act_DefaultBase&amp;""," "," "))))="PART","PART","FULL"),IF(UPPER(TRIM(CLEAN(SUBSTITUTE(INDEX(rate_Base,MOD($AO248,100))&amp;""," "," "))))="PART","PART","FULL")))</f>
        <v/>
      </c>
      <c r="Q248" s="17">
        <f>IF($A248="","",N(Items!J248))</f>
        <v/>
      </c>
      <c r="R248" s="17">
        <f>IF($A248="","",IF($L248&lt;&gt;"Y",0,IF($AO248=0,N(act_Rate),N(INDEX(rate_Rate,MOD($AO248,100))))))</f>
        <v/>
      </c>
      <c r="S248" s="17">
        <f>IF($A248="","",IF($L248&lt;&gt;"Y",0,IF($AO248=0,IF(UPPER(TRIM(CLEAN(SUBSTITUTE(act_RateType&amp;""," "," "))))="REPLACE",N(act_PriorRate),0),IF(ISNUMBER(INDEX(rate_Prior,MOD($AO248,100))),INDEX(rate_Prior,MOD($AO248,100)),IF(UPPER(TRIM(CLEAN(SUBSTITUTE(act_RateType&amp;""," "," "))))="REPLACE",N(act_PriorRate),0)))))</f>
        <v/>
      </c>
      <c r="T248" s="17">
        <f>IF($A248="","",IF(AND($L248="Y",$P248="PART",ISNUMBER(Items!M248)),Items!M248,1))</f>
        <v/>
      </c>
      <c r="U248" s="17">
        <f>IF($A248="","",IF($L248&lt;&gt;"Y",0,IF($AQ248&gt;0,IF(ISNUMBER(INDEX(det_Displaced,$AQ248)),INDEX(det_Displaced,$AQ248),IF($AO248=0,0,N(INDEX(rate_Displaced,MOD($AO248,100))))),IF($AO248=0,0,N(INDEX(rate_Displaced,MOD($AO248,100)))))))</f>
        <v/>
      </c>
      <c r="V248" s="17">
        <f>IF($A248="","",IF($L248="Y",$Q248+$T248*($R248-$S248)-$U248,$Q248))</f>
        <v/>
      </c>
      <c r="W248" s="18">
        <f>IF($A248="","",N(Items!H248)*$Q248)</f>
        <v/>
      </c>
      <c r="X248" s="18">
        <f>IF($A248="","",N(Items!H248)*$V248)</f>
        <v/>
      </c>
      <c r="Y248" s="18">
        <f>IF($A248="","",$X248-$W248)</f>
        <v/>
      </c>
      <c r="Z248" s="18">
        <f>IF($A248="","",N(Items!K248)+$Y248)</f>
        <v/>
      </c>
      <c r="AA248" s="17">
        <f>IF($A248="","",IF(N(Items!L248)=0,"",(N(Items!L248)-N(Items!K248))/N(Items!L248)))</f>
        <v/>
      </c>
      <c r="AB248" s="17">
        <f>IF($A248="","",IF(N(Items!L248)=0,"",(N(Items!L248)-$Z248)/N(Items!L248)))</f>
        <v/>
      </c>
      <c r="AC248" s="17">
        <f>IF(OR($AA248="",$AB248=""),"",$AB248-$AA248)</f>
        <v/>
      </c>
      <c r="AD248" s="13">
        <f>IF($A248="","",N(Items!I248))</f>
        <v/>
      </c>
      <c r="AE248" s="19">
        <f>IF($A248="","",$Y248*$AD248)</f>
        <v/>
      </c>
      <c r="AF248" s="10">
        <f>IF($A248="","",IF(N(Items!L248)&gt;0,"Y","N"))</f>
        <v/>
      </c>
      <c r="AG248" s="19">
        <f>IF($A248="","",IF($AF248="Y",N(Items!L248)*$AD248,0))</f>
        <v/>
      </c>
      <c r="AH248" s="19">
        <f>IF($A248="","",IF($AF248="Y",(N(Items!L248)-N(Items!K248))*$AD248,0))</f>
        <v/>
      </c>
      <c r="AI248" s="19">
        <f>IF($A248="","",IF($AF248="Y",$AH248-$AE248,0))</f>
        <v/>
      </c>
      <c r="AJ248" s="10">
        <f>IF($A248="","",IF(COUNTIF($AL$5:$AL$254,$AL248)&gt;1,"CHECK: duplicate item and import country",IF(TRIM(CLEAN(SUBSTITUTE(Items!C248&amp;""," "," ")))="","CHECK: import country missing",IF(AND(UPPER(TRIM(CLEAN(SUBSTITUTE(Items!C248&amp;""," "," "))))&lt;&gt;"US",UPPER(TRIM(CLEAN(SUBSTITUTE(Items!C248&amp;""," "," "))))&lt;&gt;"CA",UPPER(TRIM(CLEAN(SUBSTITUTE(Items!C248&amp;""," "," "))))&lt;&gt;"MX"),"CHECK: import country must be US, CA or MX",IF(NOT(AND(LEN($C248)=10,IFERROR(TEXT(VALUE($C248),REPT("0",LEN($C248)))=$C248,FALSE))),"CHECK: HTS must be 10 digits",IF(LEN($E248)&lt;&gt;2,"CHECK: origin code missing or not 2 letters",IF(TRIM(CLEAN(SUBSTITUTE(Items!G248&amp;""," "," ")))="","CHECK: unit of measure missing",IF(OR(Items!H248="",Items!J248="",Items!K248=""),"CHECK: value, rate or cost missing",IF(OR(NOT(ISNUMBER(Items!H248)),NOT(ISNUMBER(Items!J248)),NOT(ISNUMBER(Items!K248)),AND(Items!I248&lt;&gt;"",NOT(ISNUMBER(Items!I248))),AND(Items!L248&lt;&gt;"",NOT(ISNUMBER(Items!L248))),AND(Items!M248&lt;&gt;"",NOT(ISNUMBER(Items!M248)))),"CHECK: text in a number column",IF(AND(ISNUMBER(Items!M248),OR(N(Items!M248)&lt;0,N(Items!M248)&gt;1)),"CHECK: dutiable share must be 0% to 100%",IF(AND(UPPER(TRIM(CLEAN(SUBSTITUTE(Items!F248&amp;""," "," "))))&lt;&gt;"",UPPER(TRIM(CLEAN(SUBSTITUTE(Items!F248&amp;""," "," "))))&lt;&gt;"Y",UPPER(TRIM(CLEAN(SUBSTITUTE(Items!F248&amp;""," "," "))))&lt;&gt;"N"),"CHECK: USMCA flag must be Y, N or blank",IF(AND(UPPER(TRIM(CLEAN(SUBSTITUTE(Items!F248&amp;""," "," "))))="Y",$E248&lt;&gt;"US",$E248&lt;&gt;"CA",$E248&lt;&gt;"MX"),"CHECK: USMCA flag on an origin other than US, CA or MX",IF(AND($L248="Y",$AO248=0,NOT(ISNUMBER(act_Rate))),"CHECK: in scope but no rate (add a rate line or B15)",IF(AND($L248="Y",UPPER(TRIM(CLEAN(SUBSTITUTE(act_RateType&amp;""," "," "))))="REPLACE",NOT(ISNUMBER(act_PriorRate)),IF($AO248=0,TRUE,NOT(ISNUMBER(INDEX(rate_Prior,MOD($AO248,100)))))),"CHECK: REPLACE but no earlier rate (B17 or the rate line's AD)",IF(AND($L248="Y",$AP248&gt;1),"CHECK: two rate lines match equally",IF(AND($L248="Y",$AN248&gt;1),"CHECK: HTS prefix listed twice on the scope list",IF(AND($L248="Y",$P248="PART",NOT(ISNUMBER(Items!M248))),"CHECK: dutiable share missing (PART base)",IF(AND($L248="Y",$P248="FULL",ISNUMBER(Items!M248),N(Items!M248)&lt;&gt;1),"CHECK: dutiable share entered, but the rate taxes the full value",IF(AND($L248="Y",$Q248+0.0000001&lt;$T248*$S248+$U248),"CHECK: current rate is below the duty being replaced or displaced",IF(AND($L248="Y",$AD248=0),"NOTE: in scope, no quantity",IF(AND($L248="Y",$AF248="N"),"NOTE: in scope, no sell price (left out of margin %)",IF(AND($L248="Y",N(Items!H248)&gt;N(Items!K248)),"NOTE: customs value above standard cost (check unit of measure)",IF(AND($L248="Y",$Q248&gt;1),"NOTE: current rate above 100% (check it was entered as a percentage)","OK")))))))))))))))))))))))</f>
        <v/>
      </c>
      <c r="AK248" s="20">
        <f>IF($A248="","",IF(AND($L248="Y",$AE248&lt;&gt;0),ABS($AE248)+ROW()/1000000000,""))</f>
        <v/>
      </c>
      <c r="AL248" s="10">
        <f>IF($A248="","",UPPER($A248)&amp;"/"&amp;UPPER(TRIM(CLEAN(SUBSTITUTE(Items!C248&amp;""," "," ")))))</f>
        <v/>
      </c>
      <c r="AM248" s="13">
        <f>IF($A248="",0,SUMPRODUCT(MAX((scope_HTS&lt;&gt;"")*(LEFT($C248,LEN(scope_HTS))=scope_HTS)*(LEN(scope_HTS)*1000+ROW(scope_HTS)-4))))</f>
        <v/>
      </c>
      <c r="AN248" s="13">
        <f>IF($AM248=0,0,SUMPRODUCT((scope_HTS&lt;&gt;"")*(LEFT($C248,LEN(scope_HTS))=scope_HTS)*(LEN(scope_HTS)=INT($AM248/1000))))</f>
        <v/>
      </c>
      <c r="AO248" s="13">
        <f>IF($L248&lt;&gt;"Y",0,SUMPRODUCT(MAX(ISNUMBER(rate_Rate)*((UPPER(TRIM(CLEAN(SUBSTITUTE(rate_Group&amp;""," "," "))))="")+(UPPER(TRIM(CLEAN(SUBSTITUTE(rate_Group&amp;""," "," "))))=$N248)&gt;0)*((UPPER(TRIM(CLEAN(SUBSTITUTE(rate_COO&amp;""," "," "))))="")+(UPPER(TRIM(CLEAN(SUBSTITUTE(rate_COO&amp;""," "," "))))=$E248)&gt;0)*((UPPER(TRIM(CLEAN(SUBSTITUTE(rate_USMCA&amp;""," "," "))))="")+(UPPER(TRIM(CLEAN(SUBSTITUTE(rate_USMCA&amp;""," "," "))))=IF(UPPER(TRIM(CLEAN(SUBSTITUTE(Items!F248&amp;""," "," "))))="Y","Y","N"))&gt;0)*((1+(UPPER(TRIM(CLEAN(SUBSTITUTE(rate_Group&amp;""," "," "))))&lt;&gt;"")+2*(UPPER(TRIM(CLEAN(SUBSTITUTE(rate_USMCA&amp;""," "," "))))&lt;&gt;"")+4*(UPPER(TRIM(CLEAN(SUBSTITUTE(rate_COO&amp;""," "," "))))&lt;&gt;""))*100+ROW(rate_Rate)-4))))</f>
        <v/>
      </c>
      <c r="AP248" s="13">
        <f>IF($AO248=0,0,SUMPRODUCT(ISNUMBER(rate_Rate)*((UPPER(TRIM(CLEAN(SUBSTITUTE(rate_Group&amp;""," "," "))))="")+(UPPER(TRIM(CLEAN(SUBSTITUTE(rate_Group&amp;""," "," "))))=$N248)&gt;0)*((UPPER(TRIM(CLEAN(SUBSTITUTE(rate_COO&amp;""," "," "))))="")+(UPPER(TRIM(CLEAN(SUBSTITUTE(rate_COO&amp;""," "," "))))=$E248)&gt;0)*((UPPER(TRIM(CLEAN(SUBSTITUTE(rate_USMCA&amp;""," "," "))))="")+(UPPER(TRIM(CLEAN(SUBSTITUTE(rate_USMCA&amp;""," "," "))))=IF(UPPER(TRIM(CLEAN(SUBSTITUTE(Items!F248&amp;""," "," "))))="Y","Y","N"))&gt;0)*((1+(UPPER(TRIM(CLEAN(SUBSTITUTE(rate_Group&amp;""," "," "))))&lt;&gt;"")+2*(UPPER(TRIM(CLEAN(SUBSTITUTE(rate_USMCA&amp;""," "," "))))&lt;&gt;"")+4*(UPPER(TRIM(CLEAN(SUBSTITUTE(rate_COO&amp;""," "," "))))&lt;&gt;""))=INT($AO248/100))))</f>
        <v/>
      </c>
      <c r="AQ248" s="13">
        <f>IF($A248="",0,IFERROR(MATCH($AL248,det_Key,0),0))</f>
        <v/>
      </c>
    </row>
    <row r="249">
      <c r="A249" s="10">
        <f>IF(TRIM(CLEAN(SUBSTITUTE(Items!A249&amp;""," "," ")))="","",TRIM(CLEAN(SUBSTITUTE(Items!A249&amp;""," "," "))))</f>
        <v/>
      </c>
      <c r="B249" s="10">
        <f>IF($A249="","",Items!B249&amp;"")</f>
        <v/>
      </c>
      <c r="C249" s="10">
        <f>IF($A249="","",SUBSTITUTE(SUBSTITUTE(SUBSTITUTE(SUBSTITUTE(CLEAN(Items!D249&amp;"")," ",""),".","")," ",""),"-",""))</f>
        <v/>
      </c>
      <c r="D249" s="10">
        <f>IF($A249="","",LEFT($C249,2))</f>
        <v/>
      </c>
      <c r="E249" s="10">
        <f>IF($A249="","",UPPER(TRIM(CLEAN(SUBSTITUTE(Items!E249&amp;""," "," ")))))</f>
        <v/>
      </c>
      <c r="F249" s="10">
        <f>IF($A249="","",IF(UPPER(TRIM(CLEAN(SUBSTITUTE(Items!C249&amp;""," "," "))))=UPPER(TRIM(CLEAN(SUBSTITUTE(act_Country&amp;""," "," ")))),"Y","N"))</f>
        <v/>
      </c>
      <c r="G249" s="10">
        <f>IF($A249="","",IF($AM249&gt;0,"Y","N"))</f>
        <v/>
      </c>
      <c r="H249" s="10">
        <f>IF($A249="","",IF(SUMPRODUCT((excl_HTS&lt;&gt;"")*(LEFT($C249,LEN(excl_HTS))=excl_HTS))&gt;0,"Y","N"))</f>
        <v/>
      </c>
      <c r="I249" s="10">
        <f>IF($A249="","",IF($E249="","N",IF(SUMPRODUCT(--(UPPER(TRIM(CLEAN(SUBSTITUTE(scope_COO&amp;""," "," "))))=$E249))&gt;0,"Y","N")))</f>
        <v/>
      </c>
      <c r="J249" s="10">
        <f>IF($A249="","",IF(AND(UPPER(TRIM(CLEAN(SUBSTITUTE(act_USMCAExempt&amp;""," "," "))))="Y",UPPER(TRIM(CLEAN(SUBSTITUTE(Items!F249&amp;""," "," "))))="Y"),"Y","N"))</f>
        <v/>
      </c>
      <c r="K249" s="10">
        <f>IF($A249="","",IF($AQ249=0,"",UPPER(TRIM(CLEAN(SUBSTITUTE(INDEX(det_Status,$AQ249)&amp;""," "," "))))))</f>
        <v/>
      </c>
      <c r="L249" s="10">
        <f>IF($A249="","",IF($F249="N","N",IF($K249="IN","Y",IF($K249="OUT","N",IF(AND($G249="Y",$H249="N",$I249="Y",$J249="N"),"Y","N")))))</f>
        <v/>
      </c>
      <c r="M249" s="10">
        <f>IF($A249="","",IF($F249="N","Out: different import country",IF($K249="IN","In: Research determination",IF($K249="OUT","Out: Research determination",IF($G249="N","Out: HTS not on scope list",IF($H249="Y","Out: HTS on exclusion list",IF($I249="N","Out: origin not on scope list",IF($J249="Y","Out: USMCA-qualifying, exempt","In: matches scope rules"))))))))</f>
        <v/>
      </c>
      <c r="N249" s="10">
        <f>IF(OR($A249="",$AM249=0),"",UPPER(TRIM(CLEAN(SUBSTITUTE(INDEX(scope_Group,MOD($AM249,1000))&amp;""," "," ")))))</f>
        <v/>
      </c>
      <c r="O249" s="10">
        <f>IF($L249&lt;&gt;"Y","",IF($AO249=0,"Default (B15)",UPPER(TRIM(CLEAN(SUBSTITUTE(INDEX(rate_ID,MOD($AO249,100))&amp;""," "," "))))))</f>
        <v/>
      </c>
      <c r="P249" s="10">
        <f>IF($L249&lt;&gt;"Y","",IF($AO249=0,IF(UPPER(TRIM(CLEAN(SUBSTITUTE(act_DefaultBase&amp;""," "," "))))="PART","PART","FULL"),IF(UPPER(TRIM(CLEAN(SUBSTITUTE(INDEX(rate_Base,MOD($AO249,100))&amp;""," "," "))))="PART","PART","FULL")))</f>
        <v/>
      </c>
      <c r="Q249" s="17">
        <f>IF($A249="","",N(Items!J249))</f>
        <v/>
      </c>
      <c r="R249" s="17">
        <f>IF($A249="","",IF($L249&lt;&gt;"Y",0,IF($AO249=0,N(act_Rate),N(INDEX(rate_Rate,MOD($AO249,100))))))</f>
        <v/>
      </c>
      <c r="S249" s="17">
        <f>IF($A249="","",IF($L249&lt;&gt;"Y",0,IF($AO249=0,IF(UPPER(TRIM(CLEAN(SUBSTITUTE(act_RateType&amp;""," "," "))))="REPLACE",N(act_PriorRate),0),IF(ISNUMBER(INDEX(rate_Prior,MOD($AO249,100))),INDEX(rate_Prior,MOD($AO249,100)),IF(UPPER(TRIM(CLEAN(SUBSTITUTE(act_RateType&amp;""," "," "))))="REPLACE",N(act_PriorRate),0)))))</f>
        <v/>
      </c>
      <c r="T249" s="17">
        <f>IF($A249="","",IF(AND($L249="Y",$P249="PART",ISNUMBER(Items!M249)),Items!M249,1))</f>
        <v/>
      </c>
      <c r="U249" s="17">
        <f>IF($A249="","",IF($L249&lt;&gt;"Y",0,IF($AQ249&gt;0,IF(ISNUMBER(INDEX(det_Displaced,$AQ249)),INDEX(det_Displaced,$AQ249),IF($AO249=0,0,N(INDEX(rate_Displaced,MOD($AO249,100))))),IF($AO249=0,0,N(INDEX(rate_Displaced,MOD($AO249,100)))))))</f>
        <v/>
      </c>
      <c r="V249" s="17">
        <f>IF($A249="","",IF($L249="Y",$Q249+$T249*($R249-$S249)-$U249,$Q249))</f>
        <v/>
      </c>
      <c r="W249" s="18">
        <f>IF($A249="","",N(Items!H249)*$Q249)</f>
        <v/>
      </c>
      <c r="X249" s="18">
        <f>IF($A249="","",N(Items!H249)*$V249)</f>
        <v/>
      </c>
      <c r="Y249" s="18">
        <f>IF($A249="","",$X249-$W249)</f>
        <v/>
      </c>
      <c r="Z249" s="18">
        <f>IF($A249="","",N(Items!K249)+$Y249)</f>
        <v/>
      </c>
      <c r="AA249" s="17">
        <f>IF($A249="","",IF(N(Items!L249)=0,"",(N(Items!L249)-N(Items!K249))/N(Items!L249)))</f>
        <v/>
      </c>
      <c r="AB249" s="17">
        <f>IF($A249="","",IF(N(Items!L249)=0,"",(N(Items!L249)-$Z249)/N(Items!L249)))</f>
        <v/>
      </c>
      <c r="AC249" s="17">
        <f>IF(OR($AA249="",$AB249=""),"",$AB249-$AA249)</f>
        <v/>
      </c>
      <c r="AD249" s="13">
        <f>IF($A249="","",N(Items!I249))</f>
        <v/>
      </c>
      <c r="AE249" s="19">
        <f>IF($A249="","",$Y249*$AD249)</f>
        <v/>
      </c>
      <c r="AF249" s="10">
        <f>IF($A249="","",IF(N(Items!L249)&gt;0,"Y","N"))</f>
        <v/>
      </c>
      <c r="AG249" s="19">
        <f>IF($A249="","",IF($AF249="Y",N(Items!L249)*$AD249,0))</f>
        <v/>
      </c>
      <c r="AH249" s="19">
        <f>IF($A249="","",IF($AF249="Y",(N(Items!L249)-N(Items!K249))*$AD249,0))</f>
        <v/>
      </c>
      <c r="AI249" s="19">
        <f>IF($A249="","",IF($AF249="Y",$AH249-$AE249,0))</f>
        <v/>
      </c>
      <c r="AJ249" s="10">
        <f>IF($A249="","",IF(COUNTIF($AL$5:$AL$254,$AL249)&gt;1,"CHECK: duplicate item and import country",IF(TRIM(CLEAN(SUBSTITUTE(Items!C249&amp;""," "," ")))="","CHECK: import country missing",IF(AND(UPPER(TRIM(CLEAN(SUBSTITUTE(Items!C249&amp;""," "," "))))&lt;&gt;"US",UPPER(TRIM(CLEAN(SUBSTITUTE(Items!C249&amp;""," "," "))))&lt;&gt;"CA",UPPER(TRIM(CLEAN(SUBSTITUTE(Items!C249&amp;""," "," "))))&lt;&gt;"MX"),"CHECK: import country must be US, CA or MX",IF(NOT(AND(LEN($C249)=10,IFERROR(TEXT(VALUE($C249),REPT("0",LEN($C249)))=$C249,FALSE))),"CHECK: HTS must be 10 digits",IF(LEN($E249)&lt;&gt;2,"CHECK: origin code missing or not 2 letters",IF(TRIM(CLEAN(SUBSTITUTE(Items!G249&amp;""," "," ")))="","CHECK: unit of measure missing",IF(OR(Items!H249="",Items!J249="",Items!K249=""),"CHECK: value, rate or cost missing",IF(OR(NOT(ISNUMBER(Items!H249)),NOT(ISNUMBER(Items!J249)),NOT(ISNUMBER(Items!K249)),AND(Items!I249&lt;&gt;"",NOT(ISNUMBER(Items!I249))),AND(Items!L249&lt;&gt;"",NOT(ISNUMBER(Items!L249))),AND(Items!M249&lt;&gt;"",NOT(ISNUMBER(Items!M249)))),"CHECK: text in a number column",IF(AND(ISNUMBER(Items!M249),OR(N(Items!M249)&lt;0,N(Items!M249)&gt;1)),"CHECK: dutiable share must be 0% to 100%",IF(AND(UPPER(TRIM(CLEAN(SUBSTITUTE(Items!F249&amp;""," "," "))))&lt;&gt;"",UPPER(TRIM(CLEAN(SUBSTITUTE(Items!F249&amp;""," "," "))))&lt;&gt;"Y",UPPER(TRIM(CLEAN(SUBSTITUTE(Items!F249&amp;""," "," "))))&lt;&gt;"N"),"CHECK: USMCA flag must be Y, N or blank",IF(AND(UPPER(TRIM(CLEAN(SUBSTITUTE(Items!F249&amp;""," "," "))))="Y",$E249&lt;&gt;"US",$E249&lt;&gt;"CA",$E249&lt;&gt;"MX"),"CHECK: USMCA flag on an origin other than US, CA or MX",IF(AND($L249="Y",$AO249=0,NOT(ISNUMBER(act_Rate))),"CHECK: in scope but no rate (add a rate line or B15)",IF(AND($L249="Y",UPPER(TRIM(CLEAN(SUBSTITUTE(act_RateType&amp;""," "," "))))="REPLACE",NOT(ISNUMBER(act_PriorRate)),IF($AO249=0,TRUE,NOT(ISNUMBER(INDEX(rate_Prior,MOD($AO249,100)))))),"CHECK: REPLACE but no earlier rate (B17 or the rate line's AD)",IF(AND($L249="Y",$AP249&gt;1),"CHECK: two rate lines match equally",IF(AND($L249="Y",$AN249&gt;1),"CHECK: HTS prefix listed twice on the scope list",IF(AND($L249="Y",$P249="PART",NOT(ISNUMBER(Items!M249))),"CHECK: dutiable share missing (PART base)",IF(AND($L249="Y",$P249="FULL",ISNUMBER(Items!M249),N(Items!M249)&lt;&gt;1),"CHECK: dutiable share entered, but the rate taxes the full value",IF(AND($L249="Y",$Q249+0.0000001&lt;$T249*$S249+$U249),"CHECK: current rate is below the duty being replaced or displaced",IF(AND($L249="Y",$AD249=0),"NOTE: in scope, no quantity",IF(AND($L249="Y",$AF249="N"),"NOTE: in scope, no sell price (left out of margin %)",IF(AND($L249="Y",N(Items!H249)&gt;N(Items!K249)),"NOTE: customs value above standard cost (check unit of measure)",IF(AND($L249="Y",$Q249&gt;1),"NOTE: current rate above 100% (check it was entered as a percentage)","OK")))))))))))))))))))))))</f>
        <v/>
      </c>
      <c r="AK249" s="20">
        <f>IF($A249="","",IF(AND($L249="Y",$AE249&lt;&gt;0),ABS($AE249)+ROW()/1000000000,""))</f>
        <v/>
      </c>
      <c r="AL249" s="10">
        <f>IF($A249="","",UPPER($A249)&amp;"/"&amp;UPPER(TRIM(CLEAN(SUBSTITUTE(Items!C249&amp;""," "," ")))))</f>
        <v/>
      </c>
      <c r="AM249" s="13">
        <f>IF($A249="",0,SUMPRODUCT(MAX((scope_HTS&lt;&gt;"")*(LEFT($C249,LEN(scope_HTS))=scope_HTS)*(LEN(scope_HTS)*1000+ROW(scope_HTS)-4))))</f>
        <v/>
      </c>
      <c r="AN249" s="13">
        <f>IF($AM249=0,0,SUMPRODUCT((scope_HTS&lt;&gt;"")*(LEFT($C249,LEN(scope_HTS))=scope_HTS)*(LEN(scope_HTS)=INT($AM249/1000))))</f>
        <v/>
      </c>
      <c r="AO249" s="13">
        <f>IF($L249&lt;&gt;"Y",0,SUMPRODUCT(MAX(ISNUMBER(rate_Rate)*((UPPER(TRIM(CLEAN(SUBSTITUTE(rate_Group&amp;""," "," "))))="")+(UPPER(TRIM(CLEAN(SUBSTITUTE(rate_Group&amp;""," "," "))))=$N249)&gt;0)*((UPPER(TRIM(CLEAN(SUBSTITUTE(rate_COO&amp;""," "," "))))="")+(UPPER(TRIM(CLEAN(SUBSTITUTE(rate_COO&amp;""," "," "))))=$E249)&gt;0)*((UPPER(TRIM(CLEAN(SUBSTITUTE(rate_USMCA&amp;""," "," "))))="")+(UPPER(TRIM(CLEAN(SUBSTITUTE(rate_USMCA&amp;""," "," "))))=IF(UPPER(TRIM(CLEAN(SUBSTITUTE(Items!F249&amp;""," "," "))))="Y","Y","N"))&gt;0)*((1+(UPPER(TRIM(CLEAN(SUBSTITUTE(rate_Group&amp;""," "," "))))&lt;&gt;"")+2*(UPPER(TRIM(CLEAN(SUBSTITUTE(rate_USMCA&amp;""," "," "))))&lt;&gt;"")+4*(UPPER(TRIM(CLEAN(SUBSTITUTE(rate_COO&amp;""," "," "))))&lt;&gt;""))*100+ROW(rate_Rate)-4))))</f>
        <v/>
      </c>
      <c r="AP249" s="13">
        <f>IF($AO249=0,0,SUMPRODUCT(ISNUMBER(rate_Rate)*((UPPER(TRIM(CLEAN(SUBSTITUTE(rate_Group&amp;""," "," "))))="")+(UPPER(TRIM(CLEAN(SUBSTITUTE(rate_Group&amp;""," "," "))))=$N249)&gt;0)*((UPPER(TRIM(CLEAN(SUBSTITUTE(rate_COO&amp;""," "," "))))="")+(UPPER(TRIM(CLEAN(SUBSTITUTE(rate_COO&amp;""," "," "))))=$E249)&gt;0)*((UPPER(TRIM(CLEAN(SUBSTITUTE(rate_USMCA&amp;""," "," "))))="")+(UPPER(TRIM(CLEAN(SUBSTITUTE(rate_USMCA&amp;""," "," "))))=IF(UPPER(TRIM(CLEAN(SUBSTITUTE(Items!F249&amp;""," "," "))))="Y","Y","N"))&gt;0)*((1+(UPPER(TRIM(CLEAN(SUBSTITUTE(rate_Group&amp;""," "," "))))&lt;&gt;"")+2*(UPPER(TRIM(CLEAN(SUBSTITUTE(rate_USMCA&amp;""," "," "))))&lt;&gt;"")+4*(UPPER(TRIM(CLEAN(SUBSTITUTE(rate_COO&amp;""," "," "))))&lt;&gt;""))=INT($AO249/100))))</f>
        <v/>
      </c>
      <c r="AQ249" s="13">
        <f>IF($A249="",0,IFERROR(MATCH($AL249,det_Key,0),0))</f>
        <v/>
      </c>
    </row>
    <row r="250">
      <c r="A250" s="10">
        <f>IF(TRIM(CLEAN(SUBSTITUTE(Items!A250&amp;""," "," ")))="","",TRIM(CLEAN(SUBSTITUTE(Items!A250&amp;""," "," "))))</f>
        <v/>
      </c>
      <c r="B250" s="10">
        <f>IF($A250="","",Items!B250&amp;"")</f>
        <v/>
      </c>
      <c r="C250" s="10">
        <f>IF($A250="","",SUBSTITUTE(SUBSTITUTE(SUBSTITUTE(SUBSTITUTE(CLEAN(Items!D250&amp;"")," ",""),".","")," ",""),"-",""))</f>
        <v/>
      </c>
      <c r="D250" s="10">
        <f>IF($A250="","",LEFT($C250,2))</f>
        <v/>
      </c>
      <c r="E250" s="10">
        <f>IF($A250="","",UPPER(TRIM(CLEAN(SUBSTITUTE(Items!E250&amp;""," "," ")))))</f>
        <v/>
      </c>
      <c r="F250" s="10">
        <f>IF($A250="","",IF(UPPER(TRIM(CLEAN(SUBSTITUTE(Items!C250&amp;""," "," "))))=UPPER(TRIM(CLEAN(SUBSTITUTE(act_Country&amp;""," "," ")))),"Y","N"))</f>
        <v/>
      </c>
      <c r="G250" s="10">
        <f>IF($A250="","",IF($AM250&gt;0,"Y","N"))</f>
        <v/>
      </c>
      <c r="H250" s="10">
        <f>IF($A250="","",IF(SUMPRODUCT((excl_HTS&lt;&gt;"")*(LEFT($C250,LEN(excl_HTS))=excl_HTS))&gt;0,"Y","N"))</f>
        <v/>
      </c>
      <c r="I250" s="10">
        <f>IF($A250="","",IF($E250="","N",IF(SUMPRODUCT(--(UPPER(TRIM(CLEAN(SUBSTITUTE(scope_COO&amp;""," "," "))))=$E250))&gt;0,"Y","N")))</f>
        <v/>
      </c>
      <c r="J250" s="10">
        <f>IF($A250="","",IF(AND(UPPER(TRIM(CLEAN(SUBSTITUTE(act_USMCAExempt&amp;""," "," "))))="Y",UPPER(TRIM(CLEAN(SUBSTITUTE(Items!F250&amp;""," "," "))))="Y"),"Y","N"))</f>
        <v/>
      </c>
      <c r="K250" s="10">
        <f>IF($A250="","",IF($AQ250=0,"",UPPER(TRIM(CLEAN(SUBSTITUTE(INDEX(det_Status,$AQ250)&amp;""," "," "))))))</f>
        <v/>
      </c>
      <c r="L250" s="10">
        <f>IF($A250="","",IF($F250="N","N",IF($K250="IN","Y",IF($K250="OUT","N",IF(AND($G250="Y",$H250="N",$I250="Y",$J250="N"),"Y","N")))))</f>
        <v/>
      </c>
      <c r="M250" s="10">
        <f>IF($A250="","",IF($F250="N","Out: different import country",IF($K250="IN","In: Research determination",IF($K250="OUT","Out: Research determination",IF($G250="N","Out: HTS not on scope list",IF($H250="Y","Out: HTS on exclusion list",IF($I250="N","Out: origin not on scope list",IF($J250="Y","Out: USMCA-qualifying, exempt","In: matches scope rules"))))))))</f>
        <v/>
      </c>
      <c r="N250" s="10">
        <f>IF(OR($A250="",$AM250=0),"",UPPER(TRIM(CLEAN(SUBSTITUTE(INDEX(scope_Group,MOD($AM250,1000))&amp;""," "," ")))))</f>
        <v/>
      </c>
      <c r="O250" s="10">
        <f>IF($L250&lt;&gt;"Y","",IF($AO250=0,"Default (B15)",UPPER(TRIM(CLEAN(SUBSTITUTE(INDEX(rate_ID,MOD($AO250,100))&amp;""," "," "))))))</f>
        <v/>
      </c>
      <c r="P250" s="10">
        <f>IF($L250&lt;&gt;"Y","",IF($AO250=0,IF(UPPER(TRIM(CLEAN(SUBSTITUTE(act_DefaultBase&amp;""," "," "))))="PART","PART","FULL"),IF(UPPER(TRIM(CLEAN(SUBSTITUTE(INDEX(rate_Base,MOD($AO250,100))&amp;""," "," "))))="PART","PART","FULL")))</f>
        <v/>
      </c>
      <c r="Q250" s="17">
        <f>IF($A250="","",N(Items!J250))</f>
        <v/>
      </c>
      <c r="R250" s="17">
        <f>IF($A250="","",IF($L250&lt;&gt;"Y",0,IF($AO250=0,N(act_Rate),N(INDEX(rate_Rate,MOD($AO250,100))))))</f>
        <v/>
      </c>
      <c r="S250" s="17">
        <f>IF($A250="","",IF($L250&lt;&gt;"Y",0,IF($AO250=0,IF(UPPER(TRIM(CLEAN(SUBSTITUTE(act_RateType&amp;""," "," "))))="REPLACE",N(act_PriorRate),0),IF(ISNUMBER(INDEX(rate_Prior,MOD($AO250,100))),INDEX(rate_Prior,MOD($AO250,100)),IF(UPPER(TRIM(CLEAN(SUBSTITUTE(act_RateType&amp;""," "," "))))="REPLACE",N(act_PriorRate),0)))))</f>
        <v/>
      </c>
      <c r="T250" s="17">
        <f>IF($A250="","",IF(AND($L250="Y",$P250="PART",ISNUMBER(Items!M250)),Items!M250,1))</f>
        <v/>
      </c>
      <c r="U250" s="17">
        <f>IF($A250="","",IF($L250&lt;&gt;"Y",0,IF($AQ250&gt;0,IF(ISNUMBER(INDEX(det_Displaced,$AQ250)),INDEX(det_Displaced,$AQ250),IF($AO250=0,0,N(INDEX(rate_Displaced,MOD($AO250,100))))),IF($AO250=0,0,N(INDEX(rate_Displaced,MOD($AO250,100)))))))</f>
        <v/>
      </c>
      <c r="V250" s="17">
        <f>IF($A250="","",IF($L250="Y",$Q250+$T250*($R250-$S250)-$U250,$Q250))</f>
        <v/>
      </c>
      <c r="W250" s="18">
        <f>IF($A250="","",N(Items!H250)*$Q250)</f>
        <v/>
      </c>
      <c r="X250" s="18">
        <f>IF($A250="","",N(Items!H250)*$V250)</f>
        <v/>
      </c>
      <c r="Y250" s="18">
        <f>IF($A250="","",$X250-$W250)</f>
        <v/>
      </c>
      <c r="Z250" s="18">
        <f>IF($A250="","",N(Items!K250)+$Y250)</f>
        <v/>
      </c>
      <c r="AA250" s="17">
        <f>IF($A250="","",IF(N(Items!L250)=0,"",(N(Items!L250)-N(Items!K250))/N(Items!L250)))</f>
        <v/>
      </c>
      <c r="AB250" s="17">
        <f>IF($A250="","",IF(N(Items!L250)=0,"",(N(Items!L250)-$Z250)/N(Items!L250)))</f>
        <v/>
      </c>
      <c r="AC250" s="17">
        <f>IF(OR($AA250="",$AB250=""),"",$AB250-$AA250)</f>
        <v/>
      </c>
      <c r="AD250" s="13">
        <f>IF($A250="","",N(Items!I250))</f>
        <v/>
      </c>
      <c r="AE250" s="19">
        <f>IF($A250="","",$Y250*$AD250)</f>
        <v/>
      </c>
      <c r="AF250" s="10">
        <f>IF($A250="","",IF(N(Items!L250)&gt;0,"Y","N"))</f>
        <v/>
      </c>
      <c r="AG250" s="19">
        <f>IF($A250="","",IF($AF250="Y",N(Items!L250)*$AD250,0))</f>
        <v/>
      </c>
      <c r="AH250" s="19">
        <f>IF($A250="","",IF($AF250="Y",(N(Items!L250)-N(Items!K250))*$AD250,0))</f>
        <v/>
      </c>
      <c r="AI250" s="19">
        <f>IF($A250="","",IF($AF250="Y",$AH250-$AE250,0))</f>
        <v/>
      </c>
      <c r="AJ250" s="10">
        <f>IF($A250="","",IF(COUNTIF($AL$5:$AL$254,$AL250)&gt;1,"CHECK: duplicate item and import country",IF(TRIM(CLEAN(SUBSTITUTE(Items!C250&amp;""," "," ")))="","CHECK: import country missing",IF(AND(UPPER(TRIM(CLEAN(SUBSTITUTE(Items!C250&amp;""," "," "))))&lt;&gt;"US",UPPER(TRIM(CLEAN(SUBSTITUTE(Items!C250&amp;""," "," "))))&lt;&gt;"CA",UPPER(TRIM(CLEAN(SUBSTITUTE(Items!C250&amp;""," "," "))))&lt;&gt;"MX"),"CHECK: import country must be US, CA or MX",IF(NOT(AND(LEN($C250)=10,IFERROR(TEXT(VALUE($C250),REPT("0",LEN($C250)))=$C250,FALSE))),"CHECK: HTS must be 10 digits",IF(LEN($E250)&lt;&gt;2,"CHECK: origin code missing or not 2 letters",IF(TRIM(CLEAN(SUBSTITUTE(Items!G250&amp;""," "," ")))="","CHECK: unit of measure missing",IF(OR(Items!H250="",Items!J250="",Items!K250=""),"CHECK: value, rate or cost missing",IF(OR(NOT(ISNUMBER(Items!H250)),NOT(ISNUMBER(Items!J250)),NOT(ISNUMBER(Items!K250)),AND(Items!I250&lt;&gt;"",NOT(ISNUMBER(Items!I250))),AND(Items!L250&lt;&gt;"",NOT(ISNUMBER(Items!L250))),AND(Items!M250&lt;&gt;"",NOT(ISNUMBER(Items!M250)))),"CHECK: text in a number column",IF(AND(ISNUMBER(Items!M250),OR(N(Items!M250)&lt;0,N(Items!M250)&gt;1)),"CHECK: dutiable share must be 0% to 100%",IF(AND(UPPER(TRIM(CLEAN(SUBSTITUTE(Items!F250&amp;""," "," "))))&lt;&gt;"",UPPER(TRIM(CLEAN(SUBSTITUTE(Items!F250&amp;""," "," "))))&lt;&gt;"Y",UPPER(TRIM(CLEAN(SUBSTITUTE(Items!F250&amp;""," "," "))))&lt;&gt;"N"),"CHECK: USMCA flag must be Y, N or blank",IF(AND(UPPER(TRIM(CLEAN(SUBSTITUTE(Items!F250&amp;""," "," "))))="Y",$E250&lt;&gt;"US",$E250&lt;&gt;"CA",$E250&lt;&gt;"MX"),"CHECK: USMCA flag on an origin other than US, CA or MX",IF(AND($L250="Y",$AO250=0,NOT(ISNUMBER(act_Rate))),"CHECK: in scope but no rate (add a rate line or B15)",IF(AND($L250="Y",UPPER(TRIM(CLEAN(SUBSTITUTE(act_RateType&amp;""," "," "))))="REPLACE",NOT(ISNUMBER(act_PriorRate)),IF($AO250=0,TRUE,NOT(ISNUMBER(INDEX(rate_Prior,MOD($AO250,100)))))),"CHECK: REPLACE but no earlier rate (B17 or the rate line's AD)",IF(AND($L250="Y",$AP250&gt;1),"CHECK: two rate lines match equally",IF(AND($L250="Y",$AN250&gt;1),"CHECK: HTS prefix listed twice on the scope list",IF(AND($L250="Y",$P250="PART",NOT(ISNUMBER(Items!M250))),"CHECK: dutiable share missing (PART base)",IF(AND($L250="Y",$P250="FULL",ISNUMBER(Items!M250),N(Items!M250)&lt;&gt;1),"CHECK: dutiable share entered, but the rate taxes the full value",IF(AND($L250="Y",$Q250+0.0000001&lt;$T250*$S250+$U250),"CHECK: current rate is below the duty being replaced or displaced",IF(AND($L250="Y",$AD250=0),"NOTE: in scope, no quantity",IF(AND($L250="Y",$AF250="N"),"NOTE: in scope, no sell price (left out of margin %)",IF(AND($L250="Y",N(Items!H250)&gt;N(Items!K250)),"NOTE: customs value above standard cost (check unit of measure)",IF(AND($L250="Y",$Q250&gt;1),"NOTE: current rate above 100% (check it was entered as a percentage)","OK")))))))))))))))))))))))</f>
        <v/>
      </c>
      <c r="AK250" s="20">
        <f>IF($A250="","",IF(AND($L250="Y",$AE250&lt;&gt;0),ABS($AE250)+ROW()/1000000000,""))</f>
        <v/>
      </c>
      <c r="AL250" s="10">
        <f>IF($A250="","",UPPER($A250)&amp;"/"&amp;UPPER(TRIM(CLEAN(SUBSTITUTE(Items!C250&amp;""," "," ")))))</f>
        <v/>
      </c>
      <c r="AM250" s="13">
        <f>IF($A250="",0,SUMPRODUCT(MAX((scope_HTS&lt;&gt;"")*(LEFT($C250,LEN(scope_HTS))=scope_HTS)*(LEN(scope_HTS)*1000+ROW(scope_HTS)-4))))</f>
        <v/>
      </c>
      <c r="AN250" s="13">
        <f>IF($AM250=0,0,SUMPRODUCT((scope_HTS&lt;&gt;"")*(LEFT($C250,LEN(scope_HTS))=scope_HTS)*(LEN(scope_HTS)=INT($AM250/1000))))</f>
        <v/>
      </c>
      <c r="AO250" s="13">
        <f>IF($L250&lt;&gt;"Y",0,SUMPRODUCT(MAX(ISNUMBER(rate_Rate)*((UPPER(TRIM(CLEAN(SUBSTITUTE(rate_Group&amp;""," "," "))))="")+(UPPER(TRIM(CLEAN(SUBSTITUTE(rate_Group&amp;""," "," "))))=$N250)&gt;0)*((UPPER(TRIM(CLEAN(SUBSTITUTE(rate_COO&amp;""," "," "))))="")+(UPPER(TRIM(CLEAN(SUBSTITUTE(rate_COO&amp;""," "," "))))=$E250)&gt;0)*((UPPER(TRIM(CLEAN(SUBSTITUTE(rate_USMCA&amp;""," "," "))))="")+(UPPER(TRIM(CLEAN(SUBSTITUTE(rate_USMCA&amp;""," "," "))))=IF(UPPER(TRIM(CLEAN(SUBSTITUTE(Items!F250&amp;""," "," "))))="Y","Y","N"))&gt;0)*((1+(UPPER(TRIM(CLEAN(SUBSTITUTE(rate_Group&amp;""," "," "))))&lt;&gt;"")+2*(UPPER(TRIM(CLEAN(SUBSTITUTE(rate_USMCA&amp;""," "," "))))&lt;&gt;"")+4*(UPPER(TRIM(CLEAN(SUBSTITUTE(rate_COO&amp;""," "," "))))&lt;&gt;""))*100+ROW(rate_Rate)-4))))</f>
        <v/>
      </c>
      <c r="AP250" s="13">
        <f>IF($AO250=0,0,SUMPRODUCT(ISNUMBER(rate_Rate)*((UPPER(TRIM(CLEAN(SUBSTITUTE(rate_Group&amp;""," "," "))))="")+(UPPER(TRIM(CLEAN(SUBSTITUTE(rate_Group&amp;""," "," "))))=$N250)&gt;0)*((UPPER(TRIM(CLEAN(SUBSTITUTE(rate_COO&amp;""," "," "))))="")+(UPPER(TRIM(CLEAN(SUBSTITUTE(rate_COO&amp;""," "," "))))=$E250)&gt;0)*((UPPER(TRIM(CLEAN(SUBSTITUTE(rate_USMCA&amp;""," "," "))))="")+(UPPER(TRIM(CLEAN(SUBSTITUTE(rate_USMCA&amp;""," "," "))))=IF(UPPER(TRIM(CLEAN(SUBSTITUTE(Items!F250&amp;""," "," "))))="Y","Y","N"))&gt;0)*((1+(UPPER(TRIM(CLEAN(SUBSTITUTE(rate_Group&amp;""," "," "))))&lt;&gt;"")+2*(UPPER(TRIM(CLEAN(SUBSTITUTE(rate_USMCA&amp;""," "," "))))&lt;&gt;"")+4*(UPPER(TRIM(CLEAN(SUBSTITUTE(rate_COO&amp;""," "," "))))&lt;&gt;""))=INT($AO250/100))))</f>
        <v/>
      </c>
      <c r="AQ250" s="13">
        <f>IF($A250="",0,IFERROR(MATCH($AL250,det_Key,0),0))</f>
        <v/>
      </c>
    </row>
    <row r="251">
      <c r="A251" s="10">
        <f>IF(TRIM(CLEAN(SUBSTITUTE(Items!A251&amp;""," "," ")))="","",TRIM(CLEAN(SUBSTITUTE(Items!A251&amp;""," "," "))))</f>
        <v/>
      </c>
      <c r="B251" s="10">
        <f>IF($A251="","",Items!B251&amp;"")</f>
        <v/>
      </c>
      <c r="C251" s="10">
        <f>IF($A251="","",SUBSTITUTE(SUBSTITUTE(SUBSTITUTE(SUBSTITUTE(CLEAN(Items!D251&amp;"")," ",""),".","")," ",""),"-",""))</f>
        <v/>
      </c>
      <c r="D251" s="10">
        <f>IF($A251="","",LEFT($C251,2))</f>
        <v/>
      </c>
      <c r="E251" s="10">
        <f>IF($A251="","",UPPER(TRIM(CLEAN(SUBSTITUTE(Items!E251&amp;""," "," ")))))</f>
        <v/>
      </c>
      <c r="F251" s="10">
        <f>IF($A251="","",IF(UPPER(TRIM(CLEAN(SUBSTITUTE(Items!C251&amp;""," "," "))))=UPPER(TRIM(CLEAN(SUBSTITUTE(act_Country&amp;""," "," ")))),"Y","N"))</f>
        <v/>
      </c>
      <c r="G251" s="10">
        <f>IF($A251="","",IF($AM251&gt;0,"Y","N"))</f>
        <v/>
      </c>
      <c r="H251" s="10">
        <f>IF($A251="","",IF(SUMPRODUCT((excl_HTS&lt;&gt;"")*(LEFT($C251,LEN(excl_HTS))=excl_HTS))&gt;0,"Y","N"))</f>
        <v/>
      </c>
      <c r="I251" s="10">
        <f>IF($A251="","",IF($E251="","N",IF(SUMPRODUCT(--(UPPER(TRIM(CLEAN(SUBSTITUTE(scope_COO&amp;""," "," "))))=$E251))&gt;0,"Y","N")))</f>
        <v/>
      </c>
      <c r="J251" s="10">
        <f>IF($A251="","",IF(AND(UPPER(TRIM(CLEAN(SUBSTITUTE(act_USMCAExempt&amp;""," "," "))))="Y",UPPER(TRIM(CLEAN(SUBSTITUTE(Items!F251&amp;""," "," "))))="Y"),"Y","N"))</f>
        <v/>
      </c>
      <c r="K251" s="10">
        <f>IF($A251="","",IF($AQ251=0,"",UPPER(TRIM(CLEAN(SUBSTITUTE(INDEX(det_Status,$AQ251)&amp;""," "," "))))))</f>
        <v/>
      </c>
      <c r="L251" s="10">
        <f>IF($A251="","",IF($F251="N","N",IF($K251="IN","Y",IF($K251="OUT","N",IF(AND($G251="Y",$H251="N",$I251="Y",$J251="N"),"Y","N")))))</f>
        <v/>
      </c>
      <c r="M251" s="10">
        <f>IF($A251="","",IF($F251="N","Out: different import country",IF($K251="IN","In: Research determination",IF($K251="OUT","Out: Research determination",IF($G251="N","Out: HTS not on scope list",IF($H251="Y","Out: HTS on exclusion list",IF($I251="N","Out: origin not on scope list",IF($J251="Y","Out: USMCA-qualifying, exempt","In: matches scope rules"))))))))</f>
        <v/>
      </c>
      <c r="N251" s="10">
        <f>IF(OR($A251="",$AM251=0),"",UPPER(TRIM(CLEAN(SUBSTITUTE(INDEX(scope_Group,MOD($AM251,1000))&amp;""," "," ")))))</f>
        <v/>
      </c>
      <c r="O251" s="10">
        <f>IF($L251&lt;&gt;"Y","",IF($AO251=0,"Default (B15)",UPPER(TRIM(CLEAN(SUBSTITUTE(INDEX(rate_ID,MOD($AO251,100))&amp;""," "," "))))))</f>
        <v/>
      </c>
      <c r="P251" s="10">
        <f>IF($L251&lt;&gt;"Y","",IF($AO251=0,IF(UPPER(TRIM(CLEAN(SUBSTITUTE(act_DefaultBase&amp;""," "," "))))="PART","PART","FULL"),IF(UPPER(TRIM(CLEAN(SUBSTITUTE(INDEX(rate_Base,MOD($AO251,100))&amp;""," "," "))))="PART","PART","FULL")))</f>
        <v/>
      </c>
      <c r="Q251" s="17">
        <f>IF($A251="","",N(Items!J251))</f>
        <v/>
      </c>
      <c r="R251" s="17">
        <f>IF($A251="","",IF($L251&lt;&gt;"Y",0,IF($AO251=0,N(act_Rate),N(INDEX(rate_Rate,MOD($AO251,100))))))</f>
        <v/>
      </c>
      <c r="S251" s="17">
        <f>IF($A251="","",IF($L251&lt;&gt;"Y",0,IF($AO251=0,IF(UPPER(TRIM(CLEAN(SUBSTITUTE(act_RateType&amp;""," "," "))))="REPLACE",N(act_PriorRate),0),IF(ISNUMBER(INDEX(rate_Prior,MOD($AO251,100))),INDEX(rate_Prior,MOD($AO251,100)),IF(UPPER(TRIM(CLEAN(SUBSTITUTE(act_RateType&amp;""," "," "))))="REPLACE",N(act_PriorRate),0)))))</f>
        <v/>
      </c>
      <c r="T251" s="17">
        <f>IF($A251="","",IF(AND($L251="Y",$P251="PART",ISNUMBER(Items!M251)),Items!M251,1))</f>
        <v/>
      </c>
      <c r="U251" s="17">
        <f>IF($A251="","",IF($L251&lt;&gt;"Y",0,IF($AQ251&gt;0,IF(ISNUMBER(INDEX(det_Displaced,$AQ251)),INDEX(det_Displaced,$AQ251),IF($AO251=0,0,N(INDEX(rate_Displaced,MOD($AO251,100))))),IF($AO251=0,0,N(INDEX(rate_Displaced,MOD($AO251,100)))))))</f>
        <v/>
      </c>
      <c r="V251" s="17">
        <f>IF($A251="","",IF($L251="Y",$Q251+$T251*($R251-$S251)-$U251,$Q251))</f>
        <v/>
      </c>
      <c r="W251" s="18">
        <f>IF($A251="","",N(Items!H251)*$Q251)</f>
        <v/>
      </c>
      <c r="X251" s="18">
        <f>IF($A251="","",N(Items!H251)*$V251)</f>
        <v/>
      </c>
      <c r="Y251" s="18">
        <f>IF($A251="","",$X251-$W251)</f>
        <v/>
      </c>
      <c r="Z251" s="18">
        <f>IF($A251="","",N(Items!K251)+$Y251)</f>
        <v/>
      </c>
      <c r="AA251" s="17">
        <f>IF($A251="","",IF(N(Items!L251)=0,"",(N(Items!L251)-N(Items!K251))/N(Items!L251)))</f>
        <v/>
      </c>
      <c r="AB251" s="17">
        <f>IF($A251="","",IF(N(Items!L251)=0,"",(N(Items!L251)-$Z251)/N(Items!L251)))</f>
        <v/>
      </c>
      <c r="AC251" s="17">
        <f>IF(OR($AA251="",$AB251=""),"",$AB251-$AA251)</f>
        <v/>
      </c>
      <c r="AD251" s="13">
        <f>IF($A251="","",N(Items!I251))</f>
        <v/>
      </c>
      <c r="AE251" s="19">
        <f>IF($A251="","",$Y251*$AD251)</f>
        <v/>
      </c>
      <c r="AF251" s="10">
        <f>IF($A251="","",IF(N(Items!L251)&gt;0,"Y","N"))</f>
        <v/>
      </c>
      <c r="AG251" s="19">
        <f>IF($A251="","",IF($AF251="Y",N(Items!L251)*$AD251,0))</f>
        <v/>
      </c>
      <c r="AH251" s="19">
        <f>IF($A251="","",IF($AF251="Y",(N(Items!L251)-N(Items!K251))*$AD251,0))</f>
        <v/>
      </c>
      <c r="AI251" s="19">
        <f>IF($A251="","",IF($AF251="Y",$AH251-$AE251,0))</f>
        <v/>
      </c>
      <c r="AJ251" s="10">
        <f>IF($A251="","",IF(COUNTIF($AL$5:$AL$254,$AL251)&gt;1,"CHECK: duplicate item and import country",IF(TRIM(CLEAN(SUBSTITUTE(Items!C251&amp;""," "," ")))="","CHECK: import country missing",IF(AND(UPPER(TRIM(CLEAN(SUBSTITUTE(Items!C251&amp;""," "," "))))&lt;&gt;"US",UPPER(TRIM(CLEAN(SUBSTITUTE(Items!C251&amp;""," "," "))))&lt;&gt;"CA",UPPER(TRIM(CLEAN(SUBSTITUTE(Items!C251&amp;""," "," "))))&lt;&gt;"MX"),"CHECK: import country must be US, CA or MX",IF(NOT(AND(LEN($C251)=10,IFERROR(TEXT(VALUE($C251),REPT("0",LEN($C251)))=$C251,FALSE))),"CHECK: HTS must be 10 digits",IF(LEN($E251)&lt;&gt;2,"CHECK: origin code missing or not 2 letters",IF(TRIM(CLEAN(SUBSTITUTE(Items!G251&amp;""," "," ")))="","CHECK: unit of measure missing",IF(OR(Items!H251="",Items!J251="",Items!K251=""),"CHECK: value, rate or cost missing",IF(OR(NOT(ISNUMBER(Items!H251)),NOT(ISNUMBER(Items!J251)),NOT(ISNUMBER(Items!K251)),AND(Items!I251&lt;&gt;"",NOT(ISNUMBER(Items!I251))),AND(Items!L251&lt;&gt;"",NOT(ISNUMBER(Items!L251))),AND(Items!M251&lt;&gt;"",NOT(ISNUMBER(Items!M251)))),"CHECK: text in a number column",IF(AND(ISNUMBER(Items!M251),OR(N(Items!M251)&lt;0,N(Items!M251)&gt;1)),"CHECK: dutiable share must be 0% to 100%",IF(AND(UPPER(TRIM(CLEAN(SUBSTITUTE(Items!F251&amp;""," "," "))))&lt;&gt;"",UPPER(TRIM(CLEAN(SUBSTITUTE(Items!F251&amp;""," "," "))))&lt;&gt;"Y",UPPER(TRIM(CLEAN(SUBSTITUTE(Items!F251&amp;""," "," "))))&lt;&gt;"N"),"CHECK: USMCA flag must be Y, N or blank",IF(AND(UPPER(TRIM(CLEAN(SUBSTITUTE(Items!F251&amp;""," "," "))))="Y",$E251&lt;&gt;"US",$E251&lt;&gt;"CA",$E251&lt;&gt;"MX"),"CHECK: USMCA flag on an origin other than US, CA or MX",IF(AND($L251="Y",$AO251=0,NOT(ISNUMBER(act_Rate))),"CHECK: in scope but no rate (add a rate line or B15)",IF(AND($L251="Y",UPPER(TRIM(CLEAN(SUBSTITUTE(act_RateType&amp;""," "," "))))="REPLACE",NOT(ISNUMBER(act_PriorRate)),IF($AO251=0,TRUE,NOT(ISNUMBER(INDEX(rate_Prior,MOD($AO251,100)))))),"CHECK: REPLACE but no earlier rate (B17 or the rate line's AD)",IF(AND($L251="Y",$AP251&gt;1),"CHECK: two rate lines match equally",IF(AND($L251="Y",$AN251&gt;1),"CHECK: HTS prefix listed twice on the scope list",IF(AND($L251="Y",$P251="PART",NOT(ISNUMBER(Items!M251))),"CHECK: dutiable share missing (PART base)",IF(AND($L251="Y",$P251="FULL",ISNUMBER(Items!M251),N(Items!M251)&lt;&gt;1),"CHECK: dutiable share entered, but the rate taxes the full value",IF(AND($L251="Y",$Q251+0.0000001&lt;$T251*$S251+$U251),"CHECK: current rate is below the duty being replaced or displaced",IF(AND($L251="Y",$AD251=0),"NOTE: in scope, no quantity",IF(AND($L251="Y",$AF251="N"),"NOTE: in scope, no sell price (left out of margin %)",IF(AND($L251="Y",N(Items!H251)&gt;N(Items!K251)),"NOTE: customs value above standard cost (check unit of measure)",IF(AND($L251="Y",$Q251&gt;1),"NOTE: current rate above 100% (check it was entered as a percentage)","OK")))))))))))))))))))))))</f>
        <v/>
      </c>
      <c r="AK251" s="20">
        <f>IF($A251="","",IF(AND($L251="Y",$AE251&lt;&gt;0),ABS($AE251)+ROW()/1000000000,""))</f>
        <v/>
      </c>
      <c r="AL251" s="10">
        <f>IF($A251="","",UPPER($A251)&amp;"/"&amp;UPPER(TRIM(CLEAN(SUBSTITUTE(Items!C251&amp;""," "," ")))))</f>
        <v/>
      </c>
      <c r="AM251" s="13">
        <f>IF($A251="",0,SUMPRODUCT(MAX((scope_HTS&lt;&gt;"")*(LEFT($C251,LEN(scope_HTS))=scope_HTS)*(LEN(scope_HTS)*1000+ROW(scope_HTS)-4))))</f>
        <v/>
      </c>
      <c r="AN251" s="13">
        <f>IF($AM251=0,0,SUMPRODUCT((scope_HTS&lt;&gt;"")*(LEFT($C251,LEN(scope_HTS))=scope_HTS)*(LEN(scope_HTS)=INT($AM251/1000))))</f>
        <v/>
      </c>
      <c r="AO251" s="13">
        <f>IF($L251&lt;&gt;"Y",0,SUMPRODUCT(MAX(ISNUMBER(rate_Rate)*((UPPER(TRIM(CLEAN(SUBSTITUTE(rate_Group&amp;""," "," "))))="")+(UPPER(TRIM(CLEAN(SUBSTITUTE(rate_Group&amp;""," "," "))))=$N251)&gt;0)*((UPPER(TRIM(CLEAN(SUBSTITUTE(rate_COO&amp;""," "," "))))="")+(UPPER(TRIM(CLEAN(SUBSTITUTE(rate_COO&amp;""," "," "))))=$E251)&gt;0)*((UPPER(TRIM(CLEAN(SUBSTITUTE(rate_USMCA&amp;""," "," "))))="")+(UPPER(TRIM(CLEAN(SUBSTITUTE(rate_USMCA&amp;""," "," "))))=IF(UPPER(TRIM(CLEAN(SUBSTITUTE(Items!F251&amp;""," "," "))))="Y","Y","N"))&gt;0)*((1+(UPPER(TRIM(CLEAN(SUBSTITUTE(rate_Group&amp;""," "," "))))&lt;&gt;"")+2*(UPPER(TRIM(CLEAN(SUBSTITUTE(rate_USMCA&amp;""," "," "))))&lt;&gt;"")+4*(UPPER(TRIM(CLEAN(SUBSTITUTE(rate_COO&amp;""," "," "))))&lt;&gt;""))*100+ROW(rate_Rate)-4))))</f>
        <v/>
      </c>
      <c r="AP251" s="13">
        <f>IF($AO251=0,0,SUMPRODUCT(ISNUMBER(rate_Rate)*((UPPER(TRIM(CLEAN(SUBSTITUTE(rate_Group&amp;""," "," "))))="")+(UPPER(TRIM(CLEAN(SUBSTITUTE(rate_Group&amp;""," "," "))))=$N251)&gt;0)*((UPPER(TRIM(CLEAN(SUBSTITUTE(rate_COO&amp;""," "," "))))="")+(UPPER(TRIM(CLEAN(SUBSTITUTE(rate_COO&amp;""," "," "))))=$E251)&gt;0)*((UPPER(TRIM(CLEAN(SUBSTITUTE(rate_USMCA&amp;""," "," "))))="")+(UPPER(TRIM(CLEAN(SUBSTITUTE(rate_USMCA&amp;""," "," "))))=IF(UPPER(TRIM(CLEAN(SUBSTITUTE(Items!F251&amp;""," "," "))))="Y","Y","N"))&gt;0)*((1+(UPPER(TRIM(CLEAN(SUBSTITUTE(rate_Group&amp;""," "," "))))&lt;&gt;"")+2*(UPPER(TRIM(CLEAN(SUBSTITUTE(rate_USMCA&amp;""," "," "))))&lt;&gt;"")+4*(UPPER(TRIM(CLEAN(SUBSTITUTE(rate_COO&amp;""," "," "))))&lt;&gt;""))=INT($AO251/100))))</f>
        <v/>
      </c>
      <c r="AQ251" s="13">
        <f>IF($A251="",0,IFERROR(MATCH($AL251,det_Key,0),0))</f>
        <v/>
      </c>
    </row>
    <row r="252">
      <c r="A252" s="10">
        <f>IF(TRIM(CLEAN(SUBSTITUTE(Items!A252&amp;""," "," ")))="","",TRIM(CLEAN(SUBSTITUTE(Items!A252&amp;""," "," "))))</f>
        <v/>
      </c>
      <c r="B252" s="10">
        <f>IF($A252="","",Items!B252&amp;"")</f>
        <v/>
      </c>
      <c r="C252" s="10">
        <f>IF($A252="","",SUBSTITUTE(SUBSTITUTE(SUBSTITUTE(SUBSTITUTE(CLEAN(Items!D252&amp;"")," ",""),".","")," ",""),"-",""))</f>
        <v/>
      </c>
      <c r="D252" s="10">
        <f>IF($A252="","",LEFT($C252,2))</f>
        <v/>
      </c>
      <c r="E252" s="10">
        <f>IF($A252="","",UPPER(TRIM(CLEAN(SUBSTITUTE(Items!E252&amp;""," "," ")))))</f>
        <v/>
      </c>
      <c r="F252" s="10">
        <f>IF($A252="","",IF(UPPER(TRIM(CLEAN(SUBSTITUTE(Items!C252&amp;""," "," "))))=UPPER(TRIM(CLEAN(SUBSTITUTE(act_Country&amp;""," "," ")))),"Y","N"))</f>
        <v/>
      </c>
      <c r="G252" s="10">
        <f>IF($A252="","",IF($AM252&gt;0,"Y","N"))</f>
        <v/>
      </c>
      <c r="H252" s="10">
        <f>IF($A252="","",IF(SUMPRODUCT((excl_HTS&lt;&gt;"")*(LEFT($C252,LEN(excl_HTS))=excl_HTS))&gt;0,"Y","N"))</f>
        <v/>
      </c>
      <c r="I252" s="10">
        <f>IF($A252="","",IF($E252="","N",IF(SUMPRODUCT(--(UPPER(TRIM(CLEAN(SUBSTITUTE(scope_COO&amp;""," "," "))))=$E252))&gt;0,"Y","N")))</f>
        <v/>
      </c>
      <c r="J252" s="10">
        <f>IF($A252="","",IF(AND(UPPER(TRIM(CLEAN(SUBSTITUTE(act_USMCAExempt&amp;""," "," "))))="Y",UPPER(TRIM(CLEAN(SUBSTITUTE(Items!F252&amp;""," "," "))))="Y"),"Y","N"))</f>
        <v/>
      </c>
      <c r="K252" s="10">
        <f>IF($A252="","",IF($AQ252=0,"",UPPER(TRIM(CLEAN(SUBSTITUTE(INDEX(det_Status,$AQ252)&amp;""," "," "))))))</f>
        <v/>
      </c>
      <c r="L252" s="10">
        <f>IF($A252="","",IF($F252="N","N",IF($K252="IN","Y",IF($K252="OUT","N",IF(AND($G252="Y",$H252="N",$I252="Y",$J252="N"),"Y","N")))))</f>
        <v/>
      </c>
      <c r="M252" s="10">
        <f>IF($A252="","",IF($F252="N","Out: different import country",IF($K252="IN","In: Research determination",IF($K252="OUT","Out: Research determination",IF($G252="N","Out: HTS not on scope list",IF($H252="Y","Out: HTS on exclusion list",IF($I252="N","Out: origin not on scope list",IF($J252="Y","Out: USMCA-qualifying, exempt","In: matches scope rules"))))))))</f>
        <v/>
      </c>
      <c r="N252" s="10">
        <f>IF(OR($A252="",$AM252=0),"",UPPER(TRIM(CLEAN(SUBSTITUTE(INDEX(scope_Group,MOD($AM252,1000))&amp;""," "," ")))))</f>
        <v/>
      </c>
      <c r="O252" s="10">
        <f>IF($L252&lt;&gt;"Y","",IF($AO252=0,"Default (B15)",UPPER(TRIM(CLEAN(SUBSTITUTE(INDEX(rate_ID,MOD($AO252,100))&amp;""," "," "))))))</f>
        <v/>
      </c>
      <c r="P252" s="10">
        <f>IF($L252&lt;&gt;"Y","",IF($AO252=0,IF(UPPER(TRIM(CLEAN(SUBSTITUTE(act_DefaultBase&amp;""," "," "))))="PART","PART","FULL"),IF(UPPER(TRIM(CLEAN(SUBSTITUTE(INDEX(rate_Base,MOD($AO252,100))&amp;""," "," "))))="PART","PART","FULL")))</f>
        <v/>
      </c>
      <c r="Q252" s="17">
        <f>IF($A252="","",N(Items!J252))</f>
        <v/>
      </c>
      <c r="R252" s="17">
        <f>IF($A252="","",IF($L252&lt;&gt;"Y",0,IF($AO252=0,N(act_Rate),N(INDEX(rate_Rate,MOD($AO252,100))))))</f>
        <v/>
      </c>
      <c r="S252" s="17">
        <f>IF($A252="","",IF($L252&lt;&gt;"Y",0,IF($AO252=0,IF(UPPER(TRIM(CLEAN(SUBSTITUTE(act_RateType&amp;""," "," "))))="REPLACE",N(act_PriorRate),0),IF(ISNUMBER(INDEX(rate_Prior,MOD($AO252,100))),INDEX(rate_Prior,MOD($AO252,100)),IF(UPPER(TRIM(CLEAN(SUBSTITUTE(act_RateType&amp;""," "," "))))="REPLACE",N(act_PriorRate),0)))))</f>
        <v/>
      </c>
      <c r="T252" s="17">
        <f>IF($A252="","",IF(AND($L252="Y",$P252="PART",ISNUMBER(Items!M252)),Items!M252,1))</f>
        <v/>
      </c>
      <c r="U252" s="17">
        <f>IF($A252="","",IF($L252&lt;&gt;"Y",0,IF($AQ252&gt;0,IF(ISNUMBER(INDEX(det_Displaced,$AQ252)),INDEX(det_Displaced,$AQ252),IF($AO252=0,0,N(INDEX(rate_Displaced,MOD($AO252,100))))),IF($AO252=0,0,N(INDEX(rate_Displaced,MOD($AO252,100)))))))</f>
        <v/>
      </c>
      <c r="V252" s="17">
        <f>IF($A252="","",IF($L252="Y",$Q252+$T252*($R252-$S252)-$U252,$Q252))</f>
        <v/>
      </c>
      <c r="W252" s="18">
        <f>IF($A252="","",N(Items!H252)*$Q252)</f>
        <v/>
      </c>
      <c r="X252" s="18">
        <f>IF($A252="","",N(Items!H252)*$V252)</f>
        <v/>
      </c>
      <c r="Y252" s="18">
        <f>IF($A252="","",$X252-$W252)</f>
        <v/>
      </c>
      <c r="Z252" s="18">
        <f>IF($A252="","",N(Items!K252)+$Y252)</f>
        <v/>
      </c>
      <c r="AA252" s="17">
        <f>IF($A252="","",IF(N(Items!L252)=0,"",(N(Items!L252)-N(Items!K252))/N(Items!L252)))</f>
        <v/>
      </c>
      <c r="AB252" s="17">
        <f>IF($A252="","",IF(N(Items!L252)=0,"",(N(Items!L252)-$Z252)/N(Items!L252)))</f>
        <v/>
      </c>
      <c r="AC252" s="17">
        <f>IF(OR($AA252="",$AB252=""),"",$AB252-$AA252)</f>
        <v/>
      </c>
      <c r="AD252" s="13">
        <f>IF($A252="","",N(Items!I252))</f>
        <v/>
      </c>
      <c r="AE252" s="19">
        <f>IF($A252="","",$Y252*$AD252)</f>
        <v/>
      </c>
      <c r="AF252" s="10">
        <f>IF($A252="","",IF(N(Items!L252)&gt;0,"Y","N"))</f>
        <v/>
      </c>
      <c r="AG252" s="19">
        <f>IF($A252="","",IF($AF252="Y",N(Items!L252)*$AD252,0))</f>
        <v/>
      </c>
      <c r="AH252" s="19">
        <f>IF($A252="","",IF($AF252="Y",(N(Items!L252)-N(Items!K252))*$AD252,0))</f>
        <v/>
      </c>
      <c r="AI252" s="19">
        <f>IF($A252="","",IF($AF252="Y",$AH252-$AE252,0))</f>
        <v/>
      </c>
      <c r="AJ252" s="10">
        <f>IF($A252="","",IF(COUNTIF($AL$5:$AL$254,$AL252)&gt;1,"CHECK: duplicate item and import country",IF(TRIM(CLEAN(SUBSTITUTE(Items!C252&amp;""," "," ")))="","CHECK: import country missing",IF(AND(UPPER(TRIM(CLEAN(SUBSTITUTE(Items!C252&amp;""," "," "))))&lt;&gt;"US",UPPER(TRIM(CLEAN(SUBSTITUTE(Items!C252&amp;""," "," "))))&lt;&gt;"CA",UPPER(TRIM(CLEAN(SUBSTITUTE(Items!C252&amp;""," "," "))))&lt;&gt;"MX"),"CHECK: import country must be US, CA or MX",IF(NOT(AND(LEN($C252)=10,IFERROR(TEXT(VALUE($C252),REPT("0",LEN($C252)))=$C252,FALSE))),"CHECK: HTS must be 10 digits",IF(LEN($E252)&lt;&gt;2,"CHECK: origin code missing or not 2 letters",IF(TRIM(CLEAN(SUBSTITUTE(Items!G252&amp;""," "," ")))="","CHECK: unit of measure missing",IF(OR(Items!H252="",Items!J252="",Items!K252=""),"CHECK: value, rate or cost missing",IF(OR(NOT(ISNUMBER(Items!H252)),NOT(ISNUMBER(Items!J252)),NOT(ISNUMBER(Items!K252)),AND(Items!I252&lt;&gt;"",NOT(ISNUMBER(Items!I252))),AND(Items!L252&lt;&gt;"",NOT(ISNUMBER(Items!L252))),AND(Items!M252&lt;&gt;"",NOT(ISNUMBER(Items!M252)))),"CHECK: text in a number column",IF(AND(ISNUMBER(Items!M252),OR(N(Items!M252)&lt;0,N(Items!M252)&gt;1)),"CHECK: dutiable share must be 0% to 100%",IF(AND(UPPER(TRIM(CLEAN(SUBSTITUTE(Items!F252&amp;""," "," "))))&lt;&gt;"",UPPER(TRIM(CLEAN(SUBSTITUTE(Items!F252&amp;""," "," "))))&lt;&gt;"Y",UPPER(TRIM(CLEAN(SUBSTITUTE(Items!F252&amp;""," "," "))))&lt;&gt;"N"),"CHECK: USMCA flag must be Y, N or blank",IF(AND(UPPER(TRIM(CLEAN(SUBSTITUTE(Items!F252&amp;""," "," "))))="Y",$E252&lt;&gt;"US",$E252&lt;&gt;"CA",$E252&lt;&gt;"MX"),"CHECK: USMCA flag on an origin other than US, CA or MX",IF(AND($L252="Y",$AO252=0,NOT(ISNUMBER(act_Rate))),"CHECK: in scope but no rate (add a rate line or B15)",IF(AND($L252="Y",UPPER(TRIM(CLEAN(SUBSTITUTE(act_RateType&amp;""," "," "))))="REPLACE",NOT(ISNUMBER(act_PriorRate)),IF($AO252=0,TRUE,NOT(ISNUMBER(INDEX(rate_Prior,MOD($AO252,100)))))),"CHECK: REPLACE but no earlier rate (B17 or the rate line's AD)",IF(AND($L252="Y",$AP252&gt;1),"CHECK: two rate lines match equally",IF(AND($L252="Y",$AN252&gt;1),"CHECK: HTS prefix listed twice on the scope list",IF(AND($L252="Y",$P252="PART",NOT(ISNUMBER(Items!M252))),"CHECK: dutiable share missing (PART base)",IF(AND($L252="Y",$P252="FULL",ISNUMBER(Items!M252),N(Items!M252)&lt;&gt;1),"CHECK: dutiable share entered, but the rate taxes the full value",IF(AND($L252="Y",$Q252+0.0000001&lt;$T252*$S252+$U252),"CHECK: current rate is below the duty being replaced or displaced",IF(AND($L252="Y",$AD252=0),"NOTE: in scope, no quantity",IF(AND($L252="Y",$AF252="N"),"NOTE: in scope, no sell price (left out of margin %)",IF(AND($L252="Y",N(Items!H252)&gt;N(Items!K252)),"NOTE: customs value above standard cost (check unit of measure)",IF(AND($L252="Y",$Q252&gt;1),"NOTE: current rate above 100% (check it was entered as a percentage)","OK")))))))))))))))))))))))</f>
        <v/>
      </c>
      <c r="AK252" s="20">
        <f>IF($A252="","",IF(AND($L252="Y",$AE252&lt;&gt;0),ABS($AE252)+ROW()/1000000000,""))</f>
        <v/>
      </c>
      <c r="AL252" s="10">
        <f>IF($A252="","",UPPER($A252)&amp;"/"&amp;UPPER(TRIM(CLEAN(SUBSTITUTE(Items!C252&amp;""," "," ")))))</f>
        <v/>
      </c>
      <c r="AM252" s="13">
        <f>IF($A252="",0,SUMPRODUCT(MAX((scope_HTS&lt;&gt;"")*(LEFT($C252,LEN(scope_HTS))=scope_HTS)*(LEN(scope_HTS)*1000+ROW(scope_HTS)-4))))</f>
        <v/>
      </c>
      <c r="AN252" s="13">
        <f>IF($AM252=0,0,SUMPRODUCT((scope_HTS&lt;&gt;"")*(LEFT($C252,LEN(scope_HTS))=scope_HTS)*(LEN(scope_HTS)=INT($AM252/1000))))</f>
        <v/>
      </c>
      <c r="AO252" s="13">
        <f>IF($L252&lt;&gt;"Y",0,SUMPRODUCT(MAX(ISNUMBER(rate_Rate)*((UPPER(TRIM(CLEAN(SUBSTITUTE(rate_Group&amp;""," "," "))))="")+(UPPER(TRIM(CLEAN(SUBSTITUTE(rate_Group&amp;""," "," "))))=$N252)&gt;0)*((UPPER(TRIM(CLEAN(SUBSTITUTE(rate_COO&amp;""," "," "))))="")+(UPPER(TRIM(CLEAN(SUBSTITUTE(rate_COO&amp;""," "," "))))=$E252)&gt;0)*((UPPER(TRIM(CLEAN(SUBSTITUTE(rate_USMCA&amp;""," "," "))))="")+(UPPER(TRIM(CLEAN(SUBSTITUTE(rate_USMCA&amp;""," "," "))))=IF(UPPER(TRIM(CLEAN(SUBSTITUTE(Items!F252&amp;""," "," "))))="Y","Y","N"))&gt;0)*((1+(UPPER(TRIM(CLEAN(SUBSTITUTE(rate_Group&amp;""," "," "))))&lt;&gt;"")+2*(UPPER(TRIM(CLEAN(SUBSTITUTE(rate_USMCA&amp;""," "," "))))&lt;&gt;"")+4*(UPPER(TRIM(CLEAN(SUBSTITUTE(rate_COO&amp;""," "," "))))&lt;&gt;""))*100+ROW(rate_Rate)-4))))</f>
        <v/>
      </c>
      <c r="AP252" s="13">
        <f>IF($AO252=0,0,SUMPRODUCT(ISNUMBER(rate_Rate)*((UPPER(TRIM(CLEAN(SUBSTITUTE(rate_Group&amp;""," "," "))))="")+(UPPER(TRIM(CLEAN(SUBSTITUTE(rate_Group&amp;""," "," "))))=$N252)&gt;0)*((UPPER(TRIM(CLEAN(SUBSTITUTE(rate_COO&amp;""," "," "))))="")+(UPPER(TRIM(CLEAN(SUBSTITUTE(rate_COO&amp;""," "," "))))=$E252)&gt;0)*((UPPER(TRIM(CLEAN(SUBSTITUTE(rate_USMCA&amp;""," "," "))))="")+(UPPER(TRIM(CLEAN(SUBSTITUTE(rate_USMCA&amp;""," "," "))))=IF(UPPER(TRIM(CLEAN(SUBSTITUTE(Items!F252&amp;""," "," "))))="Y","Y","N"))&gt;0)*((1+(UPPER(TRIM(CLEAN(SUBSTITUTE(rate_Group&amp;""," "," "))))&lt;&gt;"")+2*(UPPER(TRIM(CLEAN(SUBSTITUTE(rate_USMCA&amp;""," "," "))))&lt;&gt;"")+4*(UPPER(TRIM(CLEAN(SUBSTITUTE(rate_COO&amp;""," "," "))))&lt;&gt;""))=INT($AO252/100))))</f>
        <v/>
      </c>
      <c r="AQ252" s="13">
        <f>IF($A252="",0,IFERROR(MATCH($AL252,det_Key,0),0))</f>
        <v/>
      </c>
    </row>
    <row r="253">
      <c r="A253" s="10">
        <f>IF(TRIM(CLEAN(SUBSTITUTE(Items!A253&amp;""," "," ")))="","",TRIM(CLEAN(SUBSTITUTE(Items!A253&amp;""," "," "))))</f>
        <v/>
      </c>
      <c r="B253" s="10">
        <f>IF($A253="","",Items!B253&amp;"")</f>
        <v/>
      </c>
      <c r="C253" s="10">
        <f>IF($A253="","",SUBSTITUTE(SUBSTITUTE(SUBSTITUTE(SUBSTITUTE(CLEAN(Items!D253&amp;"")," ",""),".","")," ",""),"-",""))</f>
        <v/>
      </c>
      <c r="D253" s="10">
        <f>IF($A253="","",LEFT($C253,2))</f>
        <v/>
      </c>
      <c r="E253" s="10">
        <f>IF($A253="","",UPPER(TRIM(CLEAN(SUBSTITUTE(Items!E253&amp;""," "," ")))))</f>
        <v/>
      </c>
      <c r="F253" s="10">
        <f>IF($A253="","",IF(UPPER(TRIM(CLEAN(SUBSTITUTE(Items!C253&amp;""," "," "))))=UPPER(TRIM(CLEAN(SUBSTITUTE(act_Country&amp;""," "," ")))),"Y","N"))</f>
        <v/>
      </c>
      <c r="G253" s="10">
        <f>IF($A253="","",IF($AM253&gt;0,"Y","N"))</f>
        <v/>
      </c>
      <c r="H253" s="10">
        <f>IF($A253="","",IF(SUMPRODUCT((excl_HTS&lt;&gt;"")*(LEFT($C253,LEN(excl_HTS))=excl_HTS))&gt;0,"Y","N"))</f>
        <v/>
      </c>
      <c r="I253" s="10">
        <f>IF($A253="","",IF($E253="","N",IF(SUMPRODUCT(--(UPPER(TRIM(CLEAN(SUBSTITUTE(scope_COO&amp;""," "," "))))=$E253))&gt;0,"Y","N")))</f>
        <v/>
      </c>
      <c r="J253" s="10">
        <f>IF($A253="","",IF(AND(UPPER(TRIM(CLEAN(SUBSTITUTE(act_USMCAExempt&amp;""," "," "))))="Y",UPPER(TRIM(CLEAN(SUBSTITUTE(Items!F253&amp;""," "," "))))="Y"),"Y","N"))</f>
        <v/>
      </c>
      <c r="K253" s="10">
        <f>IF($A253="","",IF($AQ253=0,"",UPPER(TRIM(CLEAN(SUBSTITUTE(INDEX(det_Status,$AQ253)&amp;""," "," "))))))</f>
        <v/>
      </c>
      <c r="L253" s="10">
        <f>IF($A253="","",IF($F253="N","N",IF($K253="IN","Y",IF($K253="OUT","N",IF(AND($G253="Y",$H253="N",$I253="Y",$J253="N"),"Y","N")))))</f>
        <v/>
      </c>
      <c r="M253" s="10">
        <f>IF($A253="","",IF($F253="N","Out: different import country",IF($K253="IN","In: Research determination",IF($K253="OUT","Out: Research determination",IF($G253="N","Out: HTS not on scope list",IF($H253="Y","Out: HTS on exclusion list",IF($I253="N","Out: origin not on scope list",IF($J253="Y","Out: USMCA-qualifying, exempt","In: matches scope rules"))))))))</f>
        <v/>
      </c>
      <c r="N253" s="10">
        <f>IF(OR($A253="",$AM253=0),"",UPPER(TRIM(CLEAN(SUBSTITUTE(INDEX(scope_Group,MOD($AM253,1000))&amp;""," "," ")))))</f>
        <v/>
      </c>
      <c r="O253" s="10">
        <f>IF($L253&lt;&gt;"Y","",IF($AO253=0,"Default (B15)",UPPER(TRIM(CLEAN(SUBSTITUTE(INDEX(rate_ID,MOD($AO253,100))&amp;""," "," "))))))</f>
        <v/>
      </c>
      <c r="P253" s="10">
        <f>IF($L253&lt;&gt;"Y","",IF($AO253=0,IF(UPPER(TRIM(CLEAN(SUBSTITUTE(act_DefaultBase&amp;""," "," "))))="PART","PART","FULL"),IF(UPPER(TRIM(CLEAN(SUBSTITUTE(INDEX(rate_Base,MOD($AO253,100))&amp;""," "," "))))="PART","PART","FULL")))</f>
        <v/>
      </c>
      <c r="Q253" s="17">
        <f>IF($A253="","",N(Items!J253))</f>
        <v/>
      </c>
      <c r="R253" s="17">
        <f>IF($A253="","",IF($L253&lt;&gt;"Y",0,IF($AO253=0,N(act_Rate),N(INDEX(rate_Rate,MOD($AO253,100))))))</f>
        <v/>
      </c>
      <c r="S253" s="17">
        <f>IF($A253="","",IF($L253&lt;&gt;"Y",0,IF($AO253=0,IF(UPPER(TRIM(CLEAN(SUBSTITUTE(act_RateType&amp;""," "," "))))="REPLACE",N(act_PriorRate),0),IF(ISNUMBER(INDEX(rate_Prior,MOD($AO253,100))),INDEX(rate_Prior,MOD($AO253,100)),IF(UPPER(TRIM(CLEAN(SUBSTITUTE(act_RateType&amp;""," "," "))))="REPLACE",N(act_PriorRate),0)))))</f>
        <v/>
      </c>
      <c r="T253" s="17">
        <f>IF($A253="","",IF(AND($L253="Y",$P253="PART",ISNUMBER(Items!M253)),Items!M253,1))</f>
        <v/>
      </c>
      <c r="U253" s="17">
        <f>IF($A253="","",IF($L253&lt;&gt;"Y",0,IF($AQ253&gt;0,IF(ISNUMBER(INDEX(det_Displaced,$AQ253)),INDEX(det_Displaced,$AQ253),IF($AO253=0,0,N(INDEX(rate_Displaced,MOD($AO253,100))))),IF($AO253=0,0,N(INDEX(rate_Displaced,MOD($AO253,100)))))))</f>
        <v/>
      </c>
      <c r="V253" s="17">
        <f>IF($A253="","",IF($L253="Y",$Q253+$T253*($R253-$S253)-$U253,$Q253))</f>
        <v/>
      </c>
      <c r="W253" s="18">
        <f>IF($A253="","",N(Items!H253)*$Q253)</f>
        <v/>
      </c>
      <c r="X253" s="18">
        <f>IF($A253="","",N(Items!H253)*$V253)</f>
        <v/>
      </c>
      <c r="Y253" s="18">
        <f>IF($A253="","",$X253-$W253)</f>
        <v/>
      </c>
      <c r="Z253" s="18">
        <f>IF($A253="","",N(Items!K253)+$Y253)</f>
        <v/>
      </c>
      <c r="AA253" s="17">
        <f>IF($A253="","",IF(N(Items!L253)=0,"",(N(Items!L253)-N(Items!K253))/N(Items!L253)))</f>
        <v/>
      </c>
      <c r="AB253" s="17">
        <f>IF($A253="","",IF(N(Items!L253)=0,"",(N(Items!L253)-$Z253)/N(Items!L253)))</f>
        <v/>
      </c>
      <c r="AC253" s="17">
        <f>IF(OR($AA253="",$AB253=""),"",$AB253-$AA253)</f>
        <v/>
      </c>
      <c r="AD253" s="13">
        <f>IF($A253="","",N(Items!I253))</f>
        <v/>
      </c>
      <c r="AE253" s="19">
        <f>IF($A253="","",$Y253*$AD253)</f>
        <v/>
      </c>
      <c r="AF253" s="10">
        <f>IF($A253="","",IF(N(Items!L253)&gt;0,"Y","N"))</f>
        <v/>
      </c>
      <c r="AG253" s="19">
        <f>IF($A253="","",IF($AF253="Y",N(Items!L253)*$AD253,0))</f>
        <v/>
      </c>
      <c r="AH253" s="19">
        <f>IF($A253="","",IF($AF253="Y",(N(Items!L253)-N(Items!K253))*$AD253,0))</f>
        <v/>
      </c>
      <c r="AI253" s="19">
        <f>IF($A253="","",IF($AF253="Y",$AH253-$AE253,0))</f>
        <v/>
      </c>
      <c r="AJ253" s="10">
        <f>IF($A253="","",IF(COUNTIF($AL$5:$AL$254,$AL253)&gt;1,"CHECK: duplicate item and import country",IF(TRIM(CLEAN(SUBSTITUTE(Items!C253&amp;""," "," ")))="","CHECK: import country missing",IF(AND(UPPER(TRIM(CLEAN(SUBSTITUTE(Items!C253&amp;""," "," "))))&lt;&gt;"US",UPPER(TRIM(CLEAN(SUBSTITUTE(Items!C253&amp;""," "," "))))&lt;&gt;"CA",UPPER(TRIM(CLEAN(SUBSTITUTE(Items!C253&amp;""," "," "))))&lt;&gt;"MX"),"CHECK: import country must be US, CA or MX",IF(NOT(AND(LEN($C253)=10,IFERROR(TEXT(VALUE($C253),REPT("0",LEN($C253)))=$C253,FALSE))),"CHECK: HTS must be 10 digits",IF(LEN($E253)&lt;&gt;2,"CHECK: origin code missing or not 2 letters",IF(TRIM(CLEAN(SUBSTITUTE(Items!G253&amp;""," "," ")))="","CHECK: unit of measure missing",IF(OR(Items!H253="",Items!J253="",Items!K253=""),"CHECK: value, rate or cost missing",IF(OR(NOT(ISNUMBER(Items!H253)),NOT(ISNUMBER(Items!J253)),NOT(ISNUMBER(Items!K253)),AND(Items!I253&lt;&gt;"",NOT(ISNUMBER(Items!I253))),AND(Items!L253&lt;&gt;"",NOT(ISNUMBER(Items!L253))),AND(Items!M253&lt;&gt;"",NOT(ISNUMBER(Items!M253)))),"CHECK: text in a number column",IF(AND(ISNUMBER(Items!M253),OR(N(Items!M253)&lt;0,N(Items!M253)&gt;1)),"CHECK: dutiable share must be 0% to 100%",IF(AND(UPPER(TRIM(CLEAN(SUBSTITUTE(Items!F253&amp;""," "," "))))&lt;&gt;"",UPPER(TRIM(CLEAN(SUBSTITUTE(Items!F253&amp;""," "," "))))&lt;&gt;"Y",UPPER(TRIM(CLEAN(SUBSTITUTE(Items!F253&amp;""," "," "))))&lt;&gt;"N"),"CHECK: USMCA flag must be Y, N or blank",IF(AND(UPPER(TRIM(CLEAN(SUBSTITUTE(Items!F253&amp;""," "," "))))="Y",$E253&lt;&gt;"US",$E253&lt;&gt;"CA",$E253&lt;&gt;"MX"),"CHECK: USMCA flag on an origin other than US, CA or MX",IF(AND($L253="Y",$AO253=0,NOT(ISNUMBER(act_Rate))),"CHECK: in scope but no rate (add a rate line or B15)",IF(AND($L253="Y",UPPER(TRIM(CLEAN(SUBSTITUTE(act_RateType&amp;""," "," "))))="REPLACE",NOT(ISNUMBER(act_PriorRate)),IF($AO253=0,TRUE,NOT(ISNUMBER(INDEX(rate_Prior,MOD($AO253,100)))))),"CHECK: REPLACE but no earlier rate (B17 or the rate line's AD)",IF(AND($L253="Y",$AP253&gt;1),"CHECK: two rate lines match equally",IF(AND($L253="Y",$AN253&gt;1),"CHECK: HTS prefix listed twice on the scope list",IF(AND($L253="Y",$P253="PART",NOT(ISNUMBER(Items!M253))),"CHECK: dutiable share missing (PART base)",IF(AND($L253="Y",$P253="FULL",ISNUMBER(Items!M253),N(Items!M253)&lt;&gt;1),"CHECK: dutiable share entered, but the rate taxes the full value",IF(AND($L253="Y",$Q253+0.0000001&lt;$T253*$S253+$U253),"CHECK: current rate is below the duty being replaced or displaced",IF(AND($L253="Y",$AD253=0),"NOTE: in scope, no quantity",IF(AND($L253="Y",$AF253="N"),"NOTE: in scope, no sell price (left out of margin %)",IF(AND($L253="Y",N(Items!H253)&gt;N(Items!K253)),"NOTE: customs value above standard cost (check unit of measure)",IF(AND($L253="Y",$Q253&gt;1),"NOTE: current rate above 100% (check it was entered as a percentage)","OK")))))))))))))))))))))))</f>
        <v/>
      </c>
      <c r="AK253" s="20">
        <f>IF($A253="","",IF(AND($L253="Y",$AE253&lt;&gt;0),ABS($AE253)+ROW()/1000000000,""))</f>
        <v/>
      </c>
      <c r="AL253" s="10">
        <f>IF($A253="","",UPPER($A253)&amp;"/"&amp;UPPER(TRIM(CLEAN(SUBSTITUTE(Items!C253&amp;""," "," ")))))</f>
        <v/>
      </c>
      <c r="AM253" s="13">
        <f>IF($A253="",0,SUMPRODUCT(MAX((scope_HTS&lt;&gt;"")*(LEFT($C253,LEN(scope_HTS))=scope_HTS)*(LEN(scope_HTS)*1000+ROW(scope_HTS)-4))))</f>
        <v/>
      </c>
      <c r="AN253" s="13">
        <f>IF($AM253=0,0,SUMPRODUCT((scope_HTS&lt;&gt;"")*(LEFT($C253,LEN(scope_HTS))=scope_HTS)*(LEN(scope_HTS)=INT($AM253/1000))))</f>
        <v/>
      </c>
      <c r="AO253" s="13">
        <f>IF($L253&lt;&gt;"Y",0,SUMPRODUCT(MAX(ISNUMBER(rate_Rate)*((UPPER(TRIM(CLEAN(SUBSTITUTE(rate_Group&amp;""," "," "))))="")+(UPPER(TRIM(CLEAN(SUBSTITUTE(rate_Group&amp;""," "," "))))=$N253)&gt;0)*((UPPER(TRIM(CLEAN(SUBSTITUTE(rate_COO&amp;""," "," "))))="")+(UPPER(TRIM(CLEAN(SUBSTITUTE(rate_COO&amp;""," "," "))))=$E253)&gt;0)*((UPPER(TRIM(CLEAN(SUBSTITUTE(rate_USMCA&amp;""," "," "))))="")+(UPPER(TRIM(CLEAN(SUBSTITUTE(rate_USMCA&amp;""," "," "))))=IF(UPPER(TRIM(CLEAN(SUBSTITUTE(Items!F253&amp;""," "," "))))="Y","Y","N"))&gt;0)*((1+(UPPER(TRIM(CLEAN(SUBSTITUTE(rate_Group&amp;""," "," "))))&lt;&gt;"")+2*(UPPER(TRIM(CLEAN(SUBSTITUTE(rate_USMCA&amp;""," "," "))))&lt;&gt;"")+4*(UPPER(TRIM(CLEAN(SUBSTITUTE(rate_COO&amp;""," "," "))))&lt;&gt;""))*100+ROW(rate_Rate)-4))))</f>
        <v/>
      </c>
      <c r="AP253" s="13">
        <f>IF($AO253=0,0,SUMPRODUCT(ISNUMBER(rate_Rate)*((UPPER(TRIM(CLEAN(SUBSTITUTE(rate_Group&amp;""," "," "))))="")+(UPPER(TRIM(CLEAN(SUBSTITUTE(rate_Group&amp;""," "," "))))=$N253)&gt;0)*((UPPER(TRIM(CLEAN(SUBSTITUTE(rate_COO&amp;""," "," "))))="")+(UPPER(TRIM(CLEAN(SUBSTITUTE(rate_COO&amp;""," "," "))))=$E253)&gt;0)*((UPPER(TRIM(CLEAN(SUBSTITUTE(rate_USMCA&amp;""," "," "))))="")+(UPPER(TRIM(CLEAN(SUBSTITUTE(rate_USMCA&amp;""," "," "))))=IF(UPPER(TRIM(CLEAN(SUBSTITUTE(Items!F253&amp;""," "," "))))="Y","Y","N"))&gt;0)*((1+(UPPER(TRIM(CLEAN(SUBSTITUTE(rate_Group&amp;""," "," "))))&lt;&gt;"")+2*(UPPER(TRIM(CLEAN(SUBSTITUTE(rate_USMCA&amp;""," "," "))))&lt;&gt;"")+4*(UPPER(TRIM(CLEAN(SUBSTITUTE(rate_COO&amp;""," "," "))))&lt;&gt;""))=INT($AO253/100))))</f>
        <v/>
      </c>
      <c r="AQ253" s="13">
        <f>IF($A253="",0,IFERROR(MATCH($AL253,det_Key,0),0))</f>
        <v/>
      </c>
    </row>
    <row r="254">
      <c r="A254" s="10">
        <f>IF(TRIM(CLEAN(SUBSTITUTE(Items!A254&amp;""," "," ")))="","",TRIM(CLEAN(SUBSTITUTE(Items!A254&amp;""," "," "))))</f>
        <v/>
      </c>
      <c r="B254" s="10">
        <f>IF($A254="","",Items!B254&amp;"")</f>
        <v/>
      </c>
      <c r="C254" s="10">
        <f>IF($A254="","",SUBSTITUTE(SUBSTITUTE(SUBSTITUTE(SUBSTITUTE(CLEAN(Items!D254&amp;"")," ",""),".","")," ",""),"-",""))</f>
        <v/>
      </c>
      <c r="D254" s="10">
        <f>IF($A254="","",LEFT($C254,2))</f>
        <v/>
      </c>
      <c r="E254" s="10">
        <f>IF($A254="","",UPPER(TRIM(CLEAN(SUBSTITUTE(Items!E254&amp;""," "," ")))))</f>
        <v/>
      </c>
      <c r="F254" s="10">
        <f>IF($A254="","",IF(UPPER(TRIM(CLEAN(SUBSTITUTE(Items!C254&amp;""," "," "))))=UPPER(TRIM(CLEAN(SUBSTITUTE(act_Country&amp;""," "," ")))),"Y","N"))</f>
        <v/>
      </c>
      <c r="G254" s="10">
        <f>IF($A254="","",IF($AM254&gt;0,"Y","N"))</f>
        <v/>
      </c>
      <c r="H254" s="10">
        <f>IF($A254="","",IF(SUMPRODUCT((excl_HTS&lt;&gt;"")*(LEFT($C254,LEN(excl_HTS))=excl_HTS))&gt;0,"Y","N"))</f>
        <v/>
      </c>
      <c r="I254" s="10">
        <f>IF($A254="","",IF($E254="","N",IF(SUMPRODUCT(--(UPPER(TRIM(CLEAN(SUBSTITUTE(scope_COO&amp;""," "," "))))=$E254))&gt;0,"Y","N")))</f>
        <v/>
      </c>
      <c r="J254" s="10">
        <f>IF($A254="","",IF(AND(UPPER(TRIM(CLEAN(SUBSTITUTE(act_USMCAExempt&amp;""," "," "))))="Y",UPPER(TRIM(CLEAN(SUBSTITUTE(Items!F254&amp;""," "," "))))="Y"),"Y","N"))</f>
        <v/>
      </c>
      <c r="K254" s="10">
        <f>IF($A254="","",IF($AQ254=0,"",UPPER(TRIM(CLEAN(SUBSTITUTE(INDEX(det_Status,$AQ254)&amp;""," "," "))))))</f>
        <v/>
      </c>
      <c r="L254" s="10">
        <f>IF($A254="","",IF($F254="N","N",IF($K254="IN","Y",IF($K254="OUT","N",IF(AND($G254="Y",$H254="N",$I254="Y",$J254="N"),"Y","N")))))</f>
        <v/>
      </c>
      <c r="M254" s="10">
        <f>IF($A254="","",IF($F254="N","Out: different import country",IF($K254="IN","In: Research determination",IF($K254="OUT","Out: Research determination",IF($G254="N","Out: HTS not on scope list",IF($H254="Y","Out: HTS on exclusion list",IF($I254="N","Out: origin not on scope list",IF($J254="Y","Out: USMCA-qualifying, exempt","In: matches scope rules"))))))))</f>
        <v/>
      </c>
      <c r="N254" s="10">
        <f>IF(OR($A254="",$AM254=0),"",UPPER(TRIM(CLEAN(SUBSTITUTE(INDEX(scope_Group,MOD($AM254,1000))&amp;""," "," ")))))</f>
        <v/>
      </c>
      <c r="O254" s="10">
        <f>IF($L254&lt;&gt;"Y","",IF($AO254=0,"Default (B15)",UPPER(TRIM(CLEAN(SUBSTITUTE(INDEX(rate_ID,MOD($AO254,100))&amp;""," "," "))))))</f>
        <v/>
      </c>
      <c r="P254" s="10">
        <f>IF($L254&lt;&gt;"Y","",IF($AO254=0,IF(UPPER(TRIM(CLEAN(SUBSTITUTE(act_DefaultBase&amp;""," "," "))))="PART","PART","FULL"),IF(UPPER(TRIM(CLEAN(SUBSTITUTE(INDEX(rate_Base,MOD($AO254,100))&amp;""," "," "))))="PART","PART","FULL")))</f>
        <v/>
      </c>
      <c r="Q254" s="17">
        <f>IF($A254="","",N(Items!J254))</f>
        <v/>
      </c>
      <c r="R254" s="17">
        <f>IF($A254="","",IF($L254&lt;&gt;"Y",0,IF($AO254=0,N(act_Rate),N(INDEX(rate_Rate,MOD($AO254,100))))))</f>
        <v/>
      </c>
      <c r="S254" s="17">
        <f>IF($A254="","",IF($L254&lt;&gt;"Y",0,IF($AO254=0,IF(UPPER(TRIM(CLEAN(SUBSTITUTE(act_RateType&amp;""," "," "))))="REPLACE",N(act_PriorRate),0),IF(ISNUMBER(INDEX(rate_Prior,MOD($AO254,100))),INDEX(rate_Prior,MOD($AO254,100)),IF(UPPER(TRIM(CLEAN(SUBSTITUTE(act_RateType&amp;""," "," "))))="REPLACE",N(act_PriorRate),0)))))</f>
        <v/>
      </c>
      <c r="T254" s="17">
        <f>IF($A254="","",IF(AND($L254="Y",$P254="PART",ISNUMBER(Items!M254)),Items!M254,1))</f>
        <v/>
      </c>
      <c r="U254" s="17">
        <f>IF($A254="","",IF($L254&lt;&gt;"Y",0,IF($AQ254&gt;0,IF(ISNUMBER(INDEX(det_Displaced,$AQ254)),INDEX(det_Displaced,$AQ254),IF($AO254=0,0,N(INDEX(rate_Displaced,MOD($AO254,100))))),IF($AO254=0,0,N(INDEX(rate_Displaced,MOD($AO254,100)))))))</f>
        <v/>
      </c>
      <c r="V254" s="17">
        <f>IF($A254="","",IF($L254="Y",$Q254+$T254*($R254-$S254)-$U254,$Q254))</f>
        <v/>
      </c>
      <c r="W254" s="18">
        <f>IF($A254="","",N(Items!H254)*$Q254)</f>
        <v/>
      </c>
      <c r="X254" s="18">
        <f>IF($A254="","",N(Items!H254)*$V254)</f>
        <v/>
      </c>
      <c r="Y254" s="18">
        <f>IF($A254="","",$X254-$W254)</f>
        <v/>
      </c>
      <c r="Z254" s="18">
        <f>IF($A254="","",N(Items!K254)+$Y254)</f>
        <v/>
      </c>
      <c r="AA254" s="17">
        <f>IF($A254="","",IF(N(Items!L254)=0,"",(N(Items!L254)-N(Items!K254))/N(Items!L254)))</f>
        <v/>
      </c>
      <c r="AB254" s="17">
        <f>IF($A254="","",IF(N(Items!L254)=0,"",(N(Items!L254)-$Z254)/N(Items!L254)))</f>
        <v/>
      </c>
      <c r="AC254" s="17">
        <f>IF(OR($AA254="",$AB254=""),"",$AB254-$AA254)</f>
        <v/>
      </c>
      <c r="AD254" s="13">
        <f>IF($A254="","",N(Items!I254))</f>
        <v/>
      </c>
      <c r="AE254" s="19">
        <f>IF($A254="","",$Y254*$AD254)</f>
        <v/>
      </c>
      <c r="AF254" s="10">
        <f>IF($A254="","",IF(N(Items!L254)&gt;0,"Y","N"))</f>
        <v/>
      </c>
      <c r="AG254" s="19">
        <f>IF($A254="","",IF($AF254="Y",N(Items!L254)*$AD254,0))</f>
        <v/>
      </c>
      <c r="AH254" s="19">
        <f>IF($A254="","",IF($AF254="Y",(N(Items!L254)-N(Items!K254))*$AD254,0))</f>
        <v/>
      </c>
      <c r="AI254" s="19">
        <f>IF($A254="","",IF($AF254="Y",$AH254-$AE254,0))</f>
        <v/>
      </c>
      <c r="AJ254" s="10">
        <f>IF($A254="","",IF(COUNTIF($AL$5:$AL$254,$AL254)&gt;1,"CHECK: duplicate item and import country",IF(TRIM(CLEAN(SUBSTITUTE(Items!C254&amp;""," "," ")))="","CHECK: import country missing",IF(AND(UPPER(TRIM(CLEAN(SUBSTITUTE(Items!C254&amp;""," "," "))))&lt;&gt;"US",UPPER(TRIM(CLEAN(SUBSTITUTE(Items!C254&amp;""," "," "))))&lt;&gt;"CA",UPPER(TRIM(CLEAN(SUBSTITUTE(Items!C254&amp;""," "," "))))&lt;&gt;"MX"),"CHECK: import country must be US, CA or MX",IF(NOT(AND(LEN($C254)=10,IFERROR(TEXT(VALUE($C254),REPT("0",LEN($C254)))=$C254,FALSE))),"CHECK: HTS must be 10 digits",IF(LEN($E254)&lt;&gt;2,"CHECK: origin code missing or not 2 letters",IF(TRIM(CLEAN(SUBSTITUTE(Items!G254&amp;""," "," ")))="","CHECK: unit of measure missing",IF(OR(Items!H254="",Items!J254="",Items!K254=""),"CHECK: value, rate or cost missing",IF(OR(NOT(ISNUMBER(Items!H254)),NOT(ISNUMBER(Items!J254)),NOT(ISNUMBER(Items!K254)),AND(Items!I254&lt;&gt;"",NOT(ISNUMBER(Items!I254))),AND(Items!L254&lt;&gt;"",NOT(ISNUMBER(Items!L254))),AND(Items!M254&lt;&gt;"",NOT(ISNUMBER(Items!M254)))),"CHECK: text in a number column",IF(AND(ISNUMBER(Items!M254),OR(N(Items!M254)&lt;0,N(Items!M254)&gt;1)),"CHECK: dutiable share must be 0% to 100%",IF(AND(UPPER(TRIM(CLEAN(SUBSTITUTE(Items!F254&amp;""," "," "))))&lt;&gt;"",UPPER(TRIM(CLEAN(SUBSTITUTE(Items!F254&amp;""," "," "))))&lt;&gt;"Y",UPPER(TRIM(CLEAN(SUBSTITUTE(Items!F254&amp;""," "," "))))&lt;&gt;"N"),"CHECK: USMCA flag must be Y, N or blank",IF(AND(UPPER(TRIM(CLEAN(SUBSTITUTE(Items!F254&amp;""," "," "))))="Y",$E254&lt;&gt;"US",$E254&lt;&gt;"CA",$E254&lt;&gt;"MX"),"CHECK: USMCA flag on an origin other than US, CA or MX",IF(AND($L254="Y",$AO254=0,NOT(ISNUMBER(act_Rate))),"CHECK: in scope but no rate (add a rate line or B15)",IF(AND($L254="Y",UPPER(TRIM(CLEAN(SUBSTITUTE(act_RateType&amp;""," "," "))))="REPLACE",NOT(ISNUMBER(act_PriorRate)),IF($AO254=0,TRUE,NOT(ISNUMBER(INDEX(rate_Prior,MOD($AO254,100)))))),"CHECK: REPLACE but no earlier rate (B17 or the rate line's AD)",IF(AND($L254="Y",$AP254&gt;1),"CHECK: two rate lines match equally",IF(AND($L254="Y",$AN254&gt;1),"CHECK: HTS prefix listed twice on the scope list",IF(AND($L254="Y",$P254="PART",NOT(ISNUMBER(Items!M254))),"CHECK: dutiable share missing (PART base)",IF(AND($L254="Y",$P254="FULL",ISNUMBER(Items!M254),N(Items!M254)&lt;&gt;1),"CHECK: dutiable share entered, but the rate taxes the full value",IF(AND($L254="Y",$Q254+0.0000001&lt;$T254*$S254+$U254),"CHECK: current rate is below the duty being replaced or displaced",IF(AND($L254="Y",$AD254=0),"NOTE: in scope, no quantity",IF(AND($L254="Y",$AF254="N"),"NOTE: in scope, no sell price (left out of margin %)",IF(AND($L254="Y",N(Items!H254)&gt;N(Items!K254)),"NOTE: customs value above standard cost (check unit of measure)",IF(AND($L254="Y",$Q254&gt;1),"NOTE: current rate above 100% (check it was entered as a percentage)","OK")))))))))))))))))))))))</f>
        <v/>
      </c>
      <c r="AK254" s="20">
        <f>IF($A254="","",IF(AND($L254="Y",$AE254&lt;&gt;0),ABS($AE254)+ROW()/1000000000,""))</f>
        <v/>
      </c>
      <c r="AL254" s="10">
        <f>IF($A254="","",UPPER($A254)&amp;"/"&amp;UPPER(TRIM(CLEAN(SUBSTITUTE(Items!C254&amp;""," "," ")))))</f>
        <v/>
      </c>
      <c r="AM254" s="13">
        <f>IF($A254="",0,SUMPRODUCT(MAX((scope_HTS&lt;&gt;"")*(LEFT($C254,LEN(scope_HTS))=scope_HTS)*(LEN(scope_HTS)*1000+ROW(scope_HTS)-4))))</f>
        <v/>
      </c>
      <c r="AN254" s="13">
        <f>IF($AM254=0,0,SUMPRODUCT((scope_HTS&lt;&gt;"")*(LEFT($C254,LEN(scope_HTS))=scope_HTS)*(LEN(scope_HTS)=INT($AM254/1000))))</f>
        <v/>
      </c>
      <c r="AO254" s="13">
        <f>IF($L254&lt;&gt;"Y",0,SUMPRODUCT(MAX(ISNUMBER(rate_Rate)*((UPPER(TRIM(CLEAN(SUBSTITUTE(rate_Group&amp;""," "," "))))="")+(UPPER(TRIM(CLEAN(SUBSTITUTE(rate_Group&amp;""," "," "))))=$N254)&gt;0)*((UPPER(TRIM(CLEAN(SUBSTITUTE(rate_COO&amp;""," "," "))))="")+(UPPER(TRIM(CLEAN(SUBSTITUTE(rate_COO&amp;""," "," "))))=$E254)&gt;0)*((UPPER(TRIM(CLEAN(SUBSTITUTE(rate_USMCA&amp;""," "," "))))="")+(UPPER(TRIM(CLEAN(SUBSTITUTE(rate_USMCA&amp;""," "," "))))=IF(UPPER(TRIM(CLEAN(SUBSTITUTE(Items!F254&amp;""," "," "))))="Y","Y","N"))&gt;0)*((1+(UPPER(TRIM(CLEAN(SUBSTITUTE(rate_Group&amp;""," "," "))))&lt;&gt;"")+2*(UPPER(TRIM(CLEAN(SUBSTITUTE(rate_USMCA&amp;""," "," "))))&lt;&gt;"")+4*(UPPER(TRIM(CLEAN(SUBSTITUTE(rate_COO&amp;""," "," "))))&lt;&gt;""))*100+ROW(rate_Rate)-4))))</f>
        <v/>
      </c>
      <c r="AP254" s="13">
        <f>IF($AO254=0,0,SUMPRODUCT(ISNUMBER(rate_Rate)*((UPPER(TRIM(CLEAN(SUBSTITUTE(rate_Group&amp;""," "," "))))="")+(UPPER(TRIM(CLEAN(SUBSTITUTE(rate_Group&amp;""," "," "))))=$N254)&gt;0)*((UPPER(TRIM(CLEAN(SUBSTITUTE(rate_COO&amp;""," "," "))))="")+(UPPER(TRIM(CLEAN(SUBSTITUTE(rate_COO&amp;""," "," "))))=$E254)&gt;0)*((UPPER(TRIM(CLEAN(SUBSTITUTE(rate_USMCA&amp;""," "," "))))="")+(UPPER(TRIM(CLEAN(SUBSTITUTE(rate_USMCA&amp;""," "," "))))=IF(UPPER(TRIM(CLEAN(SUBSTITUTE(Items!F254&amp;""," "," "))))="Y","Y","N"))&gt;0)*((1+(UPPER(TRIM(CLEAN(SUBSTITUTE(rate_Group&amp;""," "," "))))&lt;&gt;"")+2*(UPPER(TRIM(CLEAN(SUBSTITUTE(rate_USMCA&amp;""," "," "))))&lt;&gt;"")+4*(UPPER(TRIM(CLEAN(SUBSTITUTE(rate_COO&amp;""," "," "))))&lt;&gt;""))=INT($AO254/100))))</f>
        <v/>
      </c>
      <c r="AQ254" s="13">
        <f>IF($A254="",0,IFERROR(MATCH($AL254,det_Key,0),0))</f>
        <v/>
      </c>
    </row>
  </sheetData>
  <sheetProtection selectLockedCells="0" selectUnlockedCells="0" sheet="1" objects="0" insertRows="1" insertHyperlinks="1" autoFilter="0" scenarios="0" formatColumns="0" deleteColumns="1" insertColumns="1" pivotTables="1" deleteRows="1" formatCells="1" formatRows="0" sort="1"/>
  <autoFilter ref="A4:AQ254"/>
  <conditionalFormatting sqref="L5:L254">
    <cfRule type="expression" priority="1" dxfId="2">
      <formula>$L5="Y"</formula>
    </cfRule>
  </conditionalFormatting>
  <conditionalFormatting sqref="AJ5:AJ254">
    <cfRule type="expression" priority="2" dxfId="0">
      <formula>LEFT($AJ5,5)="CHECK"</formula>
    </cfRule>
    <cfRule type="expression" priority="3" dxfId="1">
      <formula>LEFT($AJ5,4)="NOTE"</formula>
    </cfRule>
  </conditionalFormatting>
  <pageMargins left="0.75" right="0.75" top="1" bottom="1" header="0.5" footer="0.5"/>
</worksheet>
</file>

<file path=xl/worksheets/sheet5.xml><?xml version="1.0" encoding="utf-8"?>
<worksheet xmlns="http://schemas.openxmlformats.org/spreadsheetml/2006/main">
  <sheetPr>
    <tabColor rgb="00548235"/>
    <outlinePr summaryBelow="1" summaryRight="1"/>
    <pageSetUpPr fitToPage="1"/>
  </sheetPr>
  <dimension ref="A1:I113"/>
  <sheetViews>
    <sheetView workbookViewId="0">
      <pane ySplit="3" topLeftCell="A4" activePane="bottomLeft" state="frozen"/>
      <selection pane="bottomLeft" activeCell="A1" sqref="A1"/>
    </sheetView>
  </sheetViews>
  <sheetFormatPr baseColWidth="8" defaultRowHeight="15"/>
  <cols>
    <col width="46" customWidth="1" min="1" max="1"/>
    <col width="22" customWidth="1" min="2" max="2"/>
    <col width="46" customWidth="1" min="3" max="3"/>
    <col width="14" customWidth="1" min="4" max="4"/>
    <col width="13" customWidth="1" min="5" max="5"/>
    <col width="14" customWidth="1" min="6" max="6"/>
    <col width="13" customWidth="1" min="7" max="7"/>
    <col width="12" customWidth="1" min="8" max="8"/>
    <col width="13" customWidth="1" min="9" max="9"/>
  </cols>
  <sheetData>
    <row r="1">
      <c r="A1" s="1" t="inlineStr">
        <is>
          <t>Summary: what the action does to cost and margin (formulas only, except the yellow chapter list)</t>
        </is>
      </c>
    </row>
    <row r="2">
      <c r="A2" s="2" t="inlineStr">
        <is>
          <t>Send nothing from here until B30 reads YES and the Review tab shows a checker sign-off for this version.</t>
        </is>
      </c>
    </row>
    <row r="4">
      <c r="A4" s="7" t="inlineStr">
        <is>
          <t>Measure</t>
        </is>
      </c>
      <c r="B4" s="7" t="inlineStr">
        <is>
          <t>Value</t>
        </is>
      </c>
      <c r="C4" s="7" t="inlineStr">
        <is>
          <t>How it is calculated</t>
        </is>
      </c>
    </row>
    <row r="5">
      <c r="A5" s="5" t="inlineStr">
        <is>
          <t>Action ID</t>
        </is>
      </c>
      <c r="B5" s="10">
        <f>act_ID&amp;""</f>
        <v/>
      </c>
      <c r="C5" s="9" t="inlineStr">
        <is>
          <t>Action B5</t>
        </is>
      </c>
    </row>
    <row r="6">
      <c r="A6" s="5" t="inlineStr">
        <is>
          <t>Action name</t>
        </is>
      </c>
      <c r="B6" s="10">
        <f>act_Name&amp;""</f>
        <v/>
      </c>
      <c r="C6" s="9" t="inlineStr">
        <is>
          <t>Action B6</t>
        </is>
      </c>
    </row>
    <row r="7">
      <c r="A7" s="5" t="inlineStr">
        <is>
          <t>Importing country</t>
        </is>
      </c>
      <c r="B7" s="10">
        <f>act_Country&amp;""</f>
        <v/>
      </c>
      <c r="C7" s="9" t="inlineStr">
        <is>
          <t>Action B7</t>
        </is>
      </c>
    </row>
    <row r="8">
      <c r="A8" s="5" t="inlineStr">
        <is>
          <t>Effective date</t>
        </is>
      </c>
      <c r="B8" s="21">
        <f>IF(ISNUMBER(act_EffDate),act_EffDate,"")</f>
        <v/>
      </c>
      <c r="C8" s="9" t="inlineStr">
        <is>
          <t>Action B11 (shown, not applied)</t>
        </is>
      </c>
    </row>
    <row r="9">
      <c r="A9" s="5" t="inlineStr">
        <is>
          <t>Default additional rate</t>
        </is>
      </c>
      <c r="B9" s="17">
        <f>IF(ISNUMBER(act_Rate),act_Rate,"none: rate lines only")</f>
        <v/>
      </c>
      <c r="C9" s="9" t="inlineStr">
        <is>
          <t>Action B15</t>
        </is>
      </c>
    </row>
    <row r="10">
      <c r="A10" s="5" t="inlineStr">
        <is>
          <t>Rate lines on Action</t>
        </is>
      </c>
      <c r="B10" s="13">
        <f>COUNT(rate_Rate)</f>
        <v/>
      </c>
      <c r="C10" s="9" t="inlineStr">
        <is>
          <t>Rate lines with a rate (Action columns Y to AI)</t>
        </is>
      </c>
    </row>
    <row r="11">
      <c r="A11" s="5" t="inlineStr">
        <is>
          <t>Brief ID and version</t>
        </is>
      </c>
      <c r="B11" s="10">
        <f>act_Brief&amp;""</f>
        <v/>
      </c>
      <c r="C11" s="9" t="inlineStr">
        <is>
          <t>Action B9</t>
        </is>
      </c>
    </row>
    <row r="12">
      <c r="A12" s="5" t="inlineStr">
        <is>
          <t>Quantity period</t>
        </is>
      </c>
      <c r="B12" s="10">
        <f>qty_Period&amp;""</f>
        <v/>
      </c>
      <c r="C12" s="9" t="inlineStr">
        <is>
          <t>Items K1</t>
        </is>
      </c>
    </row>
    <row r="13">
      <c r="A13" s="5" t="inlineStr">
        <is>
          <t>Items in model</t>
        </is>
      </c>
      <c r="B13" s="13">
        <f>SUMPRODUCT(--(Calc!$A$5:$A$254&lt;&gt;""))</f>
        <v/>
      </c>
      <c r="C13" s="9" t="inlineStr">
        <is>
          <t>Rows on Items with an item number</t>
        </is>
      </c>
    </row>
    <row r="14">
      <c r="A14" s="5" t="inlineStr">
        <is>
          <t>Items in scope</t>
        </is>
      </c>
      <c r="B14" s="13">
        <f>COUNTIF(Calc!$L$5:$L$254,"Y")</f>
        <v/>
      </c>
      <c r="C14" s="9" t="inlineStr">
        <is>
          <t>Calc column L = Y</t>
        </is>
      </c>
    </row>
    <row r="15">
      <c r="A15" s="5" t="inlineStr">
        <is>
          <t>Research determinations listed</t>
        </is>
      </c>
      <c r="B15" s="13">
        <f>SUMPRODUCT(--(det_Key&lt;&gt;""))</f>
        <v/>
      </c>
      <c r="C15" s="9" t="inlineStr">
        <is>
          <t>Rows on the Action determinations list; each must show OK (B27)</t>
        </is>
      </c>
    </row>
    <row r="16">
      <c r="A16" s="5" t="inlineStr">
        <is>
          <t>Research determinations applied</t>
        </is>
      </c>
      <c r="B16" s="10">
        <f>COUNTIF(Calc!$K$5:$K$254,"IN")&amp;" IN, "&amp;COUNTIF(Calc!$K$5:$K$254,"OUT")&amp;" OUT; in-scope items with a displaced duty: "&amp;COUNTIFS(Calc!$L$5:$L$254,"Y",Calc!$U$5:$U$254,"&gt;0")</f>
        <v/>
      </c>
      <c r="C16" s="9" t="inlineStr">
        <is>
          <t>Calc columns K and U</t>
        </is>
      </c>
    </row>
    <row r="17">
      <c r="A17" s="5" t="inlineStr">
        <is>
          <t>In-scope items with no quantity</t>
        </is>
      </c>
      <c r="B17" s="13">
        <f>COUNTIFS(Calc!$L$5:$L$254,"Y",Calc!$AD$5:$AD$254,0)</f>
        <v/>
      </c>
      <c r="C17" s="9" t="inlineStr">
        <is>
          <t>Listed, but they add 0 to the totals. Get a quantity or state why none</t>
        </is>
      </c>
    </row>
    <row r="18">
      <c r="A18" s="5" t="inlineStr">
        <is>
          <t>In-scope items without a sell price</t>
        </is>
      </c>
      <c r="B18" s="13">
        <f>COUNTIFS(Calc!$L$5:$L$254,"Y",Calc!$AF$5:$AF$254,"N")</f>
        <v/>
      </c>
      <c r="C18" s="9" t="inlineStr">
        <is>
          <t>Counted in the impact (B20, B21), left out of revenue and margin (B22 to B25)</t>
        </is>
      </c>
    </row>
    <row r="19">
      <c r="A19" s="5" t="inlineStr">
        <is>
          <t>Rows with a CHECK flag (Calc)</t>
        </is>
      </c>
      <c r="B19" s="13">
        <f>SUMPRODUCT(--(LEFT(Calc!$AJ$5:$AJ$254,5)="CHECK"))</f>
        <v/>
      </c>
      <c r="C19" s="9" t="inlineStr">
        <is>
          <t>Must be 0 before review</t>
        </is>
      </c>
    </row>
    <row r="20">
      <c r="A20" s="5">
        <f>"Impact for the period ("&amp;qty_Period&amp;"), in-scope items"</f>
        <v/>
      </c>
      <c r="B20" s="19">
        <f>SUMIFS(Calc!$AE$5:$AE$254,Calc!$L$5:$L$254,"Y")</f>
        <v/>
      </c>
      <c r="C20" s="9" t="inlineStr">
        <is>
          <t>Sum of landed cost change x quantity, all in-scope items</t>
        </is>
      </c>
    </row>
    <row r="21">
      <c r="A21" s="5" t="inlineStr">
        <is>
          <t>Of which: items without a sell price</t>
        </is>
      </c>
      <c r="B21" s="19">
        <f>SUMIFS(Calc!$AE$5:$AE$254,Calc!$L$5:$L$254,"Y",Calc!$AF$5:$AF$254,"N")</f>
        <v/>
      </c>
      <c r="C21" s="9" t="inlineStr">
        <is>
          <t>Part of B20 that no margin figure covers</t>
        </is>
      </c>
    </row>
    <row r="22">
      <c r="A22" s="5" t="inlineStr">
        <is>
          <t>Revenue for the period, in-scope items with a sell price</t>
        </is>
      </c>
      <c r="B22" s="19">
        <f>SUMIFS(Calc!$AG$5:$AG$254,Calc!$L$5:$L$254,"Y")</f>
        <v/>
      </c>
      <c r="C22" s="9" t="inlineStr">
        <is>
          <t>Sell price x quantity</t>
        </is>
      </c>
    </row>
    <row r="23">
      <c r="A23" s="5" t="inlineStr">
        <is>
          <t>Margin % before, in-scope items with a sell price</t>
        </is>
      </c>
      <c r="B23" s="17">
        <f>IF(B22=0,"",SUMIFS(Calc!$AH$5:$AH$254,Calc!$L$5:$L$254,"Y")/B22)</f>
        <v/>
      </c>
      <c r="C23" s="9" t="inlineStr">
        <is>
          <t>Revenue-weighted; unpriced items excluded from both sides</t>
        </is>
      </c>
    </row>
    <row r="24">
      <c r="A24" s="5" t="inlineStr">
        <is>
          <t>Margin % after, in-scope items with a sell price</t>
        </is>
      </c>
      <c r="B24" s="17">
        <f>IF(B22=0,"",SUMIFS(Calc!$AI$5:$AI$254,Calc!$L$5:$L$254,"Y")/B22)</f>
        <v/>
      </c>
      <c r="C24" s="9" t="inlineStr">
        <is>
          <t>Revenue-weighted; assumes sell prices do not change</t>
        </is>
      </c>
    </row>
    <row r="25">
      <c r="A25" s="5" t="inlineStr">
        <is>
          <t>Margin change (points)</t>
        </is>
      </c>
      <c r="B25" s="17">
        <f>IF(B22=0,"",B24-B23)</f>
        <v/>
      </c>
      <c r="C25" s="9" t="inlineStr">
        <is>
          <t>After minus before</t>
        </is>
      </c>
    </row>
    <row r="26">
      <c r="A26" s="5" t="inlineStr">
        <is>
          <t>Action tab complete?</t>
        </is>
      </c>
      <c r="B26" s="10">
        <f>IF(act_ID&amp;""="","NO: B5 Action ID missing",IF(AND(UPPER(TRIM(CLEAN(SUBSTITUTE(act_Country&amp;""," "," "))))&lt;&gt;"US",UPPER(TRIM(CLEAN(SUBSTITUTE(act_Country&amp;""," "," "))))&lt;&gt;"CA",UPPER(TRIM(CLEAN(SUBSTITUTE(act_Country&amp;""," "," "))))&lt;&gt;"MX"),"NO: B7 must be US, CA or MX",IF(act_Brief&amp;""="","NO: B9 brief ID missing",IF(NOT(ISNUMBER(act_EffDate)),"NO: B11 effective date missing",IF(AND(act_Rate&amp;""&lt;&gt;"",OR(NOT(ISNUMBER(act_Rate)),N(act_Rate)&lt;0,N(act_Rate)&gt;10)),"NO: B15 must be a percentage from 0% to 1000%, or blank",IF(AND(NOT(ISNUMBER(act_Rate)),COUNT(rate_Rate)=0),"NO: no rate (B15 or a rate line)",IF(AND(UPPER(TRIM(CLEAN(SUBSTITUTE(act_RateType&amp;""," "," "))))&lt;&gt;"ADD",UPPER(TRIM(CLEAN(SUBSTITUTE(act_RateType&amp;""," "," "))))&lt;&gt;"REPLACE"),"NO: B16 must be ADD or REPLACE",IF(AND(act_PriorRate&amp;""&lt;&gt;"",NOT(ISNUMBER(act_PriorRate))),"NO: B17 must be a percentage or blank",IF(AND(UPPER(TRIM(CLEAN(SUBSTITUTE(act_RateType&amp;""," "," "))))="REPLACE",NOT(ISNUMBER(act_PriorRate)),COUNT(rate_Prior)=0),"NO: REPLACE needs an earlier rate (B17 or rate line AD)",IF(AND(UPPER(TRIM(CLEAN(SUBSTITUTE(act_USMCAExempt&amp;""," "," "))))&lt;&gt;"Y",UPPER(TRIM(CLEAN(SUBSTITUTE(act_USMCAExempt&amp;""," "," "))))&lt;&gt;"PARTIAL",UPPER(TRIM(CLEAN(SUBSTITUTE(act_USMCAExempt&amp;""," "," "))))&lt;&gt;"N",UPPER(TRIM(CLEAN(SUBSTITUTE(act_USMCAExempt&amp;""," "," "))))&lt;&gt;"N/A"),"NO: B18 must be Y, PARTIAL, N or N/A",IF(AND(UPPER(TRIM(CLEAN(SUBSTITUTE(act_DefaultBase&amp;""," "," "))))&lt;&gt;"",UPPER(TRIM(CLEAN(SUBSTITUTE(act_DefaultBase&amp;""," "," "))))&lt;&gt;"FULL",UPPER(TRIM(CLEAN(SUBSTITUTE(act_DefaultBase&amp;""," "," "))))&lt;&gt;"PART"),"NO: B20 must be FULL, PART or blank",IF(SUMPRODUCT(--(scope_HTS&lt;&gt;""))=0,"NO: no HTS prefix on the scope list",IF(SUMPRODUCT(--(LEFT(scope_HTS,5)="CHECK"))+SUMPRODUCT(--(LEFT(excl_HTS,5)="CHECK"))&gt;0,"NO: an HTS prefix is not 2, 4, 6, 8 or 10 digits (column F or J)",IF(SUMPRODUCT(--(UPPER(TRIM(CLEAN(SUBSTITUTE(scope_COO&amp;""," "," "))))&lt;&gt;""))=0,"NO: no origin on the origin list",IF(SUMPRODUCT((UPPER(TRIM(CLEAN(SUBSTITUTE(scope_COO&amp;""," "," "))))&lt;&gt;"")*(LEN(UPPER(TRIM(CLEAN(SUBSTITUTE(scope_COO&amp;""," "," ")))))&lt;&gt;2))&gt;0,"NO: an origin in column M is not a 2-letter code",IF(AND(UPPER(TRIM(CLEAN(SUBSTITUTE(act_USMCAExempt&amp;""," "," "))))="PARTIAL",SUMPRODUCT(--(UPPER(TRIM(CLEAN(SUBSTITUTE(rate_USMCA&amp;""," "," "))))="Y"))=0),"NO: PARTIAL needs a rate line with USMCA = Y","YES"))))))))))))))))</f>
        <v/>
      </c>
      <c r="C26" s="9" t="inlineStr">
        <is>
          <t>Required fields; coded fields on their lists (B7, B16, B18, B20); a rate (B15 or a rate line); REPLACE has an earlier rate; HTS prefixes all digits; origins 2-letter codes; PARTIAL needs a USMCA = Y rate line. A NO names the first problem</t>
        </is>
      </c>
    </row>
    <row r="27">
      <c r="A27" s="5" t="inlineStr">
        <is>
          <t>Determinations and rate lines check out?</t>
        </is>
      </c>
      <c r="B27" s="10">
        <f>IF(SUMPRODUCT(--(LEFT(det_Check,5)="CHECK"))+SUMPRODUCT(--(LEFT(rate_Check,5)="CHECK"))=0,"YES","NO")</f>
        <v/>
      </c>
      <c r="C27" s="9" t="inlineStr">
        <is>
          <t>No CHECK on Action columns W or AI: every determination valid and, once Items is loaded, matched to one Items row of this import country (W shows WAIT until then)</t>
        </is>
      </c>
    </row>
    <row r="28">
      <c r="A28" s="5" t="inlineStr">
        <is>
          <t>Origin table reconciles?</t>
        </is>
      </c>
      <c r="B28" s="10">
        <f>IF(AND(B113=B14,ABS(C113-B20)&lt;0.005),"YES","NO")</f>
        <v/>
      </c>
      <c r="C28" s="9" t="inlineStr">
        <is>
          <t>Origin table totals (B113, C113) equal B14 and B20; fails if an origin is listed twice</t>
        </is>
      </c>
    </row>
    <row r="29">
      <c r="A29" s="5" t="inlineStr">
        <is>
          <t>Chapter table reconciles?</t>
        </is>
      </c>
      <c r="B29" s="10">
        <f>IF(AND(B57=0,ABS(C57)&lt;0.005),"YES","NO: add the missing chapter")</f>
        <v/>
      </c>
      <c r="C29" s="9" t="inlineStr">
        <is>
          <t>Nothing left in 'Other chapters' (B57 and C57 both 0)</t>
        </is>
      </c>
    </row>
    <row r="30">
      <c r="A30" s="5" t="inlineStr">
        <is>
          <t>Ready for checker review?</t>
        </is>
      </c>
      <c r="B30" s="10">
        <f>IF(AND(B13&gt;0,B26="YES",B27="YES",B28="YES",B29="YES",B19=0),"YES","NO")</f>
        <v/>
      </c>
      <c r="C30" s="9" t="inlineStr">
        <is>
          <t>Items loaded (B13 &gt; 0), B26 to B29 all YES and B19 = 0</t>
        </is>
      </c>
    </row>
    <row r="32">
      <c r="A32" s="4" t="inlineStr">
        <is>
          <t>Top 10 in-scope items by size of impact</t>
        </is>
      </c>
    </row>
    <row r="33">
      <c r="A33" s="7" t="inlineStr">
        <is>
          <t>Rank</t>
        </is>
      </c>
      <c r="B33" s="7" t="inlineStr">
        <is>
          <t>Item</t>
        </is>
      </c>
      <c r="C33" s="7" t="inlineStr">
        <is>
          <t>Description</t>
        </is>
      </c>
      <c r="D33" s="7" t="inlineStr">
        <is>
          <t>Origin</t>
        </is>
      </c>
      <c r="E33" s="7" t="inlineStr">
        <is>
          <t>Rate line</t>
        </is>
      </c>
      <c r="F33" s="7" t="inlineStr">
        <is>
          <t>Impact for the period</t>
        </is>
      </c>
      <c r="G33" s="7" t="inlineStr">
        <is>
          <t>Change per unit</t>
        </is>
      </c>
      <c r="H33" s="7" t="inlineStr">
        <is>
          <t>Margin % after</t>
        </is>
      </c>
      <c r="I33" s="7" t="inlineStr">
        <is>
          <t>Rank key (helper)</t>
        </is>
      </c>
    </row>
    <row r="34">
      <c r="A34" s="13" t="n">
        <v>1</v>
      </c>
      <c r="B34" s="10">
        <f>IF($I34="","",INDEX(Calc!$A$5:$A$254,MATCH($I34,Calc!$AK$5:$AK$254,0)))</f>
        <v/>
      </c>
      <c r="C34" s="10">
        <f>IF($I34="","",INDEX(Calc!$B$5:$B$254,MATCH($I34,Calc!$AK$5:$AK$254,0)))</f>
        <v/>
      </c>
      <c r="D34" s="10">
        <f>IF($I34="","",INDEX(Calc!$E$5:$E$254,MATCH($I34,Calc!$AK$5:$AK$254,0)))</f>
        <v/>
      </c>
      <c r="E34" s="10">
        <f>IF($I34="","",INDEX(Calc!$O$5:$O$254,MATCH($I34,Calc!$AK$5:$AK$254,0)))</f>
        <v/>
      </c>
      <c r="F34" s="19">
        <f>IF($I34="","",INDEX(Calc!$AE$5:$AE$254,MATCH($I34,Calc!$AK$5:$AK$254,0)))</f>
        <v/>
      </c>
      <c r="G34" s="18">
        <f>IF($I34="","",INDEX(Calc!$Y$5:$Y$254,MATCH($I34,Calc!$AK$5:$AK$254,0)))</f>
        <v/>
      </c>
      <c r="H34" s="17">
        <f>IF($I34="","",INDEX(Calc!$AB$5:$AB$254,MATCH($I34,Calc!$AK$5:$AK$254,0)))</f>
        <v/>
      </c>
      <c r="I34" s="20">
        <f>IF(COUNT(Calc!$AK$5:$AK$254)&lt;A34,"",LARGE(Calc!$AK$5:$AK$254,A34))</f>
        <v/>
      </c>
    </row>
    <row r="35">
      <c r="A35" s="13" t="n">
        <v>2</v>
      </c>
      <c r="B35" s="10">
        <f>IF($I35="","",INDEX(Calc!$A$5:$A$254,MATCH($I35,Calc!$AK$5:$AK$254,0)))</f>
        <v/>
      </c>
      <c r="C35" s="10">
        <f>IF($I35="","",INDEX(Calc!$B$5:$B$254,MATCH($I35,Calc!$AK$5:$AK$254,0)))</f>
        <v/>
      </c>
      <c r="D35" s="10">
        <f>IF($I35="","",INDEX(Calc!$E$5:$E$254,MATCH($I35,Calc!$AK$5:$AK$254,0)))</f>
        <v/>
      </c>
      <c r="E35" s="10">
        <f>IF($I35="","",INDEX(Calc!$O$5:$O$254,MATCH($I35,Calc!$AK$5:$AK$254,0)))</f>
        <v/>
      </c>
      <c r="F35" s="19">
        <f>IF($I35="","",INDEX(Calc!$AE$5:$AE$254,MATCH($I35,Calc!$AK$5:$AK$254,0)))</f>
        <v/>
      </c>
      <c r="G35" s="18">
        <f>IF($I35="","",INDEX(Calc!$Y$5:$Y$254,MATCH($I35,Calc!$AK$5:$AK$254,0)))</f>
        <v/>
      </c>
      <c r="H35" s="17">
        <f>IF($I35="","",INDEX(Calc!$AB$5:$AB$254,MATCH($I35,Calc!$AK$5:$AK$254,0)))</f>
        <v/>
      </c>
      <c r="I35" s="20">
        <f>IF(COUNT(Calc!$AK$5:$AK$254)&lt;A35,"",LARGE(Calc!$AK$5:$AK$254,A35))</f>
        <v/>
      </c>
    </row>
    <row r="36">
      <c r="A36" s="13" t="n">
        <v>3</v>
      </c>
      <c r="B36" s="10">
        <f>IF($I36="","",INDEX(Calc!$A$5:$A$254,MATCH($I36,Calc!$AK$5:$AK$254,0)))</f>
        <v/>
      </c>
      <c r="C36" s="10">
        <f>IF($I36="","",INDEX(Calc!$B$5:$B$254,MATCH($I36,Calc!$AK$5:$AK$254,0)))</f>
        <v/>
      </c>
      <c r="D36" s="10">
        <f>IF($I36="","",INDEX(Calc!$E$5:$E$254,MATCH($I36,Calc!$AK$5:$AK$254,0)))</f>
        <v/>
      </c>
      <c r="E36" s="10">
        <f>IF($I36="","",INDEX(Calc!$O$5:$O$254,MATCH($I36,Calc!$AK$5:$AK$254,0)))</f>
        <v/>
      </c>
      <c r="F36" s="19">
        <f>IF($I36="","",INDEX(Calc!$AE$5:$AE$254,MATCH($I36,Calc!$AK$5:$AK$254,0)))</f>
        <v/>
      </c>
      <c r="G36" s="18">
        <f>IF($I36="","",INDEX(Calc!$Y$5:$Y$254,MATCH($I36,Calc!$AK$5:$AK$254,0)))</f>
        <v/>
      </c>
      <c r="H36" s="17">
        <f>IF($I36="","",INDEX(Calc!$AB$5:$AB$254,MATCH($I36,Calc!$AK$5:$AK$254,0)))</f>
        <v/>
      </c>
      <c r="I36" s="20">
        <f>IF(COUNT(Calc!$AK$5:$AK$254)&lt;A36,"",LARGE(Calc!$AK$5:$AK$254,A36))</f>
        <v/>
      </c>
    </row>
    <row r="37">
      <c r="A37" s="13" t="n">
        <v>4</v>
      </c>
      <c r="B37" s="10">
        <f>IF($I37="","",INDEX(Calc!$A$5:$A$254,MATCH($I37,Calc!$AK$5:$AK$254,0)))</f>
        <v/>
      </c>
      <c r="C37" s="10">
        <f>IF($I37="","",INDEX(Calc!$B$5:$B$254,MATCH($I37,Calc!$AK$5:$AK$254,0)))</f>
        <v/>
      </c>
      <c r="D37" s="10">
        <f>IF($I37="","",INDEX(Calc!$E$5:$E$254,MATCH($I37,Calc!$AK$5:$AK$254,0)))</f>
        <v/>
      </c>
      <c r="E37" s="10">
        <f>IF($I37="","",INDEX(Calc!$O$5:$O$254,MATCH($I37,Calc!$AK$5:$AK$254,0)))</f>
        <v/>
      </c>
      <c r="F37" s="19">
        <f>IF($I37="","",INDEX(Calc!$AE$5:$AE$254,MATCH($I37,Calc!$AK$5:$AK$254,0)))</f>
        <v/>
      </c>
      <c r="G37" s="18">
        <f>IF($I37="","",INDEX(Calc!$Y$5:$Y$254,MATCH($I37,Calc!$AK$5:$AK$254,0)))</f>
        <v/>
      </c>
      <c r="H37" s="17">
        <f>IF($I37="","",INDEX(Calc!$AB$5:$AB$254,MATCH($I37,Calc!$AK$5:$AK$254,0)))</f>
        <v/>
      </c>
      <c r="I37" s="20">
        <f>IF(COUNT(Calc!$AK$5:$AK$254)&lt;A37,"",LARGE(Calc!$AK$5:$AK$254,A37))</f>
        <v/>
      </c>
    </row>
    <row r="38">
      <c r="A38" s="13" t="n">
        <v>5</v>
      </c>
      <c r="B38" s="10">
        <f>IF($I38="","",INDEX(Calc!$A$5:$A$254,MATCH($I38,Calc!$AK$5:$AK$254,0)))</f>
        <v/>
      </c>
      <c r="C38" s="10">
        <f>IF($I38="","",INDEX(Calc!$B$5:$B$254,MATCH($I38,Calc!$AK$5:$AK$254,0)))</f>
        <v/>
      </c>
      <c r="D38" s="10">
        <f>IF($I38="","",INDEX(Calc!$E$5:$E$254,MATCH($I38,Calc!$AK$5:$AK$254,0)))</f>
        <v/>
      </c>
      <c r="E38" s="10">
        <f>IF($I38="","",INDEX(Calc!$O$5:$O$254,MATCH($I38,Calc!$AK$5:$AK$254,0)))</f>
        <v/>
      </c>
      <c r="F38" s="19">
        <f>IF($I38="","",INDEX(Calc!$AE$5:$AE$254,MATCH($I38,Calc!$AK$5:$AK$254,0)))</f>
        <v/>
      </c>
      <c r="G38" s="18">
        <f>IF($I38="","",INDEX(Calc!$Y$5:$Y$254,MATCH($I38,Calc!$AK$5:$AK$254,0)))</f>
        <v/>
      </c>
      <c r="H38" s="17">
        <f>IF($I38="","",INDEX(Calc!$AB$5:$AB$254,MATCH($I38,Calc!$AK$5:$AK$254,0)))</f>
        <v/>
      </c>
      <c r="I38" s="20">
        <f>IF(COUNT(Calc!$AK$5:$AK$254)&lt;A38,"",LARGE(Calc!$AK$5:$AK$254,A38))</f>
        <v/>
      </c>
    </row>
    <row r="39">
      <c r="A39" s="13" t="n">
        <v>6</v>
      </c>
      <c r="B39" s="10">
        <f>IF($I39="","",INDEX(Calc!$A$5:$A$254,MATCH($I39,Calc!$AK$5:$AK$254,0)))</f>
        <v/>
      </c>
      <c r="C39" s="10">
        <f>IF($I39="","",INDEX(Calc!$B$5:$B$254,MATCH($I39,Calc!$AK$5:$AK$254,0)))</f>
        <v/>
      </c>
      <c r="D39" s="10">
        <f>IF($I39="","",INDEX(Calc!$E$5:$E$254,MATCH($I39,Calc!$AK$5:$AK$254,0)))</f>
        <v/>
      </c>
      <c r="E39" s="10">
        <f>IF($I39="","",INDEX(Calc!$O$5:$O$254,MATCH($I39,Calc!$AK$5:$AK$254,0)))</f>
        <v/>
      </c>
      <c r="F39" s="19">
        <f>IF($I39="","",INDEX(Calc!$AE$5:$AE$254,MATCH($I39,Calc!$AK$5:$AK$254,0)))</f>
        <v/>
      </c>
      <c r="G39" s="18">
        <f>IF($I39="","",INDEX(Calc!$Y$5:$Y$254,MATCH($I39,Calc!$AK$5:$AK$254,0)))</f>
        <v/>
      </c>
      <c r="H39" s="17">
        <f>IF($I39="","",INDEX(Calc!$AB$5:$AB$254,MATCH($I39,Calc!$AK$5:$AK$254,0)))</f>
        <v/>
      </c>
      <c r="I39" s="20">
        <f>IF(COUNT(Calc!$AK$5:$AK$254)&lt;A39,"",LARGE(Calc!$AK$5:$AK$254,A39))</f>
        <v/>
      </c>
    </row>
    <row r="40">
      <c r="A40" s="13" t="n">
        <v>7</v>
      </c>
      <c r="B40" s="10">
        <f>IF($I40="","",INDEX(Calc!$A$5:$A$254,MATCH($I40,Calc!$AK$5:$AK$254,0)))</f>
        <v/>
      </c>
      <c r="C40" s="10">
        <f>IF($I40="","",INDEX(Calc!$B$5:$B$254,MATCH($I40,Calc!$AK$5:$AK$254,0)))</f>
        <v/>
      </c>
      <c r="D40" s="10">
        <f>IF($I40="","",INDEX(Calc!$E$5:$E$254,MATCH($I40,Calc!$AK$5:$AK$254,0)))</f>
        <v/>
      </c>
      <c r="E40" s="10">
        <f>IF($I40="","",INDEX(Calc!$O$5:$O$254,MATCH($I40,Calc!$AK$5:$AK$254,0)))</f>
        <v/>
      </c>
      <c r="F40" s="19">
        <f>IF($I40="","",INDEX(Calc!$AE$5:$AE$254,MATCH($I40,Calc!$AK$5:$AK$254,0)))</f>
        <v/>
      </c>
      <c r="G40" s="18">
        <f>IF($I40="","",INDEX(Calc!$Y$5:$Y$254,MATCH($I40,Calc!$AK$5:$AK$254,0)))</f>
        <v/>
      </c>
      <c r="H40" s="17">
        <f>IF($I40="","",INDEX(Calc!$AB$5:$AB$254,MATCH($I40,Calc!$AK$5:$AK$254,0)))</f>
        <v/>
      </c>
      <c r="I40" s="20">
        <f>IF(COUNT(Calc!$AK$5:$AK$254)&lt;A40,"",LARGE(Calc!$AK$5:$AK$254,A40))</f>
        <v/>
      </c>
    </row>
    <row r="41">
      <c r="A41" s="13" t="n">
        <v>8</v>
      </c>
      <c r="B41" s="10">
        <f>IF($I41="","",INDEX(Calc!$A$5:$A$254,MATCH($I41,Calc!$AK$5:$AK$254,0)))</f>
        <v/>
      </c>
      <c r="C41" s="10">
        <f>IF($I41="","",INDEX(Calc!$B$5:$B$254,MATCH($I41,Calc!$AK$5:$AK$254,0)))</f>
        <v/>
      </c>
      <c r="D41" s="10">
        <f>IF($I41="","",INDEX(Calc!$E$5:$E$254,MATCH($I41,Calc!$AK$5:$AK$254,0)))</f>
        <v/>
      </c>
      <c r="E41" s="10">
        <f>IF($I41="","",INDEX(Calc!$O$5:$O$254,MATCH($I41,Calc!$AK$5:$AK$254,0)))</f>
        <v/>
      </c>
      <c r="F41" s="19">
        <f>IF($I41="","",INDEX(Calc!$AE$5:$AE$254,MATCH($I41,Calc!$AK$5:$AK$254,0)))</f>
        <v/>
      </c>
      <c r="G41" s="18">
        <f>IF($I41="","",INDEX(Calc!$Y$5:$Y$254,MATCH($I41,Calc!$AK$5:$AK$254,0)))</f>
        <v/>
      </c>
      <c r="H41" s="17">
        <f>IF($I41="","",INDEX(Calc!$AB$5:$AB$254,MATCH($I41,Calc!$AK$5:$AK$254,0)))</f>
        <v/>
      </c>
      <c r="I41" s="20">
        <f>IF(COUNT(Calc!$AK$5:$AK$254)&lt;A41,"",LARGE(Calc!$AK$5:$AK$254,A41))</f>
        <v/>
      </c>
    </row>
    <row r="42">
      <c r="A42" s="13" t="n">
        <v>9</v>
      </c>
      <c r="B42" s="10">
        <f>IF($I42="","",INDEX(Calc!$A$5:$A$254,MATCH($I42,Calc!$AK$5:$AK$254,0)))</f>
        <v/>
      </c>
      <c r="C42" s="10">
        <f>IF($I42="","",INDEX(Calc!$B$5:$B$254,MATCH($I42,Calc!$AK$5:$AK$254,0)))</f>
        <v/>
      </c>
      <c r="D42" s="10">
        <f>IF($I42="","",INDEX(Calc!$E$5:$E$254,MATCH($I42,Calc!$AK$5:$AK$254,0)))</f>
        <v/>
      </c>
      <c r="E42" s="10">
        <f>IF($I42="","",INDEX(Calc!$O$5:$O$254,MATCH($I42,Calc!$AK$5:$AK$254,0)))</f>
        <v/>
      </c>
      <c r="F42" s="19">
        <f>IF($I42="","",INDEX(Calc!$AE$5:$AE$254,MATCH($I42,Calc!$AK$5:$AK$254,0)))</f>
        <v/>
      </c>
      <c r="G42" s="18">
        <f>IF($I42="","",INDEX(Calc!$Y$5:$Y$254,MATCH($I42,Calc!$AK$5:$AK$254,0)))</f>
        <v/>
      </c>
      <c r="H42" s="17">
        <f>IF($I42="","",INDEX(Calc!$AB$5:$AB$254,MATCH($I42,Calc!$AK$5:$AK$254,0)))</f>
        <v/>
      </c>
      <c r="I42" s="20">
        <f>IF(COUNT(Calc!$AK$5:$AK$254)&lt;A42,"",LARGE(Calc!$AK$5:$AK$254,A42))</f>
        <v/>
      </c>
    </row>
    <row r="43">
      <c r="A43" s="13" t="n">
        <v>10</v>
      </c>
      <c r="B43" s="10">
        <f>IF($I43="","",INDEX(Calc!$A$5:$A$254,MATCH($I43,Calc!$AK$5:$AK$254,0)))</f>
        <v/>
      </c>
      <c r="C43" s="10">
        <f>IF($I43="","",INDEX(Calc!$B$5:$B$254,MATCH($I43,Calc!$AK$5:$AK$254,0)))</f>
        <v/>
      </c>
      <c r="D43" s="10">
        <f>IF($I43="","",INDEX(Calc!$E$5:$E$254,MATCH($I43,Calc!$AK$5:$AK$254,0)))</f>
        <v/>
      </c>
      <c r="E43" s="10">
        <f>IF($I43="","",INDEX(Calc!$O$5:$O$254,MATCH($I43,Calc!$AK$5:$AK$254,0)))</f>
        <v/>
      </c>
      <c r="F43" s="19">
        <f>IF($I43="","",INDEX(Calc!$AE$5:$AE$254,MATCH($I43,Calc!$AK$5:$AK$254,0)))</f>
        <v/>
      </c>
      <c r="G43" s="18">
        <f>IF($I43="","",INDEX(Calc!$Y$5:$Y$254,MATCH($I43,Calc!$AK$5:$AK$254,0)))</f>
        <v/>
      </c>
      <c r="H43" s="17">
        <f>IF($I43="","",INDEX(Calc!$AB$5:$AB$254,MATCH($I43,Calc!$AK$5:$AK$254,0)))</f>
        <v/>
      </c>
      <c r="I43" s="20">
        <f>IF(COUNT(Calc!$AK$5:$AK$254)&lt;A43,"",LARGE(Calc!$AK$5:$AK$254,A43))</f>
        <v/>
      </c>
    </row>
    <row r="45">
      <c r="A45" s="4" t="inlineStr">
        <is>
          <t>By HTS chapter (in-scope items). Type each chapter in scope as 2 digits</t>
        </is>
      </c>
    </row>
    <row r="46">
      <c r="A46" s="7" t="inlineStr">
        <is>
          <t>HTS chapter (2 digits)</t>
        </is>
      </c>
      <c r="B46" s="7" t="inlineStr">
        <is>
          <t>Items in scope</t>
        </is>
      </c>
      <c r="C46" s="7" t="inlineStr">
        <is>
          <t>Impact for the period</t>
        </is>
      </c>
      <c r="D46" s="7" t="inlineStr">
        <is>
          <t>Share of impact</t>
        </is>
      </c>
    </row>
    <row r="47">
      <c r="A47" s="8" t="inlineStr">
        <is>
          <t>73</t>
        </is>
      </c>
      <c r="B47" s="13">
        <f>IF(A47="","",COUNTIFS(Calc!$D$5:$D$254,A47&amp;"",Calc!$L$5:$L$254,"Y"))</f>
        <v/>
      </c>
      <c r="C47" s="19">
        <f>IF(A47="","",SUMIFS(Calc!$AE$5:$AE$254,Calc!$D$5:$D$254,A47&amp;"",Calc!$L$5:$L$254,"Y"))</f>
        <v/>
      </c>
      <c r="D47" s="17">
        <f>IF(OR(A47="",$B$20=0),"",C47/$B$20)</f>
        <v/>
      </c>
    </row>
    <row r="48">
      <c r="A48" s="8" t="n"/>
      <c r="B48" s="13">
        <f>IF(A48="","",COUNTIFS(Calc!$D$5:$D$254,A48&amp;"",Calc!$L$5:$L$254,"Y"))</f>
        <v/>
      </c>
      <c r="C48" s="19">
        <f>IF(A48="","",SUMIFS(Calc!$AE$5:$AE$254,Calc!$D$5:$D$254,A48&amp;"",Calc!$L$5:$L$254,"Y"))</f>
        <v/>
      </c>
      <c r="D48" s="17">
        <f>IF(OR(A48="",$B$20=0),"",C48/$B$20)</f>
        <v/>
      </c>
    </row>
    <row r="49">
      <c r="A49" s="8" t="n"/>
      <c r="B49" s="13">
        <f>IF(A49="","",COUNTIFS(Calc!$D$5:$D$254,A49&amp;"",Calc!$L$5:$L$254,"Y"))</f>
        <v/>
      </c>
      <c r="C49" s="19">
        <f>IF(A49="","",SUMIFS(Calc!$AE$5:$AE$254,Calc!$D$5:$D$254,A49&amp;"",Calc!$L$5:$L$254,"Y"))</f>
        <v/>
      </c>
      <c r="D49" s="17">
        <f>IF(OR(A49="",$B$20=0),"",C49/$B$20)</f>
        <v/>
      </c>
    </row>
    <row r="50">
      <c r="A50" s="8" t="n"/>
      <c r="B50" s="13">
        <f>IF(A50="","",COUNTIFS(Calc!$D$5:$D$254,A50&amp;"",Calc!$L$5:$L$254,"Y"))</f>
        <v/>
      </c>
      <c r="C50" s="19">
        <f>IF(A50="","",SUMIFS(Calc!$AE$5:$AE$254,Calc!$D$5:$D$254,A50&amp;"",Calc!$L$5:$L$254,"Y"))</f>
        <v/>
      </c>
      <c r="D50" s="17">
        <f>IF(OR(A50="",$B$20=0),"",C50/$B$20)</f>
        <v/>
      </c>
    </row>
    <row r="51">
      <c r="A51" s="8" t="n"/>
      <c r="B51" s="13">
        <f>IF(A51="","",COUNTIFS(Calc!$D$5:$D$254,A51&amp;"",Calc!$L$5:$L$254,"Y"))</f>
        <v/>
      </c>
      <c r="C51" s="19">
        <f>IF(A51="","",SUMIFS(Calc!$AE$5:$AE$254,Calc!$D$5:$D$254,A51&amp;"",Calc!$L$5:$L$254,"Y"))</f>
        <v/>
      </c>
      <c r="D51" s="17">
        <f>IF(OR(A51="",$B$20=0),"",C51/$B$20)</f>
        <v/>
      </c>
    </row>
    <row r="52">
      <c r="A52" s="8" t="n"/>
      <c r="B52" s="13">
        <f>IF(A52="","",COUNTIFS(Calc!$D$5:$D$254,A52&amp;"",Calc!$L$5:$L$254,"Y"))</f>
        <v/>
      </c>
      <c r="C52" s="19">
        <f>IF(A52="","",SUMIFS(Calc!$AE$5:$AE$254,Calc!$D$5:$D$254,A52&amp;"",Calc!$L$5:$L$254,"Y"))</f>
        <v/>
      </c>
      <c r="D52" s="17">
        <f>IF(OR(A52="",$B$20=0),"",C52/$B$20)</f>
        <v/>
      </c>
    </row>
    <row r="53">
      <c r="A53" s="8" t="n"/>
      <c r="B53" s="13">
        <f>IF(A53="","",COUNTIFS(Calc!$D$5:$D$254,A53&amp;"",Calc!$L$5:$L$254,"Y"))</f>
        <v/>
      </c>
      <c r="C53" s="19">
        <f>IF(A53="","",SUMIFS(Calc!$AE$5:$AE$254,Calc!$D$5:$D$254,A53&amp;"",Calc!$L$5:$L$254,"Y"))</f>
        <v/>
      </c>
      <c r="D53" s="17">
        <f>IF(OR(A53="",$B$20=0),"",C53/$B$20)</f>
        <v/>
      </c>
    </row>
    <row r="54">
      <c r="A54" s="8" t="n"/>
      <c r="B54" s="13">
        <f>IF(A54="","",COUNTIFS(Calc!$D$5:$D$254,A54&amp;"",Calc!$L$5:$L$254,"Y"))</f>
        <v/>
      </c>
      <c r="C54" s="19">
        <f>IF(A54="","",SUMIFS(Calc!$AE$5:$AE$254,Calc!$D$5:$D$254,A54&amp;"",Calc!$L$5:$L$254,"Y"))</f>
        <v/>
      </c>
      <c r="D54" s="17">
        <f>IF(OR(A54="",$B$20=0),"",C54/$B$20)</f>
        <v/>
      </c>
    </row>
    <row r="55">
      <c r="A55" s="8" t="n"/>
      <c r="B55" s="13">
        <f>IF(A55="","",COUNTIFS(Calc!$D$5:$D$254,A55&amp;"",Calc!$L$5:$L$254,"Y"))</f>
        <v/>
      </c>
      <c r="C55" s="19">
        <f>IF(A55="","",SUMIFS(Calc!$AE$5:$AE$254,Calc!$D$5:$D$254,A55&amp;"",Calc!$L$5:$L$254,"Y"))</f>
        <v/>
      </c>
      <c r="D55" s="17">
        <f>IF(OR(A55="",$B$20=0),"",C55/$B$20)</f>
        <v/>
      </c>
    </row>
    <row r="56">
      <c r="A56" s="8" t="n"/>
      <c r="B56" s="13">
        <f>IF(A56="","",COUNTIFS(Calc!$D$5:$D$254,A56&amp;"",Calc!$L$5:$L$254,"Y"))</f>
        <v/>
      </c>
      <c r="C56" s="19">
        <f>IF(A56="","",SUMIFS(Calc!$AE$5:$AE$254,Calc!$D$5:$D$254,A56&amp;"",Calc!$L$5:$L$254,"Y"))</f>
        <v/>
      </c>
      <c r="D56" s="17">
        <f>IF(OR(A56="",$B$20=0),"",C56/$B$20)</f>
        <v/>
      </c>
    </row>
    <row r="57">
      <c r="A57" s="5" t="inlineStr">
        <is>
          <t>Other chapters (must be 0)</t>
        </is>
      </c>
      <c r="B57" s="13">
        <f>B14-SUM(B47:B56)</f>
        <v/>
      </c>
      <c r="C57" s="19">
        <f>B20-SUM(C47:C56)</f>
        <v/>
      </c>
      <c r="D57" s="17">
        <f>IF($B$20=0,"",C57/$B$20)</f>
        <v/>
      </c>
    </row>
    <row r="60">
      <c r="A60" s="4" t="inlineStr">
        <is>
          <t>By country of origin (in-scope items; rows follow the Action origin list)</t>
        </is>
      </c>
    </row>
    <row r="61">
      <c r="A61" s="7" t="inlineStr">
        <is>
          <t>Origin (from Action list)</t>
        </is>
      </c>
      <c r="B61" s="7" t="inlineStr">
        <is>
          <t>Items in scope</t>
        </is>
      </c>
      <c r="C61" s="7" t="inlineStr">
        <is>
          <t>Impact for the period</t>
        </is>
      </c>
      <c r="D61" s="7" t="inlineStr">
        <is>
          <t>Share of impact</t>
        </is>
      </c>
    </row>
    <row r="62">
      <c r="A62" s="10">
        <f>IF(UPPER(TRIM(CLEAN(SUBSTITUTE(Action!$M$5&amp;""," "," "))))="","",UPPER(TRIM(CLEAN(SUBSTITUTE(Action!$M$5&amp;""," "," ")))))</f>
        <v/>
      </c>
      <c r="B62" s="13">
        <f>IF(A62="","",COUNTIFS(Calc!$E$5:$E$254,A62,Calc!$L$5:$L$254,"Y"))</f>
        <v/>
      </c>
      <c r="C62" s="19">
        <f>IF(A62="","",SUMIFS(Calc!$AE$5:$AE$254,Calc!$E$5:$E$254,A62,Calc!$L$5:$L$254,"Y"))</f>
        <v/>
      </c>
      <c r="D62" s="17">
        <f>IF(OR(A62="",$B$20=0),"",C62/$B$20)</f>
        <v/>
      </c>
    </row>
    <row r="63">
      <c r="A63" s="10">
        <f>IF(UPPER(TRIM(CLEAN(SUBSTITUTE(Action!$M$6&amp;""," "," "))))="","",UPPER(TRIM(CLEAN(SUBSTITUTE(Action!$M$6&amp;""," "," ")))))</f>
        <v/>
      </c>
      <c r="B63" s="13">
        <f>IF(A63="","",COUNTIFS(Calc!$E$5:$E$254,A63,Calc!$L$5:$L$254,"Y"))</f>
        <v/>
      </c>
      <c r="C63" s="19">
        <f>IF(A63="","",SUMIFS(Calc!$AE$5:$AE$254,Calc!$E$5:$E$254,A63,Calc!$L$5:$L$254,"Y"))</f>
        <v/>
      </c>
      <c r="D63" s="17">
        <f>IF(OR(A63="",$B$20=0),"",C63/$B$20)</f>
        <v/>
      </c>
    </row>
    <row r="64">
      <c r="A64" s="10">
        <f>IF(UPPER(TRIM(CLEAN(SUBSTITUTE(Action!$M$7&amp;""," "," "))))="","",UPPER(TRIM(CLEAN(SUBSTITUTE(Action!$M$7&amp;""," "," ")))))</f>
        <v/>
      </c>
      <c r="B64" s="13">
        <f>IF(A64="","",COUNTIFS(Calc!$E$5:$E$254,A64,Calc!$L$5:$L$254,"Y"))</f>
        <v/>
      </c>
      <c r="C64" s="19">
        <f>IF(A64="","",SUMIFS(Calc!$AE$5:$AE$254,Calc!$E$5:$E$254,A64,Calc!$L$5:$L$254,"Y"))</f>
        <v/>
      </c>
      <c r="D64" s="17">
        <f>IF(OR(A64="",$B$20=0),"",C64/$B$20)</f>
        <v/>
      </c>
    </row>
    <row r="65">
      <c r="A65" s="10">
        <f>IF(UPPER(TRIM(CLEAN(SUBSTITUTE(Action!$M$8&amp;""," "," "))))="","",UPPER(TRIM(CLEAN(SUBSTITUTE(Action!$M$8&amp;""," "," ")))))</f>
        <v/>
      </c>
      <c r="B65" s="13">
        <f>IF(A65="","",COUNTIFS(Calc!$E$5:$E$254,A65,Calc!$L$5:$L$254,"Y"))</f>
        <v/>
      </c>
      <c r="C65" s="19">
        <f>IF(A65="","",SUMIFS(Calc!$AE$5:$AE$254,Calc!$E$5:$E$254,A65,Calc!$L$5:$L$254,"Y"))</f>
        <v/>
      </c>
      <c r="D65" s="17">
        <f>IF(OR(A65="",$B$20=0),"",C65/$B$20)</f>
        <v/>
      </c>
    </row>
    <row r="66">
      <c r="A66" s="10">
        <f>IF(UPPER(TRIM(CLEAN(SUBSTITUTE(Action!$M$9&amp;""," "," "))))="","",UPPER(TRIM(CLEAN(SUBSTITUTE(Action!$M$9&amp;""," "," ")))))</f>
        <v/>
      </c>
      <c r="B66" s="13">
        <f>IF(A66="","",COUNTIFS(Calc!$E$5:$E$254,A66,Calc!$L$5:$L$254,"Y"))</f>
        <v/>
      </c>
      <c r="C66" s="19">
        <f>IF(A66="","",SUMIFS(Calc!$AE$5:$AE$254,Calc!$E$5:$E$254,A66,Calc!$L$5:$L$254,"Y"))</f>
        <v/>
      </c>
      <c r="D66" s="17">
        <f>IF(OR(A66="",$B$20=0),"",C66/$B$20)</f>
        <v/>
      </c>
    </row>
    <row r="67">
      <c r="A67" s="10">
        <f>IF(UPPER(TRIM(CLEAN(SUBSTITUTE(Action!$M$10&amp;""," "," "))))="","",UPPER(TRIM(CLEAN(SUBSTITUTE(Action!$M$10&amp;""," "," ")))))</f>
        <v/>
      </c>
      <c r="B67" s="13">
        <f>IF(A67="","",COUNTIFS(Calc!$E$5:$E$254,A67,Calc!$L$5:$L$254,"Y"))</f>
        <v/>
      </c>
      <c r="C67" s="19">
        <f>IF(A67="","",SUMIFS(Calc!$AE$5:$AE$254,Calc!$E$5:$E$254,A67,Calc!$L$5:$L$254,"Y"))</f>
        <v/>
      </c>
      <c r="D67" s="17">
        <f>IF(OR(A67="",$B$20=0),"",C67/$B$20)</f>
        <v/>
      </c>
    </row>
    <row r="68">
      <c r="A68" s="10">
        <f>IF(UPPER(TRIM(CLEAN(SUBSTITUTE(Action!$M$11&amp;""," "," "))))="","",UPPER(TRIM(CLEAN(SUBSTITUTE(Action!$M$11&amp;""," "," ")))))</f>
        <v/>
      </c>
      <c r="B68" s="13">
        <f>IF(A68="","",COUNTIFS(Calc!$E$5:$E$254,A68,Calc!$L$5:$L$254,"Y"))</f>
        <v/>
      </c>
      <c r="C68" s="19">
        <f>IF(A68="","",SUMIFS(Calc!$AE$5:$AE$254,Calc!$E$5:$E$254,A68,Calc!$L$5:$L$254,"Y"))</f>
        <v/>
      </c>
      <c r="D68" s="17">
        <f>IF(OR(A68="",$B$20=0),"",C68/$B$20)</f>
        <v/>
      </c>
    </row>
    <row r="69">
      <c r="A69" s="10">
        <f>IF(UPPER(TRIM(CLEAN(SUBSTITUTE(Action!$M$12&amp;""," "," "))))="","",UPPER(TRIM(CLEAN(SUBSTITUTE(Action!$M$12&amp;""," "," ")))))</f>
        <v/>
      </c>
      <c r="B69" s="13">
        <f>IF(A69="","",COUNTIFS(Calc!$E$5:$E$254,A69,Calc!$L$5:$L$254,"Y"))</f>
        <v/>
      </c>
      <c r="C69" s="19">
        <f>IF(A69="","",SUMIFS(Calc!$AE$5:$AE$254,Calc!$E$5:$E$254,A69,Calc!$L$5:$L$254,"Y"))</f>
        <v/>
      </c>
      <c r="D69" s="17">
        <f>IF(OR(A69="",$B$20=0),"",C69/$B$20)</f>
        <v/>
      </c>
    </row>
    <row r="70">
      <c r="A70" s="10">
        <f>IF(UPPER(TRIM(CLEAN(SUBSTITUTE(Action!$M$13&amp;""," "," "))))="","",UPPER(TRIM(CLEAN(SUBSTITUTE(Action!$M$13&amp;""," "," ")))))</f>
        <v/>
      </c>
      <c r="B70" s="13">
        <f>IF(A70="","",COUNTIFS(Calc!$E$5:$E$254,A70,Calc!$L$5:$L$254,"Y"))</f>
        <v/>
      </c>
      <c r="C70" s="19">
        <f>IF(A70="","",SUMIFS(Calc!$AE$5:$AE$254,Calc!$E$5:$E$254,A70,Calc!$L$5:$L$254,"Y"))</f>
        <v/>
      </c>
      <c r="D70" s="17">
        <f>IF(OR(A70="",$B$20=0),"",C70/$B$20)</f>
        <v/>
      </c>
    </row>
    <row r="71">
      <c r="A71" s="10">
        <f>IF(UPPER(TRIM(CLEAN(SUBSTITUTE(Action!$M$14&amp;""," "," "))))="","",UPPER(TRIM(CLEAN(SUBSTITUTE(Action!$M$14&amp;""," "," ")))))</f>
        <v/>
      </c>
      <c r="B71" s="13">
        <f>IF(A71="","",COUNTIFS(Calc!$E$5:$E$254,A71,Calc!$L$5:$L$254,"Y"))</f>
        <v/>
      </c>
      <c r="C71" s="19">
        <f>IF(A71="","",SUMIFS(Calc!$AE$5:$AE$254,Calc!$E$5:$E$254,A71,Calc!$L$5:$L$254,"Y"))</f>
        <v/>
      </c>
      <c r="D71" s="17">
        <f>IF(OR(A71="",$B$20=0),"",C71/$B$20)</f>
        <v/>
      </c>
    </row>
    <row r="72">
      <c r="A72" s="10">
        <f>IF(UPPER(TRIM(CLEAN(SUBSTITUTE(Action!$M$15&amp;""," "," "))))="","",UPPER(TRIM(CLEAN(SUBSTITUTE(Action!$M$15&amp;""," "," ")))))</f>
        <v/>
      </c>
      <c r="B72" s="13">
        <f>IF(A72="","",COUNTIFS(Calc!$E$5:$E$254,A72,Calc!$L$5:$L$254,"Y"))</f>
        <v/>
      </c>
      <c r="C72" s="19">
        <f>IF(A72="","",SUMIFS(Calc!$AE$5:$AE$254,Calc!$E$5:$E$254,A72,Calc!$L$5:$L$254,"Y"))</f>
        <v/>
      </c>
      <c r="D72" s="17">
        <f>IF(OR(A72="",$B$20=0),"",C72/$B$20)</f>
        <v/>
      </c>
    </row>
    <row r="73">
      <c r="A73" s="10">
        <f>IF(UPPER(TRIM(CLEAN(SUBSTITUTE(Action!$M$16&amp;""," "," "))))="","",UPPER(TRIM(CLEAN(SUBSTITUTE(Action!$M$16&amp;""," "," ")))))</f>
        <v/>
      </c>
      <c r="B73" s="13">
        <f>IF(A73="","",COUNTIFS(Calc!$E$5:$E$254,A73,Calc!$L$5:$L$254,"Y"))</f>
        <v/>
      </c>
      <c r="C73" s="19">
        <f>IF(A73="","",SUMIFS(Calc!$AE$5:$AE$254,Calc!$E$5:$E$254,A73,Calc!$L$5:$L$254,"Y"))</f>
        <v/>
      </c>
      <c r="D73" s="17">
        <f>IF(OR(A73="",$B$20=0),"",C73/$B$20)</f>
        <v/>
      </c>
    </row>
    <row r="74">
      <c r="A74" s="10">
        <f>IF(UPPER(TRIM(CLEAN(SUBSTITUTE(Action!$M$17&amp;""," "," "))))="","",UPPER(TRIM(CLEAN(SUBSTITUTE(Action!$M$17&amp;""," "," ")))))</f>
        <v/>
      </c>
      <c r="B74" s="13">
        <f>IF(A74="","",COUNTIFS(Calc!$E$5:$E$254,A74,Calc!$L$5:$L$254,"Y"))</f>
        <v/>
      </c>
      <c r="C74" s="19">
        <f>IF(A74="","",SUMIFS(Calc!$AE$5:$AE$254,Calc!$E$5:$E$254,A74,Calc!$L$5:$L$254,"Y"))</f>
        <v/>
      </c>
      <c r="D74" s="17">
        <f>IF(OR(A74="",$B$20=0),"",C74/$B$20)</f>
        <v/>
      </c>
    </row>
    <row r="75">
      <c r="A75" s="10">
        <f>IF(UPPER(TRIM(CLEAN(SUBSTITUTE(Action!$M$18&amp;""," "," "))))="","",UPPER(TRIM(CLEAN(SUBSTITUTE(Action!$M$18&amp;""," "," ")))))</f>
        <v/>
      </c>
      <c r="B75" s="13">
        <f>IF(A75="","",COUNTIFS(Calc!$E$5:$E$254,A75,Calc!$L$5:$L$254,"Y"))</f>
        <v/>
      </c>
      <c r="C75" s="19">
        <f>IF(A75="","",SUMIFS(Calc!$AE$5:$AE$254,Calc!$E$5:$E$254,A75,Calc!$L$5:$L$254,"Y"))</f>
        <v/>
      </c>
      <c r="D75" s="17">
        <f>IF(OR(A75="",$B$20=0),"",C75/$B$20)</f>
        <v/>
      </c>
    </row>
    <row r="76">
      <c r="A76" s="10">
        <f>IF(UPPER(TRIM(CLEAN(SUBSTITUTE(Action!$M$19&amp;""," "," "))))="","",UPPER(TRIM(CLEAN(SUBSTITUTE(Action!$M$19&amp;""," "," ")))))</f>
        <v/>
      </c>
      <c r="B76" s="13">
        <f>IF(A76="","",COUNTIFS(Calc!$E$5:$E$254,A76,Calc!$L$5:$L$254,"Y"))</f>
        <v/>
      </c>
      <c r="C76" s="19">
        <f>IF(A76="","",SUMIFS(Calc!$AE$5:$AE$254,Calc!$E$5:$E$254,A76,Calc!$L$5:$L$254,"Y"))</f>
        <v/>
      </c>
      <c r="D76" s="17">
        <f>IF(OR(A76="",$B$20=0),"",C76/$B$20)</f>
        <v/>
      </c>
    </row>
    <row r="77">
      <c r="A77" s="10">
        <f>IF(UPPER(TRIM(CLEAN(SUBSTITUTE(Action!$M$20&amp;""," "," "))))="","",UPPER(TRIM(CLEAN(SUBSTITUTE(Action!$M$20&amp;""," "," ")))))</f>
        <v/>
      </c>
      <c r="B77" s="13">
        <f>IF(A77="","",COUNTIFS(Calc!$E$5:$E$254,A77,Calc!$L$5:$L$254,"Y"))</f>
        <v/>
      </c>
      <c r="C77" s="19">
        <f>IF(A77="","",SUMIFS(Calc!$AE$5:$AE$254,Calc!$E$5:$E$254,A77,Calc!$L$5:$L$254,"Y"))</f>
        <v/>
      </c>
      <c r="D77" s="17">
        <f>IF(OR(A77="",$B$20=0),"",C77/$B$20)</f>
        <v/>
      </c>
    </row>
    <row r="78">
      <c r="A78" s="10">
        <f>IF(UPPER(TRIM(CLEAN(SUBSTITUTE(Action!$M$21&amp;""," "," "))))="","",UPPER(TRIM(CLEAN(SUBSTITUTE(Action!$M$21&amp;""," "," ")))))</f>
        <v/>
      </c>
      <c r="B78" s="13">
        <f>IF(A78="","",COUNTIFS(Calc!$E$5:$E$254,A78,Calc!$L$5:$L$254,"Y"))</f>
        <v/>
      </c>
      <c r="C78" s="19">
        <f>IF(A78="","",SUMIFS(Calc!$AE$5:$AE$254,Calc!$E$5:$E$254,A78,Calc!$L$5:$L$254,"Y"))</f>
        <v/>
      </c>
      <c r="D78" s="17">
        <f>IF(OR(A78="",$B$20=0),"",C78/$B$20)</f>
        <v/>
      </c>
    </row>
    <row r="79">
      <c r="A79" s="10">
        <f>IF(UPPER(TRIM(CLEAN(SUBSTITUTE(Action!$M$22&amp;""," "," "))))="","",UPPER(TRIM(CLEAN(SUBSTITUTE(Action!$M$22&amp;""," "," ")))))</f>
        <v/>
      </c>
      <c r="B79" s="13">
        <f>IF(A79="","",COUNTIFS(Calc!$E$5:$E$254,A79,Calc!$L$5:$L$254,"Y"))</f>
        <v/>
      </c>
      <c r="C79" s="19">
        <f>IF(A79="","",SUMIFS(Calc!$AE$5:$AE$254,Calc!$E$5:$E$254,A79,Calc!$L$5:$L$254,"Y"))</f>
        <v/>
      </c>
      <c r="D79" s="17">
        <f>IF(OR(A79="",$B$20=0),"",C79/$B$20)</f>
        <v/>
      </c>
    </row>
    <row r="80">
      <c r="A80" s="10">
        <f>IF(UPPER(TRIM(CLEAN(SUBSTITUTE(Action!$M$23&amp;""," "," "))))="","",UPPER(TRIM(CLEAN(SUBSTITUTE(Action!$M$23&amp;""," "," ")))))</f>
        <v/>
      </c>
      <c r="B80" s="13">
        <f>IF(A80="","",COUNTIFS(Calc!$E$5:$E$254,A80,Calc!$L$5:$L$254,"Y"))</f>
        <v/>
      </c>
      <c r="C80" s="19">
        <f>IF(A80="","",SUMIFS(Calc!$AE$5:$AE$254,Calc!$E$5:$E$254,A80,Calc!$L$5:$L$254,"Y"))</f>
        <v/>
      </c>
      <c r="D80" s="17">
        <f>IF(OR(A80="",$B$20=0),"",C80/$B$20)</f>
        <v/>
      </c>
    </row>
    <row r="81">
      <c r="A81" s="10">
        <f>IF(UPPER(TRIM(CLEAN(SUBSTITUTE(Action!$M$24&amp;""," "," "))))="","",UPPER(TRIM(CLEAN(SUBSTITUTE(Action!$M$24&amp;""," "," ")))))</f>
        <v/>
      </c>
      <c r="B81" s="13">
        <f>IF(A81="","",COUNTIFS(Calc!$E$5:$E$254,A81,Calc!$L$5:$L$254,"Y"))</f>
        <v/>
      </c>
      <c r="C81" s="19">
        <f>IF(A81="","",SUMIFS(Calc!$AE$5:$AE$254,Calc!$E$5:$E$254,A81,Calc!$L$5:$L$254,"Y"))</f>
        <v/>
      </c>
      <c r="D81" s="17">
        <f>IF(OR(A81="",$B$20=0),"",C81/$B$20)</f>
        <v/>
      </c>
    </row>
    <row r="82">
      <c r="A82" s="10">
        <f>IF(UPPER(TRIM(CLEAN(SUBSTITUTE(Action!$M$25&amp;""," "," "))))="","",UPPER(TRIM(CLEAN(SUBSTITUTE(Action!$M$25&amp;""," "," ")))))</f>
        <v/>
      </c>
      <c r="B82" s="13">
        <f>IF(A82="","",COUNTIFS(Calc!$E$5:$E$254,A82,Calc!$L$5:$L$254,"Y"))</f>
        <v/>
      </c>
      <c r="C82" s="19">
        <f>IF(A82="","",SUMIFS(Calc!$AE$5:$AE$254,Calc!$E$5:$E$254,A82,Calc!$L$5:$L$254,"Y"))</f>
        <v/>
      </c>
      <c r="D82" s="17">
        <f>IF(OR(A82="",$B$20=0),"",C82/$B$20)</f>
        <v/>
      </c>
    </row>
    <row r="83">
      <c r="A83" s="10">
        <f>IF(UPPER(TRIM(CLEAN(SUBSTITUTE(Action!$M$26&amp;""," "," "))))="","",UPPER(TRIM(CLEAN(SUBSTITUTE(Action!$M$26&amp;""," "," ")))))</f>
        <v/>
      </c>
      <c r="B83" s="13">
        <f>IF(A83="","",COUNTIFS(Calc!$E$5:$E$254,A83,Calc!$L$5:$L$254,"Y"))</f>
        <v/>
      </c>
      <c r="C83" s="19">
        <f>IF(A83="","",SUMIFS(Calc!$AE$5:$AE$254,Calc!$E$5:$E$254,A83,Calc!$L$5:$L$254,"Y"))</f>
        <v/>
      </c>
      <c r="D83" s="17">
        <f>IF(OR(A83="",$B$20=0),"",C83/$B$20)</f>
        <v/>
      </c>
    </row>
    <row r="84">
      <c r="A84" s="10">
        <f>IF(UPPER(TRIM(CLEAN(SUBSTITUTE(Action!$M$27&amp;""," "," "))))="","",UPPER(TRIM(CLEAN(SUBSTITUTE(Action!$M$27&amp;""," "," ")))))</f>
        <v/>
      </c>
      <c r="B84" s="13">
        <f>IF(A84="","",COUNTIFS(Calc!$E$5:$E$254,A84,Calc!$L$5:$L$254,"Y"))</f>
        <v/>
      </c>
      <c r="C84" s="19">
        <f>IF(A84="","",SUMIFS(Calc!$AE$5:$AE$254,Calc!$E$5:$E$254,A84,Calc!$L$5:$L$254,"Y"))</f>
        <v/>
      </c>
      <c r="D84" s="17">
        <f>IF(OR(A84="",$B$20=0),"",C84/$B$20)</f>
        <v/>
      </c>
    </row>
    <row r="85">
      <c r="A85" s="10">
        <f>IF(UPPER(TRIM(CLEAN(SUBSTITUTE(Action!$M$28&amp;""," "," "))))="","",UPPER(TRIM(CLEAN(SUBSTITUTE(Action!$M$28&amp;""," "," ")))))</f>
        <v/>
      </c>
      <c r="B85" s="13">
        <f>IF(A85="","",COUNTIFS(Calc!$E$5:$E$254,A85,Calc!$L$5:$L$254,"Y"))</f>
        <v/>
      </c>
      <c r="C85" s="19">
        <f>IF(A85="","",SUMIFS(Calc!$AE$5:$AE$254,Calc!$E$5:$E$254,A85,Calc!$L$5:$L$254,"Y"))</f>
        <v/>
      </c>
      <c r="D85" s="17">
        <f>IF(OR(A85="",$B$20=0),"",C85/$B$20)</f>
        <v/>
      </c>
    </row>
    <row r="86">
      <c r="A86" s="10">
        <f>IF(UPPER(TRIM(CLEAN(SUBSTITUTE(Action!$M$29&amp;""," "," "))))="","",UPPER(TRIM(CLEAN(SUBSTITUTE(Action!$M$29&amp;""," "," ")))))</f>
        <v/>
      </c>
      <c r="B86" s="13">
        <f>IF(A86="","",COUNTIFS(Calc!$E$5:$E$254,A86,Calc!$L$5:$L$254,"Y"))</f>
        <v/>
      </c>
      <c r="C86" s="19">
        <f>IF(A86="","",SUMIFS(Calc!$AE$5:$AE$254,Calc!$E$5:$E$254,A86,Calc!$L$5:$L$254,"Y"))</f>
        <v/>
      </c>
      <c r="D86" s="17">
        <f>IF(OR(A86="",$B$20=0),"",C86/$B$20)</f>
        <v/>
      </c>
    </row>
    <row r="87">
      <c r="A87" s="10">
        <f>IF(UPPER(TRIM(CLEAN(SUBSTITUTE(Action!$M$30&amp;""," "," "))))="","",UPPER(TRIM(CLEAN(SUBSTITUTE(Action!$M$30&amp;""," "," ")))))</f>
        <v/>
      </c>
      <c r="B87" s="13">
        <f>IF(A87="","",COUNTIFS(Calc!$E$5:$E$254,A87,Calc!$L$5:$L$254,"Y"))</f>
        <v/>
      </c>
      <c r="C87" s="19">
        <f>IF(A87="","",SUMIFS(Calc!$AE$5:$AE$254,Calc!$E$5:$E$254,A87,Calc!$L$5:$L$254,"Y"))</f>
        <v/>
      </c>
      <c r="D87" s="17">
        <f>IF(OR(A87="",$B$20=0),"",C87/$B$20)</f>
        <v/>
      </c>
    </row>
    <row r="88">
      <c r="A88" s="10">
        <f>IF(UPPER(TRIM(CLEAN(SUBSTITUTE(Action!$M$31&amp;""," "," "))))="","",UPPER(TRIM(CLEAN(SUBSTITUTE(Action!$M$31&amp;""," "," ")))))</f>
        <v/>
      </c>
      <c r="B88" s="13">
        <f>IF(A88="","",COUNTIFS(Calc!$E$5:$E$254,A88,Calc!$L$5:$L$254,"Y"))</f>
        <v/>
      </c>
      <c r="C88" s="19">
        <f>IF(A88="","",SUMIFS(Calc!$AE$5:$AE$254,Calc!$E$5:$E$254,A88,Calc!$L$5:$L$254,"Y"))</f>
        <v/>
      </c>
      <c r="D88" s="17">
        <f>IF(OR(A88="",$B$20=0),"",C88/$B$20)</f>
        <v/>
      </c>
    </row>
    <row r="89">
      <c r="A89" s="10">
        <f>IF(UPPER(TRIM(CLEAN(SUBSTITUTE(Action!$M$32&amp;""," "," "))))="","",UPPER(TRIM(CLEAN(SUBSTITUTE(Action!$M$32&amp;""," "," ")))))</f>
        <v/>
      </c>
      <c r="B89" s="13">
        <f>IF(A89="","",COUNTIFS(Calc!$E$5:$E$254,A89,Calc!$L$5:$L$254,"Y"))</f>
        <v/>
      </c>
      <c r="C89" s="19">
        <f>IF(A89="","",SUMIFS(Calc!$AE$5:$AE$254,Calc!$E$5:$E$254,A89,Calc!$L$5:$L$254,"Y"))</f>
        <v/>
      </c>
      <c r="D89" s="17">
        <f>IF(OR(A89="",$B$20=0),"",C89/$B$20)</f>
        <v/>
      </c>
    </row>
    <row r="90">
      <c r="A90" s="10">
        <f>IF(UPPER(TRIM(CLEAN(SUBSTITUTE(Action!$M$33&amp;""," "," "))))="","",UPPER(TRIM(CLEAN(SUBSTITUTE(Action!$M$33&amp;""," "," ")))))</f>
        <v/>
      </c>
      <c r="B90" s="13">
        <f>IF(A90="","",COUNTIFS(Calc!$E$5:$E$254,A90,Calc!$L$5:$L$254,"Y"))</f>
        <v/>
      </c>
      <c r="C90" s="19">
        <f>IF(A90="","",SUMIFS(Calc!$AE$5:$AE$254,Calc!$E$5:$E$254,A90,Calc!$L$5:$L$254,"Y"))</f>
        <v/>
      </c>
      <c r="D90" s="17">
        <f>IF(OR(A90="",$B$20=0),"",C90/$B$20)</f>
        <v/>
      </c>
    </row>
    <row r="91">
      <c r="A91" s="10">
        <f>IF(UPPER(TRIM(CLEAN(SUBSTITUTE(Action!$M$34&amp;""," "," "))))="","",UPPER(TRIM(CLEAN(SUBSTITUTE(Action!$M$34&amp;""," "," ")))))</f>
        <v/>
      </c>
      <c r="B91" s="13">
        <f>IF(A91="","",COUNTIFS(Calc!$E$5:$E$254,A91,Calc!$L$5:$L$254,"Y"))</f>
        <v/>
      </c>
      <c r="C91" s="19">
        <f>IF(A91="","",SUMIFS(Calc!$AE$5:$AE$254,Calc!$E$5:$E$254,A91,Calc!$L$5:$L$254,"Y"))</f>
        <v/>
      </c>
      <c r="D91" s="17">
        <f>IF(OR(A91="",$B$20=0),"",C91/$B$20)</f>
        <v/>
      </c>
    </row>
    <row r="92">
      <c r="A92" s="10">
        <f>IF(UPPER(TRIM(CLEAN(SUBSTITUTE(Action!$M$35&amp;""," "," "))))="","",UPPER(TRIM(CLEAN(SUBSTITUTE(Action!$M$35&amp;""," "," ")))))</f>
        <v/>
      </c>
      <c r="B92" s="13">
        <f>IF(A92="","",COUNTIFS(Calc!$E$5:$E$254,A92,Calc!$L$5:$L$254,"Y"))</f>
        <v/>
      </c>
      <c r="C92" s="19">
        <f>IF(A92="","",SUMIFS(Calc!$AE$5:$AE$254,Calc!$E$5:$E$254,A92,Calc!$L$5:$L$254,"Y"))</f>
        <v/>
      </c>
      <c r="D92" s="17">
        <f>IF(OR(A92="",$B$20=0),"",C92/$B$20)</f>
        <v/>
      </c>
    </row>
    <row r="93">
      <c r="A93" s="10">
        <f>IF(UPPER(TRIM(CLEAN(SUBSTITUTE(Action!$M$36&amp;""," "," "))))="","",UPPER(TRIM(CLEAN(SUBSTITUTE(Action!$M$36&amp;""," "," ")))))</f>
        <v/>
      </c>
      <c r="B93" s="13">
        <f>IF(A93="","",COUNTIFS(Calc!$E$5:$E$254,A93,Calc!$L$5:$L$254,"Y"))</f>
        <v/>
      </c>
      <c r="C93" s="19">
        <f>IF(A93="","",SUMIFS(Calc!$AE$5:$AE$254,Calc!$E$5:$E$254,A93,Calc!$L$5:$L$254,"Y"))</f>
        <v/>
      </c>
      <c r="D93" s="17">
        <f>IF(OR(A93="",$B$20=0),"",C93/$B$20)</f>
        <v/>
      </c>
    </row>
    <row r="94">
      <c r="A94" s="10">
        <f>IF(UPPER(TRIM(CLEAN(SUBSTITUTE(Action!$M$37&amp;""," "," "))))="","",UPPER(TRIM(CLEAN(SUBSTITUTE(Action!$M$37&amp;""," "," ")))))</f>
        <v/>
      </c>
      <c r="B94" s="13">
        <f>IF(A94="","",COUNTIFS(Calc!$E$5:$E$254,A94,Calc!$L$5:$L$254,"Y"))</f>
        <v/>
      </c>
      <c r="C94" s="19">
        <f>IF(A94="","",SUMIFS(Calc!$AE$5:$AE$254,Calc!$E$5:$E$254,A94,Calc!$L$5:$L$254,"Y"))</f>
        <v/>
      </c>
      <c r="D94" s="17">
        <f>IF(OR(A94="",$B$20=0),"",C94/$B$20)</f>
        <v/>
      </c>
    </row>
    <row r="95">
      <c r="A95" s="10">
        <f>IF(UPPER(TRIM(CLEAN(SUBSTITUTE(Action!$M$38&amp;""," "," "))))="","",UPPER(TRIM(CLEAN(SUBSTITUTE(Action!$M$38&amp;""," "," ")))))</f>
        <v/>
      </c>
      <c r="B95" s="13">
        <f>IF(A95="","",COUNTIFS(Calc!$E$5:$E$254,A95,Calc!$L$5:$L$254,"Y"))</f>
        <v/>
      </c>
      <c r="C95" s="19">
        <f>IF(A95="","",SUMIFS(Calc!$AE$5:$AE$254,Calc!$E$5:$E$254,A95,Calc!$L$5:$L$254,"Y"))</f>
        <v/>
      </c>
      <c r="D95" s="17">
        <f>IF(OR(A95="",$B$20=0),"",C95/$B$20)</f>
        <v/>
      </c>
    </row>
    <row r="96">
      <c r="A96" s="10">
        <f>IF(UPPER(TRIM(CLEAN(SUBSTITUTE(Action!$M$39&amp;""," "," "))))="","",UPPER(TRIM(CLEAN(SUBSTITUTE(Action!$M$39&amp;""," "," ")))))</f>
        <v/>
      </c>
      <c r="B96" s="13">
        <f>IF(A96="","",COUNTIFS(Calc!$E$5:$E$254,A96,Calc!$L$5:$L$254,"Y"))</f>
        <v/>
      </c>
      <c r="C96" s="19">
        <f>IF(A96="","",SUMIFS(Calc!$AE$5:$AE$254,Calc!$E$5:$E$254,A96,Calc!$L$5:$L$254,"Y"))</f>
        <v/>
      </c>
      <c r="D96" s="17">
        <f>IF(OR(A96="",$B$20=0),"",C96/$B$20)</f>
        <v/>
      </c>
    </row>
    <row r="97">
      <c r="A97" s="10">
        <f>IF(UPPER(TRIM(CLEAN(SUBSTITUTE(Action!$M$40&amp;""," "," "))))="","",UPPER(TRIM(CLEAN(SUBSTITUTE(Action!$M$40&amp;""," "," ")))))</f>
        <v/>
      </c>
      <c r="B97" s="13">
        <f>IF(A97="","",COUNTIFS(Calc!$E$5:$E$254,A97,Calc!$L$5:$L$254,"Y"))</f>
        <v/>
      </c>
      <c r="C97" s="19">
        <f>IF(A97="","",SUMIFS(Calc!$AE$5:$AE$254,Calc!$E$5:$E$254,A97,Calc!$L$5:$L$254,"Y"))</f>
        <v/>
      </c>
      <c r="D97" s="17">
        <f>IF(OR(A97="",$B$20=0),"",C97/$B$20)</f>
        <v/>
      </c>
    </row>
    <row r="98">
      <c r="A98" s="10">
        <f>IF(UPPER(TRIM(CLEAN(SUBSTITUTE(Action!$M$41&amp;""," "," "))))="","",UPPER(TRIM(CLEAN(SUBSTITUTE(Action!$M$41&amp;""," "," ")))))</f>
        <v/>
      </c>
      <c r="B98" s="13">
        <f>IF(A98="","",COUNTIFS(Calc!$E$5:$E$254,A98,Calc!$L$5:$L$254,"Y"))</f>
        <v/>
      </c>
      <c r="C98" s="19">
        <f>IF(A98="","",SUMIFS(Calc!$AE$5:$AE$254,Calc!$E$5:$E$254,A98,Calc!$L$5:$L$254,"Y"))</f>
        <v/>
      </c>
      <c r="D98" s="17">
        <f>IF(OR(A98="",$B$20=0),"",C98/$B$20)</f>
        <v/>
      </c>
    </row>
    <row r="99">
      <c r="A99" s="10">
        <f>IF(UPPER(TRIM(CLEAN(SUBSTITUTE(Action!$M$42&amp;""," "," "))))="","",UPPER(TRIM(CLEAN(SUBSTITUTE(Action!$M$42&amp;""," "," ")))))</f>
        <v/>
      </c>
      <c r="B99" s="13">
        <f>IF(A99="","",COUNTIFS(Calc!$E$5:$E$254,A99,Calc!$L$5:$L$254,"Y"))</f>
        <v/>
      </c>
      <c r="C99" s="19">
        <f>IF(A99="","",SUMIFS(Calc!$AE$5:$AE$254,Calc!$E$5:$E$254,A99,Calc!$L$5:$L$254,"Y"))</f>
        <v/>
      </c>
      <c r="D99" s="17">
        <f>IF(OR(A99="",$B$20=0),"",C99/$B$20)</f>
        <v/>
      </c>
    </row>
    <row r="100">
      <c r="A100" s="10">
        <f>IF(UPPER(TRIM(CLEAN(SUBSTITUTE(Action!$M$43&amp;""," "," "))))="","",UPPER(TRIM(CLEAN(SUBSTITUTE(Action!$M$43&amp;""," "," ")))))</f>
        <v/>
      </c>
      <c r="B100" s="13">
        <f>IF(A100="","",COUNTIFS(Calc!$E$5:$E$254,A100,Calc!$L$5:$L$254,"Y"))</f>
        <v/>
      </c>
      <c r="C100" s="19">
        <f>IF(A100="","",SUMIFS(Calc!$AE$5:$AE$254,Calc!$E$5:$E$254,A100,Calc!$L$5:$L$254,"Y"))</f>
        <v/>
      </c>
      <c r="D100" s="17">
        <f>IF(OR(A100="",$B$20=0),"",C100/$B$20)</f>
        <v/>
      </c>
    </row>
    <row r="101">
      <c r="A101" s="10">
        <f>IF(UPPER(TRIM(CLEAN(SUBSTITUTE(Action!$M$44&amp;""," "," "))))="","",UPPER(TRIM(CLEAN(SUBSTITUTE(Action!$M$44&amp;""," "," ")))))</f>
        <v/>
      </c>
      <c r="B101" s="13">
        <f>IF(A101="","",COUNTIFS(Calc!$E$5:$E$254,A101,Calc!$L$5:$L$254,"Y"))</f>
        <v/>
      </c>
      <c r="C101" s="19">
        <f>IF(A101="","",SUMIFS(Calc!$AE$5:$AE$254,Calc!$E$5:$E$254,A101,Calc!$L$5:$L$254,"Y"))</f>
        <v/>
      </c>
      <c r="D101" s="17">
        <f>IF(OR(A101="",$B$20=0),"",C101/$B$20)</f>
        <v/>
      </c>
    </row>
    <row r="102">
      <c r="A102" s="10">
        <f>IF(UPPER(TRIM(CLEAN(SUBSTITUTE(Action!$M$45&amp;""," "," "))))="","",UPPER(TRIM(CLEAN(SUBSTITUTE(Action!$M$45&amp;""," "," ")))))</f>
        <v/>
      </c>
      <c r="B102" s="13">
        <f>IF(A102="","",COUNTIFS(Calc!$E$5:$E$254,A102,Calc!$L$5:$L$254,"Y"))</f>
        <v/>
      </c>
      <c r="C102" s="19">
        <f>IF(A102="","",SUMIFS(Calc!$AE$5:$AE$254,Calc!$E$5:$E$254,A102,Calc!$L$5:$L$254,"Y"))</f>
        <v/>
      </c>
      <c r="D102" s="17">
        <f>IF(OR(A102="",$B$20=0),"",C102/$B$20)</f>
        <v/>
      </c>
    </row>
    <row r="103">
      <c r="A103" s="10">
        <f>IF(UPPER(TRIM(CLEAN(SUBSTITUTE(Action!$M$46&amp;""," "," "))))="","",UPPER(TRIM(CLEAN(SUBSTITUTE(Action!$M$46&amp;""," "," ")))))</f>
        <v/>
      </c>
      <c r="B103" s="13">
        <f>IF(A103="","",COUNTIFS(Calc!$E$5:$E$254,A103,Calc!$L$5:$L$254,"Y"))</f>
        <v/>
      </c>
      <c r="C103" s="19">
        <f>IF(A103="","",SUMIFS(Calc!$AE$5:$AE$254,Calc!$E$5:$E$254,A103,Calc!$L$5:$L$254,"Y"))</f>
        <v/>
      </c>
      <c r="D103" s="17">
        <f>IF(OR(A103="",$B$20=0),"",C103/$B$20)</f>
        <v/>
      </c>
    </row>
    <row r="104">
      <c r="A104" s="10">
        <f>IF(UPPER(TRIM(CLEAN(SUBSTITUTE(Action!$M$47&amp;""," "," "))))="","",UPPER(TRIM(CLEAN(SUBSTITUTE(Action!$M$47&amp;""," "," ")))))</f>
        <v/>
      </c>
      <c r="B104" s="13">
        <f>IF(A104="","",COUNTIFS(Calc!$E$5:$E$254,A104,Calc!$L$5:$L$254,"Y"))</f>
        <v/>
      </c>
      <c r="C104" s="19">
        <f>IF(A104="","",SUMIFS(Calc!$AE$5:$AE$254,Calc!$E$5:$E$254,A104,Calc!$L$5:$L$254,"Y"))</f>
        <v/>
      </c>
      <c r="D104" s="17">
        <f>IF(OR(A104="",$B$20=0),"",C104/$B$20)</f>
        <v/>
      </c>
    </row>
    <row r="105">
      <c r="A105" s="10">
        <f>IF(UPPER(TRIM(CLEAN(SUBSTITUTE(Action!$M$48&amp;""," "," "))))="","",UPPER(TRIM(CLEAN(SUBSTITUTE(Action!$M$48&amp;""," "," ")))))</f>
        <v/>
      </c>
      <c r="B105" s="13">
        <f>IF(A105="","",COUNTIFS(Calc!$E$5:$E$254,A105,Calc!$L$5:$L$254,"Y"))</f>
        <v/>
      </c>
      <c r="C105" s="19">
        <f>IF(A105="","",SUMIFS(Calc!$AE$5:$AE$254,Calc!$E$5:$E$254,A105,Calc!$L$5:$L$254,"Y"))</f>
        <v/>
      </c>
      <c r="D105" s="17">
        <f>IF(OR(A105="",$B$20=0),"",C105/$B$20)</f>
        <v/>
      </c>
    </row>
    <row r="106">
      <c r="A106" s="10">
        <f>IF(UPPER(TRIM(CLEAN(SUBSTITUTE(Action!$M$49&amp;""," "," "))))="","",UPPER(TRIM(CLEAN(SUBSTITUTE(Action!$M$49&amp;""," "," ")))))</f>
        <v/>
      </c>
      <c r="B106" s="13">
        <f>IF(A106="","",COUNTIFS(Calc!$E$5:$E$254,A106,Calc!$L$5:$L$254,"Y"))</f>
        <v/>
      </c>
      <c r="C106" s="19">
        <f>IF(A106="","",SUMIFS(Calc!$AE$5:$AE$254,Calc!$E$5:$E$254,A106,Calc!$L$5:$L$254,"Y"))</f>
        <v/>
      </c>
      <c r="D106" s="17">
        <f>IF(OR(A106="",$B$20=0),"",C106/$B$20)</f>
        <v/>
      </c>
    </row>
    <row r="107">
      <c r="A107" s="10">
        <f>IF(UPPER(TRIM(CLEAN(SUBSTITUTE(Action!$M$50&amp;""," "," "))))="","",UPPER(TRIM(CLEAN(SUBSTITUTE(Action!$M$50&amp;""," "," ")))))</f>
        <v/>
      </c>
      <c r="B107" s="13">
        <f>IF(A107="","",COUNTIFS(Calc!$E$5:$E$254,A107,Calc!$L$5:$L$254,"Y"))</f>
        <v/>
      </c>
      <c r="C107" s="19">
        <f>IF(A107="","",SUMIFS(Calc!$AE$5:$AE$254,Calc!$E$5:$E$254,A107,Calc!$L$5:$L$254,"Y"))</f>
        <v/>
      </c>
      <c r="D107" s="17">
        <f>IF(OR(A107="",$B$20=0),"",C107/$B$20)</f>
        <v/>
      </c>
    </row>
    <row r="108">
      <c r="A108" s="10">
        <f>IF(UPPER(TRIM(CLEAN(SUBSTITUTE(Action!$M$51&amp;""," "," "))))="","",UPPER(TRIM(CLEAN(SUBSTITUTE(Action!$M$51&amp;""," "," ")))))</f>
        <v/>
      </c>
      <c r="B108" s="13">
        <f>IF(A108="","",COUNTIFS(Calc!$E$5:$E$254,A108,Calc!$L$5:$L$254,"Y"))</f>
        <v/>
      </c>
      <c r="C108" s="19">
        <f>IF(A108="","",SUMIFS(Calc!$AE$5:$AE$254,Calc!$E$5:$E$254,A108,Calc!$L$5:$L$254,"Y"))</f>
        <v/>
      </c>
      <c r="D108" s="17">
        <f>IF(OR(A108="",$B$20=0),"",C108/$B$20)</f>
        <v/>
      </c>
    </row>
    <row r="109">
      <c r="A109" s="10">
        <f>IF(UPPER(TRIM(CLEAN(SUBSTITUTE(Action!$M$52&amp;""," "," "))))="","",UPPER(TRIM(CLEAN(SUBSTITUTE(Action!$M$52&amp;""," "," ")))))</f>
        <v/>
      </c>
      <c r="B109" s="13">
        <f>IF(A109="","",COUNTIFS(Calc!$E$5:$E$254,A109,Calc!$L$5:$L$254,"Y"))</f>
        <v/>
      </c>
      <c r="C109" s="19">
        <f>IF(A109="","",SUMIFS(Calc!$AE$5:$AE$254,Calc!$E$5:$E$254,A109,Calc!$L$5:$L$254,"Y"))</f>
        <v/>
      </c>
      <c r="D109" s="17">
        <f>IF(OR(A109="",$B$20=0),"",C109/$B$20)</f>
        <v/>
      </c>
    </row>
    <row r="110">
      <c r="A110" s="10">
        <f>IF(UPPER(TRIM(CLEAN(SUBSTITUTE(Action!$M$53&amp;""," "," "))))="","",UPPER(TRIM(CLEAN(SUBSTITUTE(Action!$M$53&amp;""," "," ")))))</f>
        <v/>
      </c>
      <c r="B110" s="13">
        <f>IF(A110="","",COUNTIFS(Calc!$E$5:$E$254,A110,Calc!$L$5:$L$254,"Y"))</f>
        <v/>
      </c>
      <c r="C110" s="19">
        <f>IF(A110="","",SUMIFS(Calc!$AE$5:$AE$254,Calc!$E$5:$E$254,A110,Calc!$L$5:$L$254,"Y"))</f>
        <v/>
      </c>
      <c r="D110" s="17">
        <f>IF(OR(A110="",$B$20=0),"",C110/$B$20)</f>
        <v/>
      </c>
    </row>
    <row r="111">
      <c r="A111" s="10">
        <f>IF(UPPER(TRIM(CLEAN(SUBSTITUTE(Action!$M$54&amp;""," "," "))))="","",UPPER(TRIM(CLEAN(SUBSTITUTE(Action!$M$54&amp;""," "," ")))))</f>
        <v/>
      </c>
      <c r="B111" s="13">
        <f>IF(A111="","",COUNTIFS(Calc!$E$5:$E$254,A111,Calc!$L$5:$L$254,"Y"))</f>
        <v/>
      </c>
      <c r="C111" s="19">
        <f>IF(A111="","",SUMIFS(Calc!$AE$5:$AE$254,Calc!$E$5:$E$254,A111,Calc!$L$5:$L$254,"Y"))</f>
        <v/>
      </c>
      <c r="D111" s="17">
        <f>IF(OR(A111="",$B$20=0),"",C111/$B$20)</f>
        <v/>
      </c>
    </row>
    <row r="112">
      <c r="A112" s="5" t="inlineStr">
        <is>
          <t>Other origins (in scope by an IN determination; origin not on the list)</t>
        </is>
      </c>
      <c r="B112" s="13">
        <f>COUNTIFS(Calc!$L$5:$L$254,"Y",Calc!$I$5:$I$254,"N")</f>
        <v/>
      </c>
      <c r="C112" s="19">
        <f>SUMIFS(Calc!$AE$5:$AE$254,Calc!$L$5:$L$254,"Y",Calc!$I$5:$I$254,"N")</f>
        <v/>
      </c>
      <c r="D112" s="17">
        <f>IF($B$20=0,"",C112/$B$20)</f>
        <v/>
      </c>
    </row>
    <row r="113">
      <c r="A113" s="5" t="inlineStr">
        <is>
          <t>Total (must equal B20)</t>
        </is>
      </c>
      <c r="B113" s="13">
        <f>SUM(B62:B112)</f>
        <v/>
      </c>
      <c r="C113" s="19">
        <f>SUM(C62:C112)</f>
        <v/>
      </c>
      <c r="D113" s="17">
        <f>IF($B$20=0,"",C113/$B$20)</f>
        <v/>
      </c>
    </row>
  </sheetData>
  <sheetProtection selectLockedCells="0" selectUnlockedCells="0" sheet="1" objects="0" insertRows="1" insertHyperlinks="1" autoFilter="1" scenarios="0" formatColumns="0" deleteColumns="1" insertColumns="1" pivotTables="1" deleteRows="1" formatCells="1" formatRows="0" sort="1"/>
  <conditionalFormatting sqref="B26">
    <cfRule type="expression" priority="1" dxfId="2">
      <formula>B26="YES"</formula>
    </cfRule>
    <cfRule type="expression" priority="2" dxfId="0">
      <formula>LEFT(B26,2)="NO"</formula>
    </cfRule>
  </conditionalFormatting>
  <conditionalFormatting sqref="B27">
    <cfRule type="expression" priority="3" dxfId="2">
      <formula>B27="YES"</formula>
    </cfRule>
    <cfRule type="expression" priority="4" dxfId="0">
      <formula>LEFT(B27,2)="NO"</formula>
    </cfRule>
  </conditionalFormatting>
  <conditionalFormatting sqref="B28">
    <cfRule type="expression" priority="5" dxfId="2">
      <formula>B28="YES"</formula>
    </cfRule>
    <cfRule type="expression" priority="6" dxfId="0">
      <formula>LEFT(B28,2)="NO"</formula>
    </cfRule>
  </conditionalFormatting>
  <conditionalFormatting sqref="B29">
    <cfRule type="expression" priority="7" dxfId="2">
      <formula>B29="YES"</formula>
    </cfRule>
    <cfRule type="expression" priority="8" dxfId="0">
      <formula>LEFT(B29,2)="NO"</formula>
    </cfRule>
  </conditionalFormatting>
  <conditionalFormatting sqref="B30">
    <cfRule type="expression" priority="9" dxfId="2">
      <formula>B30="YES"</formula>
    </cfRule>
    <cfRule type="expression" priority="10" dxfId="0">
      <formula>LEFT(B30,2)="NO"</formula>
    </cfRule>
  </conditionalFormatting>
  <conditionalFormatting sqref="B19">
    <cfRule type="expression" priority="11" dxfId="0">
      <formula>B19&gt;0</formula>
    </cfRule>
  </conditionalFormatting>
  <conditionalFormatting sqref="B57:C57">
    <cfRule type="expression" priority="12" dxfId="0">
      <formula>OR($B$57&lt;&gt;0,ABS($C$57)&gt;=0.005)</formula>
    </cfRule>
  </conditionalFormatting>
  <conditionalFormatting sqref="B113:C113">
    <cfRule type="expression" priority="13" dxfId="0">
      <formula>OR($B$113&lt;&gt;$B$14,ABS($C$113-$B$20)&gt;=0.005)</formula>
    </cfRule>
  </conditionalFormatting>
  <dataValidations count="1">
    <dataValidation sqref="A47:A56" showDropDown="0" showInputMessage="0" showErrorMessage="1" allowBlank="1" errorTitle="Check the value" error="Type the chapter as 2 digits, for example 73 or 08." type="textLength" operator="equal">
      <formula1>2</formula1>
    </dataValidation>
  </dataValidations>
  <pageMargins left="0.75" right="0.75" top="1" bottom="1" header="0.5" footer="0.5"/>
  <pageSetup orientation="landscape" fitToHeight="0" fitToWidth="1"/>
</worksheet>
</file>

<file path=xl/worksheets/sheet6.xml><?xml version="1.0" encoding="utf-8"?>
<worksheet xmlns="http://schemas.openxmlformats.org/spreadsheetml/2006/main">
  <sheetPr>
    <tabColor rgb="007030A0"/>
    <outlinePr summaryBelow="1" summaryRight="1"/>
    <pageSetUpPr/>
  </sheetPr>
  <dimension ref="A1:M44"/>
  <sheetViews>
    <sheetView workbookViewId="0">
      <pane ySplit="4" topLeftCell="A5" activePane="bottomLeft" state="frozen"/>
      <selection pane="bottomLeft" activeCell="A1" sqref="A1"/>
    </sheetView>
  </sheetViews>
  <sheetFormatPr baseColWidth="8" defaultRowHeight="15"/>
  <cols>
    <col width="13" customWidth="1" min="1" max="1"/>
    <col width="11" customWidth="1" min="2" max="2"/>
    <col width="30" customWidth="1" min="3" max="3"/>
    <col width="12" customWidth="1" min="4" max="4"/>
    <col width="40" customWidth="1" min="5" max="5"/>
    <col width="34" customWidth="1" min="6" max="6"/>
    <col width="10" customWidth="1" min="7" max="7"/>
    <col width="20" customWidth="1" min="8" max="8"/>
    <col width="22" customWidth="1" min="9" max="9"/>
    <col width="11" customWidth="1" min="10" max="10"/>
    <col width="2" customWidth="1" min="11" max="11"/>
    <col width="50" customWidth="1" min="12" max="12"/>
    <col width="10" customWidth="1" min="13" max="13"/>
  </cols>
  <sheetData>
    <row r="1">
      <c r="A1" s="1" t="inlineStr">
        <is>
          <t>Review: maker-checker sign-off log</t>
        </is>
      </c>
    </row>
    <row r="2">
      <c r="A2" s="2" t="inlineStr">
        <is>
          <t>One line per review. The maker fills columns A-C; the checker fills D-H. Nothing is released without a line here.</t>
        </is>
      </c>
    </row>
    <row r="3">
      <c r="A3" s="3" t="inlineStr">
        <is>
          <t>SAMPLE lines below are FICTIONAL. Clear them before real use.</t>
        </is>
      </c>
    </row>
    <row r="4" ht="32" customHeight="1">
      <c r="A4" s="7" t="inlineStr">
        <is>
          <t>Version</t>
        </is>
      </c>
      <c r="B4" s="7" t="inlineStr">
        <is>
          <t>Date</t>
        </is>
      </c>
      <c r="C4" s="7" t="inlineStr">
        <is>
          <t>Maker (name, track, what was prepared)</t>
        </is>
      </c>
      <c r="D4" s="7" t="inlineStr">
        <is>
          <t>Checker</t>
        </is>
      </c>
      <c r="E4" s="7" t="inlineStr">
        <is>
          <t>What the checker compared</t>
        </is>
      </c>
      <c r="F4" s="7" t="inlineStr">
        <is>
          <t>Findings</t>
        </is>
      </c>
      <c r="G4" s="7" t="inlineStr">
        <is>
          <t>Findings closed? (Y/N)</t>
        </is>
      </c>
      <c r="H4" s="7" t="inlineStr">
        <is>
          <t>Decision</t>
        </is>
      </c>
      <c r="I4" s="7" t="inlineStr">
        <is>
          <t>Released to</t>
        </is>
      </c>
      <c r="J4" s="7" t="inlineStr">
        <is>
          <t>Release date</t>
        </is>
      </c>
      <c r="L4" s="7" t="inlineStr">
        <is>
          <t>Checker checklist (each review)</t>
        </is>
      </c>
      <c r="M4" s="7" t="inlineStr">
        <is>
          <t>Done (Y/N)</t>
        </is>
      </c>
    </row>
    <row r="5">
      <c r="A5" s="8" t="inlineStr">
        <is>
          <t>v1.0 (SAMPLE)</t>
        </is>
      </c>
      <c r="B5" s="14" t="n">
        <v>46436</v>
      </c>
      <c r="C5" s="11" t="inlineStr">
        <is>
          <t>Hire A, Research: Action tab</t>
        </is>
      </c>
      <c r="D5" s="11" t="inlineStr">
        <is>
          <t>Senior</t>
        </is>
      </c>
      <c r="E5" s="11" t="inlineStr">
        <is>
          <t>Action tab against brief v1.0: every HTS prefix, exclusion, origin, rate, base, date and determination</t>
        </is>
      </c>
      <c r="F5" s="11" t="inlineStr">
        <is>
          <t>SAMPLE: stacking note reworded to quote the brief; closed</t>
        </is>
      </c>
      <c r="G5" s="8" t="inlineStr">
        <is>
          <t>Y</t>
        </is>
      </c>
      <c r="H5" s="11" t="inlineStr">
        <is>
          <t>Approved for release</t>
        </is>
      </c>
      <c r="I5" s="11" t="inlineStr">
        <is>
          <t>Standard Cost (Hire B)</t>
        </is>
      </c>
      <c r="J5" s="14" t="n">
        <v>46436</v>
      </c>
      <c r="L5" s="6" t="inlineStr">
        <is>
          <t>Version on this tab = Action B24 = file name</t>
        </is>
      </c>
      <c r="M5" s="8" t="n"/>
    </row>
    <row r="6">
      <c r="A6" s="8" t="inlineStr">
        <is>
          <t>v1.1 (SAMPLE)</t>
        </is>
      </c>
      <c r="B6" s="14" t="n">
        <v>46437</v>
      </c>
      <c r="C6" s="11" t="inlineStr">
        <is>
          <t>Hire B, Standard Cost: Items, Summary</t>
        </is>
      </c>
      <c r="D6" s="11" t="inlineStr">
        <is>
          <t>Manager</t>
        </is>
      </c>
      <c r="E6" s="11" t="inlineStr">
        <is>
          <t>Item count and totals against the extract; units of measure; 3 items recalculated by hand; Summary B30 = YES</t>
        </is>
      </c>
      <c r="F6" s="11" t="inlineStr">
        <is>
          <t>SAMPLE: none</t>
        </is>
      </c>
      <c r="G6" s="8" t="inlineStr">
        <is>
          <t>Y</t>
        </is>
      </c>
      <c r="H6" s="11" t="inlineStr">
        <is>
          <t>Approved for release</t>
        </is>
      </c>
      <c r="I6" s="11" t="inlineStr">
        <is>
          <t>[COMPANY: Pricing lead], Finance</t>
        </is>
      </c>
      <c r="J6" s="14" t="n">
        <v>46437</v>
      </c>
      <c r="L6" s="6" t="inlineStr">
        <is>
          <t>Brief version on Action matches the checked brief</t>
        </is>
      </c>
      <c r="M6" s="8" t="n"/>
    </row>
    <row r="7">
      <c r="A7" s="8" t="n"/>
      <c r="B7" s="14" t="n"/>
      <c r="C7" s="11" t="n"/>
      <c r="D7" s="11" t="n"/>
      <c r="E7" s="11" t="n"/>
      <c r="F7" s="11" t="n"/>
      <c r="G7" s="8" t="n"/>
      <c r="H7" s="11" t="n"/>
      <c r="I7" s="11" t="n"/>
      <c r="J7" s="14" t="n"/>
      <c r="L7" s="6" t="inlineStr">
        <is>
          <t>Every HTS prefix, rate group, exclusion, origin and determination traced to the brief</t>
        </is>
      </c>
      <c r="M7" s="8" t="n"/>
    </row>
    <row r="8">
      <c r="A8" s="8" t="n"/>
      <c r="B8" s="14" t="n"/>
      <c r="C8" s="11" t="n"/>
      <c r="D8" s="11" t="n"/>
      <c r="E8" s="11" t="n"/>
      <c r="F8" s="11" t="n"/>
      <c r="G8" s="8" t="n"/>
      <c r="H8" s="11" t="n"/>
      <c r="I8" s="11" t="n"/>
      <c r="J8" s="14" t="n"/>
      <c r="L8" s="6" t="inlineStr">
        <is>
          <t>Default rate, rate lines, rate type, duty base, displaced duties and USMCA rule match brief Part 7, 6.5 and 6.6</t>
        </is>
      </c>
      <c r="M8" s="8" t="n"/>
    </row>
    <row r="9">
      <c r="A9" s="8" t="n"/>
      <c r="B9" s="14" t="n"/>
      <c r="C9" s="11" t="n"/>
      <c r="D9" s="11" t="n"/>
      <c r="E9" s="11" t="n"/>
      <c r="F9" s="11" t="n"/>
      <c r="G9" s="8" t="n"/>
      <c r="H9" s="11" t="n"/>
      <c r="I9" s="11" t="n"/>
      <c r="J9" s="14" t="n"/>
      <c r="L9" s="6" t="inlineStr">
        <is>
          <t>Item count on Items = extract row count; one row per item and import country</t>
        </is>
      </c>
      <c r="M9" s="8" t="n"/>
    </row>
    <row r="10">
      <c r="A10" s="8" t="n"/>
      <c r="B10" s="14" t="n"/>
      <c r="C10" s="11" t="n"/>
      <c r="D10" s="11" t="n"/>
      <c r="E10" s="11" t="n"/>
      <c r="F10" s="11" t="n"/>
      <c r="G10" s="8" t="n"/>
      <c r="H10" s="11" t="n"/>
      <c r="I10" s="11" t="n"/>
      <c r="J10" s="14" t="n"/>
      <c r="L10" s="6" t="inlineStr">
        <is>
          <t>Summary B14 (items in scope) = brief Part 9 in-scope count, or the difference explained</t>
        </is>
      </c>
      <c r="M10" s="8" t="n"/>
    </row>
    <row r="11">
      <c r="A11" s="8" t="n"/>
      <c r="B11" s="14" t="n"/>
      <c r="C11" s="11" t="n"/>
      <c r="D11" s="11" t="n"/>
      <c r="E11" s="11" t="n"/>
      <c r="F11" s="11" t="n"/>
      <c r="G11" s="8" t="n"/>
      <c r="H11" s="11" t="n"/>
      <c r="I11" s="11" t="n"/>
      <c r="J11" s="14" t="n"/>
      <c r="L11" s="6" t="inlineStr">
        <is>
          <t>Items G is the Oracle primary UOM; value, quantity, cost and price are all per that unit</t>
        </is>
      </c>
      <c r="M11" s="8" t="n"/>
    </row>
    <row r="12">
      <c r="A12" s="8" t="n"/>
      <c r="B12" s="14" t="n"/>
      <c r="C12" s="11" t="n"/>
      <c r="D12" s="11" t="n"/>
      <c r="E12" s="11" t="n"/>
      <c r="F12" s="11" t="n"/>
      <c r="G12" s="8" t="n"/>
      <c r="H12" s="11" t="n"/>
      <c r="I12" s="11" t="n"/>
      <c r="J12" s="14" t="n"/>
      <c r="L12" s="6" t="inlineStr">
        <is>
          <t>Dutiable shares (Items M) traced to their source</t>
        </is>
      </c>
      <c r="M12" s="8" t="n"/>
    </row>
    <row r="13">
      <c r="A13" s="8" t="n"/>
      <c r="B13" s="14" t="n"/>
      <c r="C13" s="11" t="n"/>
      <c r="D13" s="11" t="n"/>
      <c r="E13" s="11" t="n"/>
      <c r="F13" s="11" t="n"/>
      <c r="G13" s="8" t="n"/>
      <c r="H13" s="11" t="n"/>
      <c r="I13" s="11" t="n"/>
      <c r="J13" s="14" t="n"/>
      <c r="L13" s="6" t="inlineStr">
        <is>
          <t>No CHECK flags (Summary B19 = 0, B27 = YES); every NOTE explained</t>
        </is>
      </c>
      <c r="M13" s="8" t="n"/>
    </row>
    <row r="14">
      <c r="A14" s="8" t="n"/>
      <c r="B14" s="14" t="n"/>
      <c r="C14" s="11" t="n"/>
      <c r="D14" s="11" t="n"/>
      <c r="E14" s="11" t="n"/>
      <c r="F14" s="11" t="n"/>
      <c r="G14" s="8" t="n"/>
      <c r="H14" s="11" t="n"/>
      <c r="I14" s="11" t="n"/>
      <c r="J14" s="14" t="n"/>
      <c r="L14" s="6" t="inlineStr">
        <is>
          <t>3 items recalculated by hand to $0.01</t>
        </is>
      </c>
      <c r="M14" s="8" t="n"/>
    </row>
    <row r="15">
      <c r="A15" s="8" t="n"/>
      <c r="B15" s="14" t="n"/>
      <c r="C15" s="11" t="n"/>
      <c r="D15" s="11" t="n"/>
      <c r="E15" s="11" t="n"/>
      <c r="F15" s="11" t="n"/>
      <c r="G15" s="8" t="n"/>
      <c r="H15" s="11" t="n"/>
      <c r="I15" s="11" t="n"/>
      <c r="J15" s="14" t="n"/>
      <c r="L15" s="6" t="inlineStr">
        <is>
          <t>Top 10 items make business sense</t>
        </is>
      </c>
      <c r="M15" s="8" t="n"/>
    </row>
    <row r="16">
      <c r="A16" s="8" t="n"/>
      <c r="B16" s="14" t="n"/>
      <c r="C16" s="11" t="n"/>
      <c r="D16" s="11" t="n"/>
      <c r="E16" s="11" t="n"/>
      <c r="F16" s="11" t="n"/>
      <c r="G16" s="8" t="n"/>
      <c r="H16" s="11" t="n"/>
      <c r="I16" s="11" t="n"/>
      <c r="J16" s="14" t="n"/>
      <c r="L16" s="6" t="inlineStr">
        <is>
          <t>Origin and chapter tables reconcile</t>
        </is>
      </c>
      <c r="M16" s="8" t="n"/>
    </row>
    <row r="17">
      <c r="A17" s="8" t="n"/>
      <c r="B17" s="14" t="n"/>
      <c r="C17" s="11" t="n"/>
      <c r="D17" s="11" t="n"/>
      <c r="E17" s="11" t="n"/>
      <c r="F17" s="11" t="n"/>
      <c r="G17" s="8" t="n"/>
      <c r="H17" s="11" t="n"/>
      <c r="I17" s="11" t="n"/>
      <c r="J17" s="14" t="n"/>
      <c r="L17" s="6" t="inlineStr">
        <is>
          <t>All tabs still protected; no typed numbers over grey cells</t>
        </is>
      </c>
      <c r="M17" s="8" t="n"/>
    </row>
    <row r="18">
      <c r="A18" s="8" t="n"/>
      <c r="B18" s="14" t="n"/>
      <c r="C18" s="11" t="n"/>
      <c r="D18" s="11" t="n"/>
      <c r="E18" s="11" t="n"/>
      <c r="F18" s="11" t="n"/>
      <c r="G18" s="8" t="n"/>
      <c r="H18" s="11" t="n"/>
      <c r="I18" s="11" t="n"/>
      <c r="J18" s="14" t="n"/>
      <c r="L18" s="6" t="inlineStr">
        <is>
          <t>Out-of-scope reasons spot-checked (5 rows)</t>
        </is>
      </c>
      <c r="M18" s="8" t="n"/>
    </row>
    <row r="19">
      <c r="A19" s="8" t="n"/>
      <c r="B19" s="14" t="n"/>
      <c r="C19" s="11" t="n"/>
      <c r="D19" s="11" t="n"/>
      <c r="E19" s="11" t="n"/>
      <c r="F19" s="11" t="n"/>
      <c r="G19" s="8" t="n"/>
      <c r="H19" s="11" t="n"/>
      <c r="I19" s="11" t="n"/>
      <c r="J19" s="14" t="n"/>
      <c r="L19" s="6" t="inlineStr">
        <is>
          <t>Limits stated in the covering note</t>
        </is>
      </c>
      <c r="M19" s="8" t="n"/>
    </row>
    <row r="20">
      <c r="A20" s="8" t="n"/>
      <c r="B20" s="14" t="n"/>
      <c r="C20" s="11" t="n"/>
      <c r="D20" s="11" t="n"/>
      <c r="E20" s="11" t="n"/>
      <c r="F20" s="11" t="n"/>
      <c r="G20" s="8" t="n"/>
      <c r="H20" s="11" t="n"/>
      <c r="I20" s="11" t="n"/>
      <c r="J20" s="14" t="n"/>
    </row>
    <row r="21">
      <c r="A21" s="8" t="n"/>
      <c r="B21" s="14" t="n"/>
      <c r="C21" s="11" t="n"/>
      <c r="D21" s="11" t="n"/>
      <c r="E21" s="11" t="n"/>
      <c r="F21" s="11" t="n"/>
      <c r="G21" s="8" t="n"/>
      <c r="H21" s="11" t="n"/>
      <c r="I21" s="11" t="n"/>
      <c r="J21" s="14" t="n"/>
    </row>
    <row r="22">
      <c r="A22" s="8" t="n"/>
      <c r="B22" s="14" t="n"/>
      <c r="C22" s="11" t="n"/>
      <c r="D22" s="11" t="n"/>
      <c r="E22" s="11" t="n"/>
      <c r="F22" s="11" t="n"/>
      <c r="G22" s="8" t="n"/>
      <c r="H22" s="11" t="n"/>
      <c r="I22" s="11" t="n"/>
      <c r="J22" s="14" t="n"/>
    </row>
    <row r="23">
      <c r="A23" s="8" t="n"/>
      <c r="B23" s="14" t="n"/>
      <c r="C23" s="11" t="n"/>
      <c r="D23" s="11" t="n"/>
      <c r="E23" s="11" t="n"/>
      <c r="F23" s="11" t="n"/>
      <c r="G23" s="8" t="n"/>
      <c r="H23" s="11" t="n"/>
      <c r="I23" s="11" t="n"/>
      <c r="J23" s="14" t="n"/>
    </row>
    <row r="24">
      <c r="A24" s="8" t="n"/>
      <c r="B24" s="14" t="n"/>
      <c r="C24" s="11" t="n"/>
      <c r="D24" s="11" t="n"/>
      <c r="E24" s="11" t="n"/>
      <c r="F24" s="11" t="n"/>
      <c r="G24" s="8" t="n"/>
      <c r="H24" s="11" t="n"/>
      <c r="I24" s="11" t="n"/>
      <c r="J24" s="14" t="n"/>
    </row>
    <row r="25">
      <c r="A25" s="8" t="n"/>
      <c r="B25" s="14" t="n"/>
      <c r="C25" s="11" t="n"/>
      <c r="D25" s="11" t="n"/>
      <c r="E25" s="11" t="n"/>
      <c r="F25" s="11" t="n"/>
      <c r="G25" s="8" t="n"/>
      <c r="H25" s="11" t="n"/>
      <c r="I25" s="11" t="n"/>
      <c r="J25" s="14" t="n"/>
    </row>
    <row r="26">
      <c r="A26" s="8" t="n"/>
      <c r="B26" s="14" t="n"/>
      <c r="C26" s="11" t="n"/>
      <c r="D26" s="11" t="n"/>
      <c r="E26" s="11" t="n"/>
      <c r="F26" s="11" t="n"/>
      <c r="G26" s="8" t="n"/>
      <c r="H26" s="11" t="n"/>
      <c r="I26" s="11" t="n"/>
      <c r="J26" s="14" t="n"/>
    </row>
    <row r="27">
      <c r="A27" s="8" t="n"/>
      <c r="B27" s="14" t="n"/>
      <c r="C27" s="11" t="n"/>
      <c r="D27" s="11" t="n"/>
      <c r="E27" s="11" t="n"/>
      <c r="F27" s="11" t="n"/>
      <c r="G27" s="8" t="n"/>
      <c r="H27" s="11" t="n"/>
      <c r="I27" s="11" t="n"/>
      <c r="J27" s="14" t="n"/>
    </row>
    <row r="28">
      <c r="A28" s="8" t="n"/>
      <c r="B28" s="14" t="n"/>
      <c r="C28" s="11" t="n"/>
      <c r="D28" s="11" t="n"/>
      <c r="E28" s="11" t="n"/>
      <c r="F28" s="11" t="n"/>
      <c r="G28" s="8" t="n"/>
      <c r="H28" s="11" t="n"/>
      <c r="I28" s="11" t="n"/>
      <c r="J28" s="14" t="n"/>
    </row>
    <row r="29">
      <c r="A29" s="8" t="n"/>
      <c r="B29" s="14" t="n"/>
      <c r="C29" s="11" t="n"/>
      <c r="D29" s="11" t="n"/>
      <c r="E29" s="11" t="n"/>
      <c r="F29" s="11" t="n"/>
      <c r="G29" s="8" t="n"/>
      <c r="H29" s="11" t="n"/>
      <c r="I29" s="11" t="n"/>
      <c r="J29" s="14" t="n"/>
    </row>
    <row r="30">
      <c r="A30" s="8" t="n"/>
      <c r="B30" s="14" t="n"/>
      <c r="C30" s="11" t="n"/>
      <c r="D30" s="11" t="n"/>
      <c r="E30" s="11" t="n"/>
      <c r="F30" s="11" t="n"/>
      <c r="G30" s="8" t="n"/>
      <c r="H30" s="11" t="n"/>
      <c r="I30" s="11" t="n"/>
      <c r="J30" s="14" t="n"/>
    </row>
    <row r="31">
      <c r="A31" s="8" t="n"/>
      <c r="B31" s="14" t="n"/>
      <c r="C31" s="11" t="n"/>
      <c r="D31" s="11" t="n"/>
      <c r="E31" s="11" t="n"/>
      <c r="F31" s="11" t="n"/>
      <c r="G31" s="8" t="n"/>
      <c r="H31" s="11" t="n"/>
      <c r="I31" s="11" t="n"/>
      <c r="J31" s="14" t="n"/>
    </row>
    <row r="32">
      <c r="A32" s="8" t="n"/>
      <c r="B32" s="14" t="n"/>
      <c r="C32" s="11" t="n"/>
      <c r="D32" s="11" t="n"/>
      <c r="E32" s="11" t="n"/>
      <c r="F32" s="11" t="n"/>
      <c r="G32" s="8" t="n"/>
      <c r="H32" s="11" t="n"/>
      <c r="I32" s="11" t="n"/>
      <c r="J32" s="14" t="n"/>
    </row>
    <row r="33">
      <c r="A33" s="8" t="n"/>
      <c r="B33" s="14" t="n"/>
      <c r="C33" s="11" t="n"/>
      <c r="D33" s="11" t="n"/>
      <c r="E33" s="11" t="n"/>
      <c r="F33" s="11" t="n"/>
      <c r="G33" s="8" t="n"/>
      <c r="H33" s="11" t="n"/>
      <c r="I33" s="11" t="n"/>
      <c r="J33" s="14" t="n"/>
    </row>
    <row r="34">
      <c r="A34" s="8" t="n"/>
      <c r="B34" s="14" t="n"/>
      <c r="C34" s="11" t="n"/>
      <c r="D34" s="11" t="n"/>
      <c r="E34" s="11" t="n"/>
      <c r="F34" s="11" t="n"/>
      <c r="G34" s="8" t="n"/>
      <c r="H34" s="11" t="n"/>
      <c r="I34" s="11" t="n"/>
      <c r="J34" s="14" t="n"/>
    </row>
    <row r="35">
      <c r="A35" s="8" t="n"/>
      <c r="B35" s="14" t="n"/>
      <c r="C35" s="11" t="n"/>
      <c r="D35" s="11" t="n"/>
      <c r="E35" s="11" t="n"/>
      <c r="F35" s="11" t="n"/>
      <c r="G35" s="8" t="n"/>
      <c r="H35" s="11" t="n"/>
      <c r="I35" s="11" t="n"/>
      <c r="J35" s="14" t="n"/>
    </row>
    <row r="36">
      <c r="A36" s="8" t="n"/>
      <c r="B36" s="14" t="n"/>
      <c r="C36" s="11" t="n"/>
      <c r="D36" s="11" t="n"/>
      <c r="E36" s="11" t="n"/>
      <c r="F36" s="11" t="n"/>
      <c r="G36" s="8" t="n"/>
      <c r="H36" s="11" t="n"/>
      <c r="I36" s="11" t="n"/>
      <c r="J36" s="14" t="n"/>
    </row>
    <row r="37">
      <c r="A37" s="8" t="n"/>
      <c r="B37" s="14" t="n"/>
      <c r="C37" s="11" t="n"/>
      <c r="D37" s="11" t="n"/>
      <c r="E37" s="11" t="n"/>
      <c r="F37" s="11" t="n"/>
      <c r="G37" s="8" t="n"/>
      <c r="H37" s="11" t="n"/>
      <c r="I37" s="11" t="n"/>
      <c r="J37" s="14" t="n"/>
    </row>
    <row r="38">
      <c r="A38" s="8" t="n"/>
      <c r="B38" s="14" t="n"/>
      <c r="C38" s="11" t="n"/>
      <c r="D38" s="11" t="n"/>
      <c r="E38" s="11" t="n"/>
      <c r="F38" s="11" t="n"/>
      <c r="G38" s="8" t="n"/>
      <c r="H38" s="11" t="n"/>
      <c r="I38" s="11" t="n"/>
      <c r="J38" s="14" t="n"/>
    </row>
    <row r="39">
      <c r="A39" s="8" t="n"/>
      <c r="B39" s="14" t="n"/>
      <c r="C39" s="11" t="n"/>
      <c r="D39" s="11" t="n"/>
      <c r="E39" s="11" t="n"/>
      <c r="F39" s="11" t="n"/>
      <c r="G39" s="8" t="n"/>
      <c r="H39" s="11" t="n"/>
      <c r="I39" s="11" t="n"/>
      <c r="J39" s="14" t="n"/>
    </row>
    <row r="40">
      <c r="A40" s="8" t="n"/>
      <c r="B40" s="14" t="n"/>
      <c r="C40" s="11" t="n"/>
      <c r="D40" s="11" t="n"/>
      <c r="E40" s="11" t="n"/>
      <c r="F40" s="11" t="n"/>
      <c r="G40" s="8" t="n"/>
      <c r="H40" s="11" t="n"/>
      <c r="I40" s="11" t="n"/>
      <c r="J40" s="14" t="n"/>
    </row>
    <row r="41">
      <c r="A41" s="8" t="n"/>
      <c r="B41" s="14" t="n"/>
      <c r="C41" s="11" t="n"/>
      <c r="D41" s="11" t="n"/>
      <c r="E41" s="11" t="n"/>
      <c r="F41" s="11" t="n"/>
      <c r="G41" s="8" t="n"/>
      <c r="H41" s="11" t="n"/>
      <c r="I41" s="11" t="n"/>
      <c r="J41" s="14" t="n"/>
    </row>
    <row r="42">
      <c r="A42" s="8" t="n"/>
      <c r="B42" s="14" t="n"/>
      <c r="C42" s="11" t="n"/>
      <c r="D42" s="11" t="n"/>
      <c r="E42" s="11" t="n"/>
      <c r="F42" s="11" t="n"/>
      <c r="G42" s="8" t="n"/>
      <c r="H42" s="11" t="n"/>
      <c r="I42" s="11" t="n"/>
      <c r="J42" s="14" t="n"/>
    </row>
    <row r="43">
      <c r="A43" s="8" t="n"/>
      <c r="B43" s="14" t="n"/>
      <c r="C43" s="11" t="n"/>
      <c r="D43" s="11" t="n"/>
      <c r="E43" s="11" t="n"/>
      <c r="F43" s="11" t="n"/>
      <c r="G43" s="8" t="n"/>
      <c r="H43" s="11" t="n"/>
      <c r="I43" s="11" t="n"/>
      <c r="J43" s="14" t="n"/>
    </row>
    <row r="44">
      <c r="A44" s="8" t="n"/>
      <c r="B44" s="14" t="n"/>
      <c r="C44" s="11" t="n"/>
      <c r="D44" s="11" t="n"/>
      <c r="E44" s="11" t="n"/>
      <c r="F44" s="11" t="n"/>
      <c r="G44" s="8" t="n"/>
      <c r="H44" s="11" t="n"/>
      <c r="I44" s="11" t="n"/>
      <c r="J44" s="14" t="n"/>
    </row>
  </sheetData>
  <sheetProtection selectLockedCells="0" selectUnlockedCells="0" sheet="1" objects="0" insertRows="1" insertHyperlinks="1" autoFilter="1" scenarios="0" formatColumns="0" deleteColumns="1" insertColumns="1" pivotTables="1" deleteRows="1" formatCells="1" formatRows="0" sort="1"/>
  <dataValidations count="5">
    <dataValidation sqref="G5:G44" showDropDown="0" showInputMessage="0" showErrorMessage="1" allowBlank="1" errorTitle="Not allowed" error="Pick a value from the list." type="list">
      <formula1>"Y,N"</formula1>
    </dataValidation>
    <dataValidation sqref="H5:H44" showDropDown="0" showInputMessage="0" showErrorMessage="1" allowBlank="1" errorTitle="Not allowed" error="Pick a value from the list." type="list">
      <formula1>"Approved for release,Approved with changes,Returned to maker"</formula1>
    </dataValidation>
    <dataValidation sqref="B5:B44" showDropDown="0" showInputMessage="0" showErrorMessage="1" allowBlank="1" errorTitle="Check the value" error="Enter a date (yyyy-mm-dd)." type="date" operator="between">
      <formula1>36526</formula1>
      <formula2>73051</formula2>
    </dataValidation>
    <dataValidation sqref="J5:J44" showDropDown="0" showInputMessage="0" showErrorMessage="1" allowBlank="1" errorTitle="Check the value" error="Enter a date (yyyy-mm-dd)." type="date" operator="between">
      <formula1>36526</formula1>
      <formula2>73051</formula2>
    </dataValidation>
    <dataValidation sqref="M5:M19" showDropDown="0" showInputMessage="0" showErrorMessage="1" allowBlank="1" errorTitle="Not allowed" error="Pick a value from the list." type="list">
      <formula1>"Y,N"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BSA Manager</dc:creator>
  <dc:title xmlns:dc="http://purl.org/dc/elements/1.1/">Tariff-Impact Model (template)</dc:title>
  <dcterms:created xmlns:dcterms="http://purl.org/dc/terms/" xmlns:xsi="http://www.w3.org/2001/XMLSchema-instance" xsi:type="dcterms:W3CDTF">2026-10-08T00:00:00Z</dcterms:created>
  <dcterms:modified xmlns:dcterms="http://purl.org/dc/terms/" xmlns:xsi="http://www.w3.org/2001/XMLSchema-instance" xsi:type="dcterms:W3CDTF">2026-10-08T00:00:00Z</dcterms:modified>
  <cp:lastModifiedBy>build/make_tariff_model.py</cp:lastModifiedBy>
</cp:coreProperties>
</file>